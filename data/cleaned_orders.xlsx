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  <sheet name="Raw_Text_Fields" sheetId="2" state="visible" r:id="rId4"/>
    <sheet name="Removed_Duplicates_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<sst xmlns="http://schemas.openxmlformats.org/spreadsheetml/2006/main" count="13156" uniqueCount="2850">
  <si>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</si>
  <si>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</si>
  <si>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</si>
  <si>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</si>
  <si>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</si>
  <si>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</si>
  <si>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</si>
  <si>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</si>
  <si>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</si>
  <si>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</si>
  <si>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</si>
  <si>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</si>
  <si>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</si>
  <si>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</si>
  <si>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</si>
  <si>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discount</t>
  </si>
  <si>
    <t xml:space="preserve">sales</t>
  </si>
  <si>
    <t xml:space="preserve">cost</t>
  </si>
  <si>
    <t xml:space="preserve">profit</t>
  </si>
  <si>
    <t xml:space="preserve">payment_status</t>
  </si>
  <si>
    <t xml:space="preserve">order_status</t>
  </si>
  <si>
    <t xml:space="preserve">cleaned_discount</t>
  </si>
  <si>
    <t xml:space="preserve">calculated_sales</t>
  </si>
  <si>
    <t xml:space="preserve">calculated_profit</t>
  </si>
  <si>
    <t xml:space="preserve">profit_margin</t>
  </si>
  <si>
    <t xml:space="preserve">shipping_delay_days</t>
  </si>
  <si>
    <t xml:space="preserve">order_month</t>
  </si>
  <si>
    <t xml:space="preserve">order_year</t>
  </si>
  <si>
    <t xml:space="preserve">original_data_flags</t>
  </si>
  <si>
    <t xml:space="preserve">flag_details</t>
  </si>
  <si>
    <t xml:space="preserve">data_quality_flag</t>
  </si>
  <si>
    <t xml:space="preserve">ORD-2024-10001</t>
  </si>
  <si>
    <t xml:space="preserve">CUST-4655</t>
  </si>
  <si>
    <t xml:space="preserve">Pro Paper 122</t>
  </si>
  <si>
    <t xml:space="preserve">ORD-2024-10002</t>
  </si>
  <si>
    <t xml:space="preserve">CUST-2054</t>
  </si>
  <si>
    <t xml:space="preserve">Pro Tables 258</t>
  </si>
  <si>
    <t xml:space="preserve">ORD-2024-10003</t>
  </si>
  <si>
    <t xml:space="preserve">CUST-6843</t>
  </si>
  <si>
    <t xml:space="preserve">Elite Art 525</t>
  </si>
  <si>
    <t xml:space="preserve">ORD-2024-10004</t>
  </si>
  <si>
    <t xml:space="preserve">CUST-3722</t>
  </si>
  <si>
    <t xml:space="preserve">Smart Furnishings 294</t>
  </si>
  <si>
    <t xml:space="preserve">ORD-2025-10005</t>
  </si>
  <si>
    <t xml:space="preserve">CUST-8130</t>
  </si>
  <si>
    <t xml:space="preserve">Elite Chairs 543</t>
  </si>
  <si>
    <t xml:space="preserve">ORD-2024-10006</t>
  </si>
  <si>
    <t xml:space="preserve">CUST-6056</t>
  </si>
  <si>
    <t xml:space="preserve">Pro Accessories 821</t>
  </si>
  <si>
    <t xml:space="preserve">ORD-2025-10007</t>
  </si>
  <si>
    <t xml:space="preserve">CUST-3656</t>
  </si>
  <si>
    <t xml:space="preserve">Eco Copiers 790</t>
  </si>
  <si>
    <t xml:space="preserve">ORD-2025-10008</t>
  </si>
  <si>
    <t xml:space="preserve">CUST-4683</t>
  </si>
  <si>
    <t xml:space="preserve">Eco Art 848</t>
  </si>
  <si>
    <t xml:space="preserve">ORD-2024-10009</t>
  </si>
  <si>
    <t xml:space="preserve">CUST-2598</t>
  </si>
  <si>
    <t xml:space="preserve">Classic Labels 815</t>
  </si>
  <si>
    <t xml:space="preserve">ORD-2025-10010</t>
  </si>
  <si>
    <t xml:space="preserve">CUST-2483</t>
  </si>
  <si>
    <t xml:space="preserve">Pro Paper 622</t>
  </si>
  <si>
    <t xml:space="preserve">ORD-2025-10011</t>
  </si>
  <si>
    <t xml:space="preserve">CUST-8092</t>
  </si>
  <si>
    <t xml:space="preserve">Prime Labels 644</t>
  </si>
  <si>
    <t xml:space="preserve">ORD-2024-10012</t>
  </si>
  <si>
    <t xml:space="preserve">CUST-6528</t>
  </si>
  <si>
    <t xml:space="preserve">Smart Accessories 603</t>
  </si>
  <si>
    <t xml:space="preserve">ORD-2024-10013</t>
  </si>
  <si>
    <t xml:space="preserve">CUST-2648</t>
  </si>
  <si>
    <t xml:space="preserve">Pro Paper 481</t>
  </si>
  <si>
    <t xml:space="preserve">ORD-2025-10014</t>
  </si>
  <si>
    <t xml:space="preserve">CUST-7482</t>
  </si>
  <si>
    <t xml:space="preserve">Smart Art 795</t>
  </si>
  <si>
    <t xml:space="preserve">ORD-2024-10015</t>
  </si>
  <si>
    <t xml:space="preserve">CUST-4912</t>
  </si>
  <si>
    <t xml:space="preserve">Max Copiers 983</t>
  </si>
  <si>
    <t xml:space="preserve">ORD-2024-10016</t>
  </si>
  <si>
    <t xml:space="preserve">CUST-7656</t>
  </si>
  <si>
    <t xml:space="preserve">Classic Storage 198</t>
  </si>
  <si>
    <t xml:space="preserve">ORD-2024-10017</t>
  </si>
  <si>
    <t xml:space="preserve">CUST-6214</t>
  </si>
  <si>
    <t xml:space="preserve">Basic Art 204</t>
  </si>
  <si>
    <t xml:space="preserve">ORD-2024-10018</t>
  </si>
  <si>
    <t xml:space="preserve">CUST-1626</t>
  </si>
  <si>
    <t xml:space="preserve">Basic Furnishings 434</t>
  </si>
  <si>
    <t xml:space="preserve">ORD-2025-10019</t>
  </si>
  <si>
    <t xml:space="preserve">CUST-2110</t>
  </si>
  <si>
    <t xml:space="preserve">Eco Copiers 755</t>
  </si>
  <si>
    <t xml:space="preserve">ORD-2024-10020</t>
  </si>
  <si>
    <t xml:space="preserve">CUST-3186</t>
  </si>
  <si>
    <t xml:space="preserve">Prime Storage 121</t>
  </si>
  <si>
    <t xml:space="preserve">ORD-2025-10021</t>
  </si>
  <si>
    <t xml:space="preserve">CUST-3190</t>
  </si>
  <si>
    <t xml:space="preserve">Elite Copiers 233</t>
  </si>
  <si>
    <t xml:space="preserve">ORD-2025-10022</t>
  </si>
  <si>
    <t xml:space="preserve">CUST-3036</t>
  </si>
  <si>
    <t xml:space="preserve">Eco Furnishings 897</t>
  </si>
  <si>
    <t xml:space="preserve">ORD-2025-10023</t>
  </si>
  <si>
    <t xml:space="preserve">CUST-3588</t>
  </si>
  <si>
    <t xml:space="preserve">Max Binders 355</t>
  </si>
  <si>
    <t xml:space="preserve">ORD-2025-10024</t>
  </si>
  <si>
    <t xml:space="preserve">CUST-7098</t>
  </si>
  <si>
    <t xml:space="preserve">Pro Bookcases 394</t>
  </si>
  <si>
    <t xml:space="preserve">ORD-2024-10025</t>
  </si>
  <si>
    <t xml:space="preserve">CUST-1747</t>
  </si>
  <si>
    <t xml:space="preserve">Max Art 215</t>
  </si>
  <si>
    <t xml:space="preserve">ORD-2024-10026</t>
  </si>
  <si>
    <t xml:space="preserve">CUST-1731</t>
  </si>
  <si>
    <t xml:space="preserve">Classic Accessories 478</t>
  </si>
  <si>
    <t xml:space="preserve">ORD-2024-10027</t>
  </si>
  <si>
    <t xml:space="preserve">CUST-4401</t>
  </si>
  <si>
    <t xml:space="preserve">Pro Phones 243</t>
  </si>
  <si>
    <t xml:space="preserve">ORD-2025-10028</t>
  </si>
  <si>
    <t xml:space="preserve">CUST-9875</t>
  </si>
  <si>
    <t xml:space="preserve">Basic Paper 613</t>
  </si>
  <si>
    <t xml:space="preserve">ORD-2024-10029</t>
  </si>
  <si>
    <t xml:space="preserve">CUST-1569</t>
  </si>
  <si>
    <t xml:space="preserve">Prime Phones 698</t>
  </si>
  <si>
    <t xml:space="preserve">ORD-2025-10030</t>
  </si>
  <si>
    <t xml:space="preserve">CUST-5936</t>
  </si>
  <si>
    <t xml:space="preserve">Pro Phones 442</t>
  </si>
  <si>
    <t xml:space="preserve">ORD-2024-10031</t>
  </si>
  <si>
    <t xml:space="preserve">CUST-8759</t>
  </si>
  <si>
    <t xml:space="preserve">Pro Labels 355</t>
  </si>
  <si>
    <t xml:space="preserve">ORD-2025-10032</t>
  </si>
  <si>
    <t xml:space="preserve">CUST-7867</t>
  </si>
  <si>
    <t xml:space="preserve">Pro Paper 959</t>
  </si>
  <si>
    <t xml:space="preserve">ORD-2024-10033</t>
  </si>
  <si>
    <t xml:space="preserve">CUST-6509</t>
  </si>
  <si>
    <t xml:space="preserve">Basic Phones 242</t>
  </si>
  <si>
    <t xml:space="preserve">Missing Discount (defaulted 0)</t>
  </si>
  <si>
    <t xml:space="preserve">ORD-2024-10034</t>
  </si>
  <si>
    <t xml:space="preserve">CUST-6660</t>
  </si>
  <si>
    <t xml:space="preserve">Max Tables 836</t>
  </si>
  <si>
    <t xml:space="preserve">ORD-2025-10035</t>
  </si>
  <si>
    <t xml:space="preserve">CUST-2392</t>
  </si>
  <si>
    <t xml:space="preserve">Elite Chairs 862</t>
  </si>
  <si>
    <t xml:space="preserve">Missing Ship Mode (filled Unknown)</t>
  </si>
  <si>
    <t xml:space="preserve">ORD-2024-10036</t>
  </si>
  <si>
    <t xml:space="preserve">CUST-1611</t>
  </si>
  <si>
    <t xml:space="preserve">Prime Bookcases 414</t>
  </si>
  <si>
    <t xml:space="preserve">ORD-2024-10037</t>
  </si>
  <si>
    <t xml:space="preserve">CUST-8296</t>
  </si>
  <si>
    <t xml:space="preserve">Eco Bookcases 220</t>
  </si>
  <si>
    <t xml:space="preserve">ORD-2025-10038</t>
  </si>
  <si>
    <t xml:space="preserve">CUST-4646</t>
  </si>
  <si>
    <t xml:space="preserve">Pro Copiers 830</t>
  </si>
  <si>
    <t xml:space="preserve">ORD-2024-10039</t>
  </si>
  <si>
    <t xml:space="preserve">CUST-8235</t>
  </si>
  <si>
    <t xml:space="preserve">Prime Phones 507</t>
  </si>
  <si>
    <t xml:space="preserve">ORD-2024-10040</t>
  </si>
  <si>
    <t xml:space="preserve">CUST-5830</t>
  </si>
  <si>
    <t xml:space="preserve">Classic Copiers 590</t>
  </si>
  <si>
    <t xml:space="preserve">ORD-2024-10041</t>
  </si>
  <si>
    <t xml:space="preserve">CUST-7178</t>
  </si>
  <si>
    <t xml:space="preserve">Eco Copiers 865</t>
  </si>
  <si>
    <t xml:space="preserve">ORD-2024-10042</t>
  </si>
  <si>
    <t xml:space="preserve">CUST-3829</t>
  </si>
  <si>
    <t xml:space="preserve">Classic Bookcases 835</t>
  </si>
  <si>
    <t xml:space="preserve">ORD-2025-10043</t>
  </si>
  <si>
    <t xml:space="preserve">CUST-6708</t>
  </si>
  <si>
    <t xml:space="preserve">Eco Phones 702</t>
  </si>
  <si>
    <t xml:space="preserve">ORD-2024-10044</t>
  </si>
  <si>
    <t xml:space="preserve">CUST-7119</t>
  </si>
  <si>
    <t xml:space="preserve">Smart Furnishings 956</t>
  </si>
  <si>
    <t xml:space="preserve">ORD-2024-10045</t>
  </si>
  <si>
    <t xml:space="preserve">CUST-3373</t>
  </si>
  <si>
    <t xml:space="preserve">Max Chairs 393</t>
  </si>
  <si>
    <t xml:space="preserve">ORD-2024-10046</t>
  </si>
  <si>
    <t xml:space="preserve">CUST-8896</t>
  </si>
  <si>
    <t xml:space="preserve">Prime Art 221</t>
  </si>
  <si>
    <t xml:space="preserve">ORD-2024-10047</t>
  </si>
  <si>
    <t xml:space="preserve">CUST-8517</t>
  </si>
  <si>
    <t xml:space="preserve">Elite Bookcases 671</t>
  </si>
  <si>
    <t xml:space="preserve">ORD-2024-10048</t>
  </si>
  <si>
    <t xml:space="preserve">CUST-1987</t>
  </si>
  <si>
    <t xml:space="preserve">Max Storage 432</t>
  </si>
  <si>
    <t xml:space="preserve">ORD-2025-10049</t>
  </si>
  <si>
    <t xml:space="preserve">CUST-8183</t>
  </si>
  <si>
    <t xml:space="preserve">Basic Chairs 837</t>
  </si>
  <si>
    <t xml:space="preserve">ORD-2024-10050</t>
  </si>
  <si>
    <t xml:space="preserve">CUST-2380</t>
  </si>
  <si>
    <t xml:space="preserve">Classic Copiers 295</t>
  </si>
  <si>
    <t xml:space="preserve">ORD-2025-10051</t>
  </si>
  <si>
    <t xml:space="preserve">CUST-8787</t>
  </si>
  <si>
    <t xml:space="preserve">Pro Copiers 963</t>
  </si>
  <si>
    <t xml:space="preserve">ORD-2024-10052</t>
  </si>
  <si>
    <t xml:space="preserve">CUST-3557</t>
  </si>
  <si>
    <t xml:space="preserve">Pro Art 907</t>
  </si>
  <si>
    <t xml:space="preserve">ORD-2024-10053</t>
  </si>
  <si>
    <t xml:space="preserve">CUST-2778</t>
  </si>
  <si>
    <t xml:space="preserve">Pro Chairs 526</t>
  </si>
  <si>
    <t xml:space="preserve">ORD-2025-10054</t>
  </si>
  <si>
    <t xml:space="preserve">CUST-7195</t>
  </si>
  <si>
    <t xml:space="preserve">Elite Storage 924</t>
  </si>
  <si>
    <t xml:space="preserve">ORD-2025-10055</t>
  </si>
  <si>
    <t xml:space="preserve">CUST-9039</t>
  </si>
  <si>
    <t xml:space="preserve">Pro Labels 957</t>
  </si>
  <si>
    <t xml:space="preserve">ORD-2025-10056</t>
  </si>
  <si>
    <t xml:space="preserve">CUST-9821</t>
  </si>
  <si>
    <t xml:space="preserve">Classic Machines 310</t>
  </si>
  <si>
    <t xml:space="preserve">ORD-2025-10057</t>
  </si>
  <si>
    <t xml:space="preserve">CUST-8701</t>
  </si>
  <si>
    <t xml:space="preserve">Smart Binders 393</t>
  </si>
  <si>
    <t xml:space="preserve">ORD-2024-10058</t>
  </si>
  <si>
    <t xml:space="preserve">CUST-9941</t>
  </si>
  <si>
    <t xml:space="preserve">Max Chairs 813</t>
  </si>
  <si>
    <t xml:space="preserve">ORD-2024-10059</t>
  </si>
  <si>
    <t xml:space="preserve">CUST-3983</t>
  </si>
  <si>
    <t xml:space="preserve">Basic Storage 872</t>
  </si>
  <si>
    <t xml:space="preserve">ORD-2024-10060</t>
  </si>
  <si>
    <t xml:space="preserve">CUST-2418</t>
  </si>
  <si>
    <t xml:space="preserve">Smart Labels 655</t>
  </si>
  <si>
    <t xml:space="preserve">ORD-2024-10061</t>
  </si>
  <si>
    <t xml:space="preserve">CUST-2892</t>
  </si>
  <si>
    <t xml:space="preserve">Eco Labels 210</t>
  </si>
  <si>
    <t xml:space="preserve">ORD-2024-10062</t>
  </si>
  <si>
    <t xml:space="preserve">CUST-7008</t>
  </si>
  <si>
    <t xml:space="preserve">Classic Bookcases 296</t>
  </si>
  <si>
    <t xml:space="preserve">ORD-2024-10063</t>
  </si>
  <si>
    <t xml:space="preserve">CUST-4900</t>
  </si>
  <si>
    <t xml:space="preserve">Basic Phones 230</t>
  </si>
  <si>
    <t xml:space="preserve">ORD-2024-10064</t>
  </si>
  <si>
    <t xml:space="preserve">CUST-5382</t>
  </si>
  <si>
    <t xml:space="preserve">Pro Binders 690</t>
  </si>
  <si>
    <t xml:space="preserve">ORD-2024-10065</t>
  </si>
  <si>
    <t xml:space="preserve">CUST-2749</t>
  </si>
  <si>
    <t xml:space="preserve">Classic Paper 458</t>
  </si>
  <si>
    <t xml:space="preserve">ORD-2024-10066</t>
  </si>
  <si>
    <t xml:space="preserve">CUST-2463</t>
  </si>
  <si>
    <t xml:space="preserve">Pro Paper 552</t>
  </si>
  <si>
    <t xml:space="preserve">ORD-2025-10067</t>
  </si>
  <si>
    <t xml:space="preserve">CUST-1504</t>
  </si>
  <si>
    <t xml:space="preserve">Elite Accessories 187</t>
  </si>
  <si>
    <t xml:space="preserve">ORD-2025-10068</t>
  </si>
  <si>
    <t xml:space="preserve">CUST-8282</t>
  </si>
  <si>
    <t xml:space="preserve">Eco Paper 922</t>
  </si>
  <si>
    <t xml:space="preserve">ORD-2024-10069</t>
  </si>
  <si>
    <t xml:space="preserve">CUST-6054</t>
  </si>
  <si>
    <t xml:space="preserve">Pro Storage 975</t>
  </si>
  <si>
    <t xml:space="preserve">ORD-2024-10070</t>
  </si>
  <si>
    <t xml:space="preserve">CUST-5979</t>
  </si>
  <si>
    <t xml:space="preserve">Prime Machines 782</t>
  </si>
  <si>
    <t xml:space="preserve">ORD-2025-10071</t>
  </si>
  <si>
    <t xml:space="preserve">CUST-5582</t>
  </si>
  <si>
    <t xml:space="preserve">Max Phones 661</t>
  </si>
  <si>
    <t xml:space="preserve">ORD-2025-10072</t>
  </si>
  <si>
    <t xml:space="preserve">CUST-3308</t>
  </si>
  <si>
    <t xml:space="preserve">Elite Machines 836</t>
  </si>
  <si>
    <t xml:space="preserve">ORD-2024-10073</t>
  </si>
  <si>
    <t xml:space="preserve">CUST-5018</t>
  </si>
  <si>
    <t xml:space="preserve">Prime Tables 902</t>
  </si>
  <si>
    <t xml:space="preserve">ORD-2025-10074</t>
  </si>
  <si>
    <t xml:space="preserve">CUST-2342</t>
  </si>
  <si>
    <t xml:space="preserve">Smart Bookcases 167</t>
  </si>
  <si>
    <t xml:space="preserve">ORD-2025-10075</t>
  </si>
  <si>
    <t xml:space="preserve">CUST-6201</t>
  </si>
  <si>
    <t xml:space="preserve">Max Chairs 244</t>
  </si>
  <si>
    <t xml:space="preserve">ORD-2025-10076</t>
  </si>
  <si>
    <t xml:space="preserve">CUST-5808</t>
  </si>
  <si>
    <t xml:space="preserve">Eco Labels 653</t>
  </si>
  <si>
    <t xml:space="preserve">ORD-2024-10077</t>
  </si>
  <si>
    <t xml:space="preserve">CUST-2642</t>
  </si>
  <si>
    <t xml:space="preserve">Max Labels 617</t>
  </si>
  <si>
    <t xml:space="preserve">ORD-2025-10078</t>
  </si>
  <si>
    <t xml:space="preserve">CUST-4385</t>
  </si>
  <si>
    <t xml:space="preserve">Pro Furnishings 529</t>
  </si>
  <si>
    <t xml:space="preserve">ORD-2025-10079</t>
  </si>
  <si>
    <t xml:space="preserve">CUST-8043</t>
  </si>
  <si>
    <t xml:space="preserve">Smart Tables 561</t>
  </si>
  <si>
    <t xml:space="preserve">ORD-2025-10080</t>
  </si>
  <si>
    <t xml:space="preserve">CUST-9978</t>
  </si>
  <si>
    <t xml:space="preserve">Prime Chairs 838</t>
  </si>
  <si>
    <t xml:space="preserve">ORD-2024-10081</t>
  </si>
  <si>
    <t xml:space="preserve">CUST-2094</t>
  </si>
  <si>
    <t xml:space="preserve">Elite Storage 371</t>
  </si>
  <si>
    <t xml:space="preserve">ORD-2025-10082</t>
  </si>
  <si>
    <t xml:space="preserve">CUST-7907</t>
  </si>
  <si>
    <t xml:space="preserve">Eco Labels 662</t>
  </si>
  <si>
    <t xml:space="preserve">ORD-2024-10083</t>
  </si>
  <si>
    <t xml:space="preserve">CUST-6516</t>
  </si>
  <si>
    <t xml:space="preserve">Smart Copiers 702</t>
  </si>
  <si>
    <t xml:space="preserve">ORD-2024-10084</t>
  </si>
  <si>
    <t xml:space="preserve">CUST-4989</t>
  </si>
  <si>
    <t xml:space="preserve">Elite Tables 362</t>
  </si>
  <si>
    <t xml:space="preserve">ORD-2024-10085</t>
  </si>
  <si>
    <t xml:space="preserve">CUST-3758</t>
  </si>
  <si>
    <t xml:space="preserve">Elite Phones 781</t>
  </si>
  <si>
    <t xml:space="preserve">ORD-2024-10086</t>
  </si>
  <si>
    <t xml:space="preserve">CUST-6702</t>
  </si>
  <si>
    <t xml:space="preserve">Eco Binders 456</t>
  </si>
  <si>
    <t xml:space="preserve">ORD-2024-10087</t>
  </si>
  <si>
    <t xml:space="preserve">CUST-9148</t>
  </si>
  <si>
    <t xml:space="preserve">Basic Copiers 525</t>
  </si>
  <si>
    <t xml:space="preserve">ORD-2024-10088</t>
  </si>
  <si>
    <t xml:space="preserve">CUST-5829</t>
  </si>
  <si>
    <t xml:space="preserve">Eco Binders 258</t>
  </si>
  <si>
    <t xml:space="preserve">ORD-2024-10089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</si>
  <si>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</si>
  <si>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</si>
  <si>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</si>
  <si>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</si>
  <si>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</si>
  <si>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</si>
  <si>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CUST-5909</t>
  </si>
  <si>
    <t xml:space="preserve">Smart Copiers 556</t>
  </si>
  <si>
    <t xml:space="preserve">ORD-2025-10092</t>
  </si>
  <si>
    <t xml:space="preserve">CUST-6409</t>
  </si>
  <si>
    <t xml:space="preserve">Prime Copiers 575</t>
  </si>
  <si>
    <t xml:space="preserve">ORD-2025-10093</t>
  </si>
  <si>
    <t xml:space="preserve">CUST-3014</t>
  </si>
  <si>
    <t xml:space="preserve">Elite Paper 669</t>
  </si>
  <si>
    <t xml:space="preserve">ORD-2024-10094</t>
  </si>
  <si>
    <t xml:space="preserve">CUST-6106</t>
  </si>
  <si>
    <t xml:space="preserve">Eco Binders 780</t>
  </si>
  <si>
    <t xml:space="preserve">ORD-2024-10095</t>
  </si>
  <si>
    <t xml:space="preserve">CUST-1926</t>
  </si>
  <si>
    <t xml:space="preserve">Elite Phones 723</t>
  </si>
  <si>
    <t xml:space="preserve">ORD-2025-10096</t>
  </si>
  <si>
    <t xml:space="preserve">CUST-2687</t>
  </si>
  <si>
    <t xml:space="preserve">Classic Bookcases 988</t>
  </si>
  <si>
    <t xml:space="preserve">ORD-2024-10097</t>
  </si>
  <si>
    <t xml:space="preserve">CUST-7283</t>
  </si>
  <si>
    <t xml:space="preserve">Smart Copiers 547</t>
  </si>
  <si>
    <t xml:space="preserve">ORD-2025-10098</t>
  </si>
  <si>
    <t xml:space="preserve">CUST-8111</t>
  </si>
  <si>
    <t xml:space="preserve">Basic Storage 656</t>
  </si>
  <si>
    <t xml:space="preserve">ORD-2024-10099</t>
  </si>
  <si>
    <t xml:space="preserve">CUST-5434</t>
  </si>
  <si>
    <t xml:space="preserve">Elite Copiers 785</t>
  </si>
  <si>
    <t xml:space="preserve">ORD-2025-10100</t>
  </si>
  <si>
    <t xml:space="preserve">CUST-3865</t>
  </si>
  <si>
    <t xml:space="preserve">Smart Accessories 542</t>
  </si>
  <si>
    <t xml:space="preserve">ORD-2025-10101</t>
  </si>
  <si>
    <t xml:space="preserve">CUST-6015</t>
  </si>
  <si>
    <t xml:space="preserve">Eco Storage 936</t>
  </si>
  <si>
    <t xml:space="preserve">ORD-2024-10102</t>
  </si>
  <si>
    <t xml:space="preserve">CUST-7909</t>
  </si>
  <si>
    <t xml:space="preserve">Classic Furnishings 682</t>
  </si>
  <si>
    <t xml:space="preserve">ORD-2025-10103</t>
  </si>
  <si>
    <t xml:space="preserve">CUST-9603</t>
  </si>
  <si>
    <t xml:space="preserve">Classic Chairs 604</t>
  </si>
  <si>
    <t xml:space="preserve">ORD-2025-10104</t>
  </si>
  <si>
    <t xml:space="preserve">CUST-6263</t>
  </si>
  <si>
    <t xml:space="preserve">Prime Tables 377</t>
  </si>
  <si>
    <t xml:space="preserve">ORD-2025-10105</t>
  </si>
  <si>
    <t xml:space="preserve">CUST-1576</t>
  </si>
  <si>
    <t xml:space="preserve">Prime Labels 807</t>
  </si>
  <si>
    <t xml:space="preserve">ORD-2024-10106</t>
  </si>
  <si>
    <t xml:space="preserve">CUST-6540</t>
  </si>
  <si>
    <t xml:space="preserve">Eco Tables 575</t>
  </si>
  <si>
    <t xml:space="preserve">ORD-2024-10107</t>
  </si>
  <si>
    <t xml:space="preserve">CUST-4008</t>
  </si>
  <si>
    <t xml:space="preserve">Eco Paper 918</t>
  </si>
  <si>
    <t xml:space="preserve">ORD-2024-10108</t>
  </si>
  <si>
    <t xml:space="preserve">CUST-6604</t>
  </si>
  <si>
    <t xml:space="preserve">Prime Furnishings 952</t>
  </si>
  <si>
    <t xml:space="preserve">ORD-2024-10109</t>
  </si>
  <si>
    <t xml:space="preserve">CUST-4337</t>
  </si>
  <si>
    <t xml:space="preserve">Prime Bookcases 631</t>
  </si>
  <si>
    <t xml:space="preserve">ORD-2025-10110</t>
  </si>
  <si>
    <t xml:space="preserve">CUST-3740</t>
  </si>
  <si>
    <t xml:space="preserve">Classic Binders 660</t>
  </si>
  <si>
    <t xml:space="preserve">ORD-2024-10111</t>
  </si>
  <si>
    <t xml:space="preserve">CUST-7128</t>
  </si>
  <si>
    <t xml:space="preserve">Pro Labels 255</t>
  </si>
  <si>
    <t xml:space="preserve">ORD-2025-10112</t>
  </si>
  <si>
    <t xml:space="preserve">CUST-4743</t>
  </si>
  <si>
    <t xml:space="preserve">Basic Accessories 187</t>
  </si>
  <si>
    <t xml:space="preserve">ORD-2024-10113</t>
  </si>
  <si>
    <t xml:space="preserve">CUST-5213</t>
  </si>
  <si>
    <t xml:space="preserve">Max Accessories 451</t>
  </si>
  <si>
    <t xml:space="preserve">Missing Region (filled Unknown)</t>
  </si>
  <si>
    <t xml:space="preserve">ORD-2024-10114</t>
  </si>
  <si>
    <t xml:space="preserve">Classic Tables 752</t>
  </si>
  <si>
    <t xml:space="preserve">ORD-2024-10115</t>
  </si>
  <si>
    <t xml:space="preserve">CUST-2927</t>
  </si>
  <si>
    <t xml:space="preserve">Eco Accessories 452</t>
  </si>
  <si>
    <t xml:space="preserve">ORD-2024-10116</t>
  </si>
  <si>
    <t xml:space="preserve">CUST-7764</t>
  </si>
  <si>
    <t xml:space="preserve">Classic Binders 203</t>
  </si>
  <si>
    <t xml:space="preserve">ORD-2025-10117</t>
  </si>
  <si>
    <t xml:space="preserve">CUST-3632</t>
  </si>
  <si>
    <t xml:space="preserve">Basic Binders 859</t>
  </si>
  <si>
    <t xml:space="preserve">ORD-2024-10118</t>
  </si>
  <si>
    <t xml:space="preserve">CUST-9608</t>
  </si>
  <si>
    <t xml:space="preserve">Elite Machines 705</t>
  </si>
  <si>
    <t xml:space="preserve">ORD-2024-10119</t>
  </si>
  <si>
    <t xml:space="preserve">CUST-9135</t>
  </si>
  <si>
    <t xml:space="preserve">Pro Copiers 208</t>
  </si>
  <si>
    <t xml:space="preserve">ORD-2024-10120</t>
  </si>
  <si>
    <t xml:space="preserve">CUST-7861</t>
  </si>
  <si>
    <t xml:space="preserve">Elite Chairs 921</t>
  </si>
  <si>
    <t xml:space="preserve">ORD-2024-10121</t>
  </si>
  <si>
    <t xml:space="preserve">CUST-6096</t>
  </si>
  <si>
    <t xml:space="preserve">Prime Phones 540</t>
  </si>
  <si>
    <t xml:space="preserve">ORD-2025-10122</t>
  </si>
  <si>
    <t xml:space="preserve">CUST-2044</t>
  </si>
  <si>
    <t xml:space="preserve">Max Machines 948</t>
  </si>
  <si>
    <t xml:space="preserve">ORD-2024-10123</t>
  </si>
  <si>
    <t xml:space="preserve">CUST-1721</t>
  </si>
  <si>
    <t xml:space="preserve">Max Chairs 786</t>
  </si>
  <si>
    <t xml:space="preserve">ORD-2024-10124</t>
  </si>
  <si>
    <t xml:space="preserve">CUST-1007</t>
  </si>
  <si>
    <t xml:space="preserve">Max Copiers 970</t>
  </si>
  <si>
    <t xml:space="preserve">ORD-2024-10125</t>
  </si>
  <si>
    <t xml:space="preserve">CUST-4450</t>
  </si>
  <si>
    <t xml:space="preserve">Pro Copiers 769</t>
  </si>
  <si>
    <t xml:space="preserve">ORD-2025-10126</t>
  </si>
  <si>
    <t xml:space="preserve">CUST-7924</t>
  </si>
  <si>
    <t xml:space="preserve">Basic Tables 753</t>
  </si>
  <si>
    <t xml:space="preserve">ORD-2025-10127</t>
  </si>
  <si>
    <t xml:space="preserve">CUST-1715</t>
  </si>
  <si>
    <t xml:space="preserve">Prime Copiers 651</t>
  </si>
  <si>
    <t xml:space="preserve">ORD-2025-10128</t>
  </si>
  <si>
    <t xml:space="preserve">CUST-6802</t>
  </si>
  <si>
    <t xml:space="preserve">Basic Storage 321</t>
  </si>
  <si>
    <t xml:space="preserve">ORD-2024-10129</t>
  </si>
  <si>
    <t xml:space="preserve">CUST-9328</t>
  </si>
  <si>
    <t xml:space="preserve">Prime Furnishings 710</t>
  </si>
  <si>
    <t xml:space="preserve">ORD-2024-10130</t>
  </si>
  <si>
    <t xml:space="preserve">CUST-2588</t>
  </si>
  <si>
    <t xml:space="preserve">Elite Binders 723</t>
  </si>
  <si>
    <t xml:space="preserve">ORD-2024-10131</t>
  </si>
  <si>
    <t xml:space="preserve">CUST-5435</t>
  </si>
  <si>
    <t xml:space="preserve">Smart Labels 878</t>
  </si>
  <si>
    <t xml:space="preserve">ORD-2025-10132</t>
  </si>
  <si>
    <t xml:space="preserve">CUST-7637</t>
  </si>
  <si>
    <t xml:space="preserve">Pro Paper 934</t>
  </si>
  <si>
    <t xml:space="preserve">ORD-2024-10133</t>
  </si>
  <si>
    <t xml:space="preserve">CUST-3602</t>
  </si>
  <si>
    <t xml:space="preserve">Classic Machines 886</t>
  </si>
  <si>
    <t xml:space="preserve">ORD-2024-10134</t>
  </si>
  <si>
    <t xml:space="preserve">CUST-9441</t>
  </si>
  <si>
    <t xml:space="preserve">Prime Phones 419</t>
  </si>
  <si>
    <t xml:space="preserve">ORD-2025-10135</t>
  </si>
  <si>
    <t xml:space="preserve">CUST-7361</t>
  </si>
  <si>
    <t xml:space="preserve">Elite Bookcases 266</t>
  </si>
  <si>
    <t xml:space="preserve">ORD-2025-10136</t>
  </si>
  <si>
    <t xml:space="preserve">CUST-1148</t>
  </si>
  <si>
    <t xml:space="preserve">Prime Bookcases 954</t>
  </si>
  <si>
    <t xml:space="preserve">ORD-2025-10137</t>
  </si>
  <si>
    <t xml:space="preserve">CUST-3350</t>
  </si>
  <si>
    <t xml:space="preserve">Max Binders 362</t>
  </si>
  <si>
    <t xml:space="preserve">ORD-2025-10138</t>
  </si>
  <si>
    <t xml:space="preserve">CUST-7932</t>
  </si>
  <si>
    <t xml:space="preserve">Prime Chairs 261</t>
  </si>
  <si>
    <t xml:space="preserve">ORD-2024-10139</t>
  </si>
  <si>
    <t xml:space="preserve">CUST-7173</t>
  </si>
  <si>
    <t xml:space="preserve">Basic Machines 185</t>
  </si>
  <si>
    <t xml:space="preserve">ORD-2025-10140</t>
  </si>
  <si>
    <t xml:space="preserve">CUST-4225</t>
  </si>
  <si>
    <t xml:space="preserve">Basic Labels 509</t>
  </si>
  <si>
    <t xml:space="preserve">ORD-2024-10141</t>
  </si>
  <si>
    <t xml:space="preserve">CUST-2149</t>
  </si>
  <si>
    <t xml:space="preserve">Elite Bookcases 696</t>
  </si>
  <si>
    <t xml:space="preserve">ORD-2024-10142</t>
  </si>
  <si>
    <t xml:space="preserve">CUST-3314</t>
  </si>
  <si>
    <t xml:space="preserve">Elite Bookcases 772</t>
  </si>
  <si>
    <t xml:space="preserve">ORD-2024-10143</t>
  </si>
  <si>
    <t xml:space="preserve">CUST-8944</t>
  </si>
  <si>
    <t xml:space="preserve">Classic Phones 142</t>
  </si>
  <si>
    <t xml:space="preserve">ORD-2024-10144</t>
  </si>
  <si>
    <t xml:space="preserve">CUST-3144</t>
  </si>
  <si>
    <t xml:space="preserve">Pro Paper 575</t>
  </si>
  <si>
    <t xml:space="preserve">ORD-2024-10145</t>
  </si>
  <si>
    <t xml:space="preserve">CUST-6747</t>
  </si>
  <si>
    <t xml:space="preserve">Elite Accessories 905</t>
  </si>
  <si>
    <t xml:space="preserve">ORD-2025-10146</t>
  </si>
  <si>
    <t xml:space="preserve">CUST-6161</t>
  </si>
  <si>
    <t xml:space="preserve">Smart Paper 899</t>
  </si>
  <si>
    <t xml:space="preserve">ORD-2025-10147</t>
  </si>
  <si>
    <t xml:space="preserve">CUST-1460</t>
  </si>
  <si>
    <t xml:space="preserve">Classic Storage 423</t>
  </si>
  <si>
    <t xml:space="preserve">ORD-2024-10148</t>
  </si>
  <si>
    <t xml:space="preserve">CUST-2692</t>
  </si>
  <si>
    <t xml:space="preserve">Classic Furnishings 743</t>
  </si>
  <si>
    <t xml:space="preserve">ORD-2025-10149</t>
  </si>
  <si>
    <t xml:space="preserve">CUST-2822</t>
  </si>
  <si>
    <t xml:space="preserve">Smart Phones 336</t>
  </si>
  <si>
    <t xml:space="preserve">ORD-2024-10150</t>
  </si>
  <si>
    <t xml:space="preserve">CUST-5876</t>
  </si>
  <si>
    <t xml:space="preserve">Eco Copiers 381</t>
  </si>
  <si>
    <t xml:space="preserve">ORD-2024-10151</t>
  </si>
  <si>
    <t xml:space="preserve">CUST-4661</t>
  </si>
  <si>
    <t xml:space="preserve">Max Bookcases 595</t>
  </si>
  <si>
    <t xml:space="preserve">ORD-2024-10152</t>
  </si>
  <si>
    <t xml:space="preserve">CUST-6011</t>
  </si>
  <si>
    <t xml:space="preserve">Max Copiers 992</t>
  </si>
  <si>
    <t xml:space="preserve">ORD-2024-10153</t>
  </si>
  <si>
    <t xml:space="preserve">CUST-6160</t>
  </si>
  <si>
    <t xml:space="preserve">Pro Tables 407</t>
  </si>
  <si>
    <t xml:space="preserve">ORD-2025-10154</t>
  </si>
  <si>
    <t xml:space="preserve">CUST-6971</t>
  </si>
  <si>
    <t xml:space="preserve">Prime Labels 559</t>
  </si>
  <si>
    <t xml:space="preserve">ORD-2024-10155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</si>
  <si>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</si>
  <si>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</si>
  <si>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</si>
  <si>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</si>
  <si>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</si>
  <si>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CUST-4058</t>
  </si>
  <si>
    <t xml:space="preserve">Eco Machines 657</t>
  </si>
  <si>
    <t xml:space="preserve">ORD-2024-10158</t>
  </si>
  <si>
    <t xml:space="preserve">CUST-1142</t>
  </si>
  <si>
    <t xml:space="preserve">Pro Bookcases 430</t>
  </si>
  <si>
    <t xml:space="preserve">ORD-2024-10159</t>
  </si>
  <si>
    <t xml:space="preserve">CUST-2324</t>
  </si>
  <si>
    <t xml:space="preserve">Max Bookcases 881</t>
  </si>
  <si>
    <t xml:space="preserve">ORD-2025-10160</t>
  </si>
  <si>
    <t xml:space="preserve">CUST-7717</t>
  </si>
  <si>
    <t xml:space="preserve">Elite Chairs 998</t>
  </si>
  <si>
    <t xml:space="preserve">ORD-2025-10161</t>
  </si>
  <si>
    <t xml:space="preserve">CUST-4932</t>
  </si>
  <si>
    <t xml:space="preserve">Max Paper 113</t>
  </si>
  <si>
    <t xml:space="preserve">ORD-2025-10162</t>
  </si>
  <si>
    <t xml:space="preserve">CUST-2367</t>
  </si>
  <si>
    <t xml:space="preserve">Smart Binders 267</t>
  </si>
  <si>
    <t xml:space="preserve">ORD-2024-10163</t>
  </si>
  <si>
    <t xml:space="preserve">CUST-4830</t>
  </si>
  <si>
    <t xml:space="preserve">Pro Furnishings 108</t>
  </si>
  <si>
    <t xml:space="preserve">ORD-2025-10164</t>
  </si>
  <si>
    <t xml:space="preserve">CUST-2548</t>
  </si>
  <si>
    <t xml:space="preserve">Elite Tables 389</t>
  </si>
  <si>
    <t xml:space="preserve">ORD-2025-10165</t>
  </si>
  <si>
    <t xml:space="preserve">CUST-3833</t>
  </si>
  <si>
    <t xml:space="preserve">Pro Bookcases 595</t>
  </si>
  <si>
    <t xml:space="preserve">ORD-2024-10166</t>
  </si>
  <si>
    <t xml:space="preserve">CUST-4598</t>
  </si>
  <si>
    <t xml:space="preserve">Max Chairs 148</t>
  </si>
  <si>
    <t xml:space="preserve">ORD-2025-10167</t>
  </si>
  <si>
    <t xml:space="preserve">CUST-7215</t>
  </si>
  <si>
    <t xml:space="preserve">Basic Labels 671</t>
  </si>
  <si>
    <t xml:space="preserve">ORD-2025-10168</t>
  </si>
  <si>
    <t xml:space="preserve">CUST-7770</t>
  </si>
  <si>
    <t xml:space="preserve">Elite Storage 628</t>
  </si>
  <si>
    <t xml:space="preserve">ORD-2025-10169</t>
  </si>
  <si>
    <t xml:space="preserve">CUST-9756</t>
  </si>
  <si>
    <t xml:space="preserve">Eco Accessories 590</t>
  </si>
  <si>
    <t xml:space="preserve">ORD-2025-10170</t>
  </si>
  <si>
    <t xml:space="preserve">CUST-2261</t>
  </si>
  <si>
    <t xml:space="preserve">Pro Art 734</t>
  </si>
  <si>
    <t xml:space="preserve">ORD-2025-10171</t>
  </si>
  <si>
    <t xml:space="preserve">CUST-3734</t>
  </si>
  <si>
    <t xml:space="preserve">Eco Copiers 102</t>
  </si>
  <si>
    <t xml:space="preserve">ORD-2025-10172</t>
  </si>
  <si>
    <t xml:space="preserve">CUST-3436</t>
  </si>
  <si>
    <t xml:space="preserve">Basic Labels 876</t>
  </si>
  <si>
    <t xml:space="preserve">ORD-2025-10173</t>
  </si>
  <si>
    <t xml:space="preserve">CUST-4845</t>
  </si>
  <si>
    <t xml:space="preserve">Prime Furnishings 381</t>
  </si>
  <si>
    <t xml:space="preserve">ORD-2024-10174</t>
  </si>
  <si>
    <t xml:space="preserve">CUST-6153</t>
  </si>
  <si>
    <t xml:space="preserve">Prime Copiers 440</t>
  </si>
  <si>
    <t xml:space="preserve">ORD-2025-10175</t>
  </si>
  <si>
    <t xml:space="preserve">CUST-5475</t>
  </si>
  <si>
    <t xml:space="preserve">Pro Bookcases 319</t>
  </si>
  <si>
    <t xml:space="preserve">ORD-2024-10176</t>
  </si>
  <si>
    <t xml:space="preserve">CUST-5580</t>
  </si>
  <si>
    <t xml:space="preserve">Basic Machines 584</t>
  </si>
  <si>
    <t xml:space="preserve">ORD-2025-10177</t>
  </si>
  <si>
    <t xml:space="preserve">CUST-3027</t>
  </si>
  <si>
    <t xml:space="preserve">Pro Bookcases 612</t>
  </si>
  <si>
    <t xml:space="preserve">ORD-2024-10178</t>
  </si>
  <si>
    <t xml:space="preserve">CUST-4399</t>
  </si>
  <si>
    <t xml:space="preserve">Classic Art 573</t>
  </si>
  <si>
    <t xml:space="preserve">ORD-2024-10179</t>
  </si>
  <si>
    <t xml:space="preserve">CUST-3092</t>
  </si>
  <si>
    <t xml:space="preserve">Eco Art 854</t>
  </si>
  <si>
    <t xml:space="preserve">ORD-2024-10180</t>
  </si>
  <si>
    <t xml:space="preserve">CUST-1778</t>
  </si>
  <si>
    <t xml:space="preserve">Classic Furnishings 996</t>
  </si>
  <si>
    <t xml:space="preserve">ORD-2024-10181</t>
  </si>
  <si>
    <t xml:space="preserve">CUST-3787</t>
  </si>
  <si>
    <t xml:space="preserve">Prime Binders 735</t>
  </si>
  <si>
    <t xml:space="preserve">ORD-2025-10182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</si>
  <si>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</si>
  <si>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</si>
  <si>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</si>
  <si>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</si>
  <si>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</si>
  <si>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</si>
  <si>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CUST-3366</t>
  </si>
  <si>
    <t xml:space="preserve">Elite Copiers 788</t>
  </si>
  <si>
    <t xml:space="preserve">ORD-2024-10185</t>
  </si>
  <si>
    <t xml:space="preserve">CUST-1358</t>
  </si>
  <si>
    <t xml:space="preserve">Max Bookcases 472</t>
  </si>
  <si>
    <t xml:space="preserve">ORD-2024-10186</t>
  </si>
  <si>
    <t xml:space="preserve">CUST-4968</t>
  </si>
  <si>
    <t xml:space="preserve">Smart Labels 475</t>
  </si>
  <si>
    <t xml:space="preserve">ORD-2024-10187</t>
  </si>
  <si>
    <t xml:space="preserve">Basic Tables 417</t>
  </si>
  <si>
    <t xml:space="preserve">ORD-2025-10188</t>
  </si>
  <si>
    <t xml:space="preserve">CUST-3109</t>
  </si>
  <si>
    <t xml:space="preserve">Pro Chairs 844</t>
  </si>
  <si>
    <t xml:space="preserve">ORD-2025-10189</t>
  </si>
  <si>
    <t xml:space="preserve">CUST-3422</t>
  </si>
  <si>
    <t xml:space="preserve">Elite Bookcases 883</t>
  </si>
  <si>
    <t xml:space="preserve">ORD-2025-10190</t>
  </si>
  <si>
    <t xml:space="preserve">CUST-3375</t>
  </si>
  <si>
    <t xml:space="preserve">Basic Bookcases 754</t>
  </si>
  <si>
    <t xml:space="preserve">ORD-2025-10191</t>
  </si>
  <si>
    <t xml:space="preserve">CUST-5138</t>
  </si>
  <si>
    <t xml:space="preserve">Eco Storage 158</t>
  </si>
  <si>
    <t xml:space="preserve">ORD-2024-10192</t>
  </si>
  <si>
    <t xml:space="preserve">CUST-7410</t>
  </si>
  <si>
    <t xml:space="preserve">Prime Bookcases 602</t>
  </si>
  <si>
    <t xml:space="preserve">ORD-2024-10193</t>
  </si>
  <si>
    <t xml:space="preserve">CUST-7115</t>
  </si>
  <si>
    <t xml:space="preserve">Eco Chairs 438</t>
  </si>
  <si>
    <t xml:space="preserve">ORD-2024-10194</t>
  </si>
  <si>
    <t xml:space="preserve">CUST-9853</t>
  </si>
  <si>
    <t xml:space="preserve">Prime Copiers 142</t>
  </si>
  <si>
    <t xml:space="preserve">ORD-2025-10195</t>
  </si>
  <si>
    <t xml:space="preserve">CUST-3637</t>
  </si>
  <si>
    <t xml:space="preserve">Prime Furnishings 433</t>
  </si>
  <si>
    <t xml:space="preserve">ORD-2025-10196</t>
  </si>
  <si>
    <t xml:space="preserve">CUST-4328</t>
  </si>
  <si>
    <t xml:space="preserve">Smart Furnishings 685</t>
  </si>
  <si>
    <t xml:space="preserve">ORD-2024-10197</t>
  </si>
  <si>
    <t xml:space="preserve">CUST-8028</t>
  </si>
  <si>
    <t xml:space="preserve">Elite Storage 915</t>
  </si>
  <si>
    <t xml:space="preserve">ORD-2025-10198</t>
  </si>
  <si>
    <t xml:space="preserve">Basic Storage 961</t>
  </si>
  <si>
    <t xml:space="preserve">ORD-2024-10199</t>
  </si>
  <si>
    <t xml:space="preserve">CUST-7820</t>
  </si>
  <si>
    <t xml:space="preserve">Classic Art 968</t>
  </si>
  <si>
    <t xml:space="preserve">ORD-2024-10200</t>
  </si>
  <si>
    <t xml:space="preserve">CUST-4536</t>
  </si>
  <si>
    <t xml:space="preserve">Prime Machines 806</t>
  </si>
  <si>
    <t xml:space="preserve">ORD-2025-10201</t>
  </si>
  <si>
    <t xml:space="preserve">CUST-7047</t>
  </si>
  <si>
    <t xml:space="preserve">Classic Copiers 479</t>
  </si>
  <si>
    <t xml:space="preserve">ORD-2025-10202</t>
  </si>
  <si>
    <t xml:space="preserve">CUST-8005</t>
  </si>
  <si>
    <t xml:space="preserve">Basic Labels 511</t>
  </si>
  <si>
    <t xml:space="preserve">ORD-2025-10203</t>
  </si>
  <si>
    <t xml:space="preserve">CUST-9378</t>
  </si>
  <si>
    <t xml:space="preserve">Prime Accessories 733</t>
  </si>
  <si>
    <t xml:space="preserve">ORD-2024-10204</t>
  </si>
  <si>
    <t xml:space="preserve">CUST-3384</t>
  </si>
  <si>
    <t xml:space="preserve">Max Accessories 186</t>
  </si>
  <si>
    <t xml:space="preserve">ORD-2025-10205</t>
  </si>
  <si>
    <t xml:space="preserve">CUST-1986</t>
  </si>
  <si>
    <t xml:space="preserve">Elite Tables 318</t>
  </si>
  <si>
    <t xml:space="preserve">ORD-2025-10206</t>
  </si>
  <si>
    <t xml:space="preserve">CUST-3338</t>
  </si>
  <si>
    <t xml:space="preserve">Smart Labels 354</t>
  </si>
  <si>
    <t xml:space="preserve">ORD-2025-10207</t>
  </si>
  <si>
    <t xml:space="preserve">CUST-2343</t>
  </si>
  <si>
    <t xml:space="preserve">Pro Furnishings 981</t>
  </si>
  <si>
    <t xml:space="preserve">ORD-2024-10208</t>
  </si>
  <si>
    <t xml:space="preserve">CUST-3362</t>
  </si>
  <si>
    <t xml:space="preserve">Eco Bookcases 671</t>
  </si>
  <si>
    <t xml:space="preserve">ORD-2025-10209</t>
  </si>
  <si>
    <t xml:space="preserve">CUST-3662</t>
  </si>
  <si>
    <t xml:space="preserve">Max Chairs 151</t>
  </si>
  <si>
    <t xml:space="preserve">ORD-2025-10210</t>
  </si>
  <si>
    <t xml:space="preserve">CUST-4947</t>
  </si>
  <si>
    <t xml:space="preserve">Prime Paper 903</t>
  </si>
  <si>
    <t xml:space="preserve">ORD-2024-10211</t>
  </si>
  <si>
    <t xml:space="preserve">CUST-3076</t>
  </si>
  <si>
    <t xml:space="preserve">Classic Machines 944</t>
  </si>
  <si>
    <t xml:space="preserve">ORD-2024-10212</t>
  </si>
  <si>
    <t xml:space="preserve">CUST-2222</t>
  </si>
  <si>
    <t xml:space="preserve">Basic Copiers 222</t>
  </si>
  <si>
    <t xml:space="preserve">ORD-2024-10213</t>
  </si>
  <si>
    <t xml:space="preserve">CUST-3610</t>
  </si>
  <si>
    <t xml:space="preserve">Max Phones 329</t>
  </si>
  <si>
    <t xml:space="preserve">ORD-2024-10214</t>
  </si>
  <si>
    <t xml:space="preserve">CUST-9136</t>
  </si>
  <si>
    <t xml:space="preserve">Classic Accessories 840</t>
  </si>
  <si>
    <t xml:space="preserve">ORD-2024-10215</t>
  </si>
  <si>
    <t xml:space="preserve">CUST-1301</t>
  </si>
  <si>
    <t xml:space="preserve">Classic Accessories 757</t>
  </si>
  <si>
    <t xml:space="preserve">ORD-2024-10216</t>
  </si>
  <si>
    <t xml:space="preserve">CUST-8603</t>
  </si>
  <si>
    <t xml:space="preserve">Prime Paper 286</t>
  </si>
  <si>
    <t xml:space="preserve">ORD-2025-10217</t>
  </si>
  <si>
    <t xml:space="preserve">CUST-4330</t>
  </si>
  <si>
    <t xml:space="preserve">Basic Tables 400</t>
  </si>
  <si>
    <t xml:space="preserve">ORD-2025-10218</t>
  </si>
  <si>
    <t xml:space="preserve">CUST-4533</t>
  </si>
  <si>
    <t xml:space="preserve">Basic Bookcases 405</t>
  </si>
  <si>
    <t xml:space="preserve">ORD-2025-10219</t>
  </si>
  <si>
    <t xml:space="preserve">CUST-8270</t>
  </si>
  <si>
    <t xml:space="preserve">Classic Bookcases 139</t>
  </si>
  <si>
    <t xml:space="preserve">ORD-2024-10220</t>
  </si>
  <si>
    <t xml:space="preserve">CUST-1472</t>
  </si>
  <si>
    <t xml:space="preserve">Elite Machines 290</t>
  </si>
  <si>
    <t xml:space="preserve">ORD-2024-10221</t>
  </si>
  <si>
    <t xml:space="preserve">CUST-1031</t>
  </si>
  <si>
    <t xml:space="preserve">Elite Storage 925</t>
  </si>
  <si>
    <t xml:space="preserve">ORD-2025-10222</t>
  </si>
  <si>
    <t xml:space="preserve">CUST-2495</t>
  </si>
  <si>
    <t xml:space="preserve">Classic Chairs 231</t>
  </si>
  <si>
    <t xml:space="preserve">ORD-2025-10223</t>
  </si>
  <si>
    <t xml:space="preserve">CUST-4583</t>
  </si>
  <si>
    <t xml:space="preserve">Prime Storage 818</t>
  </si>
  <si>
    <t xml:space="preserve">ORD-2025-10224</t>
  </si>
  <si>
    <t xml:space="preserve">CUST-5319</t>
  </si>
  <si>
    <t xml:space="preserve">Elite Furnishings 449</t>
  </si>
  <si>
    <t xml:space="preserve">ORD-2025-10225</t>
  </si>
  <si>
    <t xml:space="preserve">CUST-9871</t>
  </si>
  <si>
    <t xml:space="preserve">Classic Furnishings 109</t>
  </si>
  <si>
    <t xml:space="preserve">ORD-2024-10226</t>
  </si>
  <si>
    <t xml:space="preserve">CUST-1266</t>
  </si>
  <si>
    <t xml:space="preserve">Classic Phones 548</t>
  </si>
  <si>
    <t xml:space="preserve">ORD-2025-10227</t>
  </si>
  <si>
    <t xml:space="preserve">CUST-2545</t>
  </si>
  <si>
    <t xml:space="preserve">Max Copiers 363</t>
  </si>
  <si>
    <t xml:space="preserve">ORD-2024-10228</t>
  </si>
  <si>
    <t xml:space="preserve">CUST-2819</t>
  </si>
  <si>
    <t xml:space="preserve">Prime Binders 507</t>
  </si>
  <si>
    <t xml:space="preserve">ORD-2024-10229</t>
  </si>
  <si>
    <t xml:space="preserve">CUST-1076</t>
  </si>
  <si>
    <t xml:space="preserve">Smart Labels 914</t>
  </si>
  <si>
    <t xml:space="preserve">ORD-2025-10230</t>
  </si>
  <si>
    <t xml:space="preserve">CUST-1943</t>
  </si>
  <si>
    <t xml:space="preserve">Smart Bookcases 662</t>
  </si>
  <si>
    <t xml:space="preserve">ORD-2024-10231</t>
  </si>
  <si>
    <t xml:space="preserve">CUST-3434</t>
  </si>
  <si>
    <t xml:space="preserve">Eco Paper 937</t>
  </si>
  <si>
    <t xml:space="preserve">ORD-2024-10232</t>
  </si>
  <si>
    <t xml:space="preserve">CUST-9139</t>
  </si>
  <si>
    <t xml:space="preserve">Max Labels 370</t>
  </si>
  <si>
    <t xml:space="preserve">ORD-2025-10233</t>
  </si>
  <si>
    <t xml:space="preserve">CUST-5341</t>
  </si>
  <si>
    <t xml:space="preserve">Classic Phones 530</t>
  </si>
  <si>
    <t xml:space="preserve">ORD-2024-10234</t>
  </si>
  <si>
    <t xml:space="preserve">CUST-3710</t>
  </si>
  <si>
    <t xml:space="preserve">Smart Bookcases 328</t>
  </si>
  <si>
    <t xml:space="preserve">ORD-2024-10235</t>
  </si>
  <si>
    <t xml:space="preserve">CUST-9754</t>
  </si>
  <si>
    <t xml:space="preserve">Eco Furnishings 981</t>
  </si>
  <si>
    <t xml:space="preserve">ORD-2024-10236</t>
  </si>
  <si>
    <t xml:space="preserve">CUST-6256</t>
  </si>
  <si>
    <t xml:space="preserve">Basic Storage 195</t>
  </si>
  <si>
    <t xml:space="preserve">ORD-2024-10237</t>
  </si>
  <si>
    <t xml:space="preserve">CUST-7113</t>
  </si>
  <si>
    <t xml:space="preserve">Elite Bookcases 907</t>
  </si>
  <si>
    <t xml:space="preserve">ORD-2024-10238</t>
  </si>
  <si>
    <t xml:space="preserve">CUST-3827</t>
  </si>
  <si>
    <t xml:space="preserve">Smart Copiers 471</t>
  </si>
  <si>
    <t xml:space="preserve">ORD-2024-10239</t>
  </si>
  <si>
    <t xml:space="preserve">CUST-2375</t>
  </si>
  <si>
    <t xml:space="preserve">Prime Storage 625</t>
  </si>
  <si>
    <t xml:space="preserve">ORD-2024-10240</t>
  </si>
  <si>
    <t xml:space="preserve">CUST-2233</t>
  </si>
  <si>
    <t xml:space="preserve">Smart Machines 801</t>
  </si>
  <si>
    <t xml:space="preserve">ORD-2024-10241</t>
  </si>
  <si>
    <t xml:space="preserve">CUST-9778</t>
  </si>
  <si>
    <t xml:space="preserve">Max Binders 170</t>
  </si>
  <si>
    <t xml:space="preserve">ORD-2025-10242</t>
  </si>
  <si>
    <t xml:space="preserve">CUST-6949</t>
  </si>
  <si>
    <t xml:space="preserve">Basic Storage 737</t>
  </si>
  <si>
    <t xml:space="preserve">ORD-2025-10243</t>
  </si>
  <si>
    <t xml:space="preserve">CUST-3430</t>
  </si>
  <si>
    <t xml:space="preserve">Classic Art 126</t>
  </si>
  <si>
    <t xml:space="preserve">ORD-2025-10244</t>
  </si>
  <si>
    <t xml:space="preserve">CUST-6310</t>
  </si>
  <si>
    <t xml:space="preserve">Prime Accessories 243</t>
  </si>
  <si>
    <t xml:space="preserve">ORD-2024-10245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</si>
  <si>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</si>
  <si>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</si>
  <si>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</si>
  <si>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</si>
  <si>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</si>
  <si>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</si>
  <si>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CUST-1827</t>
  </si>
  <si>
    <t xml:space="preserve">Classic Machines 819</t>
  </si>
  <si>
    <t xml:space="preserve">ORD-2024-10248</t>
  </si>
  <si>
    <t xml:space="preserve">CUST-6663</t>
  </si>
  <si>
    <t xml:space="preserve">Smart Accessories 572</t>
  </si>
  <si>
    <t xml:space="preserve">ORD-2024-10249</t>
  </si>
  <si>
    <t xml:space="preserve">CUST-6278</t>
  </si>
  <si>
    <t xml:space="preserve">Basic Labels 432</t>
  </si>
  <si>
    <t xml:space="preserve">ORD-2025-10250</t>
  </si>
  <si>
    <t xml:space="preserve">CUST-2305</t>
  </si>
  <si>
    <t xml:space="preserve">Classic Furnishings 378</t>
  </si>
  <si>
    <t xml:space="preserve">ORD-2024-10251</t>
  </si>
  <si>
    <t xml:space="preserve">CUST-5351</t>
  </si>
  <si>
    <t xml:space="preserve">Prime Furnishings 781</t>
  </si>
  <si>
    <t xml:space="preserve">ORD-2025-10252</t>
  </si>
  <si>
    <t xml:space="preserve">CUST-6268</t>
  </si>
  <si>
    <t xml:space="preserve">Prime Tables 263</t>
  </si>
  <si>
    <t xml:space="preserve">ORD-2025-10253</t>
  </si>
  <si>
    <t xml:space="preserve">CUST-2103</t>
  </si>
  <si>
    <t xml:space="preserve">Basic Storage 269</t>
  </si>
  <si>
    <t xml:space="preserve">ORD-2024-10254</t>
  </si>
  <si>
    <t xml:space="preserve">CUST-5394</t>
  </si>
  <si>
    <t xml:space="preserve">Classic Phones 442</t>
  </si>
  <si>
    <t xml:space="preserve">ORD-2025-10255</t>
  </si>
  <si>
    <t xml:space="preserve">CUST-6853</t>
  </si>
  <si>
    <t xml:space="preserve">Elite Accessories 978</t>
  </si>
  <si>
    <t xml:space="preserve">ORD-2025-10256</t>
  </si>
  <si>
    <t xml:space="preserve">CUST-1549</t>
  </si>
  <si>
    <t xml:space="preserve">Eco Phones 132</t>
  </si>
  <si>
    <t xml:space="preserve">ORD-2024-10257</t>
  </si>
  <si>
    <t xml:space="preserve">CUST-8411</t>
  </si>
  <si>
    <t xml:space="preserve">Prime Tables 481</t>
  </si>
  <si>
    <t xml:space="preserve">ORD-2025-10258</t>
  </si>
  <si>
    <t xml:space="preserve">CUST-5615</t>
  </si>
  <si>
    <t xml:space="preserve">Smart Accessories 180</t>
  </si>
  <si>
    <t xml:space="preserve">ORD-2024-10259</t>
  </si>
  <si>
    <t xml:space="preserve">CUST-8467</t>
  </si>
  <si>
    <t xml:space="preserve">Smart Tables 774</t>
  </si>
  <si>
    <t xml:space="preserve">ORD-2024-10260</t>
  </si>
  <si>
    <t xml:space="preserve">CUST-5174</t>
  </si>
  <si>
    <t xml:space="preserve">Prime Machines 793</t>
  </si>
  <si>
    <t xml:space="preserve">ORD-2025-10261</t>
  </si>
  <si>
    <t xml:space="preserve">CUST-3543</t>
  </si>
  <si>
    <t xml:space="preserve">Elite Binders 827</t>
  </si>
  <si>
    <t xml:space="preserve">ORD-2025-10262</t>
  </si>
  <si>
    <t xml:space="preserve">CUST-7623</t>
  </si>
  <si>
    <t xml:space="preserve">Prime Labels 326</t>
  </si>
  <si>
    <t xml:space="preserve">ORD-2025-10263</t>
  </si>
  <si>
    <t xml:space="preserve">Eco Phones 245</t>
  </si>
  <si>
    <t xml:space="preserve">ORD-2025-10264</t>
  </si>
  <si>
    <t xml:space="preserve">CUST-8265</t>
  </si>
  <si>
    <t xml:space="preserve">Smart Binders 905</t>
  </si>
  <si>
    <t xml:space="preserve">ORD-2024-10265</t>
  </si>
  <si>
    <t xml:space="preserve">CUST-4750</t>
  </si>
  <si>
    <t xml:space="preserve">Pro Copiers 599</t>
  </si>
  <si>
    <t xml:space="preserve">ORD-2024-10266</t>
  </si>
  <si>
    <t xml:space="preserve">CUST-3974</t>
  </si>
  <si>
    <t xml:space="preserve">Basic Bookcases 570</t>
  </si>
  <si>
    <t xml:space="preserve">ORD-2025-10267</t>
  </si>
  <si>
    <t xml:space="preserve">CUST-7114</t>
  </si>
  <si>
    <t xml:space="preserve">Classic Storage 926</t>
  </si>
  <si>
    <t xml:space="preserve">ORD-2025-10268</t>
  </si>
  <si>
    <t xml:space="preserve">CUST-4431</t>
  </si>
  <si>
    <t xml:space="preserve">Basic Furnishings 372</t>
  </si>
  <si>
    <t xml:space="preserve">ORD-2025-10269</t>
  </si>
  <si>
    <t xml:space="preserve">CUST-1488</t>
  </si>
  <si>
    <t xml:space="preserve">Prime Accessories 367</t>
  </si>
  <si>
    <t xml:space="preserve">ORD-2025-10270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</si>
  <si>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</si>
  <si>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</si>
  <si>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</si>
  <si>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</si>
  <si>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</si>
  <si>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</si>
  <si>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CUST-8009</t>
  </si>
  <si>
    <t xml:space="preserve">Max Binders 927</t>
  </si>
  <si>
    <t xml:space="preserve">ORD-2024-10273</t>
  </si>
  <si>
    <t xml:space="preserve">CUST-7389</t>
  </si>
  <si>
    <t xml:space="preserve">Eco Chairs 314</t>
  </si>
  <si>
    <t xml:space="preserve">ORD-2025-10274</t>
  </si>
  <si>
    <t xml:space="preserve">CUST-8249</t>
  </si>
  <si>
    <t xml:space="preserve">Basic Paper 657</t>
  </si>
  <si>
    <t xml:space="preserve">ORD-2024-10275</t>
  </si>
  <si>
    <t xml:space="preserve">CUST-4202</t>
  </si>
  <si>
    <t xml:space="preserve">Pro Copiers 406</t>
  </si>
  <si>
    <t xml:space="preserve">ORD-2024-10276</t>
  </si>
  <si>
    <t xml:space="preserve">CUST-2875</t>
  </si>
  <si>
    <t xml:space="preserve">Eco Furnishings 678</t>
  </si>
  <si>
    <t xml:space="preserve">ORD-2024-10277</t>
  </si>
  <si>
    <t xml:space="preserve">CUST-7039</t>
  </si>
  <si>
    <t xml:space="preserve">Basic Chairs 141</t>
  </si>
  <si>
    <t xml:space="preserve">ORD-2025-10278</t>
  </si>
  <si>
    <t xml:space="preserve">Elite Accessories 291</t>
  </si>
  <si>
    <t xml:space="preserve">ORD-2025-10279</t>
  </si>
  <si>
    <t xml:space="preserve">CUST-8242</t>
  </si>
  <si>
    <t xml:space="preserve">Pro Accessories 207</t>
  </si>
  <si>
    <t xml:space="preserve">ORD-2024-10280</t>
  </si>
  <si>
    <t xml:space="preserve">CUST-4571</t>
  </si>
  <si>
    <t xml:space="preserve">Max Storage 564</t>
  </si>
  <si>
    <t xml:space="preserve">ORD-2024-10281</t>
  </si>
  <si>
    <t xml:space="preserve">CUST-4098</t>
  </si>
  <si>
    <t xml:space="preserve">Prime Copiers 961</t>
  </si>
  <si>
    <t xml:space="preserve">ORD-2025-10282</t>
  </si>
  <si>
    <t xml:space="preserve">CUST-2052</t>
  </si>
  <si>
    <t xml:space="preserve">Basic Binders 637</t>
  </si>
  <si>
    <t xml:space="preserve">ORD-2024-10283</t>
  </si>
  <si>
    <t xml:space="preserve">CUST-9445</t>
  </si>
  <si>
    <t xml:space="preserve">Classic Tables 811</t>
  </si>
  <si>
    <t xml:space="preserve">ORD-2025-10284</t>
  </si>
  <si>
    <t xml:space="preserve">CUST-6568</t>
  </si>
  <si>
    <t xml:space="preserve">Classic Furnishings 819</t>
  </si>
  <si>
    <t xml:space="preserve">ORD-2024-10285</t>
  </si>
  <si>
    <t xml:space="preserve">CUST-2076</t>
  </si>
  <si>
    <t xml:space="preserve">Prime Tables 542</t>
  </si>
  <si>
    <t xml:space="preserve">ORD-2025-10286</t>
  </si>
  <si>
    <t xml:space="preserve">CUST-5610</t>
  </si>
  <si>
    <t xml:space="preserve">Basic Storage 771</t>
  </si>
  <si>
    <t xml:space="preserve">ORD-2024-10287</t>
  </si>
  <si>
    <t xml:space="preserve">CUST-5823</t>
  </si>
  <si>
    <t xml:space="preserve">Pro Furnishings 848</t>
  </si>
  <si>
    <t xml:space="preserve">ORD-2024-10288</t>
  </si>
  <si>
    <t xml:space="preserve">CUST-7095</t>
  </si>
  <si>
    <t xml:space="preserve">Prime Copiers 924</t>
  </si>
  <si>
    <t xml:space="preserve">ORD-2024-10289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</si>
  <si>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</si>
  <si>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</si>
  <si>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</si>
  <si>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</si>
  <si>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</si>
  <si>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</si>
  <si>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CUST-8557</t>
  </si>
  <si>
    <t xml:space="preserve">Classic Tables 178</t>
  </si>
  <si>
    <t xml:space="preserve">ORD-2024-10292</t>
  </si>
  <si>
    <t xml:space="preserve">CUST-2860</t>
  </si>
  <si>
    <t xml:space="preserve">Eco Binders 153</t>
  </si>
  <si>
    <t xml:space="preserve">ORD-2025-10293</t>
  </si>
  <si>
    <t xml:space="preserve">CUST-7837</t>
  </si>
  <si>
    <t xml:space="preserve">Classic Art 183</t>
  </si>
  <si>
    <t xml:space="preserve">ORD-2024-10294</t>
  </si>
  <si>
    <t xml:space="preserve">CUST-7010</t>
  </si>
  <si>
    <t xml:space="preserve">Pro Phones 455</t>
  </si>
  <si>
    <t xml:space="preserve">ORD-2025-10295</t>
  </si>
  <si>
    <t xml:space="preserve">CUST-4755</t>
  </si>
  <si>
    <t xml:space="preserve">Basic Phones 326</t>
  </si>
  <si>
    <t xml:space="preserve">ORD-2025-10296</t>
  </si>
  <si>
    <t xml:space="preserve">CUST-6778</t>
  </si>
  <si>
    <t xml:space="preserve">Max Binders 587</t>
  </si>
  <si>
    <t xml:space="preserve">ORD-2025-10297</t>
  </si>
  <si>
    <t xml:space="preserve">CUST-7629</t>
  </si>
  <si>
    <t xml:space="preserve">Basic Furnishings 617</t>
  </si>
  <si>
    <t xml:space="preserve">ORD-2024-10298</t>
  </si>
  <si>
    <t xml:space="preserve">CUST-6724</t>
  </si>
  <si>
    <t xml:space="preserve">Prime Copiers 669</t>
  </si>
  <si>
    <t xml:space="preserve">ORD-2025-10299</t>
  </si>
  <si>
    <t xml:space="preserve">CUST-2141</t>
  </si>
  <si>
    <t xml:space="preserve">Eco Copiers 894</t>
  </si>
  <si>
    <t xml:space="preserve">ORD-2024-10300</t>
  </si>
  <si>
    <t xml:space="preserve">CUST-7264</t>
  </si>
  <si>
    <t xml:space="preserve">Max Accessories 145</t>
  </si>
  <si>
    <t xml:space="preserve">ORD-2024-10301</t>
  </si>
  <si>
    <t xml:space="preserve">CUST-2668</t>
  </si>
  <si>
    <t xml:space="preserve">Classic Accessories 126</t>
  </si>
  <si>
    <t xml:space="preserve">ORD-2025-10302</t>
  </si>
  <si>
    <t xml:space="preserve">CUST-5599</t>
  </si>
  <si>
    <t xml:space="preserve">Elite Phones 202</t>
  </si>
  <si>
    <t xml:space="preserve">ORD-2025-10303</t>
  </si>
  <si>
    <t xml:space="preserve">CUST-1623</t>
  </si>
  <si>
    <t xml:space="preserve">Elite Storage 535</t>
  </si>
  <si>
    <t xml:space="preserve">ORD-2024-10304</t>
  </si>
  <si>
    <t xml:space="preserve">CUST-9035</t>
  </si>
  <si>
    <t xml:space="preserve">Elite Chairs 107</t>
  </si>
  <si>
    <t xml:space="preserve">ORD-2024-10305</t>
  </si>
  <si>
    <t xml:space="preserve">CUST-6286</t>
  </si>
  <si>
    <t xml:space="preserve">Pro Furnishings 991</t>
  </si>
  <si>
    <t xml:space="preserve">ORD-2024-10306</t>
  </si>
  <si>
    <t xml:space="preserve">CUST-7246</t>
  </si>
  <si>
    <t xml:space="preserve">Eco Chairs 105</t>
  </si>
  <si>
    <t xml:space="preserve">ORD-2025-10307</t>
  </si>
  <si>
    <t xml:space="preserve">CUST-2589</t>
  </si>
  <si>
    <t xml:space="preserve">Pro Phones 530</t>
  </si>
  <si>
    <t xml:space="preserve">ORD-2025-10308</t>
  </si>
  <si>
    <t xml:space="preserve">CUST-4153</t>
  </si>
  <si>
    <t xml:space="preserve">Basic Tables 911</t>
  </si>
  <si>
    <t xml:space="preserve">ORD-2025-10309</t>
  </si>
  <si>
    <t xml:space="preserve">CUST-6727</t>
  </si>
  <si>
    <t xml:space="preserve">Classic Tables 224</t>
  </si>
  <si>
    <t xml:space="preserve">ORD-2024-10310</t>
  </si>
  <si>
    <t xml:space="preserve">CUST-8860</t>
  </si>
  <si>
    <t xml:space="preserve">Prime Tables 214</t>
  </si>
  <si>
    <t xml:space="preserve">ORD-2024-10311</t>
  </si>
  <si>
    <t xml:space="preserve">CUST-3784</t>
  </si>
  <si>
    <t xml:space="preserve">Max Machines 988</t>
  </si>
  <si>
    <t xml:space="preserve">ORD-2024-10312</t>
  </si>
  <si>
    <t xml:space="preserve">CUST-3545</t>
  </si>
  <si>
    <t xml:space="preserve">Max Binders 425</t>
  </si>
  <si>
    <t xml:space="preserve">ORD-2024-10313</t>
  </si>
  <si>
    <t xml:space="preserve">CUST-4851</t>
  </si>
  <si>
    <t xml:space="preserve">Elite Phones 679</t>
  </si>
  <si>
    <t xml:space="preserve">ORD-2025-10314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</si>
  <si>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</si>
  <si>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</si>
  <si>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</si>
  <si>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</si>
  <si>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</si>
  <si>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</si>
  <si>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CUST-7565</t>
  </si>
  <si>
    <t xml:space="preserve">Smart Paper 817</t>
  </si>
  <si>
    <t xml:space="preserve">ORD-2024-10317</t>
  </si>
  <si>
    <t xml:space="preserve">CUST-9913</t>
  </si>
  <si>
    <t xml:space="preserve">Classic Labels 466</t>
  </si>
  <si>
    <t xml:space="preserve">ORD-2025-10318</t>
  </si>
  <si>
    <t xml:space="preserve">CUST-7992</t>
  </si>
  <si>
    <t xml:space="preserve">Pro Tables 778</t>
  </si>
  <si>
    <t xml:space="preserve">ORD-2024-10319</t>
  </si>
  <si>
    <t xml:space="preserve">CUST-8877</t>
  </si>
  <si>
    <t xml:space="preserve">Basic Phones 789</t>
  </si>
  <si>
    <t xml:space="preserve">ORD-2024-10320</t>
  </si>
  <si>
    <t xml:space="preserve">CUST-4589</t>
  </si>
  <si>
    <t xml:space="preserve">Prime Binders 554</t>
  </si>
  <si>
    <t xml:space="preserve">ORD-2024-10321</t>
  </si>
  <si>
    <t xml:space="preserve">CUST-4667</t>
  </si>
  <si>
    <t xml:space="preserve">Classic Art 299</t>
  </si>
  <si>
    <t xml:space="preserve">ORD-2024-10322</t>
  </si>
  <si>
    <t xml:space="preserve">CUST-7821</t>
  </si>
  <si>
    <t xml:space="preserve">Eco Accessories 220</t>
  </si>
  <si>
    <t xml:space="preserve">ORD-2024-10323</t>
  </si>
  <si>
    <t xml:space="preserve">CUST-8579</t>
  </si>
  <si>
    <t xml:space="preserve">Max Phones 422</t>
  </si>
  <si>
    <t xml:space="preserve">ORD-2024-10324</t>
  </si>
  <si>
    <t xml:space="preserve">CUST-6909</t>
  </si>
  <si>
    <t xml:space="preserve">ORD-2025-10325</t>
  </si>
  <si>
    <t xml:space="preserve">CUST-7212</t>
  </si>
  <si>
    <t xml:space="preserve">Basic Labels 102</t>
  </si>
  <si>
    <t xml:space="preserve">ORD-2025-10326</t>
  </si>
  <si>
    <t xml:space="preserve">CUST-7980</t>
  </si>
  <si>
    <t xml:space="preserve">Prime Copiers 170</t>
  </si>
  <si>
    <t xml:space="preserve">ORD-2025-10327</t>
  </si>
  <si>
    <t xml:space="preserve">CUST-1966</t>
  </si>
  <si>
    <t xml:space="preserve">Smart Furnishings 533</t>
  </si>
  <si>
    <t xml:space="preserve">ORD-2024-10328</t>
  </si>
  <si>
    <t xml:space="preserve">CUST-6163</t>
  </si>
  <si>
    <t xml:space="preserve">Classic Accessories 489</t>
  </si>
  <si>
    <t xml:space="preserve">ORD-2025-10329</t>
  </si>
  <si>
    <t xml:space="preserve">CUST-7239</t>
  </si>
  <si>
    <t xml:space="preserve">Smart Storage 439</t>
  </si>
  <si>
    <t xml:space="preserve">ORD-2025-10330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</si>
  <si>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</si>
  <si>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</si>
  <si>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</si>
  <si>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</si>
  <si>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</si>
  <si>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</si>
  <si>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CUST-9346</t>
  </si>
  <si>
    <t xml:space="preserve">Smart Binders 939</t>
  </si>
  <si>
    <t xml:space="preserve">ORD-2025-10333</t>
  </si>
  <si>
    <t xml:space="preserve">CUST-5332</t>
  </si>
  <si>
    <t xml:space="preserve">Basic Machines 601</t>
  </si>
  <si>
    <t xml:space="preserve">ORD-2025-10334</t>
  </si>
  <si>
    <t xml:space="preserve">CUST-8081</t>
  </si>
  <si>
    <t xml:space="preserve">Pro Phones 968</t>
  </si>
  <si>
    <t xml:space="preserve">ORD-2024-10335</t>
  </si>
  <si>
    <t xml:space="preserve">CUST-3062</t>
  </si>
  <si>
    <t xml:space="preserve">Pro Storage 563</t>
  </si>
  <si>
    <t xml:space="preserve">ORD-2025-10336</t>
  </si>
  <si>
    <t xml:space="preserve">CUST-3621</t>
  </si>
  <si>
    <t xml:space="preserve">Prime Paper 559</t>
  </si>
  <si>
    <t xml:space="preserve">ORD-2024-10337</t>
  </si>
  <si>
    <t xml:space="preserve">Pro Copiers 999</t>
  </si>
  <si>
    <t xml:space="preserve">ORD-2024-10338</t>
  </si>
  <si>
    <t xml:space="preserve">CUST-4599</t>
  </si>
  <si>
    <t xml:space="preserve">Classic Labels 206</t>
  </si>
  <si>
    <t xml:space="preserve">ORD-2024-10339</t>
  </si>
  <si>
    <t xml:space="preserve">CUST-3066</t>
  </si>
  <si>
    <t xml:space="preserve">Eco Accessories 315</t>
  </si>
  <si>
    <t xml:space="preserve">ORD-2025-10340</t>
  </si>
  <si>
    <t xml:space="preserve">CUST-2752</t>
  </si>
  <si>
    <t xml:space="preserve">Elite Bookcases 988</t>
  </si>
  <si>
    <t xml:space="preserve">ORD-2024-10341</t>
  </si>
  <si>
    <t xml:space="preserve">CUST-6291</t>
  </si>
  <si>
    <t xml:space="preserve">Smart Binders 414</t>
  </si>
  <si>
    <t xml:space="preserve">ORD-2025-10342</t>
  </si>
  <si>
    <t xml:space="preserve">CUST-9969</t>
  </si>
  <si>
    <t xml:space="preserve">Eco Chairs 552</t>
  </si>
  <si>
    <t xml:space="preserve">ORD-2025-10343</t>
  </si>
  <si>
    <t xml:space="preserve">CUST-3335</t>
  </si>
  <si>
    <t xml:space="preserve">Smart Binders 574</t>
  </si>
  <si>
    <t xml:space="preserve">ORD-2025-10344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</si>
  <si>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</si>
  <si>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</si>
  <si>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</si>
  <si>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</si>
  <si>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</si>
  <si>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</si>
  <si>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CUST-4634</t>
  </si>
  <si>
    <t xml:space="preserve">Elite Furnishings 138</t>
  </si>
  <si>
    <t xml:space="preserve">ORD-2025-10347</t>
  </si>
  <si>
    <t xml:space="preserve">CUST-3400</t>
  </si>
  <si>
    <t xml:space="preserve">Eco Chairs 369</t>
  </si>
  <si>
    <t xml:space="preserve">ORD-2024-10348</t>
  </si>
  <si>
    <t xml:space="preserve">CUST-1172</t>
  </si>
  <si>
    <t xml:space="preserve">Max Chairs 487</t>
  </si>
  <si>
    <t xml:space="preserve">ORD-2024-10349</t>
  </si>
  <si>
    <t xml:space="preserve">CUST-9517</t>
  </si>
  <si>
    <t xml:space="preserve">Classic Phones 989</t>
  </si>
  <si>
    <t xml:space="preserve">ORD-2025-10350</t>
  </si>
  <si>
    <t xml:space="preserve">CUST-6697</t>
  </si>
  <si>
    <t xml:space="preserve">Max Furnishings 628</t>
  </si>
  <si>
    <t xml:space="preserve">ORD-2024-10351</t>
  </si>
  <si>
    <t xml:space="preserve">CUST-7644</t>
  </si>
  <si>
    <t xml:space="preserve">Elite Furnishings 279</t>
  </si>
  <si>
    <t xml:space="preserve">ORD-2025-10352</t>
  </si>
  <si>
    <t xml:space="preserve">CUST-9963</t>
  </si>
  <si>
    <t xml:space="preserve">Pro Storage 847</t>
  </si>
  <si>
    <t xml:space="preserve">ORD-2025-10353</t>
  </si>
  <si>
    <t xml:space="preserve">CUST-6382</t>
  </si>
  <si>
    <t xml:space="preserve">Elite Copiers 706</t>
  </si>
  <si>
    <t xml:space="preserve">ORD-2025-10354</t>
  </si>
  <si>
    <t xml:space="preserve">CUST-3253</t>
  </si>
  <si>
    <t xml:space="preserve">Prime Art 978</t>
  </si>
  <si>
    <t xml:space="preserve">ORD-2024-10355</t>
  </si>
  <si>
    <t xml:space="preserve">CUST-1058</t>
  </si>
  <si>
    <t xml:space="preserve">Classic Furnishings 498</t>
  </si>
  <si>
    <t xml:space="preserve">ORD-2024-10356</t>
  </si>
  <si>
    <t xml:space="preserve">CUST-6414</t>
  </si>
  <si>
    <t xml:space="preserve">Max Tables 829</t>
  </si>
  <si>
    <t xml:space="preserve">ORD-2025-10357</t>
  </si>
  <si>
    <t xml:space="preserve">CUST-9268</t>
  </si>
  <si>
    <t xml:space="preserve">Eco Chairs 346</t>
  </si>
  <si>
    <t xml:space="preserve">ORD-2025-10358</t>
  </si>
  <si>
    <t xml:space="preserve">CUST-1363</t>
  </si>
  <si>
    <t xml:space="preserve">Max Machines 770</t>
  </si>
  <si>
    <t xml:space="preserve">ORD-2025-10359</t>
  </si>
  <si>
    <t xml:space="preserve">CUST-2477</t>
  </si>
  <si>
    <t xml:space="preserve">Smart Bookcases 134</t>
  </si>
  <si>
    <t xml:space="preserve">ORD-2024-10360</t>
  </si>
  <si>
    <t xml:space="preserve">CUST-9571</t>
  </si>
  <si>
    <t xml:space="preserve">Classic Phones 586</t>
  </si>
  <si>
    <t xml:space="preserve">ORD-2024-10361</t>
  </si>
  <si>
    <t xml:space="preserve">CUST-3690</t>
  </si>
  <si>
    <t xml:space="preserve">Elite Furnishings 634</t>
  </si>
  <si>
    <t xml:space="preserve">ORD-2025-10362</t>
  </si>
  <si>
    <t xml:space="preserve">CUST-2909</t>
  </si>
  <si>
    <t xml:space="preserve">Basic Chairs 113</t>
  </si>
  <si>
    <t xml:space="preserve">ORD-2024-10363</t>
  </si>
  <si>
    <t xml:space="preserve">CUST-6755</t>
  </si>
  <si>
    <t xml:space="preserve">Elite Machines 216</t>
  </si>
  <si>
    <t xml:space="preserve">ORD-2025-10364</t>
  </si>
  <si>
    <t xml:space="preserve">CUST-1832</t>
  </si>
  <si>
    <t xml:space="preserve">Smart Tables 943</t>
  </si>
  <si>
    <t xml:space="preserve">ORD-2025-10365</t>
  </si>
  <si>
    <t xml:space="preserve">CUST-4452</t>
  </si>
  <si>
    <t xml:space="preserve">Prime Chairs 101</t>
  </si>
  <si>
    <t xml:space="preserve">ORD-2024-10366</t>
  </si>
  <si>
    <t xml:space="preserve">CUST-2203</t>
  </si>
  <si>
    <t xml:space="preserve">Basic Accessories 774</t>
  </si>
  <si>
    <t xml:space="preserve">ORD-2025-10367</t>
  </si>
  <si>
    <t xml:space="preserve">CUST-5397</t>
  </si>
  <si>
    <t xml:space="preserve">Max Tables 478</t>
  </si>
  <si>
    <t xml:space="preserve">ORD-2024-10368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</si>
  <si>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</si>
  <si>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</si>
  <si>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</si>
  <si>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</si>
  <si>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</si>
  <si>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</si>
  <si>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</si>
  <si>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</si>
  <si>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</si>
  <si>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CUST-8521</t>
  </si>
  <si>
    <t xml:space="preserve">Classic Copiers 505</t>
  </si>
  <si>
    <t xml:space="preserve">ORD-2024-10372</t>
  </si>
  <si>
    <t xml:space="preserve">CUST-2204</t>
  </si>
  <si>
    <t xml:space="preserve">Pro Art 906</t>
  </si>
  <si>
    <t xml:space="preserve">ORD-2025-10373</t>
  </si>
  <si>
    <t xml:space="preserve">Max Chairs 181</t>
  </si>
  <si>
    <t xml:space="preserve">ORD-2025-10374</t>
  </si>
  <si>
    <t xml:space="preserve">CUST-8566</t>
  </si>
  <si>
    <t xml:space="preserve">Prime Storage 951</t>
  </si>
  <si>
    <t xml:space="preserve">ORD-2025-10375</t>
  </si>
  <si>
    <t xml:space="preserve">CUST-2358</t>
  </si>
  <si>
    <t xml:space="preserve">Smart Labels 668</t>
  </si>
  <si>
    <t xml:space="preserve">ORD-2024-10376</t>
  </si>
  <si>
    <t xml:space="preserve">CUST-2810</t>
  </si>
  <si>
    <t xml:space="preserve">Pro Chairs 364</t>
  </si>
  <si>
    <t xml:space="preserve">ORD-2024-10377</t>
  </si>
  <si>
    <t xml:space="preserve">CUST-5166</t>
  </si>
  <si>
    <t xml:space="preserve">Basic Chairs 248</t>
  </si>
  <si>
    <t xml:space="preserve">ORD-2025-10378</t>
  </si>
  <si>
    <t xml:space="preserve">CUST-4875</t>
  </si>
  <si>
    <t xml:space="preserve">Basic Storage 360</t>
  </si>
  <si>
    <t xml:space="preserve">ORD-2025-10379</t>
  </si>
  <si>
    <t xml:space="preserve">CUST-3154</t>
  </si>
  <si>
    <t xml:space="preserve">Basic Accessories 988</t>
  </si>
  <si>
    <t xml:space="preserve">ORD-2024-10380</t>
  </si>
  <si>
    <t xml:space="preserve">CUST-6405</t>
  </si>
  <si>
    <t xml:space="preserve">Max Paper 334</t>
  </si>
  <si>
    <t xml:space="preserve">ORD-2024-10381</t>
  </si>
  <si>
    <t xml:space="preserve">CUST-5779</t>
  </si>
  <si>
    <t xml:space="preserve">Prime Bookcases 952</t>
  </si>
  <si>
    <t xml:space="preserve">ORD-2025-10382</t>
  </si>
  <si>
    <t xml:space="preserve">CUST-9943</t>
  </si>
  <si>
    <t xml:space="preserve">Prime Binders 523</t>
  </si>
  <si>
    <t xml:space="preserve">ORD-2025-10383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</si>
  <si>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</si>
  <si>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</si>
  <si>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</si>
  <si>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</si>
  <si>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</si>
  <si>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CUST-8432</t>
  </si>
  <si>
    <t xml:space="preserve">Prime Copiers 820</t>
  </si>
  <si>
    <t xml:space="preserve">ORD-2025-10386</t>
  </si>
  <si>
    <t xml:space="preserve">CUST-2834</t>
  </si>
  <si>
    <t xml:space="preserve">Classic Labels 670</t>
  </si>
  <si>
    <t xml:space="preserve">ORD-2025-10387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</si>
  <si>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</si>
  <si>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</si>
  <si>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</si>
  <si>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</si>
  <si>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</si>
  <si>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</si>
  <si>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CUST-1457</t>
  </si>
  <si>
    <t xml:space="preserve">Elite Chairs 639</t>
  </si>
  <si>
    <t xml:space="preserve">ORD-2024-10390</t>
  </si>
  <si>
    <t xml:space="preserve">CUST-3930</t>
  </si>
  <si>
    <t xml:space="preserve">Elite Machines 563</t>
  </si>
  <si>
    <t xml:space="preserve">ORD-2024-10391</t>
  </si>
  <si>
    <t xml:space="preserve">CUST-7853</t>
  </si>
  <si>
    <t xml:space="preserve">Pro Furnishings 281</t>
  </si>
  <si>
    <t xml:space="preserve">ORD-2025-10392</t>
  </si>
  <si>
    <t xml:space="preserve">CUST-2267</t>
  </si>
  <si>
    <t xml:space="preserve">Eco Storage 285</t>
  </si>
  <si>
    <t xml:space="preserve">ORD-2024-10393</t>
  </si>
  <si>
    <t xml:space="preserve">CUST-6866</t>
  </si>
  <si>
    <t xml:space="preserve">Classic Furnishings 746</t>
  </si>
  <si>
    <t xml:space="preserve">ORD-2024-10394</t>
  </si>
  <si>
    <t xml:space="preserve">CUST-3160</t>
  </si>
  <si>
    <t xml:space="preserve">Eco Labels 815</t>
  </si>
  <si>
    <t xml:space="preserve">ORD-2024-10395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</si>
  <si>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</si>
  <si>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</si>
  <si>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</si>
  <si>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</si>
  <si>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</si>
  <si>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</si>
  <si>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CUST-2280</t>
  </si>
  <si>
    <t xml:space="preserve">Prime Machines 267</t>
  </si>
  <si>
    <t xml:space="preserve">ORD-2025-10398</t>
  </si>
  <si>
    <t xml:space="preserve">CUST-3177</t>
  </si>
  <si>
    <t xml:space="preserve">Eco Tables 378</t>
  </si>
  <si>
    <t xml:space="preserve">ORD-2024-10399</t>
  </si>
  <si>
    <t xml:space="preserve">CUST-4718</t>
  </si>
  <si>
    <t xml:space="preserve">Elite Machines 523</t>
  </si>
  <si>
    <t xml:space="preserve">ORD-2025-10400</t>
  </si>
  <si>
    <t xml:space="preserve">CUST-5647</t>
  </si>
  <si>
    <t xml:space="preserve">Elite Paper 308</t>
  </si>
  <si>
    <t xml:space="preserve">ORD-2025-10401</t>
  </si>
  <si>
    <t xml:space="preserve">CUST-7150</t>
  </si>
  <si>
    <t xml:space="preserve">Prime Paper 851</t>
  </si>
  <si>
    <t xml:space="preserve">ORD-2025-10402</t>
  </si>
  <si>
    <t xml:space="preserve">CUST-6694</t>
  </si>
  <si>
    <t xml:space="preserve">Classic Tables 151</t>
  </si>
  <si>
    <t xml:space="preserve">ORD-2024-10403</t>
  </si>
  <si>
    <t xml:space="preserve">CUST-7680</t>
  </si>
  <si>
    <t xml:space="preserve">Smart Tables 829</t>
  </si>
  <si>
    <t xml:space="preserve">ORD-2024-10404</t>
  </si>
  <si>
    <t xml:space="preserve">CUST-2700</t>
  </si>
  <si>
    <t xml:space="preserve">Classic Paper 237</t>
  </si>
  <si>
    <t xml:space="preserve">ORD-2024-10405</t>
  </si>
  <si>
    <t xml:space="preserve">CUST-2904</t>
  </si>
  <si>
    <t xml:space="preserve">Prime Chairs 891</t>
  </si>
  <si>
    <t xml:space="preserve">ORD-2024-10406</t>
  </si>
  <si>
    <t xml:space="preserve">CUST-9961</t>
  </si>
  <si>
    <t xml:space="preserve">Max Bookcases 812</t>
  </si>
  <si>
    <t xml:space="preserve">ORD-2025-10407</t>
  </si>
  <si>
    <t xml:space="preserve">CUST-9909</t>
  </si>
  <si>
    <t xml:space="preserve">Basic Furnishings 164</t>
  </si>
  <si>
    <t xml:space="preserve">ORD-2024-10408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</si>
  <si>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</si>
  <si>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</si>
  <si>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</si>
  <si>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</si>
  <si>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</si>
  <si>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</si>
  <si>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</si>
  <si>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</si>
  <si>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</si>
  <si>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CUST-9495</t>
  </si>
  <si>
    <t xml:space="preserve">Smart Tables 100</t>
  </si>
  <si>
    <t xml:space="preserve">ORD-2025-10412</t>
  </si>
  <si>
    <t xml:space="preserve">CUST-2855</t>
  </si>
  <si>
    <t xml:space="preserve">Basic Tables 615</t>
  </si>
  <si>
    <t xml:space="preserve">ORD-2024-10413</t>
  </si>
  <si>
    <t xml:space="preserve">CUST-4329</t>
  </si>
  <si>
    <t xml:space="preserve">Basic Chairs 790</t>
  </si>
  <si>
    <t xml:space="preserve">ORD-2025-10414</t>
  </si>
  <si>
    <t xml:space="preserve">CUST-5094</t>
  </si>
  <si>
    <t xml:space="preserve">Smart Accessories 226</t>
  </si>
  <si>
    <t xml:space="preserve">ORD-2024-10415</t>
  </si>
  <si>
    <t xml:space="preserve">CUST-4194</t>
  </si>
  <si>
    <t xml:space="preserve">Max Storage 692</t>
  </si>
  <si>
    <t xml:space="preserve">ORD-2024-10416</t>
  </si>
  <si>
    <t xml:space="preserve">CUST-7087</t>
  </si>
  <si>
    <t xml:space="preserve">Basic Storage 684</t>
  </si>
  <si>
    <t xml:space="preserve">ORD-2025-10417</t>
  </si>
  <si>
    <t xml:space="preserve">CUST-7608</t>
  </si>
  <si>
    <t xml:space="preserve">Smart Furnishings 152</t>
  </si>
  <si>
    <t xml:space="preserve">ORD-2025-10418</t>
  </si>
  <si>
    <t xml:space="preserve">CUST-5269</t>
  </si>
  <si>
    <t xml:space="preserve">Max Art 736</t>
  </si>
  <si>
    <t xml:space="preserve">ORD-2024-10419</t>
  </si>
  <si>
    <t xml:space="preserve">CUST-7925</t>
  </si>
  <si>
    <t xml:space="preserve">Elite Copiers 971</t>
  </si>
  <si>
    <t xml:space="preserve">ORD-2025-10420</t>
  </si>
  <si>
    <t xml:space="preserve">CUST-6552</t>
  </si>
  <si>
    <t xml:space="preserve">Classic Phones 940</t>
  </si>
  <si>
    <t xml:space="preserve">ORD-2025-10421</t>
  </si>
  <si>
    <t xml:space="preserve">CUST-7131</t>
  </si>
  <si>
    <t xml:space="preserve">Pro Machines 579</t>
  </si>
  <si>
    <t xml:space="preserve">ORD-2025-10422</t>
  </si>
  <si>
    <t xml:space="preserve">CUST-2779</t>
  </si>
  <si>
    <t xml:space="preserve">Elite Binders 943</t>
  </si>
  <si>
    <t xml:space="preserve">ORD-2025-10423</t>
  </si>
  <si>
    <t xml:space="preserve">CUST-6077</t>
  </si>
  <si>
    <t xml:space="preserve">Elite Copiers 474</t>
  </si>
  <si>
    <t xml:space="preserve">ORD-2024-10424</t>
  </si>
  <si>
    <t xml:space="preserve">CUST-6169</t>
  </si>
  <si>
    <t xml:space="preserve">Prime Accessories 236</t>
  </si>
  <si>
    <t xml:space="preserve">ORD-2024-10425</t>
  </si>
  <si>
    <t xml:space="preserve">CUST-8904</t>
  </si>
  <si>
    <t xml:space="preserve">Prime Phones 881</t>
  </si>
  <si>
    <t xml:space="preserve">ORD-2024-10426</t>
  </si>
  <si>
    <t xml:space="preserve">CUST-9586</t>
  </si>
  <si>
    <t xml:space="preserve">Pro Labels 903</t>
  </si>
  <si>
    <t xml:space="preserve">ORD-2024-10427</t>
  </si>
  <si>
    <t xml:space="preserve">CUST-5431</t>
  </si>
  <si>
    <t xml:space="preserve">Max Copiers 402</t>
  </si>
  <si>
    <t xml:space="preserve">ORD-2025-10428</t>
  </si>
  <si>
    <t xml:space="preserve">CUST-8843</t>
  </si>
  <si>
    <t xml:space="preserve">Prime Accessories 419</t>
  </si>
  <si>
    <t xml:space="preserve">ORD-2025-10429</t>
  </si>
  <si>
    <t xml:space="preserve">CUST-7626</t>
  </si>
  <si>
    <t xml:space="preserve">Elite Phones 488</t>
  </si>
  <si>
    <t xml:space="preserve">ORD-2025-10430</t>
  </si>
  <si>
    <t xml:space="preserve">CUST-8562</t>
  </si>
  <si>
    <t xml:space="preserve">Prime Copiers 109</t>
  </si>
  <si>
    <t xml:space="preserve">ORD-2024-10431</t>
  </si>
  <si>
    <t xml:space="preserve">CUST-2732</t>
  </si>
  <si>
    <t xml:space="preserve">Max Paper 576</t>
  </si>
  <si>
    <t xml:space="preserve">ORD-2024-10432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</si>
  <si>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</si>
  <si>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</si>
  <si>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</si>
  <si>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</si>
  <si>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</si>
  <si>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</si>
  <si>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CUST-7066</t>
  </si>
  <si>
    <t xml:space="preserve">Elite Art 946</t>
  </si>
  <si>
    <t xml:space="preserve">ORD-2025-10435</t>
  </si>
  <si>
    <t xml:space="preserve">CUST-2351</t>
  </si>
  <si>
    <t xml:space="preserve">Eco Accessories 705</t>
  </si>
  <si>
    <t xml:space="preserve">ORD-2025-10436</t>
  </si>
  <si>
    <t xml:space="preserve">CUST-7291</t>
  </si>
  <si>
    <t xml:space="preserve">Max Machines 151</t>
  </si>
  <si>
    <t xml:space="preserve">ORD-2024-10437</t>
  </si>
  <si>
    <t xml:space="preserve">CUST-4492</t>
  </si>
  <si>
    <t xml:space="preserve">Max Furnishings 803</t>
  </si>
  <si>
    <t xml:space="preserve">ORD-2024-10438</t>
  </si>
  <si>
    <t xml:space="preserve">CUST-5029</t>
  </si>
  <si>
    <t xml:space="preserve">Max Accessories 423</t>
  </si>
  <si>
    <t xml:space="preserve">ORD-2025-10439</t>
  </si>
  <si>
    <t xml:space="preserve">CUST-7252</t>
  </si>
  <si>
    <t xml:space="preserve">Elite Phones 276</t>
  </si>
  <si>
    <t xml:space="preserve">ORD-2025-10440</t>
  </si>
  <si>
    <t xml:space="preserve">CUST-7346</t>
  </si>
  <si>
    <t xml:space="preserve">Smart Storage 287</t>
  </si>
  <si>
    <t xml:space="preserve">ORD-2024-10441</t>
  </si>
  <si>
    <t xml:space="preserve">Basic Machines 610</t>
  </si>
  <si>
    <t xml:space="preserve">ORD-2024-10442</t>
  </si>
  <si>
    <t xml:space="preserve">CUST-3975</t>
  </si>
  <si>
    <t xml:space="preserve">Elite Bookcases 393</t>
  </si>
  <si>
    <t xml:space="preserve">ORD-2025-10443</t>
  </si>
  <si>
    <t xml:space="preserve">CUST-6588</t>
  </si>
  <si>
    <t xml:space="preserve">Prime Tables 242</t>
  </si>
  <si>
    <t xml:space="preserve">ORD-2024-10444</t>
  </si>
  <si>
    <t xml:space="preserve">CUST-2207</t>
  </si>
  <si>
    <t xml:space="preserve">Basic Furnishings 563</t>
  </si>
  <si>
    <t xml:space="preserve">ORD-2025-10445</t>
  </si>
  <si>
    <t xml:space="preserve">CUST-4475</t>
  </si>
  <si>
    <t xml:space="preserve">Prime Accessories 482</t>
  </si>
  <si>
    <t xml:space="preserve">ORD-2024-10446</t>
  </si>
  <si>
    <t xml:space="preserve">CUST-1351</t>
  </si>
  <si>
    <t xml:space="preserve">Eco Bookcases 215</t>
  </si>
  <si>
    <t xml:space="preserve">ORD-2025-10447</t>
  </si>
  <si>
    <t xml:space="preserve">CUST-9295</t>
  </si>
  <si>
    <t xml:space="preserve">Eco Storage 793</t>
  </si>
  <si>
    <t xml:space="preserve">ORD-2025-10448</t>
  </si>
  <si>
    <t xml:space="preserve">CUST-3614</t>
  </si>
  <si>
    <t xml:space="preserve">Basic Bookcases 182</t>
  </si>
  <si>
    <t xml:space="preserve">ORD-2024-10449</t>
  </si>
  <si>
    <t xml:space="preserve">CUST-1932</t>
  </si>
  <si>
    <t xml:space="preserve">Prime Chairs 631</t>
  </si>
  <si>
    <t xml:space="preserve">ORD-2024-10450</t>
  </si>
  <si>
    <t xml:space="preserve">Basic Machines 808</t>
  </si>
  <si>
    <t xml:space="preserve">ORD-2025-10451</t>
  </si>
  <si>
    <t xml:space="preserve">CUST-8672</t>
  </si>
  <si>
    <t xml:space="preserve">Pro Chairs 302</t>
  </si>
  <si>
    <t xml:space="preserve">ORD-2024-10452</t>
  </si>
  <si>
    <t xml:space="preserve">CUST-3907</t>
  </si>
  <si>
    <t xml:space="preserve">Classic Paper 272</t>
  </si>
  <si>
    <t xml:space="preserve">ORD-2024-10453</t>
  </si>
  <si>
    <t xml:space="preserve">CUST-8796</t>
  </si>
  <si>
    <t xml:space="preserve">Smart Accessories 149</t>
  </si>
  <si>
    <t xml:space="preserve">ORD-2025-10454</t>
  </si>
  <si>
    <t xml:space="preserve">CUST-2317</t>
  </si>
  <si>
    <t xml:space="preserve">Elite Labels 322</t>
  </si>
  <si>
    <t xml:space="preserve">ORD-2025-10455</t>
  </si>
  <si>
    <t xml:space="preserve">CUST-8643</t>
  </si>
  <si>
    <t xml:space="preserve">Max Furnishings 821</t>
  </si>
  <si>
    <t xml:space="preserve">ORD-2024-10456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</si>
  <si>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</si>
  <si>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</si>
  <si>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</si>
  <si>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</si>
  <si>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</si>
  <si>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</si>
  <si>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CUST-4957</t>
  </si>
  <si>
    <t xml:space="preserve">Elite Tables 418</t>
  </si>
  <si>
    <t xml:space="preserve">ORD-2024-10459</t>
  </si>
  <si>
    <t xml:space="preserve">CUST-1263</t>
  </si>
  <si>
    <t xml:space="preserve">Pro Phones 907</t>
  </si>
  <si>
    <t xml:space="preserve">ORD-2024-10460</t>
  </si>
  <si>
    <t xml:space="preserve">CUST-4745</t>
  </si>
  <si>
    <t xml:space="preserve">Basic Paper 233</t>
  </si>
  <si>
    <t xml:space="preserve">ORD-2025-10461</t>
  </si>
  <si>
    <t xml:space="preserve">CUST-5551</t>
  </si>
  <si>
    <t xml:space="preserve">Eco Copiers 603</t>
  </si>
  <si>
    <t xml:space="preserve">ORD-2025-10462</t>
  </si>
  <si>
    <t xml:space="preserve">CUST-3659</t>
  </si>
  <si>
    <t xml:space="preserve">Max Paper 700</t>
  </si>
  <si>
    <t xml:space="preserve">ORD-2024-10463</t>
  </si>
  <si>
    <t xml:space="preserve">CUST-6594</t>
  </si>
  <si>
    <t xml:space="preserve">Pro Binders 404</t>
  </si>
  <si>
    <t xml:space="preserve">ORD-2025-10464</t>
  </si>
  <si>
    <t xml:space="preserve">CUST-2626</t>
  </si>
  <si>
    <t xml:space="preserve">Eco Phones 208</t>
  </si>
  <si>
    <t xml:space="preserve">ORD-2025-10465</t>
  </si>
  <si>
    <t xml:space="preserve">CUST-7362</t>
  </si>
  <si>
    <t xml:space="preserve">Elite Paper 106</t>
  </si>
  <si>
    <t xml:space="preserve">ORD-2024-10466</t>
  </si>
  <si>
    <t xml:space="preserve">CUST-1748</t>
  </si>
  <si>
    <t xml:space="preserve">Eco Labels 914</t>
  </si>
  <si>
    <t xml:space="preserve">ORD-2024-10467</t>
  </si>
  <si>
    <t xml:space="preserve">CUST-2725</t>
  </si>
  <si>
    <t xml:space="preserve">Max Accessories 486</t>
  </si>
  <si>
    <t xml:space="preserve">ORD-2024-10468</t>
  </si>
  <si>
    <t xml:space="preserve">CUST-9470</t>
  </si>
  <si>
    <t xml:space="preserve">Max Copiers 867</t>
  </si>
  <si>
    <t xml:space="preserve">ORD-2025-10469</t>
  </si>
  <si>
    <t xml:space="preserve">CUST-4176</t>
  </si>
  <si>
    <t xml:space="preserve">Pro Binders 555</t>
  </si>
  <si>
    <t xml:space="preserve">ORD-2024-10470</t>
  </si>
  <si>
    <t xml:space="preserve">CUST-3448</t>
  </si>
  <si>
    <t xml:space="preserve">Pro Copiers 971</t>
  </si>
  <si>
    <t xml:space="preserve">ORD-2024-10471</t>
  </si>
  <si>
    <t xml:space="preserve">CUST-4970</t>
  </si>
  <si>
    <t xml:space="preserve">Pro Tables 833</t>
  </si>
  <si>
    <t xml:space="preserve">ORD-2024-10472</t>
  </si>
  <si>
    <t xml:space="preserve">CUST-6147</t>
  </si>
  <si>
    <t xml:space="preserve">Prime Binders 497</t>
  </si>
  <si>
    <t xml:space="preserve">ORD-2024-10473</t>
  </si>
  <si>
    <t xml:space="preserve">CUST-7208</t>
  </si>
  <si>
    <t xml:space="preserve">Pro Storage 756</t>
  </si>
  <si>
    <t xml:space="preserve">ORD-2024-10474</t>
  </si>
  <si>
    <t xml:space="preserve">CUST-2794</t>
  </si>
  <si>
    <t xml:space="preserve">Max Copiers 829</t>
  </si>
  <si>
    <t xml:space="preserve">ORD-2024-10475</t>
  </si>
  <si>
    <t xml:space="preserve">CUST-6249</t>
  </si>
  <si>
    <t xml:space="preserve">Prime Furnishings 827</t>
  </si>
  <si>
    <t xml:space="preserve">ORD-2025-10476</t>
  </si>
  <si>
    <t xml:space="preserve">CUST-5712</t>
  </si>
  <si>
    <t xml:space="preserve">Eco Chairs 365</t>
  </si>
  <si>
    <t xml:space="preserve">ORD-2024-10477</t>
  </si>
  <si>
    <t xml:space="preserve">CUST-3004</t>
  </si>
  <si>
    <t xml:space="preserve">Classic Storage 545</t>
  </si>
  <si>
    <t xml:space="preserve">ORD-2025-10478</t>
  </si>
  <si>
    <t xml:space="preserve">CUST-6920</t>
  </si>
  <si>
    <t xml:space="preserve">Pro Chairs 186</t>
  </si>
  <si>
    <t xml:space="preserve">ORD-2024-10479</t>
  </si>
  <si>
    <t xml:space="preserve">CUST-4838</t>
  </si>
  <si>
    <t xml:space="preserve">Classic Machines 561</t>
  </si>
  <si>
    <t xml:space="preserve">ORD-2024-10480</t>
  </si>
  <si>
    <t xml:space="preserve">CUST-7520</t>
  </si>
  <si>
    <t xml:space="preserve">Max Chairs 594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</si>
  <si>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</si>
  <si>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</si>
  <si>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</si>
  <si>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</si>
  <si>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</si>
  <si>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</si>
  <si>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</si>
  <si>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</si>
  <si>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</si>
  <si>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</si>
  <si>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CUST-9432</t>
  </si>
  <si>
    <t xml:space="preserve">Pro Copiers 984</t>
  </si>
  <si>
    <t xml:space="preserve">ORD-2024-10485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</si>
  <si>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</si>
  <si>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</si>
  <si>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</si>
  <si>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</si>
  <si>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</si>
  <si>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</si>
  <si>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CUST-8132</t>
  </si>
  <si>
    <t xml:space="preserve">Pro Tables 257</t>
  </si>
  <si>
    <t xml:space="preserve">ORD-2025-10488</t>
  </si>
  <si>
    <t xml:space="preserve">CUST-7685</t>
  </si>
  <si>
    <t xml:space="preserve">Prime Furnishings 299</t>
  </si>
  <si>
    <t xml:space="preserve">ORD-2024-10489</t>
  </si>
  <si>
    <t xml:space="preserve">CUST-2183</t>
  </si>
  <si>
    <t xml:space="preserve">Eco Tables 487</t>
  </si>
  <si>
    <t xml:space="preserve">ORD-2024-10490</t>
  </si>
  <si>
    <t xml:space="preserve">CUST-1636</t>
  </si>
  <si>
    <t xml:space="preserve">Prime Accessories 960</t>
  </si>
  <si>
    <t xml:space="preserve">ORD-2024-10491</t>
  </si>
  <si>
    <t xml:space="preserve">CUST-1350</t>
  </si>
  <si>
    <t xml:space="preserve">Smart Binders 191</t>
  </si>
  <si>
    <t xml:space="preserve">ORD-2025-10492</t>
  </si>
  <si>
    <t xml:space="preserve">CUST-4101</t>
  </si>
  <si>
    <t xml:space="preserve">Prime Accessories 118</t>
  </si>
  <si>
    <t xml:space="preserve">ORD-2025-10493</t>
  </si>
  <si>
    <t xml:space="preserve">CUST-4679</t>
  </si>
  <si>
    <t xml:space="preserve">Elite Storage 331</t>
  </si>
  <si>
    <t xml:space="preserve">ORD-2025-10494</t>
  </si>
  <si>
    <t xml:space="preserve">CUST-3765</t>
  </si>
  <si>
    <t xml:space="preserve">Prime Paper 996</t>
  </si>
  <si>
    <t xml:space="preserve">ORD-2024-10495</t>
  </si>
  <si>
    <t xml:space="preserve">CUST-9056</t>
  </si>
  <si>
    <t xml:space="preserve">Smart Phones 125</t>
  </si>
  <si>
    <t xml:space="preserve">ORD-2024-10496</t>
  </si>
  <si>
    <t xml:space="preserve">CUST-9801</t>
  </si>
  <si>
    <t xml:space="preserve">Eco Phones 220</t>
  </si>
  <si>
    <t xml:space="preserve">ORD-2025-10497</t>
  </si>
  <si>
    <t xml:space="preserve">CUST-2038</t>
  </si>
  <si>
    <t xml:space="preserve">Eco Chairs 795</t>
  </si>
  <si>
    <t xml:space="preserve">ORD-2024-10498</t>
  </si>
  <si>
    <t xml:space="preserve">CUST-1567</t>
  </si>
  <si>
    <t xml:space="preserve">Smart Accessories 896</t>
  </si>
  <si>
    <t xml:space="preserve">ORD-2025-10499</t>
  </si>
  <si>
    <t xml:space="preserve">CUST-1190</t>
  </si>
  <si>
    <t xml:space="preserve">Basic Chairs 255</t>
  </si>
  <si>
    <t xml:space="preserve">ORD-2024-10500</t>
  </si>
  <si>
    <t xml:space="preserve">CUST-5604</t>
  </si>
  <si>
    <t xml:space="preserve">Eco Chairs 210</t>
  </si>
  <si>
    <t xml:space="preserve">ORD-2024-10501</t>
  </si>
  <si>
    <t xml:space="preserve">CUST-7661</t>
  </si>
  <si>
    <t xml:space="preserve">Prime Phones 533</t>
  </si>
  <si>
    <t xml:space="preserve">ORD-2024-10502</t>
  </si>
  <si>
    <t xml:space="preserve">Elite Art 325</t>
  </si>
  <si>
    <t xml:space="preserve">ORD-2024-10503</t>
  </si>
  <si>
    <t xml:space="preserve">CUST-1534</t>
  </si>
  <si>
    <t xml:space="preserve">Prime Copiers 557</t>
  </si>
  <si>
    <t xml:space="preserve">ORD-2024-10504</t>
  </si>
  <si>
    <t xml:space="preserve">CUST-7422</t>
  </si>
  <si>
    <t xml:space="preserve">Smart Phones 674</t>
  </si>
  <si>
    <t xml:space="preserve">ORD-2025-10505</t>
  </si>
  <si>
    <t xml:space="preserve">CUST-9693</t>
  </si>
  <si>
    <t xml:space="preserve">Elite Art 553</t>
  </si>
  <si>
    <t xml:space="preserve">ORD-2024-10506</t>
  </si>
  <si>
    <t xml:space="preserve">CUST-5458</t>
  </si>
  <si>
    <t xml:space="preserve">Classic Art 339</t>
  </si>
  <si>
    <t xml:space="preserve">ORD-2024-10507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</si>
  <si>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</si>
  <si>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</si>
  <si>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</si>
  <si>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</si>
  <si>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</si>
  <si>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</si>
  <si>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CUST-3333</t>
  </si>
  <si>
    <t xml:space="preserve">Smart Machines 853</t>
  </si>
  <si>
    <t xml:space="preserve">ORD-2025-10510</t>
  </si>
  <si>
    <t xml:space="preserve">CUST-7901</t>
  </si>
  <si>
    <t xml:space="preserve">Classic Machines 599</t>
  </si>
  <si>
    <t xml:space="preserve">ORD-2024-10511</t>
  </si>
  <si>
    <t xml:space="preserve">CUST-9759</t>
  </si>
  <si>
    <t xml:space="preserve">Pro Storage 373</t>
  </si>
  <si>
    <t xml:space="preserve">ORD-2024-10512</t>
  </si>
  <si>
    <t xml:space="preserve">CUST-7232</t>
  </si>
  <si>
    <t xml:space="preserve">Smart Bookcases 920</t>
  </si>
  <si>
    <t xml:space="preserve">ORD-2025-10513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</si>
  <si>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</si>
  <si>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</si>
  <si>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</si>
  <si>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</si>
  <si>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</si>
  <si>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CUST-7729</t>
  </si>
  <si>
    <t xml:space="preserve">Smart Accessories 388</t>
  </si>
  <si>
    <t xml:space="preserve">ORD-2025-10516</t>
  </si>
  <si>
    <t xml:space="preserve">CUST-9986</t>
  </si>
  <si>
    <t xml:space="preserve">Classic Paper 752</t>
  </si>
  <si>
    <t xml:space="preserve">ORD-2024-10517</t>
  </si>
  <si>
    <t xml:space="preserve">CUST-2731</t>
  </si>
  <si>
    <t xml:space="preserve">Classic Copiers 143</t>
  </si>
  <si>
    <t xml:space="preserve">ORD-2025-10518</t>
  </si>
  <si>
    <t xml:space="preserve">CUST-4235</t>
  </si>
  <si>
    <t xml:space="preserve">Basic Furnishings 386</t>
  </si>
  <si>
    <t xml:space="preserve">ORD-2025-10519</t>
  </si>
  <si>
    <t xml:space="preserve">CUST-3377</t>
  </si>
  <si>
    <t xml:space="preserve">Classic Tables 592</t>
  </si>
  <si>
    <t xml:space="preserve">ORD-2025-10520</t>
  </si>
  <si>
    <t xml:space="preserve">CUST-3258</t>
  </si>
  <si>
    <t xml:space="preserve">Pro Tables 412</t>
  </si>
  <si>
    <t xml:space="preserve">ORD-2024-10521</t>
  </si>
  <si>
    <t xml:space="preserve">CUST-2155</t>
  </si>
  <si>
    <t xml:space="preserve">Prime Machines 393</t>
  </si>
  <si>
    <t xml:space="preserve">ORD-2025-10522</t>
  </si>
  <si>
    <t xml:space="preserve">CUST-8012</t>
  </si>
  <si>
    <t xml:space="preserve">Classic Labels 776</t>
  </si>
  <si>
    <t xml:space="preserve">ORD-2025-10523</t>
  </si>
  <si>
    <t xml:space="preserve">CUST-2917</t>
  </si>
  <si>
    <t xml:space="preserve">Max Phones 612</t>
  </si>
  <si>
    <t xml:space="preserve">ORD-2024-10524</t>
  </si>
  <si>
    <t xml:space="preserve">CUST-4653</t>
  </si>
  <si>
    <t xml:space="preserve">Basic Paper 315</t>
  </si>
  <si>
    <t xml:space="preserve">ORD-2024-10525</t>
  </si>
  <si>
    <t xml:space="preserve">CUST-3311</t>
  </si>
  <si>
    <t xml:space="preserve">Basic Chairs 333</t>
  </si>
  <si>
    <t xml:space="preserve">ORD-2024-10526</t>
  </si>
  <si>
    <t xml:space="preserve">CUST-2924</t>
  </si>
  <si>
    <t xml:space="preserve">Prime Chairs 215</t>
  </si>
  <si>
    <t xml:space="preserve">ORD-2025-10527</t>
  </si>
  <si>
    <t xml:space="preserve">CUST-7198</t>
  </si>
  <si>
    <t xml:space="preserve">Elite Tables 815</t>
  </si>
  <si>
    <t xml:space="preserve">ORD-2025-10528</t>
  </si>
  <si>
    <t xml:space="preserve">CUST-3419</t>
  </si>
  <si>
    <t xml:space="preserve">Basic Paper 388</t>
  </si>
  <si>
    <t xml:space="preserve">ORD-2024-10529</t>
  </si>
  <si>
    <t xml:space="preserve">CUST-2390</t>
  </si>
  <si>
    <t xml:space="preserve">Eco Binders 855</t>
  </si>
  <si>
    <t xml:space="preserve">ORD-2024-10530</t>
  </si>
  <si>
    <t xml:space="preserve">Classic Bookcases 947</t>
  </si>
  <si>
    <t xml:space="preserve">ORD-2025-10531</t>
  </si>
  <si>
    <t xml:space="preserve">CUST-8177</t>
  </si>
  <si>
    <t xml:space="preserve">Eco Binders 352</t>
  </si>
  <si>
    <t xml:space="preserve">ORD-2024-10532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</si>
  <si>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</si>
  <si>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</si>
  <si>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</si>
  <si>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</si>
  <si>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</si>
  <si>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</si>
  <si>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CUST-4487</t>
  </si>
  <si>
    <t xml:space="preserve">Smart Tables 659</t>
  </si>
  <si>
    <t xml:space="preserve">ORD-2025-10535</t>
  </si>
  <si>
    <t xml:space="preserve">CUST-8204</t>
  </si>
  <si>
    <t xml:space="preserve">Classic Accessories 325</t>
  </si>
  <si>
    <t xml:space="preserve">ORD-2024-10536</t>
  </si>
  <si>
    <t xml:space="preserve">CUST-1729</t>
  </si>
  <si>
    <t xml:space="preserve">Eco Copiers 243</t>
  </si>
  <si>
    <t xml:space="preserve">ORD-2025-10537</t>
  </si>
  <si>
    <t xml:space="preserve">CUST-4269</t>
  </si>
  <si>
    <t xml:space="preserve">Elite Chairs 777</t>
  </si>
  <si>
    <t xml:space="preserve">ORD-2024-10538</t>
  </si>
  <si>
    <t xml:space="preserve">CUST-1370</t>
  </si>
  <si>
    <t xml:space="preserve">Classic Art 772</t>
  </si>
  <si>
    <t xml:space="preserve">ORD-2024-10539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</si>
  <si>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</si>
  <si>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</si>
  <si>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</si>
  <si>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</si>
  <si>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</si>
  <si>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</si>
  <si>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CUST-7563</t>
  </si>
  <si>
    <t xml:space="preserve">Basic Furnishings 350</t>
  </si>
  <si>
    <t xml:space="preserve">ORD-2025-10542</t>
  </si>
  <si>
    <t xml:space="preserve">CUST-4188</t>
  </si>
  <si>
    <t xml:space="preserve">Elite Copiers 831</t>
  </si>
  <si>
    <t xml:space="preserve">ORD-2024-10543</t>
  </si>
  <si>
    <t xml:space="preserve">CUST-9376</t>
  </si>
  <si>
    <t xml:space="preserve">Eco Bookcases 759</t>
  </si>
  <si>
    <t xml:space="preserve">ORD-2024-10544</t>
  </si>
  <si>
    <t xml:space="preserve">CUST-9094</t>
  </si>
  <si>
    <t xml:space="preserve">Max Copiers 440</t>
  </si>
  <si>
    <t xml:space="preserve">ORD-2025-10545</t>
  </si>
  <si>
    <t xml:space="preserve">CUST-2366</t>
  </si>
  <si>
    <t xml:space="preserve">Smart Art 201</t>
  </si>
  <si>
    <t xml:space="preserve">ORD-2024-10546</t>
  </si>
  <si>
    <t xml:space="preserve">CUST-7168</t>
  </si>
  <si>
    <t xml:space="preserve">Classic Storage 755</t>
  </si>
  <si>
    <t xml:space="preserve">ORD-2025-10547</t>
  </si>
  <si>
    <t xml:space="preserve">CUST-8157</t>
  </si>
  <si>
    <t xml:space="preserve">Prime Paper 143</t>
  </si>
  <si>
    <t xml:space="preserve">ORD-2024-10548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</si>
  <si>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</si>
  <si>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</si>
  <si>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</si>
  <si>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</si>
  <si>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</si>
  <si>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</si>
  <si>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CUST-6028</t>
  </si>
  <si>
    <t xml:space="preserve">Pro Art 287</t>
  </si>
  <si>
    <t xml:space="preserve">ORD-2024-10551</t>
  </si>
  <si>
    <t xml:space="preserve">CUST-8687</t>
  </si>
  <si>
    <t xml:space="preserve">Max Accessories 591</t>
  </si>
  <si>
    <t xml:space="preserve">ORD-2024-10552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</si>
  <si>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</si>
  <si>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</si>
  <si>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</si>
  <si>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</si>
  <si>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</si>
  <si>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</si>
  <si>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CUST-9241</t>
  </si>
  <si>
    <t xml:space="preserve">Pro Storage 128</t>
  </si>
  <si>
    <t xml:space="preserve">ORD-2024-10555</t>
  </si>
  <si>
    <t xml:space="preserve">CUST-2126</t>
  </si>
  <si>
    <t xml:space="preserve">Prime Furnishings 892</t>
  </si>
  <si>
    <t xml:space="preserve">ORD-2025-10556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</si>
  <si>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</si>
  <si>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</si>
  <si>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</si>
  <si>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</si>
  <si>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</si>
  <si>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</si>
  <si>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CUST-8848</t>
  </si>
  <si>
    <t xml:space="preserve">Prime Phones 503</t>
  </si>
  <si>
    <t xml:space="preserve">ORD-2025-10559</t>
  </si>
  <si>
    <t xml:space="preserve">CUST-9368</t>
  </si>
  <si>
    <t xml:space="preserve">Basic Machines 136</t>
  </si>
  <si>
    <t xml:space="preserve">ORD-2025-10560</t>
  </si>
  <si>
    <t xml:space="preserve">CUST-6797</t>
  </si>
  <si>
    <t xml:space="preserve">Basic Copiers 512</t>
  </si>
  <si>
    <t xml:space="preserve">ORD-2024-10561</t>
  </si>
  <si>
    <t xml:space="preserve">CUST-9333</t>
  </si>
  <si>
    <t xml:space="preserve">Smart Storage 767</t>
  </si>
  <si>
    <t xml:space="preserve">ORD-2025-10562</t>
  </si>
  <si>
    <t xml:space="preserve">CUST-6654</t>
  </si>
  <si>
    <t xml:space="preserve">Eco Copiers 954</t>
  </si>
  <si>
    <t xml:space="preserve">ORD-2024-10563</t>
  </si>
  <si>
    <t xml:space="preserve">CUST-8622</t>
  </si>
  <si>
    <t xml:space="preserve">Elite Binders 143</t>
  </si>
  <si>
    <t xml:space="preserve">ORD-2024-10564</t>
  </si>
  <si>
    <t xml:space="preserve">CUST-8776</t>
  </si>
  <si>
    <t xml:space="preserve">Classic Tables 560</t>
  </si>
  <si>
    <t xml:space="preserve">ORD-2024-10565</t>
  </si>
  <si>
    <t xml:space="preserve">CUST-9100</t>
  </si>
  <si>
    <t xml:space="preserve">Basic Tables 759</t>
  </si>
  <si>
    <t xml:space="preserve">ORD-2025-10566</t>
  </si>
  <si>
    <t xml:space="preserve">CUST-5601</t>
  </si>
  <si>
    <t xml:space="preserve">Prime Phones 564</t>
  </si>
  <si>
    <t xml:space="preserve">ORD-2024-10567</t>
  </si>
  <si>
    <t xml:space="preserve">CUST-5246</t>
  </si>
  <si>
    <t xml:space="preserve">Smart Paper 807</t>
  </si>
  <si>
    <t xml:space="preserve">ORD-2024-10568</t>
  </si>
  <si>
    <t xml:space="preserve">CUST-3128</t>
  </si>
  <si>
    <t xml:space="preserve">ORD-2024-10569</t>
  </si>
  <si>
    <t xml:space="preserve">CUST-4604</t>
  </si>
  <si>
    <t xml:space="preserve">Classic Machines 522</t>
  </si>
  <si>
    <t xml:space="preserve">ORD-2025-10570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</si>
  <si>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</si>
  <si>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</si>
  <si>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</si>
  <si>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</si>
  <si>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</si>
  <si>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</si>
  <si>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CUST-3425</t>
  </si>
  <si>
    <t xml:space="preserve">Prime Phones 895</t>
  </si>
  <si>
    <t xml:space="preserve">ORD-2024-10573</t>
  </si>
  <si>
    <t xml:space="preserve">CUST-8633</t>
  </si>
  <si>
    <t xml:space="preserve">Eco Phones 368</t>
  </si>
  <si>
    <t xml:space="preserve">ORD-2025-10574</t>
  </si>
  <si>
    <t xml:space="preserve">CUST-8243</t>
  </si>
  <si>
    <t xml:space="preserve">Pro Phones 644</t>
  </si>
  <si>
    <t xml:space="preserve">ORD-2024-10575</t>
  </si>
  <si>
    <t xml:space="preserve">Smart Machines 566</t>
  </si>
  <si>
    <t xml:space="preserve">ORD-2025-10576</t>
  </si>
  <si>
    <t xml:space="preserve">CUST-5496</t>
  </si>
  <si>
    <t xml:space="preserve">Elite Furnishings 173</t>
  </si>
  <si>
    <t xml:space="preserve">ORD-2024-10577</t>
  </si>
  <si>
    <t xml:space="preserve">CUST-2228</t>
  </si>
  <si>
    <t xml:space="preserve">Smart Binders 417</t>
  </si>
  <si>
    <t xml:space="preserve">ORD-2025-10578</t>
  </si>
  <si>
    <t xml:space="preserve">CUST-4151</t>
  </si>
  <si>
    <t xml:space="preserve">Smart Furnishings 714</t>
  </si>
  <si>
    <t xml:space="preserve">ORD-2024-10579</t>
  </si>
  <si>
    <t xml:space="preserve">Elite Copiers 682</t>
  </si>
  <si>
    <t xml:space="preserve">ORD-2024-10580</t>
  </si>
  <si>
    <t xml:space="preserve">CUST-9617</t>
  </si>
  <si>
    <t xml:space="preserve">Pro Storage 482</t>
  </si>
  <si>
    <t xml:space="preserve">ORD-2025-10581</t>
  </si>
  <si>
    <t xml:space="preserve">CUST-7958</t>
  </si>
  <si>
    <t xml:space="preserve">Pro Chairs 888</t>
  </si>
  <si>
    <t xml:space="preserve">ORD-2025-10582</t>
  </si>
  <si>
    <t xml:space="preserve">CUST-9931</t>
  </si>
  <si>
    <t xml:space="preserve">Classic Art 611</t>
  </si>
  <si>
    <t xml:space="preserve">ORD-2024-10583</t>
  </si>
  <si>
    <t xml:space="preserve">CUST-2088</t>
  </si>
  <si>
    <t xml:space="preserve">Basic Art 174</t>
  </si>
  <si>
    <t xml:space="preserve">ORD-2024-10584</t>
  </si>
  <si>
    <t xml:space="preserve">CUST-1686</t>
  </si>
  <si>
    <t xml:space="preserve">Classic Storage 451</t>
  </si>
  <si>
    <t xml:space="preserve">ORD-2024-10585</t>
  </si>
  <si>
    <t xml:space="preserve">CUST-4894</t>
  </si>
  <si>
    <t xml:space="preserve">Pro Art 172</t>
  </si>
  <si>
    <t xml:space="preserve">ORD-2025-10586</t>
  </si>
  <si>
    <t xml:space="preserve">CUST-5201</t>
  </si>
  <si>
    <t xml:space="preserve">Prime Phones 744</t>
  </si>
  <si>
    <t xml:space="preserve">ORD-2025-10587</t>
  </si>
  <si>
    <t xml:space="preserve">CUST-8626</t>
  </si>
  <si>
    <t xml:space="preserve">Prime Binders 249</t>
  </si>
  <si>
    <t xml:space="preserve">ORD-2025-10588</t>
  </si>
  <si>
    <t xml:space="preserve">CUST-1013</t>
  </si>
  <si>
    <t xml:space="preserve">Eco Accessories 948</t>
  </si>
  <si>
    <t xml:space="preserve">ORD-2025-10589</t>
  </si>
  <si>
    <t xml:space="preserve">CUST-3601</t>
  </si>
  <si>
    <t xml:space="preserve">Classic Accessories 458</t>
  </si>
  <si>
    <t xml:space="preserve">ORD-2024-10590</t>
  </si>
  <si>
    <t xml:space="preserve">CUST-7846</t>
  </si>
  <si>
    <t xml:space="preserve">Max Phones 318</t>
  </si>
  <si>
    <t xml:space="preserve">ORD-2024-10591</t>
  </si>
  <si>
    <t xml:space="preserve">CUST-3433</t>
  </si>
  <si>
    <t xml:space="preserve">Elite Chairs 372</t>
  </si>
  <si>
    <t xml:space="preserve">ORD-2024-10592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</si>
  <si>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</si>
  <si>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</si>
  <si>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</si>
  <si>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</si>
  <si>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</si>
  <si>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</si>
  <si>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Eco Tables 550</t>
  </si>
  <si>
    <t xml:space="preserve">ORD-2024-10595</t>
  </si>
  <si>
    <t xml:space="preserve">CUST-6850</t>
  </si>
  <si>
    <t xml:space="preserve">Basic Chairs 932</t>
  </si>
  <si>
    <t xml:space="preserve">ORD-2025-10596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</si>
  <si>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</si>
  <si>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</si>
  <si>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</si>
  <si>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</si>
  <si>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</si>
  <si>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</si>
  <si>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CUST-6957</t>
  </si>
  <si>
    <t xml:space="preserve">Prime Copiers 969</t>
  </si>
  <si>
    <t xml:space="preserve">ORD-2024-10599</t>
  </si>
  <si>
    <t xml:space="preserve">CUST-8498</t>
  </si>
  <si>
    <t xml:space="preserve">Eco Copiers 268</t>
  </si>
  <si>
    <t xml:space="preserve">ORD-2024-10600</t>
  </si>
  <si>
    <t xml:space="preserve">CUST-2612</t>
  </si>
  <si>
    <t xml:space="preserve">Pro Phones 588</t>
  </si>
  <si>
    <t xml:space="preserve">ORD-2025-10601</t>
  </si>
  <si>
    <t xml:space="preserve">CUST-6013</t>
  </si>
  <si>
    <t xml:space="preserve">Prime Storage 432</t>
  </si>
  <si>
    <t xml:space="preserve">ORD-2024-10602</t>
  </si>
  <si>
    <t xml:space="preserve">CUST-8289</t>
  </si>
  <si>
    <t xml:space="preserve">Basic Paper 452</t>
  </si>
  <si>
    <t xml:space="preserve">ORD-2024-10603</t>
  </si>
  <si>
    <t xml:space="preserve">CUST-5668</t>
  </si>
  <si>
    <t xml:space="preserve">Max Copiers 477</t>
  </si>
  <si>
    <t xml:space="preserve">ORD-2025-10604</t>
  </si>
  <si>
    <t xml:space="preserve">Prime Accessories 300</t>
  </si>
  <si>
    <t xml:space="preserve">ORD-2025-10605</t>
  </si>
  <si>
    <t xml:space="preserve">CUST-4526</t>
  </si>
  <si>
    <t xml:space="preserve">Max Binders 547</t>
  </si>
  <si>
    <t xml:space="preserve">ORD-2025-10606</t>
  </si>
  <si>
    <t xml:space="preserve">CUST-4447</t>
  </si>
  <si>
    <t xml:space="preserve">Pro Furnishings 267</t>
  </si>
  <si>
    <t xml:space="preserve">ORD-2025-10607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</si>
  <si>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</si>
  <si>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</si>
  <si>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</si>
  <si>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</si>
  <si>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</si>
  <si>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</si>
  <si>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</si>
  <si>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</si>
  <si>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</si>
  <si>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</si>
  <si>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</si>
  <si>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Pro Chairs 712</t>
  </si>
  <si>
    <t xml:space="preserve">ORD-2025-10612</t>
  </si>
  <si>
    <t xml:space="preserve">CUST-6108</t>
  </si>
  <si>
    <t xml:space="preserve">Max Binders 785</t>
  </si>
  <si>
    <t xml:space="preserve">ORD-2025-10613</t>
  </si>
  <si>
    <t xml:space="preserve">CUST-5663</t>
  </si>
  <si>
    <t xml:space="preserve">Elite Phones 239</t>
  </si>
  <si>
    <t xml:space="preserve">ORD-2024-10614</t>
  </si>
  <si>
    <t xml:space="preserve">CUST-9311</t>
  </si>
  <si>
    <t xml:space="preserve">Basic Machines 413</t>
  </si>
  <si>
    <t xml:space="preserve">ORD-2024-10615</t>
  </si>
  <si>
    <t xml:space="preserve">CUST-8154</t>
  </si>
  <si>
    <t xml:space="preserve">Elite Chairs 140</t>
  </si>
  <si>
    <t xml:space="preserve">ORD-2024-10616</t>
  </si>
  <si>
    <t xml:space="preserve">CUST-4462</t>
  </si>
  <si>
    <t xml:space="preserve">Basic Art 771</t>
  </si>
  <si>
    <t xml:space="preserve">ORD-2024-10617</t>
  </si>
  <si>
    <t xml:space="preserve">CUST-4660</t>
  </si>
  <si>
    <t xml:space="preserve">Prime Paper 664</t>
  </si>
  <si>
    <t xml:space="preserve">ORD-2024-10618</t>
  </si>
  <si>
    <t xml:space="preserve">CUST-9002</t>
  </si>
  <si>
    <t xml:space="preserve">Pro Phones 226</t>
  </si>
  <si>
    <t xml:space="preserve">ORD-2024-10619</t>
  </si>
  <si>
    <t xml:space="preserve">CUST-1057</t>
  </si>
  <si>
    <t xml:space="preserve">Basic Tables 684</t>
  </si>
  <si>
    <t xml:space="preserve">ORD-2024-10620</t>
  </si>
  <si>
    <t xml:space="preserve">CUST-9596</t>
  </si>
  <si>
    <t xml:space="preserve">Prime Binders 938</t>
  </si>
  <si>
    <t xml:space="preserve">ORD-2024-10621</t>
  </si>
  <si>
    <t xml:space="preserve">CUST-6947</t>
  </si>
  <si>
    <t xml:space="preserve">Classic Machines 337</t>
  </si>
  <si>
    <t xml:space="preserve">ORD-2024-10622</t>
  </si>
  <si>
    <t xml:space="preserve">CUST-7236</t>
  </si>
  <si>
    <t xml:space="preserve">Max Chairs 748</t>
  </si>
  <si>
    <t xml:space="preserve">ORD-2025-10623</t>
  </si>
  <si>
    <t xml:space="preserve">CUST-1127</t>
  </si>
  <si>
    <t xml:space="preserve">Basic Storage 934</t>
  </si>
  <si>
    <t xml:space="preserve">ORD-2024-10624</t>
  </si>
  <si>
    <t xml:space="preserve">CUST-6262</t>
  </si>
  <si>
    <t xml:space="preserve">Pro Storage 509</t>
  </si>
  <si>
    <t xml:space="preserve">ORD-2024-10625</t>
  </si>
  <si>
    <t xml:space="preserve">CUST-5070</t>
  </si>
  <si>
    <t xml:space="preserve">Prime Chairs 765</t>
  </si>
  <si>
    <t xml:space="preserve">ORD-2024-10626</t>
  </si>
  <si>
    <t xml:space="preserve">CUST-7946</t>
  </si>
  <si>
    <t xml:space="preserve">Elite Chairs 358</t>
  </si>
  <si>
    <t xml:space="preserve">ORD-2025-10627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</si>
  <si>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</si>
  <si>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</si>
  <si>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</si>
  <si>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</si>
  <si>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</si>
  <si>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</si>
  <si>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CUST-6725</t>
  </si>
  <si>
    <t xml:space="preserve">Eco Accessories 933</t>
  </si>
  <si>
    <t xml:space="preserve">ORD-2025-10630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</si>
  <si>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</si>
  <si>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</si>
  <si>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</si>
  <si>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</si>
  <si>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</si>
  <si>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</si>
  <si>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</si>
  <si>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</si>
  <si>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</si>
  <si>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CUST-4593</t>
  </si>
  <si>
    <t xml:space="preserve">Smart Furnishings 721</t>
  </si>
  <si>
    <t xml:space="preserve">ORD-2025-10634</t>
  </si>
  <si>
    <t xml:space="preserve">CUST-5043</t>
  </si>
  <si>
    <t xml:space="preserve">Basic Accessories 729</t>
  </si>
  <si>
    <t xml:space="preserve">ORD-2025-10635</t>
  </si>
  <si>
    <t xml:space="preserve">CUST-4722</t>
  </si>
  <si>
    <t xml:space="preserve">Classic Chairs 220</t>
  </si>
  <si>
    <t xml:space="preserve">ORD-2024-10636</t>
  </si>
  <si>
    <t xml:space="preserve">CUST-7931</t>
  </si>
  <si>
    <t xml:space="preserve">Max Chairs 305</t>
  </si>
  <si>
    <t xml:space="preserve">ORD-2024-10637</t>
  </si>
  <si>
    <t xml:space="preserve">CUST-7221</t>
  </si>
  <si>
    <t xml:space="preserve">Smart Paper 872</t>
  </si>
  <si>
    <t xml:space="preserve">ORD-2024-10638</t>
  </si>
  <si>
    <t xml:space="preserve">CUST-2594</t>
  </si>
  <si>
    <t xml:space="preserve">Max Copiers 994</t>
  </si>
  <si>
    <t xml:space="preserve">ORD-2024-10639</t>
  </si>
  <si>
    <t xml:space="preserve">CUST-2111</t>
  </si>
  <si>
    <t xml:space="preserve">Pro Storage 744</t>
  </si>
  <si>
    <t xml:space="preserve">ORD-2024-10640</t>
  </si>
  <si>
    <t xml:space="preserve">CUST-6829</t>
  </si>
  <si>
    <t xml:space="preserve">Elite Chairs 744</t>
  </si>
  <si>
    <t xml:space="preserve">ORD-2025-10641</t>
  </si>
  <si>
    <t xml:space="preserve">CUST-5061</t>
  </si>
  <si>
    <t xml:space="preserve">Basic Storage 973</t>
  </si>
  <si>
    <t xml:space="preserve">ORD-2025-10642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</si>
  <si>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</si>
  <si>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</si>
  <si>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</si>
  <si>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</si>
  <si>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</si>
  <si>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</si>
  <si>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Elite Labels 654</t>
  </si>
  <si>
    <t xml:space="preserve">ORD-2025-10645</t>
  </si>
  <si>
    <t xml:space="preserve">CUST-5549</t>
  </si>
  <si>
    <t xml:space="preserve">Pro Chairs 812</t>
  </si>
  <si>
    <t xml:space="preserve">ORD-2024-10646</t>
  </si>
  <si>
    <t xml:space="preserve">CUST-2314</t>
  </si>
  <si>
    <t xml:space="preserve">Basic Chairs 480</t>
  </si>
  <si>
    <t xml:space="preserve">ORD-2024-10647</t>
  </si>
  <si>
    <t xml:space="preserve">CUST-6360</t>
  </si>
  <si>
    <t xml:space="preserve">Elite Machines 955</t>
  </si>
  <si>
    <t xml:space="preserve">ORD-2025-10648</t>
  </si>
  <si>
    <t xml:space="preserve">CUST-9942</t>
  </si>
  <si>
    <t xml:space="preserve">Prime Art 461</t>
  </si>
  <si>
    <t xml:space="preserve">ORD-2024-10649</t>
  </si>
  <si>
    <t xml:space="preserve">CUST-1808</t>
  </si>
  <si>
    <t xml:space="preserve">Prime Art 301</t>
  </si>
  <si>
    <t xml:space="preserve">ORD-2025-10650</t>
  </si>
  <si>
    <t xml:space="preserve">CUST-7277</t>
  </si>
  <si>
    <t xml:space="preserve">Classic Accessories 354</t>
  </si>
  <si>
    <t xml:space="preserve">ORD-2024-10651</t>
  </si>
  <si>
    <t xml:space="preserve">Basic Accessories 210</t>
  </si>
  <si>
    <t xml:space="preserve">ORD-2025-10652</t>
  </si>
  <si>
    <t xml:space="preserve">CUST-2660</t>
  </si>
  <si>
    <t xml:space="preserve">Smart Paper 364</t>
  </si>
  <si>
    <t xml:space="preserve">ORD-2025-10653</t>
  </si>
  <si>
    <t xml:space="preserve">Smart Binders 999</t>
  </si>
  <si>
    <t xml:space="preserve">ORD-2025-10654</t>
  </si>
  <si>
    <t xml:space="preserve">CUST-3970</t>
  </si>
  <si>
    <t xml:space="preserve">Max Copiers 356</t>
  </si>
  <si>
    <t xml:space="preserve">ORD-2025-10655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</si>
  <si>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</si>
  <si>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</si>
  <si>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</si>
  <si>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</si>
  <si>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</si>
  <si>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CUST-4446</t>
  </si>
  <si>
    <t xml:space="preserve">Pro Machines 589</t>
  </si>
  <si>
    <t xml:space="preserve">ORD-2025-10658</t>
  </si>
  <si>
    <t xml:space="preserve">CUST-7787</t>
  </si>
  <si>
    <t xml:space="preserve">Eco Storage 316</t>
  </si>
  <si>
    <t xml:space="preserve">ORD-2025-10659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</si>
  <si>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</si>
  <si>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</si>
  <si>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</si>
  <si>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</si>
  <si>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</si>
  <si>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</si>
  <si>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CUST-5638</t>
  </si>
  <si>
    <t xml:space="preserve">Basic Phones 865</t>
  </si>
  <si>
    <t xml:space="preserve">ORD-2024-10662</t>
  </si>
  <si>
    <t xml:space="preserve">CUST-4537</t>
  </si>
  <si>
    <t xml:space="preserve">Max Machines 595</t>
  </si>
  <si>
    <t xml:space="preserve">ORD-2024-10663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</si>
  <si>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</si>
  <si>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</si>
  <si>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</si>
  <si>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</si>
  <si>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</si>
  <si>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</si>
  <si>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CUST-2709</t>
  </si>
  <si>
    <t xml:space="preserve">Max Accessories 903</t>
  </si>
  <si>
    <t xml:space="preserve">ORD-2025-10666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</si>
  <si>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</si>
  <si>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</si>
  <si>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</si>
  <si>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</si>
  <si>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</si>
  <si>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</si>
  <si>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CUST-3912</t>
  </si>
  <si>
    <t xml:space="preserve">Pro Machines 706</t>
  </si>
  <si>
    <t xml:space="preserve">ORD-2024-10669</t>
  </si>
  <si>
    <t xml:space="preserve">CUST-4190</t>
  </si>
  <si>
    <t xml:space="preserve">Pro Paper 187</t>
  </si>
  <si>
    <t xml:space="preserve">ORD-2024-10670</t>
  </si>
  <si>
    <t xml:space="preserve">CUST-7568</t>
  </si>
  <si>
    <t xml:space="preserve">Classic Tables 606</t>
  </si>
  <si>
    <t xml:space="preserve">ORD-2025-10671</t>
  </si>
  <si>
    <t xml:space="preserve">Smart Tables 835</t>
  </si>
  <si>
    <t xml:space="preserve">ORD-2024-10672</t>
  </si>
  <si>
    <t xml:space="preserve">CUST-3293</t>
  </si>
  <si>
    <t xml:space="preserve">Classic Copiers 583</t>
  </si>
  <si>
    <t xml:space="preserve">ORD-2024-10673</t>
  </si>
  <si>
    <t xml:space="preserve">CUST-8180</t>
  </si>
  <si>
    <t xml:space="preserve">Classic Chairs 460</t>
  </si>
  <si>
    <t xml:space="preserve">ORD-2025-10674</t>
  </si>
  <si>
    <t xml:space="preserve">CUST-2807</t>
  </si>
  <si>
    <t xml:space="preserve">Classic Bookcases 488</t>
  </si>
  <si>
    <t xml:space="preserve">ORD-2024-10675</t>
  </si>
  <si>
    <t xml:space="preserve">CUST-4081</t>
  </si>
  <si>
    <t xml:space="preserve">Basic Accessories 944</t>
  </si>
  <si>
    <t xml:space="preserve">ORD-2025-10676</t>
  </si>
  <si>
    <t xml:space="preserve">Eco Furnishings 217</t>
  </si>
  <si>
    <t xml:space="preserve">ORD-2025-10677</t>
  </si>
  <si>
    <t xml:space="preserve">CUST-9212</t>
  </si>
  <si>
    <t xml:space="preserve">Smart Phones 967</t>
  </si>
  <si>
    <t xml:space="preserve">ORD-2024-10678</t>
  </si>
  <si>
    <t xml:space="preserve">Smart Chairs 610</t>
  </si>
  <si>
    <t xml:space="preserve">ORD-2024-10679</t>
  </si>
  <si>
    <t xml:space="preserve">CUST-1674</t>
  </si>
  <si>
    <t xml:space="preserve">Prime Tables 123</t>
  </si>
  <si>
    <t xml:space="preserve">ORD-2025-10680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</si>
  <si>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</si>
  <si>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</si>
  <si>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</si>
  <si>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</si>
  <si>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</si>
  <si>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</si>
  <si>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</si>
  <si>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</si>
  <si>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</si>
  <si>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</si>
  <si>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</si>
  <si>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</si>
  <si>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CUST-5704</t>
  </si>
  <si>
    <t xml:space="preserve">Eco Furnishings 875</t>
  </si>
  <si>
    <t xml:space="preserve">ORD-2025-10685</t>
  </si>
  <si>
    <t xml:space="preserve">CUST-6738</t>
  </si>
  <si>
    <t xml:space="preserve">Prime Bookcases 784</t>
  </si>
  <si>
    <t xml:space="preserve">ORD-2025-10686</t>
  </si>
  <si>
    <t xml:space="preserve">Classic Art 380</t>
  </si>
  <si>
    <t xml:space="preserve">ORD-2024-10687</t>
  </si>
  <si>
    <t xml:space="preserve">CUST-3127</t>
  </si>
  <si>
    <t xml:space="preserve">Pro Copiers 502</t>
  </si>
  <si>
    <t xml:space="preserve">ORD-2025-10688</t>
  </si>
  <si>
    <t xml:space="preserve">CUST-9347</t>
  </si>
  <si>
    <t xml:space="preserve">Prime Tables 604</t>
  </si>
  <si>
    <t xml:space="preserve">ORD-2025-10689</t>
  </si>
  <si>
    <t xml:space="preserve">CUST-8575</t>
  </si>
  <si>
    <t xml:space="preserve">Basic Art 798</t>
  </si>
  <si>
    <t xml:space="preserve">ORD-2024-10690</t>
  </si>
  <si>
    <t xml:space="preserve">CUST-4382</t>
  </si>
  <si>
    <t xml:space="preserve">Elite Tables 717</t>
  </si>
  <si>
    <t xml:space="preserve">ORD-2024-10691</t>
  </si>
  <si>
    <t xml:space="preserve">CUST-6815</t>
  </si>
  <si>
    <t xml:space="preserve">Max Art 725</t>
  </si>
  <si>
    <t xml:space="preserve">ORD-2024-10692</t>
  </si>
  <si>
    <t xml:space="preserve">CUST-7309</t>
  </si>
  <si>
    <t xml:space="preserve">Smart Copiers 456</t>
  </si>
  <si>
    <t xml:space="preserve">ORD-2025-10693</t>
  </si>
  <si>
    <t xml:space="preserve">CUST-9531</t>
  </si>
  <si>
    <t xml:space="preserve">Prime Furnishings 883</t>
  </si>
  <si>
    <t xml:space="preserve">ORD-2025-10694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</si>
  <si>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</si>
  <si>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</si>
  <si>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</si>
  <si>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</si>
  <si>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</si>
  <si>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CUST-6257</t>
  </si>
  <si>
    <t xml:space="preserve">Prime Machines 102</t>
  </si>
  <si>
    <t xml:space="preserve">ORD-2025-10697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</si>
  <si>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</si>
  <si>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</si>
  <si>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</si>
  <si>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</si>
  <si>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</si>
  <si>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</si>
  <si>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CUST-5357</t>
  </si>
  <si>
    <t xml:space="preserve">Classic Machines 648</t>
  </si>
  <si>
    <t xml:space="preserve">ORD-2024-10700</t>
  </si>
  <si>
    <t xml:space="preserve">CUST-9802</t>
  </si>
  <si>
    <t xml:space="preserve">Max Bookcases 565</t>
  </si>
  <si>
    <t xml:space="preserve">ORD-2024-10701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</si>
  <si>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</si>
  <si>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</si>
  <si>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</si>
  <si>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</si>
  <si>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</si>
  <si>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</si>
  <si>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CUST-5231</t>
  </si>
  <si>
    <t xml:space="preserve">Pro Tables 980</t>
  </si>
  <si>
    <t xml:space="preserve">ORD-2024-10704</t>
  </si>
  <si>
    <t xml:space="preserve">CUST-8734</t>
  </si>
  <si>
    <t xml:space="preserve">Classic Tables 997</t>
  </si>
  <si>
    <t xml:space="preserve">ORD-2024-10705</t>
  </si>
  <si>
    <t xml:space="preserve">CUST-4916</t>
  </si>
  <si>
    <t xml:space="preserve">Max Bookcases 738</t>
  </si>
  <si>
    <t xml:space="preserve">ORD-2024-10706</t>
  </si>
  <si>
    <t xml:space="preserve">CUST-3289</t>
  </si>
  <si>
    <t xml:space="preserve">Max Binders 411</t>
  </si>
  <si>
    <t xml:space="preserve">ORD-2024-10707</t>
  </si>
  <si>
    <t xml:space="preserve">CUST-4928</t>
  </si>
  <si>
    <t xml:space="preserve">Max Paper 343</t>
  </si>
  <si>
    <t xml:space="preserve">ORD-2025-10708</t>
  </si>
  <si>
    <t xml:space="preserve">CUST-4902</t>
  </si>
  <si>
    <t xml:space="preserve">Pro Accessories 485</t>
  </si>
  <si>
    <t xml:space="preserve">ORD-2025-10709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</si>
  <si>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</si>
  <si>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</si>
  <si>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</si>
  <si>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</si>
  <si>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</si>
  <si>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</si>
  <si>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CUST-7199</t>
  </si>
  <si>
    <t xml:space="preserve">Smart Art 279</t>
  </si>
  <si>
    <t xml:space="preserve">ORD-2025-10712</t>
  </si>
  <si>
    <t xml:space="preserve">CUST-6176</t>
  </si>
  <si>
    <t xml:space="preserve">Basic Machines 172</t>
  </si>
  <si>
    <t xml:space="preserve">ORD-2024-10713</t>
  </si>
  <si>
    <t xml:space="preserve">CUST-5127</t>
  </si>
  <si>
    <t xml:space="preserve">Smart Chairs 259</t>
  </si>
  <si>
    <t xml:space="preserve">ORD-2025-10714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</si>
  <si>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</si>
  <si>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</si>
  <si>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</si>
  <si>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</si>
  <si>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</si>
  <si>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</si>
  <si>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</si>
  <si>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</si>
  <si>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CUST-7540</t>
  </si>
  <si>
    <t xml:space="preserve">Basic Phones 496</t>
  </si>
  <si>
    <t xml:space="preserve">ORD-2025-10718</t>
  </si>
  <si>
    <t xml:space="preserve">CUST-8351</t>
  </si>
  <si>
    <t xml:space="preserve">Prime Machines 612</t>
  </si>
  <si>
    <t xml:space="preserve">ORD-2024-10719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</si>
  <si>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</si>
  <si>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</si>
  <si>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</si>
  <si>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</si>
  <si>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</si>
  <si>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CUST-1991</t>
  </si>
  <si>
    <t xml:space="preserve">Smart Copiers 196</t>
  </si>
  <si>
    <t xml:space="preserve">ORD-2025-10722</t>
  </si>
  <si>
    <t xml:space="preserve">CUST-7606</t>
  </si>
  <si>
    <t xml:space="preserve">Pro Copiers 532</t>
  </si>
  <si>
    <t xml:space="preserve">ORD-2024-10723</t>
  </si>
  <si>
    <t xml:space="preserve">CUST-8844</t>
  </si>
  <si>
    <t xml:space="preserve">Eco Chairs 442</t>
  </si>
  <si>
    <t xml:space="preserve">ORD-2025-10724</t>
  </si>
  <si>
    <t xml:space="preserve">CUST-4335</t>
  </si>
  <si>
    <t xml:space="preserve">Eco Accessories 364</t>
  </si>
  <si>
    <t xml:space="preserve">ORD-2024-10725</t>
  </si>
  <si>
    <t xml:space="preserve">CUST-5891</t>
  </si>
  <si>
    <t xml:space="preserve">Elite Furnishings 921</t>
  </si>
  <si>
    <t xml:space="preserve">ORD-2025-10726</t>
  </si>
  <si>
    <t xml:space="preserve">CUST-6371</t>
  </si>
  <si>
    <t xml:space="preserve">Max Tables 309</t>
  </si>
  <si>
    <t xml:space="preserve">ORD-2024-10727</t>
  </si>
  <si>
    <t xml:space="preserve">CUST-6655</t>
  </si>
  <si>
    <t xml:space="preserve">Pro Phones 857</t>
  </si>
  <si>
    <t xml:space="preserve">ORD-2024-10728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</si>
  <si>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</si>
  <si>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</si>
  <si>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</si>
  <si>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</si>
  <si>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</si>
  <si>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</si>
  <si>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CUST-8713</t>
  </si>
  <si>
    <t xml:space="preserve">Pro Machines 563</t>
  </si>
  <si>
    <t xml:space="preserve">ORD-2025-10731</t>
  </si>
  <si>
    <t xml:space="preserve">CUST-6765</t>
  </si>
  <si>
    <t xml:space="preserve">Elite Art 696</t>
  </si>
  <si>
    <t xml:space="preserve">ORD-2024-10732</t>
  </si>
  <si>
    <t xml:space="preserve">CUST-6849</t>
  </si>
  <si>
    <t xml:space="preserve">Eco Binders 178</t>
  </si>
  <si>
    <t xml:space="preserve">ORD-2024-10733</t>
  </si>
  <si>
    <t xml:space="preserve">CUST-4973</t>
  </si>
  <si>
    <t xml:space="preserve">Max Phones 678</t>
  </si>
  <si>
    <t xml:space="preserve">ORD-2024-10734</t>
  </si>
  <si>
    <t xml:space="preserve">CUST-2394</t>
  </si>
  <si>
    <t xml:space="preserve">Classic Furnishings 582</t>
  </si>
  <si>
    <t xml:space="preserve">ORD-2024-10735</t>
  </si>
  <si>
    <t xml:space="preserve">CUST-5406</t>
  </si>
  <si>
    <t xml:space="preserve">Classic Accessories 981</t>
  </si>
  <si>
    <t xml:space="preserve">ORD-2024-10736</t>
  </si>
  <si>
    <t xml:space="preserve">CUST-1963</t>
  </si>
  <si>
    <t xml:space="preserve">Classic Tables 534</t>
  </si>
  <si>
    <t xml:space="preserve">ORD-2024-10737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</si>
  <si>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</si>
  <si>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</si>
  <si>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</si>
  <si>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</si>
  <si>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</si>
  <si>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</si>
  <si>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CUST-5334</t>
  </si>
  <si>
    <t xml:space="preserve">Prime Paper 307</t>
  </si>
  <si>
    <t xml:space="preserve">ORD-2024-10740</t>
  </si>
  <si>
    <t xml:space="preserve">CUST-5846</t>
  </si>
  <si>
    <t xml:space="preserve">Basic Phones 859</t>
  </si>
  <si>
    <t xml:space="preserve">ORD-2024-10741</t>
  </si>
  <si>
    <t xml:space="preserve">Eco Chairs 883</t>
  </si>
  <si>
    <t xml:space="preserve">ORD-2025-10742</t>
  </si>
  <si>
    <t xml:space="preserve">CUST-3285</t>
  </si>
  <si>
    <t xml:space="preserve">Max Chairs 706</t>
  </si>
  <si>
    <t xml:space="preserve">ORD-2024-10743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</si>
  <si>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</si>
  <si>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</si>
  <si>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</si>
  <si>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</si>
  <si>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</si>
  <si>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</si>
  <si>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CUST-2021</t>
  </si>
  <si>
    <t xml:space="preserve">Prime Binders 181</t>
  </si>
  <si>
    <t xml:space="preserve">ORD-2024-10746</t>
  </si>
  <si>
    <t xml:space="preserve">CUST-1493</t>
  </si>
  <si>
    <t xml:space="preserve">Max Copiers 866</t>
  </si>
  <si>
    <t xml:space="preserve">ORD-2025-10747</t>
  </si>
  <si>
    <t xml:space="preserve">Pro Paper 662</t>
  </si>
  <si>
    <t xml:space="preserve">ORD-2024-10748</t>
  </si>
  <si>
    <t xml:space="preserve">CUST-8416</t>
  </si>
  <si>
    <t xml:space="preserve">Classic Paper 388</t>
  </si>
  <si>
    <t xml:space="preserve">ORD-2024-10749</t>
  </si>
  <si>
    <t xml:space="preserve">CUST-3103</t>
  </si>
  <si>
    <t xml:space="preserve">Pro Phones 765</t>
  </si>
  <si>
    <t xml:space="preserve">ORD-2024-10750</t>
  </si>
  <si>
    <t xml:space="preserve">CUST-4457</t>
  </si>
  <si>
    <t xml:space="preserve">Classic Machines 543</t>
  </si>
  <si>
    <t xml:space="preserve">ORD-2025-10751</t>
  </si>
  <si>
    <t xml:space="preserve">CUST-7036</t>
  </si>
  <si>
    <t xml:space="preserve">Max Accessories 291</t>
  </si>
  <si>
    <t xml:space="preserve">ORD-2025-10752</t>
  </si>
  <si>
    <t xml:space="preserve">CUST-8512</t>
  </si>
  <si>
    <t xml:space="preserve">Eco Machines 414</t>
  </si>
  <si>
    <t xml:space="preserve">Missing Region (filled Unknown); Missing Ship Mode (filled Unknown)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</si>
  <si>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</si>
  <si>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</si>
  <si>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</si>
  <si>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</si>
  <si>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</si>
  <si>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</si>
  <si>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</si>
  <si>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</si>
  <si>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</si>
  <si>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</si>
  <si>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</si>
  <si>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</si>
  <si>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</si>
  <si>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CUST-1557</t>
  </si>
  <si>
    <t xml:space="preserve">Smart Accessories 362</t>
  </si>
  <si>
    <t xml:space="preserve">ORD-2025-10758</t>
  </si>
  <si>
    <t xml:space="preserve">CUST-3058</t>
  </si>
  <si>
    <t xml:space="preserve">Classic Bookcases 310</t>
  </si>
  <si>
    <t xml:space="preserve">ORD-2024-10759</t>
  </si>
  <si>
    <t xml:space="preserve">CUST-6076</t>
  </si>
  <si>
    <t xml:space="preserve">Prime Chairs 721</t>
  </si>
  <si>
    <t xml:space="preserve">ORD-2024-10760</t>
  </si>
  <si>
    <t xml:space="preserve">CUST-2098</t>
  </si>
  <si>
    <t xml:space="preserve">Prime Tables 797</t>
  </si>
  <si>
    <t xml:space="preserve">ORD-2024-10761</t>
  </si>
  <si>
    <t xml:space="preserve">CUST-7193</t>
  </si>
  <si>
    <t xml:space="preserve">Max Art 926</t>
  </si>
  <si>
    <t xml:space="preserve">ORD-2025-10762</t>
  </si>
  <si>
    <t xml:space="preserve">CUST-8948</t>
  </si>
  <si>
    <t xml:space="preserve">Max Machines 364</t>
  </si>
  <si>
    <t xml:space="preserve">ORD-2024-10763</t>
  </si>
  <si>
    <t xml:space="preserve">CUST-6921</t>
  </si>
  <si>
    <t xml:space="preserve">Classic Machines 122</t>
  </si>
  <si>
    <t xml:space="preserve">ORD-2025-10764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</si>
  <si>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</si>
  <si>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</si>
  <si>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</si>
  <si>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</si>
  <si>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</si>
  <si>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CUST-8747</t>
  </si>
  <si>
    <t xml:space="preserve">Max Labels 136</t>
  </si>
  <si>
    <t xml:space="preserve">ORD-2024-10767</t>
  </si>
  <si>
    <t xml:space="preserve">CUST-3156</t>
  </si>
  <si>
    <t xml:space="preserve">Prime Art 380</t>
  </si>
  <si>
    <t xml:space="preserve">ORD-2024-10768</t>
  </si>
  <si>
    <t xml:space="preserve">CUST-2043</t>
  </si>
  <si>
    <t xml:space="preserve">Classic Binders 234</t>
  </si>
  <si>
    <t xml:space="preserve">ORD-2025-10769</t>
  </si>
  <si>
    <t xml:space="preserve">CUST-8808</t>
  </si>
  <si>
    <t xml:space="preserve">Classic Paper 280</t>
  </si>
  <si>
    <t xml:space="preserve">ORD-2024-10770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</si>
  <si>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</si>
  <si>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</si>
  <si>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</si>
  <si>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</si>
  <si>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</si>
  <si>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</si>
  <si>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</si>
  <si>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</si>
  <si>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</si>
  <si>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</si>
  <si>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</si>
  <si>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CUST-4766</t>
  </si>
  <si>
    <t xml:space="preserve">Basic Phones 753</t>
  </si>
  <si>
    <t xml:space="preserve">ORD-2025-10775</t>
  </si>
  <si>
    <t xml:space="preserve">CUST-1182</t>
  </si>
  <si>
    <t xml:space="preserve">Smart Machines 789</t>
  </si>
  <si>
    <t xml:space="preserve">ORD-2024-10776</t>
  </si>
  <si>
    <t xml:space="preserve">CUST-4461</t>
  </si>
  <si>
    <t xml:space="preserve">Elite Accessories 312</t>
  </si>
  <si>
    <t xml:space="preserve">ORD-2025-10777</t>
  </si>
  <si>
    <t xml:space="preserve">CUST-9690</t>
  </si>
  <si>
    <t xml:space="preserve">Eco Copiers 528</t>
  </si>
  <si>
    <t xml:space="preserve">ORD-2024-10778</t>
  </si>
  <si>
    <t xml:space="preserve">CUST-6879</t>
  </si>
  <si>
    <t xml:space="preserve">Elite Accessories 226</t>
  </si>
  <si>
    <t xml:space="preserve">ORD-2024-10779</t>
  </si>
  <si>
    <t xml:space="preserve">CUST-4714</t>
  </si>
  <si>
    <t xml:space="preserve">Pro Copiers 298</t>
  </si>
  <si>
    <t xml:space="preserve">ORD-2024-10780</t>
  </si>
  <si>
    <t xml:space="preserve">CUST-7547</t>
  </si>
  <si>
    <t xml:space="preserve">Prime Chairs 331</t>
  </si>
  <si>
    <t xml:space="preserve">ORD-2024-10781</t>
  </si>
  <si>
    <t xml:space="preserve">CUST-3288</t>
  </si>
  <si>
    <t xml:space="preserve">Classic Chairs 798</t>
  </si>
  <si>
    <t xml:space="preserve">ORD-2024-10782</t>
  </si>
  <si>
    <t xml:space="preserve">CUST-8597</t>
  </si>
  <si>
    <t xml:space="preserve">Classic Labels 204</t>
  </si>
  <si>
    <t xml:space="preserve">ORD-2025-10783</t>
  </si>
  <si>
    <t xml:space="preserve">CUST-9085</t>
  </si>
  <si>
    <t xml:space="preserve">Basic Copiers 254</t>
  </si>
  <si>
    <t xml:space="preserve">ORD-2024-10784</t>
  </si>
  <si>
    <t xml:space="preserve">CUST-7746</t>
  </si>
  <si>
    <t xml:space="preserve">Basic Art 709</t>
  </si>
  <si>
    <t xml:space="preserve">ORD-2025-10785</t>
  </si>
  <si>
    <t xml:space="preserve">CUST-3119</t>
  </si>
  <si>
    <t xml:space="preserve">Max Copiers 551</t>
  </si>
  <si>
    <t xml:space="preserve">ORD-2024-10786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</si>
  <si>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</si>
  <si>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</si>
  <si>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</si>
  <si>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</si>
  <si>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</si>
  <si>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</si>
  <si>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</si>
  <si>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</si>
  <si>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</si>
  <si>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</si>
  <si>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</si>
  <si>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</si>
  <si>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CUST-1453</t>
  </si>
  <si>
    <t xml:space="preserve">Smart Copiers 408</t>
  </si>
  <si>
    <t xml:space="preserve">ORD-2024-10791</t>
  </si>
  <si>
    <t xml:space="preserve">CUST-1951</t>
  </si>
  <si>
    <t xml:space="preserve">Classic Art 781</t>
  </si>
  <si>
    <t xml:space="preserve">ORD-2024-10792</t>
  </si>
  <si>
    <t xml:space="preserve">CUST-6300</t>
  </si>
  <si>
    <t xml:space="preserve">Eco Bookcases 144</t>
  </si>
  <si>
    <t xml:space="preserve">ORD-2025-10793</t>
  </si>
  <si>
    <t xml:space="preserve">CUST-1417</t>
  </si>
  <si>
    <t xml:space="preserve">Elite Furnishings 852</t>
  </si>
  <si>
    <t xml:space="preserve">ORD-2024-10794</t>
  </si>
  <si>
    <t xml:space="preserve">CUST-5421</t>
  </si>
  <si>
    <t xml:space="preserve">Basic Copiers 238</t>
  </si>
  <si>
    <t xml:space="preserve">ORD-2025-10795</t>
  </si>
  <si>
    <t xml:space="preserve">CUST-2829</t>
  </si>
  <si>
    <t xml:space="preserve">Elite Paper 847</t>
  </si>
  <si>
    <t xml:space="preserve">ORD-2024-10796</t>
  </si>
  <si>
    <t xml:space="preserve">CUST-6529</t>
  </si>
  <si>
    <t xml:space="preserve">Pro Copiers 653</t>
  </si>
  <si>
    <t xml:space="preserve">ORD-2024-10797</t>
  </si>
  <si>
    <t xml:space="preserve">CUST-3126</t>
  </si>
  <si>
    <t xml:space="preserve">Elite Machines 459</t>
  </si>
  <si>
    <t xml:space="preserve">ORD-2024-10798</t>
  </si>
  <si>
    <t xml:space="preserve">CUST-3991</t>
  </si>
  <si>
    <t xml:space="preserve">Elite Binders 764</t>
  </si>
  <si>
    <t xml:space="preserve">ORD-2025-10799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</si>
  <si>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</si>
  <si>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</si>
  <si>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</si>
  <si>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</si>
  <si>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</si>
  <si>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</si>
  <si>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CUST-5015</t>
  </si>
  <si>
    <t xml:space="preserve">Elite Storage 825</t>
  </si>
  <si>
    <t xml:space="preserve">ORD-2025-10802</t>
  </si>
  <si>
    <t xml:space="preserve">CUST-3344</t>
  </si>
  <si>
    <t xml:space="preserve">Pro Accessories 500</t>
  </si>
  <si>
    <t xml:space="preserve">ORD-2025-10803</t>
  </si>
  <si>
    <t xml:space="preserve">CUST-5866</t>
  </si>
  <si>
    <t xml:space="preserve">Pro Furnishings 909</t>
  </si>
  <si>
    <t xml:space="preserve">ORD-2024-10804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</si>
  <si>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</si>
  <si>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</si>
  <si>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</si>
  <si>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</si>
  <si>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</si>
  <si>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</si>
  <si>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</si>
  <si>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</si>
  <si>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</si>
  <si>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</si>
  <si>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</si>
  <si>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</si>
  <si>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</si>
  <si>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</si>
  <si>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</si>
  <si>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</si>
  <si>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</si>
  <si>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</si>
  <si>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</si>
  <si>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</si>
  <si>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Pro Copiers 867</t>
  </si>
  <si>
    <t xml:space="preserve">ORD-2024-10812</t>
  </si>
  <si>
    <t xml:space="preserve">CUST-3303</t>
  </si>
  <si>
    <t xml:space="preserve">Eco Accessories 122</t>
  </si>
  <si>
    <t xml:space="preserve">ORD-2024-10813</t>
  </si>
  <si>
    <t xml:space="preserve">CUST-5754</t>
  </si>
  <si>
    <t xml:space="preserve">Basic Tables 127</t>
  </si>
  <si>
    <t xml:space="preserve">ORD-2025-10814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</si>
  <si>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</si>
  <si>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</si>
  <si>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</si>
  <si>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</si>
  <si>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</si>
  <si>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CUST-2951</t>
  </si>
  <si>
    <t xml:space="preserve">Max Machines 569</t>
  </si>
  <si>
    <t xml:space="preserve">ORD-2024-10817</t>
  </si>
  <si>
    <t xml:space="preserve">CUST-3072</t>
  </si>
  <si>
    <t xml:space="preserve">Basic Furnishings 306</t>
  </si>
  <si>
    <t xml:space="preserve">ORD-2025-10818</t>
  </si>
  <si>
    <t xml:space="preserve">CUST-2221</t>
  </si>
  <si>
    <t xml:space="preserve">Classic Binders 873</t>
  </si>
  <si>
    <t xml:space="preserve">ORD-2024-10819</t>
  </si>
  <si>
    <t xml:space="preserve">CUST-3943</t>
  </si>
  <si>
    <t xml:space="preserve">Pro Labels 611</t>
  </si>
  <si>
    <t xml:space="preserve">ORD-2024-10820</t>
  </si>
  <si>
    <t xml:space="preserve">CUST-7510</t>
  </si>
  <si>
    <t xml:space="preserve">Prime Machines 524</t>
  </si>
  <si>
    <t xml:space="preserve">ORD-2025-10821</t>
  </si>
  <si>
    <t xml:space="preserve">CUST-2041</t>
  </si>
  <si>
    <t xml:space="preserve">Classic Bookcases 882</t>
  </si>
  <si>
    <t xml:space="preserve">ORD-2024-10822</t>
  </si>
  <si>
    <t xml:space="preserve">CUST-4466</t>
  </si>
  <si>
    <t xml:space="preserve">Classic Accessories 471</t>
  </si>
  <si>
    <t xml:space="preserve">ORD-2024-10823</t>
  </si>
  <si>
    <t xml:space="preserve">CUST-3188</t>
  </si>
  <si>
    <t xml:space="preserve">Smart Furnishings 175</t>
  </si>
  <si>
    <t xml:space="preserve">ORD-2025-10824</t>
  </si>
  <si>
    <t xml:space="preserve">CUST-6638</t>
  </si>
  <si>
    <t xml:space="preserve">Basic Paper 899</t>
  </si>
  <si>
    <t xml:space="preserve">ORD-2025-10825</t>
  </si>
  <si>
    <t xml:space="preserve">CUST-3540</t>
  </si>
  <si>
    <t xml:space="preserve">Pro Paper 267</t>
  </si>
  <si>
    <t xml:space="preserve">ORD-2025-10826</t>
  </si>
  <si>
    <t xml:space="preserve">CUST-3351</t>
  </si>
  <si>
    <t xml:space="preserve">Basic Machines 832</t>
  </si>
  <si>
    <t xml:space="preserve">ORD-2025-10827</t>
  </si>
  <si>
    <t xml:space="preserve">CUST-4375</t>
  </si>
  <si>
    <t xml:space="preserve">Elite Accessories 790</t>
  </si>
  <si>
    <t xml:space="preserve">ORD-2024-10828</t>
  </si>
  <si>
    <t xml:space="preserve">CUST-5125</t>
  </si>
  <si>
    <t xml:space="preserve">Basic Paper 707</t>
  </si>
  <si>
    <t xml:space="preserve">ORD-2025-10829</t>
  </si>
  <si>
    <t xml:space="preserve">CUST-6010</t>
  </si>
  <si>
    <t xml:space="preserve">Elite Chairs 979</t>
  </si>
  <si>
    <t xml:space="preserve">ORD-2024-10830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</si>
  <si>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</si>
  <si>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</si>
  <si>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</si>
  <si>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</si>
  <si>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</si>
  <si>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</si>
  <si>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</si>
  <si>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</si>
  <si>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</si>
  <si>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CUST-9557</t>
  </si>
  <si>
    <t xml:space="preserve">Max Phones 919</t>
  </si>
  <si>
    <t xml:space="preserve">ORD-2024-10834</t>
  </si>
  <si>
    <t xml:space="preserve">CUST-2689</t>
  </si>
  <si>
    <t xml:space="preserve">Basic Bookcases 499</t>
  </si>
  <si>
    <t xml:space="preserve">ORD-2024-10835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</si>
  <si>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</si>
  <si>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</si>
  <si>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</si>
  <si>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</si>
  <si>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</si>
  <si>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</si>
  <si>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CUST-9776</t>
  </si>
  <si>
    <t xml:space="preserve">Smart Labels 814</t>
  </si>
  <si>
    <t xml:space="preserve">ORD-2025-10838</t>
  </si>
  <si>
    <t xml:space="preserve">CUST-2551</t>
  </si>
  <si>
    <t xml:space="preserve">Prime Paper 812</t>
  </si>
  <si>
    <t xml:space="preserve">ORD-2025-10839</t>
  </si>
  <si>
    <t xml:space="preserve">CUST-4708</t>
  </si>
  <si>
    <t xml:space="preserve">Pro Paper 355</t>
  </si>
  <si>
    <t xml:space="preserve">ORD-2024-10840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</si>
  <si>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</si>
  <si>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</si>
  <si>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</si>
  <si>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</si>
  <si>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</si>
  <si>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</si>
  <si>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CUST-7558</t>
  </si>
  <si>
    <t xml:space="preserve">Max Art 339</t>
  </si>
  <si>
    <t xml:space="preserve">ORD-2024-10843</t>
  </si>
  <si>
    <t xml:space="preserve">CUST-1798</t>
  </si>
  <si>
    <t xml:space="preserve">Smart Machines 581</t>
  </si>
  <si>
    <t xml:space="preserve">ORD-2025-10844</t>
  </si>
  <si>
    <t xml:space="preserve">CUST-7333</t>
  </si>
  <si>
    <t xml:space="preserve">Prime Phones 482</t>
  </si>
  <si>
    <t xml:space="preserve">ORD-2025-10845</t>
  </si>
  <si>
    <t xml:space="preserve">CUST-2086</t>
  </si>
  <si>
    <t xml:space="preserve">Pro Art 588</t>
  </si>
  <si>
    <t xml:space="preserve">ORD-2024-10846</t>
  </si>
  <si>
    <t xml:space="preserve">Eco Tables 792</t>
  </si>
  <si>
    <t xml:space="preserve">ORD-2024-10847</t>
  </si>
  <si>
    <t xml:space="preserve">CUST-6522</t>
  </si>
  <si>
    <t xml:space="preserve">Prime Bookcases 177</t>
  </si>
  <si>
    <t xml:space="preserve">ORD-2025-10848</t>
  </si>
  <si>
    <t xml:space="preserve">CUST-8329</t>
  </si>
  <si>
    <t xml:space="preserve">Pro Tables 828</t>
  </si>
  <si>
    <t xml:space="preserve">ORD-2025-10849</t>
  </si>
  <si>
    <t xml:space="preserve">CUST-4426</t>
  </si>
  <si>
    <t xml:space="preserve">Elite Furnishings 480</t>
  </si>
  <si>
    <t xml:space="preserve">ORD-2024-10850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</si>
  <si>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</si>
  <si>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</si>
  <si>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</si>
  <si>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</si>
  <si>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</si>
  <si>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</si>
  <si>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</si>
  <si>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</si>
  <si>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</si>
  <si>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CUST-9630</t>
  </si>
  <si>
    <t xml:space="preserve">Smart Tables 513</t>
  </si>
  <si>
    <t xml:space="preserve">ORD-2025-10854</t>
  </si>
  <si>
    <t xml:space="preserve">CUST-8274</t>
  </si>
  <si>
    <t xml:space="preserve">Elite Accessories 708</t>
  </si>
  <si>
    <t xml:space="preserve">ORD-2025-10855</t>
  </si>
  <si>
    <t xml:space="preserve">CUST-2514</t>
  </si>
  <si>
    <t xml:space="preserve">Max Bookcases 381</t>
  </si>
  <si>
    <t xml:space="preserve">ORD-2024-10856</t>
  </si>
  <si>
    <t xml:space="preserve">Classic Labels 215</t>
  </si>
  <si>
    <t xml:space="preserve">ORD-2024-10857</t>
  </si>
  <si>
    <t xml:space="preserve">Classic Storage 918</t>
  </si>
  <si>
    <t xml:space="preserve">ORD-2024-10858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</si>
  <si>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</si>
  <si>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</si>
  <si>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</si>
  <si>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</si>
  <si>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</si>
  <si>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CUST-2395</t>
  </si>
  <si>
    <t xml:space="preserve">Elite Phones 394</t>
  </si>
  <si>
    <t xml:space="preserve">ORD-2024-10861</t>
  </si>
  <si>
    <t xml:space="preserve">CUST-8941</t>
  </si>
  <si>
    <t xml:space="preserve">Classic Storage 194</t>
  </si>
  <si>
    <t xml:space="preserve">ORD-2025-10862</t>
  </si>
  <si>
    <t xml:space="preserve">CUST-9448</t>
  </si>
  <si>
    <t xml:space="preserve">Smart Furnishings 892</t>
  </si>
  <si>
    <t xml:space="preserve">ORD-2025-10863</t>
  </si>
  <si>
    <t xml:space="preserve">CUST-8354</t>
  </si>
  <si>
    <t xml:space="preserve">Pro Binders 488</t>
  </si>
  <si>
    <t xml:space="preserve">ORD-2025-10864</t>
  </si>
  <si>
    <t xml:space="preserve">CUST-2200</t>
  </si>
  <si>
    <t xml:space="preserve">Prime Furnishings 679</t>
  </si>
  <si>
    <t xml:space="preserve">ORD-2025-10865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</si>
  <si>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</si>
  <si>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</si>
  <si>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</si>
  <si>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</si>
  <si>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</si>
  <si>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</si>
  <si>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CUST-7596</t>
  </si>
  <si>
    <t xml:space="preserve">Smart Bookcases 552</t>
  </si>
  <si>
    <t xml:space="preserve">ORD-2024-10868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</si>
  <si>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</si>
  <si>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</si>
  <si>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</si>
  <si>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</si>
  <si>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</si>
  <si>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</si>
  <si>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CUST-2388</t>
  </si>
  <si>
    <t xml:space="preserve">ORD-2025-10871</t>
  </si>
  <si>
    <t xml:space="preserve">CUST-7054</t>
  </si>
  <si>
    <t xml:space="preserve">Max Tables 281</t>
  </si>
  <si>
    <t xml:space="preserve">ORD-2024-10872</t>
  </si>
  <si>
    <t xml:space="preserve">Pro Accessories 325</t>
  </si>
  <si>
    <t xml:space="preserve">ORD-2024-10873</t>
  </si>
  <si>
    <t xml:space="preserve">Prime Furnishings 178</t>
  </si>
  <si>
    <t xml:space="preserve">ORD-2025-10874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</si>
  <si>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</si>
  <si>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</si>
  <si>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</si>
  <si>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</si>
  <si>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</si>
  <si>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</si>
  <si>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CUST-6928</t>
  </si>
  <si>
    <t xml:space="preserve">Elite Copiers 752</t>
  </si>
  <si>
    <t xml:space="preserve">ORD-2024-10877</t>
  </si>
  <si>
    <t xml:space="preserve">CUST-9044</t>
  </si>
  <si>
    <t xml:space="preserve">ORD-2025-10878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</si>
  <si>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</si>
  <si>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</si>
  <si>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</si>
  <si>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</si>
  <si>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</si>
  <si>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</si>
  <si>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CUST-4486</t>
  </si>
  <si>
    <t xml:space="preserve">Smart Art 990</t>
  </si>
  <si>
    <t xml:space="preserve">ORD-2024-10881</t>
  </si>
  <si>
    <t xml:space="preserve">CUST-5287</t>
  </si>
  <si>
    <t xml:space="preserve">Basic Chairs 327</t>
  </si>
  <si>
    <t xml:space="preserve">ORD-2024-10882</t>
  </si>
  <si>
    <t xml:space="preserve">CUST-3445</t>
  </si>
  <si>
    <t xml:space="preserve">Eco Copiers 987</t>
  </si>
  <si>
    <t xml:space="preserve">ORD-2025-10883</t>
  </si>
  <si>
    <t xml:space="preserve">CUST-4983</t>
  </si>
  <si>
    <t xml:space="preserve">Basic Accessories 607</t>
  </si>
  <si>
    <t xml:space="preserve">ORD-2025-10884</t>
  </si>
  <si>
    <t xml:space="preserve">CUST-2597</t>
  </si>
  <si>
    <t xml:space="preserve">Classic Storage 211</t>
  </si>
  <si>
    <t xml:space="preserve">ORD-2025-10885</t>
  </si>
  <si>
    <t xml:space="preserve">CUST-7505</t>
  </si>
  <si>
    <t xml:space="preserve">Eco Storage 783</t>
  </si>
  <si>
    <t xml:space="preserve">ORD-2024-10886</t>
  </si>
  <si>
    <t xml:space="preserve">CUST-3446</t>
  </si>
  <si>
    <t xml:space="preserve">Pro Tables 866</t>
  </si>
  <si>
    <t xml:space="preserve">ORD-2025-10887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</si>
  <si>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</si>
  <si>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</si>
  <si>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</si>
  <si>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</si>
  <si>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</si>
  <si>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</si>
  <si>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CUST-1081</t>
  </si>
  <si>
    <t xml:space="preserve">Pro Art 620</t>
  </si>
  <si>
    <t xml:space="preserve">ORD-2025-10890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</si>
  <si>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</si>
  <si>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</si>
  <si>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</si>
  <si>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</si>
  <si>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</si>
  <si>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</si>
  <si>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</si>
  <si>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</si>
  <si>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CUST-5087</t>
  </si>
  <si>
    <t xml:space="preserve">Elite Copiers 221</t>
  </si>
  <si>
    <t xml:space="preserve">ORD-2024-10894</t>
  </si>
  <si>
    <t xml:space="preserve">CUST-9297</t>
  </si>
  <si>
    <t xml:space="preserve">Max Tables 291</t>
  </si>
  <si>
    <t xml:space="preserve">ORD-2024-10895</t>
  </si>
  <si>
    <t xml:space="preserve">CUST-7996</t>
  </si>
  <si>
    <t xml:space="preserve">Classic Tables 638</t>
  </si>
  <si>
    <t xml:space="preserve">ORD-2024-10896</t>
  </si>
  <si>
    <t xml:space="preserve">CUST-4117</t>
  </si>
  <si>
    <t xml:space="preserve">Basic Chairs 212</t>
  </si>
  <si>
    <t xml:space="preserve">ORD-2024-10897</t>
  </si>
  <si>
    <t xml:space="preserve">CUST-4848</t>
  </si>
  <si>
    <t xml:space="preserve">Max Copiers 121</t>
  </si>
  <si>
    <t xml:space="preserve">ORD-2025-10898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</si>
  <si>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</si>
  <si>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</si>
  <si>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</si>
  <si>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</si>
  <si>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</si>
  <si>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CUST-3789</t>
  </si>
  <si>
    <t xml:space="preserve">Elite Chairs 971</t>
  </si>
  <si>
    <t xml:space="preserve">TASK 2 SOURCE DATA. Original, untouched raw values for the 10 text fields (region/ship_mode already have the business-rule 'Unknown' fill applied, since that is a missing-value rule, not a text-formatting issue). Cleaned_Orders cleans these using: =PROPER(TRIM(SUBSTITUTE(cell,CHAR(160)," "))).</t>
  </si>
  <si>
    <t xml:space="preserve">Karan Malhotra</t>
  </si>
  <si>
    <t xml:space="preserve">Consumer</t>
  </si>
  <si>
    <t xml:space="preserve">  North </t>
  </si>
  <si>
    <t xml:space="preserve">Rajasthan</t>
  </si>
  <si>
    <t xml:space="preserve">Jaipur</t>
  </si>
  <si>
    <t xml:space="preserve">Office Supplies</t>
  </si>
  <si>
    <t xml:space="preserve">Paper</t>
  </si>
  <si>
    <t xml:space="preserve">Second Class</t>
  </si>
  <si>
    <t xml:space="preserve">Paid</t>
  </si>
  <si>
    <t xml:space="preserve">Completed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</si>
  <si>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</si>
  <si>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</si>
  <si>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</si>
  <si>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</si>
  <si>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</si>
  <si>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</si>
  <si>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</si>
  <si>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Same Day</t>
  </si>
  <si>
    <t xml:space="preserve">Isha Nair</t>
  </si>
  <si>
    <t xml:space="preserve">Art</t>
  </si>
  <si>
    <t xml:space="preserve">First Class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</si>
  <si>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</si>
  <si>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</si>
  <si>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</si>
  <si>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</si>
  <si>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</si>
  <si>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Standard Class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</si>
  <si>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</si>
  <si>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</si>
  <si>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</si>
  <si>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</si>
  <si>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</si>
  <si>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Cancelled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</si>
  <si>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</si>
  <si>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</si>
  <si>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</si>
  <si>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</si>
  <si>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</si>
  <si>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Neha Gupta</t>
  </si>
  <si>
    <t xml:space="preserve">Copiers</t>
  </si>
  <si>
    <t xml:space="preserve">Andhra Pradesh</t>
  </si>
  <si>
    <t xml:space="preserve">Vijayawada</t>
  </si>
  <si>
    <t xml:space="preserve">Aditi Sen</t>
  </si>
  <si>
    <t xml:space="preserve">Corporate</t>
  </si>
  <si>
    <t xml:space="preserve">Labels</t>
  </si>
  <si>
    <t xml:space="preserve">Home Office</t>
  </si>
  <si>
    <t xml:space="preserve">West Bengal</t>
  </si>
  <si>
    <t xml:space="preserve">Kolkata</t>
  </si>
  <si>
    <t xml:space="preserve">Refunded</t>
  </si>
  <si>
    <t xml:space="preserve">Returned</t>
  </si>
  <si>
    <t xml:space="preserve">Corporate </t>
  </si>
  <si>
    <t xml:space="preserve">Udaipur</t>
  </si>
  <si>
    <t xml:space="preserve">Pending</t>
  </si>
  <si>
    <t xml:space="preserve">Priya Menon</t>
  </si>
  <si>
    <t xml:space="preserve">Rahul Verma</t>
  </si>
  <si>
    <t xml:space="preserve">North</t>
  </si>
  <si>
    <t xml:space="preserve">Punjab</t>
  </si>
  <si>
    <t xml:space="preserve">Ludhiana</t>
  </si>
  <si>
    <t xml:space="preserve">Storage</t>
  </si>
  <si>
    <t xml:space="preserve">Aarav Sharma</t>
  </si>
  <si>
    <t xml:space="preserve">Sneha Kapoor</t>
  </si>
  <si>
    <t xml:space="preserve">Uttar Pradesh</t>
  </si>
  <si>
    <t xml:space="preserve">Noida</t>
  </si>
  <si>
    <t xml:space="preserve">Rohan Mehta</t>
  </si>
  <si>
    <t xml:space="preserve">Bihar</t>
  </si>
  <si>
    <t xml:space="preserve">Patna</t>
  </si>
  <si>
    <t xml:space="preserve">Binders</t>
  </si>
  <si>
    <t xml:space="preserve">Failed</t>
  </si>
  <si>
    <t xml:space="preserve">Bookcases</t>
  </si>
  <si>
    <t xml:space="preserve">Diya Patel</t>
  </si>
  <si>
    <t xml:space="preserve">Assam</t>
  </si>
  <si>
    <t xml:space="preserve">Guwahati</t>
  </si>
  <si>
    <t xml:space="preserve">Phones</t>
  </si>
  <si>
    <t xml:space="preserve">Paid </t>
  </si>
  <si>
    <t xml:space="preserve">Karnataka</t>
  </si>
  <si>
    <t xml:space="preserve">Bengaluru</t>
  </si>
  <si>
    <t xml:space="preserve">Gujarat</t>
  </si>
  <si>
    <t xml:space="preserve">Ahmedabad</t>
  </si>
  <si>
    <t xml:space="preserve">Kerala</t>
  </si>
  <si>
    <t xml:space="preserve">Kochi</t>
  </si>
  <si>
    <t xml:space="preserve">Goa</t>
  </si>
  <si>
    <t xml:space="preserve">Panaji</t>
  </si>
  <si>
    <t xml:space="preserve">Unknown</t>
  </si>
  <si>
    <t xml:space="preserve">STANDARD CLASS</t>
  </si>
  <si>
    <t xml:space="preserve">Jharkhand</t>
  </si>
  <si>
    <t xml:space="preserve">Ranchi</t>
  </si>
  <si>
    <t xml:space="preserve">Haryana</t>
  </si>
  <si>
    <t xml:space="preserve">Gurugram</t>
  </si>
  <si>
    <t xml:space="preserve">Tamil Nadu</t>
  </si>
  <si>
    <t xml:space="preserve">Chennai</t>
  </si>
  <si>
    <t xml:space="preserve">Second Class </t>
  </si>
  <si>
    <t xml:space="preserve">Ananya Rao </t>
  </si>
  <si>
    <t xml:space="preserve">Kabir Singh</t>
  </si>
  <si>
    <t xml:space="preserve">Machines</t>
  </si>
  <si>
    <t xml:space="preserve">  Small Business </t>
  </si>
  <si>
    <t xml:space="preserve">  Furniture </t>
  </si>
  <si>
    <t xml:space="preserve">Delhi</t>
  </si>
  <si>
    <t xml:space="preserve">New Delhi</t>
  </si>
  <si>
    <t xml:space="preserve">Technology </t>
  </si>
  <si>
    <t xml:space="preserve">  Home Office </t>
  </si>
  <si>
    <t xml:space="preserve">  Consumer </t>
  </si>
  <si>
    <t xml:space="preserve">Vikram  Iyer</t>
  </si>
  <si>
    <t xml:space="preserve">Small Business </t>
  </si>
  <si>
    <t xml:space="preserve">Small  Business</t>
  </si>
  <si>
    <t xml:space="preserve">NORTH</t>
  </si>
  <si>
    <t xml:space="preserve">Completed </t>
  </si>
  <si>
    <t xml:space="preserve">Furniture </t>
  </si>
  <si>
    <t xml:space="preserve">Standard  Class</t>
  </si>
  <si>
    <t xml:space="preserve">west</t>
  </si>
  <si>
    <t xml:space="preserve">consumer</t>
  </si>
  <si>
    <t xml:space="preserve">OFFICE SUPPLIES</t>
  </si>
  <si>
    <t xml:space="preserve">PRIYA MENON</t>
  </si>
  <si>
    <t xml:space="preserve">completed</t>
  </si>
  <si>
    <t xml:space="preserve">  Completed </t>
  </si>
  <si>
    <t xml:space="preserve">WEST</t>
  </si>
  <si>
    <t xml:space="preserve">EAST</t>
  </si>
  <si>
    <t xml:space="preserve">  Second Class </t>
  </si>
  <si>
    <t xml:space="preserve">  First Class </t>
  </si>
  <si>
    <t xml:space="preserve">SMALL BUSINESS</t>
  </si>
  <si>
    <t xml:space="preserve">Office  Supplies</t>
  </si>
  <si>
    <t xml:space="preserve">FURNITURE</t>
  </si>
  <si>
    <t xml:space="preserve">  Cancelled </t>
  </si>
  <si>
    <t xml:space="preserve">Priya Menon </t>
  </si>
  <si>
    <t xml:space="preserve">PENDING</t>
  </si>
  <si>
    <t xml:space="preserve">machines</t>
  </si>
  <si>
    <t xml:space="preserve">corporate</t>
  </si>
  <si>
    <t xml:space="preserve">storage</t>
  </si>
  <si>
    <t xml:space="preserve">HOME OFFICE</t>
  </si>
  <si>
    <t xml:space="preserve">TECHNOLOGY</t>
  </si>
  <si>
    <t xml:space="preserve">  Corporate </t>
  </si>
  <si>
    <t xml:space="preserve">PAPER</t>
  </si>
  <si>
    <t xml:space="preserve">FIRST CLASS</t>
  </si>
  <si>
    <t xml:space="preserve">Office Supplies </t>
  </si>
  <si>
    <t xml:space="preserve">  Accessories </t>
  </si>
  <si>
    <t xml:space="preserve">North </t>
  </si>
  <si>
    <t xml:space="preserve">COMPLETED</t>
  </si>
  <si>
    <t xml:space="preserve">cancelled</t>
  </si>
  <si>
    <t xml:space="preserve">  East </t>
  </si>
  <si>
    <t xml:space="preserve">Aarav  Sharma</t>
  </si>
  <si>
    <t xml:space="preserve">Accessories </t>
  </si>
  <si>
    <t xml:space="preserve">mira das</t>
  </si>
  <si>
    <t xml:space="preserve">CANCELLED</t>
  </si>
  <si>
    <t xml:space="preserve">office supplies</t>
  </si>
  <si>
    <t xml:space="preserve">  Diya Patel </t>
  </si>
  <si>
    <t xml:space="preserve">  Pending </t>
  </si>
  <si>
    <t xml:space="preserve">  Technology </t>
  </si>
  <si>
    <t xml:space="preserve">binders</t>
  </si>
  <si>
    <t xml:space="preserve">Rohan  Mehta</t>
  </si>
  <si>
    <t xml:space="preserve">  Rahul Verma </t>
  </si>
  <si>
    <t xml:space="preserve">COPIERS</t>
  </si>
  <si>
    <t xml:space="preserve">ananya rao</t>
  </si>
  <si>
    <t xml:space="preserve">Machines </t>
  </si>
  <si>
    <t xml:space="preserve">Home Office </t>
  </si>
  <si>
    <t xml:space="preserve">east</t>
  </si>
  <si>
    <t xml:space="preserve">West </t>
  </si>
  <si>
    <t xml:space="preserve">  South </t>
  </si>
  <si>
    <t xml:space="preserve">north</t>
  </si>
  <si>
    <t xml:space="preserve">failed</t>
  </si>
  <si>
    <t xml:space="preserve">standard class</t>
  </si>
  <si>
    <t xml:space="preserve">MACHINES</t>
  </si>
  <si>
    <t xml:space="preserve">Karan Malhotra </t>
  </si>
  <si>
    <t xml:space="preserve">kabir singh</t>
  </si>
  <si>
    <t xml:space="preserve">LABELS</t>
  </si>
  <si>
    <t xml:space="preserve">TASK 4 — Exact duplicate rows removed from Cleaned_Orders (identical across every field). Conflicting duplicates (same order_id, different data) were NOT removed - they remain in Cleaned_Orders flagged 'Duplicate Order ID Conflict' / status 'Invalid' for manual review.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</si>
</sst>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.00"/>
    <numFmt numFmtId="167" formatCode="0.0%"/>
    <numFmt numFmtId="168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eanedOrders" displayName="CleanedOrders" ref="A1:AE913" headerRowCount="1" totalsRowCount="0" totalsRowShown="0">
  <autoFilter ref="A1:AE913"/>
  <tableColumns count="31">
    <tableColumn id="1" name="order_id"/>
    <tableColumn id="2" name="order_date"/>
    <tableColumn id="3" name="ship_date"/>
    <tableColumn id="4" name="customer_id"/>
    <tableColumn id="5" name="customer_name"/>
    <tableColumn id="6" name="segment"/>
    <tableColumn id="7" name="region"/>
    <tableColumn id="8" name="state"/>
    <tableColumn id="9" name="city"/>
    <tableColumn id="10" name="category"/>
    <tableColumn id="11" name="sub_category"/>
    <tableColumn id="12" name="product_name"/>
    <tableColumn id="13" name="ship_mode"/>
    <tableColumn id="14" name="quantity"/>
    <tableColumn id="15" name="unit_price"/>
    <tableColumn id="16" name="discount"/>
    <tableColumn id="17" name="sales"/>
    <tableColumn id="18" name="cost"/>
    <tableColumn id="19" name="profit"/>
    <tableColumn id="20" name="payment_status"/>
    <tableColumn id="21" name="order_status"/>
    <tableColumn id="22" name="cleaned_discount"/>
    <tableColumn id="23" name="calculated_sales"/>
    <tableColumn id="24" name="calculated_profit"/>
    <tableColumn id="25" name="profit_margin"/>
    <tableColumn id="26" name="shipping_delay_days"/>
    <tableColumn id="27" name="order_month"/>
    <tableColumn id="28" name="order_year"/>
    <tableColumn id="29" name="original_data_flags"/>
    <tableColumn id="30" name="flag_details"/>
    <tableColumn id="31" name="data_quality_fla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9" min="8" style="1" width="14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20"/>
    <col collapsed="false" customWidth="true" hidden="false" outlineLevel="0" max="13" min="13" style="1" width="14"/>
    <col collapsed="false" customWidth="true" hidden="false" outlineLevel="0" max="14" min="14" style="1" width="9"/>
    <col collapsed="false" customWidth="true" hidden="false" outlineLevel="0" max="15" min="15" style="1" width="11"/>
    <col collapsed="false" customWidth="true" hidden="false" outlineLevel="0" max="16" min="16" style="1" width="9"/>
    <col collapsed="false" customWidth="true" hidden="false" outlineLevel="0" max="19" min="17" style="1" width="12"/>
    <col collapsed="false" customWidth="true" hidden="false" outlineLevel="0" max="20" min="20" style="1" width="13"/>
    <col collapsed="false" customWidth="true" hidden="false" outlineLevel="0" max="21" min="21" style="1" width="12"/>
    <col collapsed="false" customWidth="true" hidden="false" outlineLevel="0" max="23" min="22" style="1" width="14"/>
    <col collapsed="false" customWidth="true" hidden="false" outlineLevel="0" max="24" min="24" style="1" width="15"/>
    <col collapsed="false" customWidth="true" hidden="false" outlineLevel="0" max="26" min="25" style="1" width="12"/>
    <col collapsed="false" customWidth="true" hidden="false" outlineLevel="0" max="28" min="27" style="1" width="10"/>
    <col collapsed="false" customWidth="true" hidden="false" outlineLevel="0" max="29" min="29" style="1" width="28"/>
    <col collapsed="false" customWidth="true" hidden="false" outlineLevel="0" max="30" min="30" style="1" width="45"/>
    <col collapsed="false" customWidth="true" hidden="false" outlineLevel="0" max="31" min="31" style="1" width="1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customFormat="false" ht="15" hidden="false" customHeight="true" outlineLevel="0" collapsed="false">
      <c r="A2" s="3" t="s">
        <v>31</v>
      </c>
      <c r="B2" s="4" t="n">
        <v>45494</v>
      </c>
      <c r="C2" s="4" t="n">
        <v>45500</v>
      </c>
      <c r="D2" s="3" t="s">
        <v>32</v>
      </c>
      <c r="E2" s="3" t="str">
        <f aca="false">PROPER(TRIM(SUBSTITUTE(Raw_Text_Fields!B3,CHAR(160)," ")))</f>
        <v>Karan Malhotra</v>
      </c>
      <c r="F2" s="3" t="str">
        <f aca="false">PROPER(TRIM(SUBSTITUTE(Raw_Text_Fields!C3,CHAR(160)," ")))</f>
        <v>Consumer</v>
      </c>
      <c r="G2" s="3" t="str">
        <f aca="false">PROPER(TRIM(SUBSTITUTE(Raw_Text_Fields!D3,CHAR(160)," ")))</f>
        <v>North</v>
      </c>
      <c r="H2" s="3" t="str">
        <f aca="false">PROPER(TRIM(SUBSTITUTE(Raw_Text_Fields!E3,CHAR(160)," ")))</f>
        <v>Rajasthan</v>
      </c>
      <c r="I2" s="3" t="str">
        <f aca="false">PROPER(TRIM(SUBSTITUTE(Raw_Text_Fields!F3,CHAR(160)," ")))</f>
        <v>Jaipur</v>
      </c>
      <c r="J2" s="3" t="str">
        <f aca="false">PROPER(TRIM(SUBSTITUTE(Raw_Text_Fields!G3,CHAR(160)," ")))</f>
        <v>Office Supplies</v>
      </c>
      <c r="K2" s="3" t="str">
        <f aca="false">PROPER(TRIM(SUBSTITUTE(Raw_Text_Fields!H3,CHAR(160)," ")))</f>
        <v>Paper</v>
      </c>
      <c r="L2" s="3" t="s">
        <v>33</v>
      </c>
      <c r="M2" s="3" t="str">
        <f aca="false">PROPER(TRIM(SUBSTITUTE(Raw_Text_Fields!I3,CHAR(160)," ")))</f>
        <v>Second Class</v>
      </c>
      <c r="N2" s="3" t="n">
        <v>8</v>
      </c>
      <c r="O2" s="5" t="n">
        <v>2976.45</v>
      </c>
      <c r="P2" s="6" t="n">
        <v>0.2</v>
      </c>
      <c r="Q2" s="5" t="n">
        <v>19049.28</v>
      </c>
      <c r="R2" s="5" t="n">
        <v>15841.89</v>
      </c>
      <c r="S2" s="5" t="n">
        <v>3207.39</v>
      </c>
      <c r="T2" s="3" t="str">
        <f aca="false">PROPER(TRIM(SUBSTITUTE(Raw_Text_Fields!J3,CHAR(160)," ")))</f>
        <v>Paid</v>
      </c>
      <c r="U2" s="3" t="str">
        <f aca="false">PROPER(TRIM(SUBSTITUTE(Raw_Text_Fields!K3,CHAR(160)," ")))</f>
        <v>Completed</v>
      </c>
      <c r="V2" s="7" t="n">
        <f aca="false">IF(OR(P2&lt;0,P2&gt;0.5),0,P2)</f>
        <v>0.2</v>
      </c>
      <c r="W2" s="8" t="n">
        <f aca="false">N2*O2*(1-V2)</f>
        <v>19049.28</v>
      </c>
      <c r="X2" s="8" t="n">
        <f aca="false">W2-R2</f>
        <v>3207.39</v>
      </c>
      <c r="Y2" s="7" t="n">
        <f aca="false">IFERROR(X2/W2,0)</f>
        <v>0.168373292848864</v>
      </c>
      <c r="Z2" s="9" t="n">
        <f aca="false">C2-B2</f>
        <v>6</v>
      </c>
      <c r="AA2" s="1" t="str">
        <f aca="false">IF(B2="","",TEXT(B2,"mmm"))</f>
        <v>Jul</v>
      </c>
      <c r="AB2" s="9" t="n">
        <f aca="false">IF(B2="","",YEAR(B2))</f>
        <v>2024</v>
      </c>
      <c r="AC2" s="3"/>
      <c r="AD2" s="3" t="str">
        <f aca="false">IF(LEFT(AC2&amp;IF(B2="","; Missing Order Date","")&amp;IF(C2="","; Missing Ship Date","")&amp;IF(P2&lt;0,"; Invalid Discount (Negative)","")&amp;IF(P2&gt;0.5,"; Invalid Discount (Too High)","")&amp;IF(Z2&lt;0,"; Invalid Shipping Record (Ship Before Order)","")&amp;IF(ABS(Q2-W2)&gt;1,"; Sales Mismatch","")&amp;IF(ABS(S2-X2)&gt;1,"; Profit Mismatch","")&amp;IF(COUNTIF($A$2:$A$913,A2)&gt;1,"; Duplicate Order ID Conflict",""),2)="; ",MID(AC2&amp;IF(B2="","; Missing Order Date","")&amp;IF(C2="","; Missing Ship Date","")&amp;IF(P2&lt;0,"; Invalid Discount (Negative)","")&amp;IF(P2&gt;0.5,"; Invalid Discount (Too High)","")&amp;IF(Z2&lt;0,"; Invalid Shipping Record (Ship Before Order)","")&amp;IF(ABS(Q2-W2)&gt;1,"; Sales Mismatch","")&amp;IF(ABS(S2-X2)&gt;1,"; Profit Mismatch","")&amp;IF(COUNTIF($A$2:$A$913,A2)&gt;1,"; Duplicate Order ID Conflict",""),3,500),AC2&amp;IF(B2="","; Missing Order Date","")&amp;IF(C2="","; Missing Ship Date","")&amp;IF(P2&lt;0,"; Invalid Discount (Negative)","")&amp;IF(P2&gt;0.5,"; Invalid Discount (Too High)","")&amp;IF(Z2&lt;0,"; Invalid Shipping Record (Ship Before Order)","")&amp;IF(ABS(Q2-W2)&gt;1,"; Sales Mismatch","")&amp;IF(ABS(S2-X2)&gt;1,"; Profit Mismatch","")&amp;IF(COUNTIF($A$2:$A$913,A2)&gt;1,"; Duplicate Order ID Conflict",""))</f>
        <v/>
      </c>
      <c r="AE2" s="10" t="str">
        <f aca="false">IF(OR(ISNUMBER(SEARCH("Invalid Discount",AD2)),ISNUMBER(SEARCH("Invalid Shipping Record",AD2)),ISNUMBER(SEARCH("Sales Mismatch",AD2)),ISNUMBER(SEARCH("Profit Mismatch",AD2)),ISNUMBER(SEARCH("Duplicate Order ID Conflict",AD2)),ISNUMBER(SEARCH("Missing Order Date",AD2)),ISNUMBER(SEARCH("Missing Ship Date",AD2))),"Invalid",IF(AD2&lt;&gt;"","Warning","Clean"))</f>
        <v>Clean</v>
      </c>
    </row>
    <row r="3" customFormat="false" ht="15" hidden="false" customHeight="true" outlineLevel="0" collapsed="false">
      <c r="A3" s="3" t="s">
        <v>34</v>
      </c>
      <c r="B3" s="4" t="n">
        <v>45535</v>
      </c>
      <c r="C3" s="4" t="n">
        <v>45540</v>
      </c>
      <c r="D3" s="3" t="s">
        <v>35</v>
      </c>
      <c r="E3" s="3" t="str">
        <f aca="false">PROPER(TRIM(SUBSTITUTE(Raw_Text_Fields!B4,CHAR(160)," ")))</f>
        <v>Mira Das</v>
      </c>
      <c r="F3" s="3" t="str">
        <f aca="false">PROPER(TRIM(SUBSTITUTE(Raw_Text_Fields!C4,CHAR(160)," ")))</f>
        <v>Small Business</v>
      </c>
      <c r="G3" s="3" t="str">
        <f aca="false">PROPER(TRIM(SUBSTITUTE(Raw_Text_Fields!D4,CHAR(160)," ")))</f>
        <v>East</v>
      </c>
      <c r="H3" s="3" t="str">
        <f aca="false">PROPER(TRIM(SUBSTITUTE(Raw_Text_Fields!E4,CHAR(160)," ")))</f>
        <v>Odisha</v>
      </c>
      <c r="I3" s="3" t="str">
        <f aca="false">PROPER(TRIM(SUBSTITUTE(Raw_Text_Fields!F4,CHAR(160)," ")))</f>
        <v>Bhubaneswar</v>
      </c>
      <c r="J3" s="3" t="str">
        <f aca="false">PROPER(TRIM(SUBSTITUTE(Raw_Text_Fields!G4,CHAR(160)," ")))</f>
        <v>Furniture</v>
      </c>
      <c r="K3" s="3" t="str">
        <f aca="false">PROPER(TRIM(SUBSTITUTE(Raw_Text_Fields!H4,CHAR(160)," ")))</f>
        <v>Tables</v>
      </c>
      <c r="L3" s="3" t="s">
        <v>36</v>
      </c>
      <c r="M3" s="3" t="str">
        <f aca="false">PROPER(TRIM(SUBSTITUTE(Raw_Text_Fields!I4,CHAR(160)," ")))</f>
        <v>Same Day</v>
      </c>
      <c r="N3" s="3" t="n">
        <v>3</v>
      </c>
      <c r="O3" s="5" t="n">
        <v>2437.5</v>
      </c>
      <c r="P3" s="6" t="n">
        <v>0</v>
      </c>
      <c r="Q3" s="5" t="n">
        <v>7312.5</v>
      </c>
      <c r="R3" s="5" t="n">
        <v>4904.73</v>
      </c>
      <c r="S3" s="5" t="n">
        <v>2407.77</v>
      </c>
      <c r="T3" s="3" t="str">
        <f aca="false">PROPER(TRIM(SUBSTITUTE(Raw_Text_Fields!J4,CHAR(160)," ")))</f>
        <v>Paid</v>
      </c>
      <c r="U3" s="3" t="str">
        <f aca="false">PROPER(TRIM(SUBSTITUTE(Raw_Text_Fields!K4,CHAR(160)," ")))</f>
        <v>Completed</v>
      </c>
      <c r="V3" s="7" t="n">
        <f aca="false">IF(OR(P3&lt;0,P3&gt;0.5),0,P3)</f>
        <v>0</v>
      </c>
      <c r="W3" s="8" t="n">
        <f aca="false">N3*O3*(1-V3)</f>
        <v>7312.5</v>
      </c>
      <c r="X3" s="8" t="n">
        <f aca="false">W3-R3</f>
        <v>2407.77</v>
      </c>
      <c r="Y3" s="7" t="n">
        <f aca="false">IFERROR(X3/W3,0)</f>
        <v>0.329267692307692</v>
      </c>
      <c r="Z3" s="9" t="n">
        <f aca="false">C3-B3</f>
        <v>5</v>
      </c>
      <c r="AA3" s="1" t="str">
        <f aca="false">IF(B3="","",TEXT(B3,"mmm"))</f>
        <v>Aug</v>
      </c>
      <c r="AB3" s="9" t="n">
        <f aca="false">IF(B3="","",YEAR(B3))</f>
        <v>2024</v>
      </c>
      <c r="AC3" s="3"/>
      <c r="AD3" s="3" t="str">
        <f aca="false">IF(LEFT(AC3&amp;IF(B3="","; Missing Order Date","")&amp;IF(C3="","; Missing Ship Date","")&amp;IF(P3&lt;0,"; Invalid Discount (Negative)","")&amp;IF(P3&gt;0.5,"; Invalid Discount (Too High)","")&amp;IF(Z3&lt;0,"; Invalid Shipping Record (Ship Before Order)","")&amp;IF(ABS(Q3-W3)&gt;1,"; Sales Mismatch","")&amp;IF(ABS(S3-X3)&gt;1,"; Profit Mismatch","")&amp;IF(COUNTIF($A$2:$A$913,A3)&gt;1,"; Duplicate Order ID Conflict",""),2)="; ",MID(AC3&amp;IF(B3="","; Missing Order Date","")&amp;IF(C3="","; Missing Ship Date","")&amp;IF(P3&lt;0,"; Invalid Discount (Negative)","")&amp;IF(P3&gt;0.5,"; Invalid Discount (Too High)","")&amp;IF(Z3&lt;0,"; Invalid Shipping Record (Ship Before Order)","")&amp;IF(ABS(Q3-W3)&gt;1,"; Sales Mismatch","")&amp;IF(ABS(S3-X3)&gt;1,"; Profit Mismatch","")&amp;IF(COUNTIF($A$2:$A$913,A3)&gt;1,"; Duplicate Order ID Conflict",""),3,500),AC3&amp;IF(B3="","; Missing Order Date","")&amp;IF(C3="","; Missing Ship Date","")&amp;IF(P3&lt;0,"; Invalid Discount (Negative)","")&amp;IF(P3&gt;0.5,"; Invalid Discount (Too High)","")&amp;IF(Z3&lt;0,"; Invalid Shipping Record (Ship Before Order)","")&amp;IF(ABS(Q3-W3)&gt;1,"; Sales Mismatch","")&amp;IF(ABS(S3-X3)&gt;1,"; Profit Mismatch","")&amp;IF(COUNTIF($A$2:$A$913,A3)&gt;1,"; Duplicate Order ID Conflict",""))</f>
        <v/>
      </c>
      <c r="AE3" s="10" t="str">
        <f aca="false">IF(OR(ISNUMBER(SEARCH("Invalid Discount",AD3)),ISNUMBER(SEARCH("Invalid Shipping Record",AD3)),ISNUMBER(SEARCH("Sales Mismatch",AD3)),ISNUMBER(SEARCH("Profit Mismatch",AD3)),ISNUMBER(SEARCH("Duplicate Order ID Conflict",AD3)),ISNUMBER(SEARCH("Missing Order Date",AD3)),ISNUMBER(SEARCH("Missing Ship Date",AD3))),"Invalid",IF(AD3&lt;&gt;"","Warning","Clean"))</f>
        <v>Clean</v>
      </c>
    </row>
    <row r="4" customFormat="false" ht="15" hidden="false" customHeight="true" outlineLevel="0" collapsed="false">
      <c r="A4" s="3" t="s">
        <v>37</v>
      </c>
      <c r="B4" s="4" t="n">
        <v>45451</v>
      </c>
      <c r="C4" s="4" t="n">
        <v>45458</v>
      </c>
      <c r="D4" s="3" t="s">
        <v>38</v>
      </c>
      <c r="E4" s="3" t="str">
        <f aca="false">PROPER(TRIM(SUBSTITUTE(Raw_Text_Fields!B5,CHAR(160)," ")))</f>
        <v>Isha Nair</v>
      </c>
      <c r="F4" s="3" t="str">
        <f aca="false">PROPER(TRIM(SUBSTITUTE(Raw_Text_Fields!C5,CHAR(160)," ")))</f>
        <v>Consumer</v>
      </c>
      <c r="G4" s="3" t="str">
        <f aca="false">PROPER(TRIM(SUBSTITUTE(Raw_Text_Fields!D5,CHAR(160)," ")))</f>
        <v>East</v>
      </c>
      <c r="H4" s="3" t="str">
        <f aca="false">PROPER(TRIM(SUBSTITUTE(Raw_Text_Fields!E5,CHAR(160)," ")))</f>
        <v>Odisha</v>
      </c>
      <c r="I4" s="3" t="str">
        <f aca="false">PROPER(TRIM(SUBSTITUTE(Raw_Text_Fields!F5,CHAR(160)," ")))</f>
        <v>Bhubaneswar</v>
      </c>
      <c r="J4" s="3" t="str">
        <f aca="false">PROPER(TRIM(SUBSTITUTE(Raw_Text_Fields!G5,CHAR(160)," ")))</f>
        <v>Office Supplies</v>
      </c>
      <c r="K4" s="3" t="str">
        <f aca="false">PROPER(TRIM(SUBSTITUTE(Raw_Text_Fields!H5,CHAR(160)," ")))</f>
        <v>Art</v>
      </c>
      <c r="L4" s="3" t="s">
        <v>39</v>
      </c>
      <c r="M4" s="3" t="str">
        <f aca="false">PROPER(TRIM(SUBSTITUTE(Raw_Text_Fields!I5,CHAR(160)," ")))</f>
        <v>First Class</v>
      </c>
      <c r="N4" s="3" t="n">
        <v>4</v>
      </c>
      <c r="O4" s="5" t="n">
        <v>1065.43</v>
      </c>
      <c r="P4" s="6" t="n">
        <v>0.55</v>
      </c>
      <c r="Q4" s="5" t="n">
        <v>4261.72</v>
      </c>
      <c r="R4" s="5" t="n">
        <v>2465.69</v>
      </c>
      <c r="S4" s="5" t="n">
        <v>1796.03</v>
      </c>
      <c r="T4" s="3" t="str">
        <f aca="false">PROPER(TRIM(SUBSTITUTE(Raw_Text_Fields!J5,CHAR(160)," ")))</f>
        <v>Paid</v>
      </c>
      <c r="U4" s="3" t="str">
        <f aca="false">PROPER(TRIM(SUBSTITUTE(Raw_Text_Fields!K5,CHAR(160)," ")))</f>
        <v>Completed</v>
      </c>
      <c r="V4" s="7" t="n">
        <f aca="false">IF(OR(P4&lt;0,P4&gt;0.5),0,P4)</f>
        <v>0</v>
      </c>
      <c r="W4" s="8" t="n">
        <f aca="false">N4*O4*(1-V4)</f>
        <v>4261.72</v>
      </c>
      <c r="X4" s="8" t="n">
        <f aca="false">W4-R4</f>
        <v>1796.03</v>
      </c>
      <c r="Y4" s="7" t="n">
        <f aca="false">IFERROR(X4/W4,0)</f>
        <v>0.421433130285425</v>
      </c>
      <c r="Z4" s="9" t="n">
        <f aca="false">C4-B4</f>
        <v>7</v>
      </c>
      <c r="AA4" s="1" t="str">
        <f aca="false">IF(B4="","",TEXT(B4,"mmm"))</f>
        <v>Jun</v>
      </c>
      <c r="AB4" s="9" t="n">
        <f aca="false">IF(B4="","",YEAR(B4))</f>
        <v>2024</v>
      </c>
      <c r="AC4" s="3"/>
      <c r="AD4" s="3" t="str">
        <f aca="false">IF(LEFT(AC4&amp;IF(B4="","; Missing Order Date","")&amp;IF(C4="","; Missing Ship Date","")&amp;IF(P4&lt;0,"; Invalid Discount (Negative)","")&amp;IF(P4&gt;0.5,"; Invalid Discount (Too High)","")&amp;IF(Z4&lt;0,"; Invalid Shipping Record (Ship Before Order)","")&amp;IF(ABS(Q4-W4)&gt;1,"; Sales Mismatch","")&amp;IF(ABS(S4-X4)&gt;1,"; Profit Mismatch","")&amp;IF(COUNTIF($A$2:$A$913,A4)&gt;1,"; Duplicate Order ID Conflict",""),2)="; ",MID(AC4&amp;IF(B4="","; Missing Order Date","")&amp;IF(C4="","; Missing Ship Date","")&amp;IF(P4&lt;0,"; Invalid Discount (Negative)","")&amp;IF(P4&gt;0.5,"; Invalid Discount (Too High)","")&amp;IF(Z4&lt;0,"; Invalid Shipping Record (Ship Before Order)","")&amp;IF(ABS(Q4-W4)&gt;1,"; Sales Mismatch","")&amp;IF(ABS(S4-X4)&gt;1,"; Profit Mismatch","")&amp;IF(COUNTIF($A$2:$A$913,A4)&gt;1,"; Duplicate Order ID Conflict",""),3,500),AC4&amp;IF(B4="","; Missing Order Date","")&amp;IF(C4="","; Missing Ship Date","")&amp;IF(P4&lt;0,"; Invalid Discount (Negative)","")&amp;IF(P4&gt;0.5,"; Invalid Discount (Too High)","")&amp;IF(Z4&lt;0,"; Invalid Shipping Record (Ship Before Order)","")&amp;IF(ABS(Q4-W4)&gt;1,"; Sales Mismatch","")&amp;IF(ABS(S4-X4)&gt;1,"; Profit Mismatch","")&amp;IF(COUNTIF($A$2:$A$913,A4)&gt;1,"; Duplicate Order ID Conflict",""))</f>
        <v>Invalid Discount (Too High)</v>
      </c>
      <c r="AE4" s="10" t="str">
        <f aca="false">IF(OR(ISNUMBER(SEARCH("Invalid Discount",AD4)),ISNUMBER(SEARCH("Invalid Shipping Record",AD4)),ISNUMBER(SEARCH("Sales Mismatch",AD4)),ISNUMBER(SEARCH("Profit Mismatch",AD4)),ISNUMBER(SEARCH("Duplicate Order ID Conflict",AD4)),ISNUMBER(SEARCH("Missing Order Date",AD4)),ISNUMBER(SEARCH("Missing Ship Date",AD4))),"Invalid",IF(AD4&lt;&gt;"","Warning","Clean"))</f>
        <v>Invalid</v>
      </c>
    </row>
    <row r="5" customFormat="false" ht="15" hidden="false" customHeight="true" outlineLevel="0" collapsed="false">
      <c r="A5" s="3" t="s">
        <v>40</v>
      </c>
      <c r="B5" s="4" t="n">
        <v>45624</v>
      </c>
      <c r="C5" s="4" t="n">
        <v>45625</v>
      </c>
      <c r="D5" s="3" t="s">
        <v>41</v>
      </c>
      <c r="E5" s="3" t="str">
        <f aca="false">PROPER(TRIM(SUBSTITUTE(Raw_Text_Fields!B6,CHAR(160)," ")))</f>
        <v>Arjun Bose</v>
      </c>
      <c r="F5" s="3" t="str">
        <f aca="false">PROPER(TRIM(SUBSTITUTE(Raw_Text_Fields!C6,CHAR(160)," ")))</f>
        <v>Small Business</v>
      </c>
      <c r="G5" s="3" t="str">
        <f aca="false">PROPER(TRIM(SUBSTITUTE(Raw_Text_Fields!D6,CHAR(160)," ")))</f>
        <v>South</v>
      </c>
      <c r="H5" s="3" t="str">
        <f aca="false">PROPER(TRIM(SUBSTITUTE(Raw_Text_Fields!E6,CHAR(160)," ")))</f>
        <v>Telangana</v>
      </c>
      <c r="I5" s="3" t="str">
        <f aca="false">PROPER(TRIM(SUBSTITUTE(Raw_Text_Fields!F6,CHAR(160)," ")))</f>
        <v>Hyderabad</v>
      </c>
      <c r="J5" s="3" t="str">
        <f aca="false">PROPER(TRIM(SUBSTITUTE(Raw_Text_Fields!G6,CHAR(160)," ")))</f>
        <v>Furniture</v>
      </c>
      <c r="K5" s="3" t="str">
        <f aca="false">PROPER(TRIM(SUBSTITUTE(Raw_Text_Fields!H6,CHAR(160)," ")))</f>
        <v>Furnishings</v>
      </c>
      <c r="L5" s="3" t="s">
        <v>42</v>
      </c>
      <c r="M5" s="3" t="str">
        <f aca="false">PROPER(TRIM(SUBSTITUTE(Raw_Text_Fields!I6,CHAR(160)," ")))</f>
        <v>Standard Class</v>
      </c>
      <c r="N5" s="3" t="n">
        <v>6</v>
      </c>
      <c r="O5" s="5" t="n">
        <v>1848.43</v>
      </c>
      <c r="P5" s="6" t="n">
        <v>0.25</v>
      </c>
      <c r="Q5" s="5" t="n">
        <v>8317.93</v>
      </c>
      <c r="R5" s="5" t="n">
        <v>6796.77</v>
      </c>
      <c r="S5" s="5" t="n">
        <v>1521.16</v>
      </c>
      <c r="T5" s="3" t="str">
        <f aca="false">PROPER(TRIM(SUBSTITUTE(Raw_Text_Fields!J6,CHAR(160)," ")))</f>
        <v>Paid</v>
      </c>
      <c r="U5" s="3" t="str">
        <f aca="false">PROPER(TRIM(SUBSTITUTE(Raw_Text_Fields!K6,CHAR(160)," ")))</f>
        <v>Completed</v>
      </c>
      <c r="V5" s="7" t="n">
        <f aca="false">IF(OR(P5&lt;0,P5&gt;0.5),0,P5)</f>
        <v>0.25</v>
      </c>
      <c r="W5" s="8" t="n">
        <f aca="false">N5*O5*(1-V5)</f>
        <v>8317.935</v>
      </c>
      <c r="X5" s="8" t="n">
        <f aca="false">W5-R5</f>
        <v>1521.165</v>
      </c>
      <c r="Y5" s="7" t="n">
        <f aca="false">IFERROR(X5/W5,0)</f>
        <v>0.182877721453702</v>
      </c>
      <c r="Z5" s="9" t="n">
        <f aca="false">C5-B5</f>
        <v>1</v>
      </c>
      <c r="AA5" s="1" t="str">
        <f aca="false">IF(B5="","",TEXT(B5,"mmm"))</f>
        <v>Nov</v>
      </c>
      <c r="AB5" s="9" t="n">
        <f aca="false">IF(B5="","",YEAR(B5))</f>
        <v>2024</v>
      </c>
      <c r="AC5" s="3"/>
      <c r="AD5" s="3" t="str">
        <f aca="false">IF(LEFT(AC5&amp;IF(B5="","; Missing Order Date","")&amp;IF(C5="","; Missing Ship Date","")&amp;IF(P5&lt;0,"; Invalid Discount (Negative)","")&amp;IF(P5&gt;0.5,"; Invalid Discount (Too High)","")&amp;IF(Z5&lt;0,"; Invalid Shipping Record (Ship Before Order)","")&amp;IF(ABS(Q5-W5)&gt;1,"; Sales Mismatch","")&amp;IF(ABS(S5-X5)&gt;1,"; Profit Mismatch","")&amp;IF(COUNTIF($A$2:$A$913,A5)&gt;1,"; Duplicate Order ID Conflict",""),2)="; ",MID(AC5&amp;IF(B5="","; Missing Order Date","")&amp;IF(C5="","; Missing Ship Date","")&amp;IF(P5&lt;0,"; Invalid Discount (Negative)","")&amp;IF(P5&gt;0.5,"; Invalid Discount (Too High)","")&amp;IF(Z5&lt;0,"; Invalid Shipping Record (Ship Before Order)","")&amp;IF(ABS(Q5-W5)&gt;1,"; Sales Mismatch","")&amp;IF(ABS(S5-X5)&gt;1,"; Profit Mismatch","")&amp;IF(COUNTIF($A$2:$A$913,A5)&gt;1,"; Duplicate Order ID Conflict",""),3,500),AC5&amp;IF(B5="","; Missing Order Date","")&amp;IF(C5="","; Missing Ship Date","")&amp;IF(P5&lt;0,"; Invalid Discount (Negative)","")&amp;IF(P5&gt;0.5,"; Invalid Discount (Too High)","")&amp;IF(Z5&lt;0,"; Invalid Shipping Record (Ship Before Order)","")&amp;IF(ABS(Q5-W5)&gt;1,"; Sales Mismatch","")&amp;IF(ABS(S5-X5)&gt;1,"; Profit Mismatch","")&amp;IF(COUNTIF($A$2:$A$913,A5)&gt;1,"; Duplicate Order ID Conflict",""))</f>
        <v/>
      </c>
      <c r="AE5" s="10" t="str">
        <f aca="false">IF(OR(ISNUMBER(SEARCH("Invalid Discount",AD5)),ISNUMBER(SEARCH("Invalid Shipping Record",AD5)),ISNUMBER(SEARCH("Sales Mismatch",AD5)),ISNUMBER(SEARCH("Profit Mismatch",AD5)),ISNUMBER(SEARCH("Duplicate Order ID Conflict",AD5)),ISNUMBER(SEARCH("Missing Order Date",AD5)),ISNUMBER(SEARCH("Missing Ship Date",AD5))),"Invalid",IF(AD5&lt;&gt;"","Warning","Clean"))</f>
        <v>Clean</v>
      </c>
    </row>
    <row r="6" customFormat="false" ht="15" hidden="false" customHeight="true" outlineLevel="0" collapsed="false">
      <c r="A6" s="3" t="s">
        <v>43</v>
      </c>
      <c r="B6" s="4" t="n">
        <v>45898</v>
      </c>
      <c r="C6" s="4" t="n">
        <v>45901</v>
      </c>
      <c r="D6" s="3" t="s">
        <v>44</v>
      </c>
      <c r="E6" s="3" t="str">
        <f aca="false">PROPER(TRIM(SUBSTITUTE(Raw_Text_Fields!B7,CHAR(160)," ")))</f>
        <v>Ananya Rao</v>
      </c>
      <c r="F6" s="3" t="str">
        <f aca="false">PROPER(TRIM(SUBSTITUTE(Raw_Text_Fields!C7,CHAR(160)," ")))</f>
        <v>Small Business</v>
      </c>
      <c r="G6" s="3" t="str">
        <f aca="false">PROPER(TRIM(SUBSTITUTE(Raw_Text_Fields!D7,CHAR(160)," ")))</f>
        <v>West</v>
      </c>
      <c r="H6" s="3" t="str">
        <f aca="false">PROPER(TRIM(SUBSTITUTE(Raw_Text_Fields!E7,CHAR(160)," ")))</f>
        <v>Maharashtra</v>
      </c>
      <c r="I6" s="3" t="str">
        <f aca="false">PROPER(TRIM(SUBSTITUTE(Raw_Text_Fields!F7,CHAR(160)," ")))</f>
        <v>Mumbai</v>
      </c>
      <c r="J6" s="3" t="str">
        <f aca="false">PROPER(TRIM(SUBSTITUTE(Raw_Text_Fields!G7,CHAR(160)," ")))</f>
        <v>Furniture</v>
      </c>
      <c r="K6" s="3" t="str">
        <f aca="false">PROPER(TRIM(SUBSTITUTE(Raw_Text_Fields!H7,CHAR(160)," ")))</f>
        <v>Chairs</v>
      </c>
      <c r="L6" s="3" t="s">
        <v>45</v>
      </c>
      <c r="M6" s="3" t="str">
        <f aca="false">PROPER(TRIM(SUBSTITUTE(Raw_Text_Fields!I7,CHAR(160)," ")))</f>
        <v>First Class</v>
      </c>
      <c r="N6" s="3" t="n">
        <v>7</v>
      </c>
      <c r="O6" s="5" t="n">
        <v>2973.76</v>
      </c>
      <c r="P6" s="6" t="n">
        <v>0</v>
      </c>
      <c r="Q6" s="5" t="n">
        <v>20816.32</v>
      </c>
      <c r="R6" s="5" t="n">
        <v>17705.37</v>
      </c>
      <c r="S6" s="5" t="n">
        <v>3110.95</v>
      </c>
      <c r="T6" s="3" t="str">
        <f aca="false">PROPER(TRIM(SUBSTITUTE(Raw_Text_Fields!J7,CHAR(160)," ")))</f>
        <v>Paid</v>
      </c>
      <c r="U6" s="3" t="str">
        <f aca="false">PROPER(TRIM(SUBSTITUTE(Raw_Text_Fields!K7,CHAR(160)," ")))</f>
        <v>Cancelled</v>
      </c>
      <c r="V6" s="7" t="n">
        <f aca="false">IF(OR(P6&lt;0,P6&gt;0.5),0,P6)</f>
        <v>0</v>
      </c>
      <c r="W6" s="8" t="n">
        <f aca="false">N6*O6*(1-V6)</f>
        <v>20816.32</v>
      </c>
      <c r="X6" s="8" t="n">
        <f aca="false">W6-R6</f>
        <v>3110.95</v>
      </c>
      <c r="Y6" s="7" t="n">
        <f aca="false">IFERROR(X6/W6,0)</f>
        <v>0.149447644924751</v>
      </c>
      <c r="Z6" s="9" t="n">
        <f aca="false">C6-B6</f>
        <v>3</v>
      </c>
      <c r="AA6" s="1" t="str">
        <f aca="false">IF(B6="","",TEXT(B6,"mmm"))</f>
        <v>Aug</v>
      </c>
      <c r="AB6" s="9" t="n">
        <f aca="false">IF(B6="","",YEAR(B6))</f>
        <v>2025</v>
      </c>
      <c r="AC6" s="3"/>
      <c r="AD6" s="3" t="str">
        <f aca="false">IF(LEFT(AC6&amp;IF(B6="","; Missing Order Date","")&amp;IF(C6="","; Missing Ship Date","")&amp;IF(P6&lt;0,"; Invalid Discount (Negative)","")&amp;IF(P6&gt;0.5,"; Invalid Discount (Too High)","")&amp;IF(Z6&lt;0,"; Invalid Shipping Record (Ship Before Order)","")&amp;IF(ABS(Q6-W6)&gt;1,"; Sales Mismatch","")&amp;IF(ABS(S6-X6)&gt;1,"; Profit Mismatch","")&amp;IF(COUNTIF($A$2:$A$913,A6)&gt;1,"; Duplicate Order ID Conflict",""),2)="; ",MID(AC6&amp;IF(B6="","; Missing Order Date","")&amp;IF(C6="","; Missing Ship Date","")&amp;IF(P6&lt;0,"; Invalid Discount (Negative)","")&amp;IF(P6&gt;0.5,"; Invalid Discount (Too High)","")&amp;IF(Z6&lt;0,"; Invalid Shipping Record (Ship Before Order)","")&amp;IF(ABS(Q6-W6)&gt;1,"; Sales Mismatch","")&amp;IF(ABS(S6-X6)&gt;1,"; Profit Mismatch","")&amp;IF(COUNTIF($A$2:$A$913,A6)&gt;1,"; Duplicate Order ID Conflict",""),3,500),AC6&amp;IF(B6="","; Missing Order Date","")&amp;IF(C6="","; Missing Ship Date","")&amp;IF(P6&lt;0,"; Invalid Discount (Negative)","")&amp;IF(P6&gt;0.5,"; Invalid Discount (Too High)","")&amp;IF(Z6&lt;0,"; Invalid Shipping Record (Ship Before Order)","")&amp;IF(ABS(Q6-W6)&gt;1,"; Sales Mismatch","")&amp;IF(ABS(S6-X6)&gt;1,"; Profit Mismatch","")&amp;IF(COUNTIF($A$2:$A$913,A6)&gt;1,"; Duplicate Order ID Conflict",""))</f>
        <v/>
      </c>
      <c r="AE6" s="10" t="str">
        <f aca="false">IF(OR(ISNUMBER(SEARCH("Invalid Discount",AD6)),ISNUMBER(SEARCH("Invalid Shipping Record",AD6)),ISNUMBER(SEARCH("Sales Mismatch",AD6)),ISNUMBER(SEARCH("Profit Mismatch",AD6)),ISNUMBER(SEARCH("Duplicate Order ID Conflict",AD6)),ISNUMBER(SEARCH("Missing Order Date",AD6)),ISNUMBER(SEARCH("Missing Ship Date",AD6))),"Invalid",IF(AD6&lt;&gt;"","Warning","Clean"))</f>
        <v>Clean</v>
      </c>
    </row>
    <row r="7" customFormat="false" ht="15" hidden="false" customHeight="true" outlineLevel="0" collapsed="false">
      <c r="A7" s="3" t="s">
        <v>46</v>
      </c>
      <c r="B7" s="4" t="n">
        <v>45436</v>
      </c>
      <c r="C7" s="4" t="n">
        <v>45440</v>
      </c>
      <c r="D7" s="3" t="s">
        <v>47</v>
      </c>
      <c r="E7" s="3" t="str">
        <f aca="false">PROPER(TRIM(SUBSTITUTE(Raw_Text_Fields!B8,CHAR(160)," ")))</f>
        <v>Vikram Iyer</v>
      </c>
      <c r="F7" s="3" t="str">
        <f aca="false">PROPER(TRIM(SUBSTITUTE(Raw_Text_Fields!C8,CHAR(160)," ")))</f>
        <v>Small Business</v>
      </c>
      <c r="G7" s="3" t="str">
        <f aca="false">PROPER(TRIM(SUBSTITUTE(Raw_Text_Fields!D8,CHAR(160)," ")))</f>
        <v>West</v>
      </c>
      <c r="H7" s="3" t="str">
        <f aca="false">PROPER(TRIM(SUBSTITUTE(Raw_Text_Fields!E8,CHAR(160)," ")))</f>
        <v>Madhya Pradesh</v>
      </c>
      <c r="I7" s="3" t="str">
        <f aca="false">PROPER(TRIM(SUBSTITUTE(Raw_Text_Fields!F8,CHAR(160)," ")))</f>
        <v>Indore</v>
      </c>
      <c r="J7" s="3" t="str">
        <f aca="false">PROPER(TRIM(SUBSTITUTE(Raw_Text_Fields!G8,CHAR(160)," ")))</f>
        <v>Technology</v>
      </c>
      <c r="K7" s="3" t="str">
        <f aca="false">PROPER(TRIM(SUBSTITUTE(Raw_Text_Fields!H8,CHAR(160)," ")))</f>
        <v>Accessories</v>
      </c>
      <c r="L7" s="3" t="s">
        <v>48</v>
      </c>
      <c r="M7" s="3" t="str">
        <f aca="false">PROPER(TRIM(SUBSTITUTE(Raw_Text_Fields!I8,CHAR(160)," ")))</f>
        <v>Same Day</v>
      </c>
      <c r="N7" s="3" t="n">
        <v>3</v>
      </c>
      <c r="O7" s="5" t="n">
        <v>1053.11</v>
      </c>
      <c r="P7" s="6" t="n">
        <v>0.2</v>
      </c>
      <c r="Q7" s="5" t="n">
        <v>2527.46</v>
      </c>
      <c r="R7" s="5" t="n">
        <v>1533.58</v>
      </c>
      <c r="S7" s="5" t="n">
        <v>993.88</v>
      </c>
      <c r="T7" s="3" t="str">
        <f aca="false">PROPER(TRIM(SUBSTITUTE(Raw_Text_Fields!J8,CHAR(160)," ")))</f>
        <v>Paid</v>
      </c>
      <c r="U7" s="3" t="str">
        <f aca="false">PROPER(TRIM(SUBSTITUTE(Raw_Text_Fields!K8,CHAR(160)," ")))</f>
        <v>Completed</v>
      </c>
      <c r="V7" s="7" t="n">
        <f aca="false">IF(OR(P7&lt;0,P7&gt;0.5),0,P7)</f>
        <v>0.2</v>
      </c>
      <c r="W7" s="8" t="n">
        <f aca="false">N7*O7*(1-V7)</f>
        <v>2527.464</v>
      </c>
      <c r="X7" s="8" t="n">
        <f aca="false">W7-R7</f>
        <v>993.884</v>
      </c>
      <c r="Y7" s="7" t="n">
        <f aca="false">IFERROR(X7/W7,0)</f>
        <v>0.393233691953674</v>
      </c>
      <c r="Z7" s="9" t="n">
        <f aca="false">C7-B7</f>
        <v>4</v>
      </c>
      <c r="AA7" s="1" t="str">
        <f aca="false">IF(B7="","",TEXT(B7,"mmm"))</f>
        <v>May</v>
      </c>
      <c r="AB7" s="9" t="n">
        <f aca="false">IF(B7="","",YEAR(B7))</f>
        <v>2024</v>
      </c>
      <c r="AC7" s="3"/>
      <c r="AD7" s="3" t="str">
        <f aca="false">IF(LEFT(AC7&amp;IF(B7="","; Missing Order Date","")&amp;IF(C7="","; Missing Ship Date","")&amp;IF(P7&lt;0,"; Invalid Discount (Negative)","")&amp;IF(P7&gt;0.5,"; Invalid Discount (Too High)","")&amp;IF(Z7&lt;0,"; Invalid Shipping Record (Ship Before Order)","")&amp;IF(ABS(Q7-W7)&gt;1,"; Sales Mismatch","")&amp;IF(ABS(S7-X7)&gt;1,"; Profit Mismatch","")&amp;IF(COUNTIF($A$2:$A$913,A7)&gt;1,"; Duplicate Order ID Conflict",""),2)="; ",MID(AC7&amp;IF(B7="","; Missing Order Date","")&amp;IF(C7="","; Missing Ship Date","")&amp;IF(P7&lt;0,"; Invalid Discount (Negative)","")&amp;IF(P7&gt;0.5,"; Invalid Discount (Too High)","")&amp;IF(Z7&lt;0,"; Invalid Shipping Record (Ship Before Order)","")&amp;IF(ABS(Q7-W7)&gt;1,"; Sales Mismatch","")&amp;IF(ABS(S7-X7)&gt;1,"; Profit Mismatch","")&amp;IF(COUNTIF($A$2:$A$913,A7)&gt;1,"; Duplicate Order ID Conflict",""),3,500),AC7&amp;IF(B7="","; Missing Order Date","")&amp;IF(C7="","; Missing Ship Date","")&amp;IF(P7&lt;0,"; Invalid Discount (Negative)","")&amp;IF(P7&gt;0.5,"; Invalid Discount (Too High)","")&amp;IF(Z7&lt;0,"; Invalid Shipping Record (Ship Before Order)","")&amp;IF(ABS(Q7-W7)&gt;1,"; Sales Mismatch","")&amp;IF(ABS(S7-X7)&gt;1,"; Profit Mismatch","")&amp;IF(COUNTIF($A$2:$A$913,A7)&gt;1,"; Duplicate Order ID Conflict",""))</f>
        <v/>
      </c>
      <c r="AE7" s="10" t="str">
        <f aca="false">IF(OR(ISNUMBER(SEARCH("Invalid Discount",AD7)),ISNUMBER(SEARCH("Invalid Shipping Record",AD7)),ISNUMBER(SEARCH("Sales Mismatch",AD7)),ISNUMBER(SEARCH("Profit Mismatch",AD7)),ISNUMBER(SEARCH("Duplicate Order ID Conflict",AD7)),ISNUMBER(SEARCH("Missing Order Date",AD7)),ISNUMBER(SEARCH("Missing Ship Date",AD7))),"Invalid",IF(AD7&lt;&gt;"","Warning","Clean"))</f>
        <v>Clean</v>
      </c>
    </row>
    <row r="8" customFormat="false" ht="15" hidden="false" customHeight="true" outlineLevel="0" collapsed="false">
      <c r="A8" s="3" t="s">
        <v>49</v>
      </c>
      <c r="B8" s="4" t="n">
        <v>45757</v>
      </c>
      <c r="C8" s="4" t="n">
        <v>45763</v>
      </c>
      <c r="D8" s="3" t="s">
        <v>50</v>
      </c>
      <c r="E8" s="3" t="str">
        <f aca="false">PROPER(TRIM(SUBSTITUTE(Raw_Text_Fields!B9,CHAR(160)," ")))</f>
        <v>Neha Gupta</v>
      </c>
      <c r="F8" s="3" t="str">
        <f aca="false">PROPER(TRIM(SUBSTITUTE(Raw_Text_Fields!C9,CHAR(160)," ")))</f>
        <v>Consumer</v>
      </c>
      <c r="G8" s="3" t="str">
        <f aca="false">PROPER(TRIM(SUBSTITUTE(Raw_Text_Fields!D9,CHAR(160)," ")))</f>
        <v>East</v>
      </c>
      <c r="H8" s="3" t="str">
        <f aca="false">PROPER(TRIM(SUBSTITUTE(Raw_Text_Fields!E9,CHAR(160)," ")))</f>
        <v>Odisha</v>
      </c>
      <c r="I8" s="3" t="str">
        <f aca="false">PROPER(TRIM(SUBSTITUTE(Raw_Text_Fields!F9,CHAR(160)," ")))</f>
        <v>Bhubaneswar</v>
      </c>
      <c r="J8" s="3" t="str">
        <f aca="false">PROPER(TRIM(SUBSTITUTE(Raw_Text_Fields!G9,CHAR(160)," ")))</f>
        <v>Technology</v>
      </c>
      <c r="K8" s="3" t="str">
        <f aca="false">PROPER(TRIM(SUBSTITUTE(Raw_Text_Fields!H9,CHAR(160)," ")))</f>
        <v>Copiers</v>
      </c>
      <c r="L8" s="3" t="s">
        <v>51</v>
      </c>
      <c r="M8" s="3" t="str">
        <f aca="false">PROPER(TRIM(SUBSTITUTE(Raw_Text_Fields!I9,CHAR(160)," ")))</f>
        <v>Standard Class</v>
      </c>
      <c r="N8" s="3" t="n">
        <v>4</v>
      </c>
      <c r="O8" s="5" t="n">
        <v>1719.87</v>
      </c>
      <c r="P8" s="6" t="n">
        <v>0.15</v>
      </c>
      <c r="Q8" s="5" t="n">
        <v>5847.56</v>
      </c>
      <c r="R8" s="5" t="n">
        <v>4727.25</v>
      </c>
      <c r="S8" s="5" t="n">
        <v>1120.31</v>
      </c>
      <c r="T8" s="3" t="str">
        <f aca="false">PROPER(TRIM(SUBSTITUTE(Raw_Text_Fields!J9,CHAR(160)," ")))</f>
        <v>Paid</v>
      </c>
      <c r="U8" s="3" t="str">
        <f aca="false">PROPER(TRIM(SUBSTITUTE(Raw_Text_Fields!K9,CHAR(160)," ")))</f>
        <v>Completed</v>
      </c>
      <c r="V8" s="7" t="n">
        <f aca="false">IF(OR(P8&lt;0,P8&gt;0.5),0,P8)</f>
        <v>0.15</v>
      </c>
      <c r="W8" s="8" t="n">
        <f aca="false">N8*O8*(1-V8)</f>
        <v>5847.558</v>
      </c>
      <c r="X8" s="8" t="n">
        <f aca="false">W8-R8</f>
        <v>1120.308</v>
      </c>
      <c r="Y8" s="7" t="n">
        <f aca="false">IFERROR(X8/W8,0)</f>
        <v>0.191585615739083</v>
      </c>
      <c r="Z8" s="9" t="n">
        <f aca="false">C8-B8</f>
        <v>6</v>
      </c>
      <c r="AA8" s="1" t="str">
        <f aca="false">IF(B8="","",TEXT(B8,"mmm"))</f>
        <v>Apr</v>
      </c>
      <c r="AB8" s="9" t="n">
        <f aca="false">IF(B8="","",YEAR(B8))</f>
        <v>2025</v>
      </c>
      <c r="AC8" s="3"/>
      <c r="AD8" s="3" t="str">
        <f aca="false">IF(LEFT(AC8&amp;IF(B8="","; Missing Order Date","")&amp;IF(C8="","; Missing Ship Date","")&amp;IF(P8&lt;0,"; Invalid Discount (Negative)","")&amp;IF(P8&gt;0.5,"; Invalid Discount (Too High)","")&amp;IF(Z8&lt;0,"; Invalid Shipping Record (Ship Before Order)","")&amp;IF(ABS(Q8-W8)&gt;1,"; Sales Mismatch","")&amp;IF(ABS(S8-X8)&gt;1,"; Profit Mismatch","")&amp;IF(COUNTIF($A$2:$A$913,A8)&gt;1,"; Duplicate Order ID Conflict",""),2)="; ",MID(AC8&amp;IF(B8="","; Missing Order Date","")&amp;IF(C8="","; Missing Ship Date","")&amp;IF(P8&lt;0,"; Invalid Discount (Negative)","")&amp;IF(P8&gt;0.5,"; Invalid Discount (Too High)","")&amp;IF(Z8&lt;0,"; Invalid Shipping Record (Ship Before Order)","")&amp;IF(ABS(Q8-W8)&gt;1,"; Sales Mismatch","")&amp;IF(ABS(S8-X8)&gt;1,"; Profit Mismatch","")&amp;IF(COUNTIF($A$2:$A$913,A8)&gt;1,"; Duplicate Order ID Conflict",""),3,500),AC8&amp;IF(B8="","; Missing Order Date","")&amp;IF(C8="","; Missing Ship Date","")&amp;IF(P8&lt;0,"; Invalid Discount (Negative)","")&amp;IF(P8&gt;0.5,"; Invalid Discount (Too High)","")&amp;IF(Z8&lt;0,"; Invalid Shipping Record (Ship Before Order)","")&amp;IF(ABS(Q8-W8)&gt;1,"; Sales Mismatch","")&amp;IF(ABS(S8-X8)&gt;1,"; Profit Mismatch","")&amp;IF(COUNTIF($A$2:$A$913,A8)&gt;1,"; Duplicate Order ID Conflict",""))</f>
        <v/>
      </c>
      <c r="AE8" s="10" t="str">
        <f aca="false">IF(OR(ISNUMBER(SEARCH("Invalid Discount",AD8)),ISNUMBER(SEARCH("Invalid Shipping Record",AD8)),ISNUMBER(SEARCH("Sales Mismatch",AD8)),ISNUMBER(SEARCH("Profit Mismatch",AD8)),ISNUMBER(SEARCH("Duplicate Order ID Conflict",AD8)),ISNUMBER(SEARCH("Missing Order Date",AD8)),ISNUMBER(SEARCH("Missing Ship Date",AD8))),"Invalid",IF(AD8&lt;&gt;"","Warning","Clean"))</f>
        <v>Clean</v>
      </c>
    </row>
    <row r="9" customFormat="false" ht="15" hidden="false" customHeight="true" outlineLevel="0" collapsed="false">
      <c r="A9" s="3" t="s">
        <v>52</v>
      </c>
      <c r="B9" s="4" t="n">
        <v>45711</v>
      </c>
      <c r="C9" s="4" t="n">
        <v>45714</v>
      </c>
      <c r="D9" s="3" t="s">
        <v>53</v>
      </c>
      <c r="E9" s="3" t="str">
        <f aca="false">PROPER(TRIM(SUBSTITUTE(Raw_Text_Fields!B10,CHAR(160)," ")))</f>
        <v>Isha Nair</v>
      </c>
      <c r="F9" s="3" t="str">
        <f aca="false">PROPER(TRIM(SUBSTITUTE(Raw_Text_Fields!C10,CHAR(160)," ")))</f>
        <v>Small Business</v>
      </c>
      <c r="G9" s="3" t="str">
        <f aca="false">PROPER(TRIM(SUBSTITUTE(Raw_Text_Fields!D10,CHAR(160)," ")))</f>
        <v>South</v>
      </c>
      <c r="H9" s="3" t="str">
        <f aca="false">PROPER(TRIM(SUBSTITUTE(Raw_Text_Fields!E10,CHAR(160)," ")))</f>
        <v>Andhra Pradesh</v>
      </c>
      <c r="I9" s="3" t="str">
        <f aca="false">PROPER(TRIM(SUBSTITUTE(Raw_Text_Fields!F10,CHAR(160)," ")))</f>
        <v>Vijayawada</v>
      </c>
      <c r="J9" s="3" t="str">
        <f aca="false">PROPER(TRIM(SUBSTITUTE(Raw_Text_Fields!G10,CHAR(160)," ")))</f>
        <v>Office Supplies</v>
      </c>
      <c r="K9" s="3" t="str">
        <f aca="false">PROPER(TRIM(SUBSTITUTE(Raw_Text_Fields!H10,CHAR(160)," ")))</f>
        <v>Art</v>
      </c>
      <c r="L9" s="3" t="s">
        <v>54</v>
      </c>
      <c r="M9" s="3" t="str">
        <f aca="false">PROPER(TRIM(SUBSTITUTE(Raw_Text_Fields!I10,CHAR(160)," ")))</f>
        <v>First Class</v>
      </c>
      <c r="N9" s="3" t="n">
        <v>1</v>
      </c>
      <c r="O9" s="5" t="n">
        <v>2980.71</v>
      </c>
      <c r="P9" s="6" t="n">
        <v>0</v>
      </c>
      <c r="Q9" s="5" t="n">
        <v>2980.71</v>
      </c>
      <c r="R9" s="5" t="n">
        <v>2357.22</v>
      </c>
      <c r="S9" s="5" t="n">
        <v>623.49</v>
      </c>
      <c r="T9" s="3" t="str">
        <f aca="false">PROPER(TRIM(SUBSTITUTE(Raw_Text_Fields!J10,CHAR(160)," ")))</f>
        <v>Paid</v>
      </c>
      <c r="U9" s="3" t="str">
        <f aca="false">PROPER(TRIM(SUBSTITUTE(Raw_Text_Fields!K10,CHAR(160)," ")))</f>
        <v>Completed</v>
      </c>
      <c r="V9" s="7" t="n">
        <f aca="false">IF(OR(P9&lt;0,P9&gt;0.5),0,P9)</f>
        <v>0</v>
      </c>
      <c r="W9" s="8" t="n">
        <f aca="false">N9*O9*(1-V9)</f>
        <v>2980.71</v>
      </c>
      <c r="X9" s="8" t="n">
        <f aca="false">W9-R9</f>
        <v>623.49</v>
      </c>
      <c r="Y9" s="7" t="n">
        <f aca="false">IFERROR(X9/W9,0)</f>
        <v>0.20917499521926</v>
      </c>
      <c r="Z9" s="9" t="n">
        <f aca="false">C9-B9</f>
        <v>3</v>
      </c>
      <c r="AA9" s="1" t="str">
        <f aca="false">IF(B9="","",TEXT(B9,"mmm"))</f>
        <v>Feb</v>
      </c>
      <c r="AB9" s="9" t="n">
        <f aca="false">IF(B9="","",YEAR(B9))</f>
        <v>2025</v>
      </c>
      <c r="AC9" s="3"/>
      <c r="AD9" s="3" t="str">
        <f aca="false">IF(LEFT(AC9&amp;IF(B9="","; Missing Order Date","")&amp;IF(C9="","; Missing Ship Date","")&amp;IF(P9&lt;0,"; Invalid Discount (Negative)","")&amp;IF(P9&gt;0.5,"; Invalid Discount (Too High)","")&amp;IF(Z9&lt;0,"; Invalid Shipping Record (Ship Before Order)","")&amp;IF(ABS(Q9-W9)&gt;1,"; Sales Mismatch","")&amp;IF(ABS(S9-X9)&gt;1,"; Profit Mismatch","")&amp;IF(COUNTIF($A$2:$A$913,A9)&gt;1,"; Duplicate Order ID Conflict",""),2)="; ",MID(AC9&amp;IF(B9="","; Missing Order Date","")&amp;IF(C9="","; Missing Ship Date","")&amp;IF(P9&lt;0,"; Invalid Discount (Negative)","")&amp;IF(P9&gt;0.5,"; Invalid Discount (Too High)","")&amp;IF(Z9&lt;0,"; Invalid Shipping Record (Ship Before Order)","")&amp;IF(ABS(Q9-W9)&gt;1,"; Sales Mismatch","")&amp;IF(ABS(S9-X9)&gt;1,"; Profit Mismatch","")&amp;IF(COUNTIF($A$2:$A$913,A9)&gt;1,"; Duplicate Order ID Conflict",""),3,500),AC9&amp;IF(B9="","; Missing Order Date","")&amp;IF(C9="","; Missing Ship Date","")&amp;IF(P9&lt;0,"; Invalid Discount (Negative)","")&amp;IF(P9&gt;0.5,"; Invalid Discount (Too High)","")&amp;IF(Z9&lt;0,"; Invalid Shipping Record (Ship Before Order)","")&amp;IF(ABS(Q9-W9)&gt;1,"; Sales Mismatch","")&amp;IF(ABS(S9-X9)&gt;1,"; Profit Mismatch","")&amp;IF(COUNTIF($A$2:$A$913,A9)&gt;1,"; Duplicate Order ID Conflict",""))</f>
        <v/>
      </c>
      <c r="AE9" s="10" t="str">
        <f aca="false">IF(OR(ISNUMBER(SEARCH("Invalid Discount",AD9)),ISNUMBER(SEARCH("Invalid Shipping Record",AD9)),ISNUMBER(SEARCH("Sales Mismatch",AD9)),ISNUMBER(SEARCH("Profit Mismatch",AD9)),ISNUMBER(SEARCH("Duplicate Order ID Conflict",AD9)),ISNUMBER(SEARCH("Missing Order Date",AD9)),ISNUMBER(SEARCH("Missing Ship Date",AD9))),"Invalid",IF(AD9&lt;&gt;"","Warning","Clean"))</f>
        <v>Clean</v>
      </c>
    </row>
    <row r="10" customFormat="false" ht="15" hidden="false" customHeight="true" outlineLevel="0" collapsed="false">
      <c r="A10" s="3" t="s">
        <v>55</v>
      </c>
      <c r="B10" s="4" t="n">
        <v>45601</v>
      </c>
      <c r="C10" s="4" t="n">
        <v>45606</v>
      </c>
      <c r="D10" s="3" t="s">
        <v>56</v>
      </c>
      <c r="E10" s="3" t="str">
        <f aca="false">PROPER(TRIM(SUBSTITUTE(Raw_Text_Fields!B11,CHAR(160)," ")))</f>
        <v>Aditi Sen</v>
      </c>
      <c r="F10" s="3" t="str">
        <f aca="false">PROPER(TRIM(SUBSTITUTE(Raw_Text_Fields!C11,CHAR(160)," ")))</f>
        <v>Corporate</v>
      </c>
      <c r="G10" s="3" t="str">
        <f aca="false">PROPER(TRIM(SUBSTITUTE(Raw_Text_Fields!D11,CHAR(160)," ")))</f>
        <v>South</v>
      </c>
      <c r="H10" s="3" t="str">
        <f aca="false">PROPER(TRIM(SUBSTITUTE(Raw_Text_Fields!E11,CHAR(160)," ")))</f>
        <v>Telangana</v>
      </c>
      <c r="I10" s="3" t="str">
        <f aca="false">PROPER(TRIM(SUBSTITUTE(Raw_Text_Fields!F11,CHAR(160)," ")))</f>
        <v>Hyderabad</v>
      </c>
      <c r="J10" s="3" t="str">
        <f aca="false">PROPER(TRIM(SUBSTITUTE(Raw_Text_Fields!G11,CHAR(160)," ")))</f>
        <v>Office Supplies</v>
      </c>
      <c r="K10" s="3" t="str">
        <f aca="false">PROPER(TRIM(SUBSTITUTE(Raw_Text_Fields!H11,CHAR(160)," ")))</f>
        <v>Labels</v>
      </c>
      <c r="L10" s="3" t="s">
        <v>57</v>
      </c>
      <c r="M10" s="3" t="str">
        <f aca="false">PROPER(TRIM(SUBSTITUTE(Raw_Text_Fields!I11,CHAR(160)," ")))</f>
        <v>First Class</v>
      </c>
      <c r="N10" s="3" t="n">
        <v>8</v>
      </c>
      <c r="O10" s="5" t="n">
        <v>3134.2</v>
      </c>
      <c r="P10" s="6" t="n">
        <v>0</v>
      </c>
      <c r="Q10" s="5" t="n">
        <v>25073.6</v>
      </c>
      <c r="R10" s="5" t="n">
        <v>17347.23</v>
      </c>
      <c r="S10" s="5" t="n">
        <v>7726.37</v>
      </c>
      <c r="T10" s="3" t="str">
        <f aca="false">PROPER(TRIM(SUBSTITUTE(Raw_Text_Fields!J11,CHAR(160)," ")))</f>
        <v>Paid</v>
      </c>
      <c r="U10" s="3" t="str">
        <f aca="false">PROPER(TRIM(SUBSTITUTE(Raw_Text_Fields!K11,CHAR(160)," ")))</f>
        <v>Completed</v>
      </c>
      <c r="V10" s="7" t="n">
        <f aca="false">IF(OR(P10&lt;0,P10&gt;0.5),0,P10)</f>
        <v>0</v>
      </c>
      <c r="W10" s="8" t="n">
        <f aca="false">N10*O10*(1-V10)</f>
        <v>25073.6</v>
      </c>
      <c r="X10" s="8" t="n">
        <f aca="false">W10-R10</f>
        <v>7726.37</v>
      </c>
      <c r="Y10" s="7" t="n">
        <f aca="false">IFERROR(X10/W10,0)</f>
        <v>0.308147613426074</v>
      </c>
      <c r="Z10" s="9" t="n">
        <f aca="false">C10-B10</f>
        <v>5</v>
      </c>
      <c r="AA10" s="1" t="str">
        <f aca="false">IF(B10="","",TEXT(B10,"mmm"))</f>
        <v>Nov</v>
      </c>
      <c r="AB10" s="9" t="n">
        <f aca="false">IF(B10="","",YEAR(B10))</f>
        <v>2024</v>
      </c>
      <c r="AC10" s="3"/>
      <c r="AD10" s="3" t="str">
        <f aca="false">IF(LEFT(AC10&amp;IF(B10="","; Missing Order Date","")&amp;IF(C10="","; Missing Ship Date","")&amp;IF(P10&lt;0,"; Invalid Discount (Negative)","")&amp;IF(P10&gt;0.5,"; Invalid Discount (Too High)","")&amp;IF(Z10&lt;0,"; Invalid Shipping Record (Ship Before Order)","")&amp;IF(ABS(Q10-W10)&gt;1,"; Sales Mismatch","")&amp;IF(ABS(S10-X10)&gt;1,"; Profit Mismatch","")&amp;IF(COUNTIF($A$2:$A$913,A10)&gt;1,"; Duplicate Order ID Conflict",""),2)="; ",MID(AC10&amp;IF(B10="","; Missing Order Date","")&amp;IF(C10="","; Missing Ship Date","")&amp;IF(P10&lt;0,"; Invalid Discount (Negative)","")&amp;IF(P10&gt;0.5,"; Invalid Discount (Too High)","")&amp;IF(Z10&lt;0,"; Invalid Shipping Record (Ship Before Order)","")&amp;IF(ABS(Q10-W10)&gt;1,"; Sales Mismatch","")&amp;IF(ABS(S10-X10)&gt;1,"; Profit Mismatch","")&amp;IF(COUNTIF($A$2:$A$913,A10)&gt;1,"; Duplicate Order ID Conflict",""),3,500),AC10&amp;IF(B10="","; Missing Order Date","")&amp;IF(C10="","; Missing Ship Date","")&amp;IF(P10&lt;0,"; Invalid Discount (Negative)","")&amp;IF(P10&gt;0.5,"; Invalid Discount (Too High)","")&amp;IF(Z10&lt;0,"; Invalid Shipping Record (Ship Before Order)","")&amp;IF(ABS(Q10-W10)&gt;1,"; Sales Mismatch","")&amp;IF(ABS(S10-X10)&gt;1,"; Profit Mismatch","")&amp;IF(COUNTIF($A$2:$A$913,A10)&gt;1,"; Duplicate Order ID Conflict",""))</f>
        <v/>
      </c>
      <c r="AE10" s="10" t="str">
        <f aca="false">IF(OR(ISNUMBER(SEARCH("Invalid Discount",AD10)),ISNUMBER(SEARCH("Invalid Shipping Record",AD10)),ISNUMBER(SEARCH("Sales Mismatch",AD10)),ISNUMBER(SEARCH("Profit Mismatch",AD10)),ISNUMBER(SEARCH("Duplicate Order ID Conflict",AD10)),ISNUMBER(SEARCH("Missing Order Date",AD10)),ISNUMBER(SEARCH("Missing Ship Date",AD10))),"Invalid",IF(AD10&lt;&gt;"","Warning","Clean"))</f>
        <v>Clean</v>
      </c>
    </row>
    <row r="11" customFormat="false" ht="15" hidden="false" customHeight="true" outlineLevel="0" collapsed="false">
      <c r="A11" s="3" t="s">
        <v>58</v>
      </c>
      <c r="B11" s="4" t="n">
        <v>45907</v>
      </c>
      <c r="C11" s="4" t="n">
        <v>45912</v>
      </c>
      <c r="D11" s="3" t="s">
        <v>59</v>
      </c>
      <c r="E11" s="3" t="str">
        <f aca="false">PROPER(TRIM(SUBSTITUTE(Raw_Text_Fields!B12,CHAR(160)," ")))</f>
        <v>Mira Das</v>
      </c>
      <c r="F11" s="3" t="str">
        <f aca="false">PROPER(TRIM(SUBSTITUTE(Raw_Text_Fields!C12,CHAR(160)," ")))</f>
        <v>Home Office</v>
      </c>
      <c r="G11" s="3" t="str">
        <f aca="false">PROPER(TRIM(SUBSTITUTE(Raw_Text_Fields!D12,CHAR(160)," ")))</f>
        <v>South</v>
      </c>
      <c r="H11" s="3" t="str">
        <f aca="false">PROPER(TRIM(SUBSTITUTE(Raw_Text_Fields!E12,CHAR(160)," ")))</f>
        <v>Telangana</v>
      </c>
      <c r="I11" s="3" t="str">
        <f aca="false">PROPER(TRIM(SUBSTITUTE(Raw_Text_Fields!F12,CHAR(160)," ")))</f>
        <v>Hyderabad</v>
      </c>
      <c r="J11" s="3" t="str">
        <f aca="false">PROPER(TRIM(SUBSTITUTE(Raw_Text_Fields!G12,CHAR(160)," ")))</f>
        <v>Office Supplies</v>
      </c>
      <c r="K11" s="3" t="str">
        <f aca="false">PROPER(TRIM(SUBSTITUTE(Raw_Text_Fields!H12,CHAR(160)," ")))</f>
        <v>Paper</v>
      </c>
      <c r="L11" s="3" t="s">
        <v>60</v>
      </c>
      <c r="M11" s="3" t="str">
        <f aca="false">PROPER(TRIM(SUBSTITUTE(Raw_Text_Fields!I12,CHAR(160)," ")))</f>
        <v>Second Class</v>
      </c>
      <c r="N11" s="3" t="n">
        <v>9</v>
      </c>
      <c r="O11" s="5" t="n">
        <v>852.04</v>
      </c>
      <c r="P11" s="6" t="n">
        <v>0.2</v>
      </c>
      <c r="Q11" s="5" t="n">
        <v>6134.69</v>
      </c>
      <c r="R11" s="5" t="n">
        <v>3800.19</v>
      </c>
      <c r="S11" s="5" t="n">
        <v>2334.5</v>
      </c>
      <c r="T11" s="3" t="str">
        <f aca="false">PROPER(TRIM(SUBSTITUTE(Raw_Text_Fields!J12,CHAR(160)," ")))</f>
        <v>Paid</v>
      </c>
      <c r="U11" s="3" t="str">
        <f aca="false">PROPER(TRIM(SUBSTITUTE(Raw_Text_Fields!K12,CHAR(160)," ")))</f>
        <v>Completed</v>
      </c>
      <c r="V11" s="7" t="n">
        <f aca="false">IF(OR(P11&lt;0,P11&gt;0.5),0,P11)</f>
        <v>0.2</v>
      </c>
      <c r="W11" s="8" t="n">
        <f aca="false">N11*O11*(1-V11)</f>
        <v>6134.688</v>
      </c>
      <c r="X11" s="8" t="n">
        <f aca="false">W11-R11</f>
        <v>2334.498</v>
      </c>
      <c r="Y11" s="7" t="n">
        <f aca="false">IFERROR(X11/W11,0)</f>
        <v>0.380540624070857</v>
      </c>
      <c r="Z11" s="9" t="n">
        <f aca="false">C11-B11</f>
        <v>5</v>
      </c>
      <c r="AA11" s="1" t="str">
        <f aca="false">IF(B11="","",TEXT(B11,"mmm"))</f>
        <v>Sep</v>
      </c>
      <c r="AB11" s="9" t="n">
        <f aca="false">IF(B11="","",YEAR(B11))</f>
        <v>2025</v>
      </c>
      <c r="AC11" s="3"/>
      <c r="AD11" s="3" t="str">
        <f aca="false">IF(LEFT(AC11&amp;IF(B11="","; Missing Order Date","")&amp;IF(C11="","; Missing Ship Date","")&amp;IF(P11&lt;0,"; Invalid Discount (Negative)","")&amp;IF(P11&gt;0.5,"; Invalid Discount (Too High)","")&amp;IF(Z11&lt;0,"; Invalid Shipping Record (Ship Before Order)","")&amp;IF(ABS(Q11-W11)&gt;1,"; Sales Mismatch","")&amp;IF(ABS(S11-X11)&gt;1,"; Profit Mismatch","")&amp;IF(COUNTIF($A$2:$A$913,A11)&gt;1,"; Duplicate Order ID Conflict",""),2)="; ",MID(AC11&amp;IF(B11="","; Missing Order Date","")&amp;IF(C11="","; Missing Ship Date","")&amp;IF(P11&lt;0,"; Invalid Discount (Negative)","")&amp;IF(P11&gt;0.5,"; Invalid Discount (Too High)","")&amp;IF(Z11&lt;0,"; Invalid Shipping Record (Ship Before Order)","")&amp;IF(ABS(Q11-W11)&gt;1,"; Sales Mismatch","")&amp;IF(ABS(S11-X11)&gt;1,"; Profit Mismatch","")&amp;IF(COUNTIF($A$2:$A$913,A11)&gt;1,"; Duplicate Order ID Conflict",""),3,500),AC11&amp;IF(B11="","; Missing Order Date","")&amp;IF(C11="","; Missing Ship Date","")&amp;IF(P11&lt;0,"; Invalid Discount (Negative)","")&amp;IF(P11&gt;0.5,"; Invalid Discount (Too High)","")&amp;IF(Z11&lt;0,"; Invalid Shipping Record (Ship Before Order)","")&amp;IF(ABS(Q11-W11)&gt;1,"; Sales Mismatch","")&amp;IF(ABS(S11-X11)&gt;1,"; Profit Mismatch","")&amp;IF(COUNTIF($A$2:$A$913,A11)&gt;1,"; Duplicate Order ID Conflict",""))</f>
        <v/>
      </c>
      <c r="AE11" s="10" t="str">
        <f aca="false">IF(OR(ISNUMBER(SEARCH("Invalid Discount",AD11)),ISNUMBER(SEARCH("Invalid Shipping Record",AD11)),ISNUMBER(SEARCH("Sales Mismatch",AD11)),ISNUMBER(SEARCH("Profit Mismatch",AD11)),ISNUMBER(SEARCH("Duplicate Order ID Conflict",AD11)),ISNUMBER(SEARCH("Missing Order Date",AD11)),ISNUMBER(SEARCH("Missing Ship Date",AD11))),"Invalid",IF(AD11&lt;&gt;"","Warning","Clean"))</f>
        <v>Clean</v>
      </c>
    </row>
    <row r="12" customFormat="false" ht="15" hidden="false" customHeight="true" outlineLevel="0" collapsed="false">
      <c r="A12" s="3" t="s">
        <v>61</v>
      </c>
      <c r="B12" s="4" t="n">
        <v>45797</v>
      </c>
      <c r="C12" s="4" t="n">
        <v>45797</v>
      </c>
      <c r="D12" s="3" t="s">
        <v>62</v>
      </c>
      <c r="E12" s="3" t="str">
        <f aca="false">PROPER(TRIM(SUBSTITUTE(Raw_Text_Fields!B13,CHAR(160)," ")))</f>
        <v>Ananya Rao</v>
      </c>
      <c r="F12" s="3" t="str">
        <f aca="false">PROPER(TRIM(SUBSTITUTE(Raw_Text_Fields!C13,CHAR(160)," ")))</f>
        <v>Corporate</v>
      </c>
      <c r="G12" s="3" t="str">
        <f aca="false">PROPER(TRIM(SUBSTITUTE(Raw_Text_Fields!D13,CHAR(160)," ")))</f>
        <v>East</v>
      </c>
      <c r="H12" s="3" t="str">
        <f aca="false">PROPER(TRIM(SUBSTITUTE(Raw_Text_Fields!E13,CHAR(160)," ")))</f>
        <v>West Bengal</v>
      </c>
      <c r="I12" s="3" t="str">
        <f aca="false">PROPER(TRIM(SUBSTITUTE(Raw_Text_Fields!F13,CHAR(160)," ")))</f>
        <v>Kolkata</v>
      </c>
      <c r="J12" s="3" t="str">
        <f aca="false">PROPER(TRIM(SUBSTITUTE(Raw_Text_Fields!G13,CHAR(160)," ")))</f>
        <v>Office Supplies</v>
      </c>
      <c r="K12" s="3" t="str">
        <f aca="false">PROPER(TRIM(SUBSTITUTE(Raw_Text_Fields!H13,CHAR(160)," ")))</f>
        <v>Labels</v>
      </c>
      <c r="L12" s="3" t="s">
        <v>63</v>
      </c>
      <c r="M12" s="3" t="str">
        <f aca="false">PROPER(TRIM(SUBSTITUTE(Raw_Text_Fields!I13,CHAR(160)," ")))</f>
        <v>Second Class</v>
      </c>
      <c r="N12" s="3" t="n">
        <v>3</v>
      </c>
      <c r="O12" s="5" t="n">
        <v>3534.83</v>
      </c>
      <c r="P12" s="6" t="n">
        <v>0.05</v>
      </c>
      <c r="Q12" s="5" t="n">
        <v>10074.27</v>
      </c>
      <c r="R12" s="5" t="n">
        <v>6048.27</v>
      </c>
      <c r="S12" s="5" t="n">
        <v>4026</v>
      </c>
      <c r="T12" s="3" t="str">
        <f aca="false">PROPER(TRIM(SUBSTITUTE(Raw_Text_Fields!J13,CHAR(160)," ")))</f>
        <v>Refunded</v>
      </c>
      <c r="U12" s="3" t="str">
        <f aca="false">PROPER(TRIM(SUBSTITUTE(Raw_Text_Fields!K13,CHAR(160)," ")))</f>
        <v>Returned</v>
      </c>
      <c r="V12" s="7" t="n">
        <f aca="false">IF(OR(P12&lt;0,P12&gt;0.5),0,P12)</f>
        <v>0.05</v>
      </c>
      <c r="W12" s="8" t="n">
        <f aca="false">N12*O12*(1-V12)</f>
        <v>10074.2655</v>
      </c>
      <c r="X12" s="8" t="n">
        <f aca="false">W12-R12</f>
        <v>4025.9955</v>
      </c>
      <c r="Y12" s="7" t="n">
        <f aca="false">IFERROR(X12/W12,0)</f>
        <v>0.399631665454916</v>
      </c>
      <c r="Z12" s="9" t="n">
        <f aca="false">C12-B12</f>
        <v>0</v>
      </c>
      <c r="AA12" s="1" t="str">
        <f aca="false">IF(B12="","",TEXT(B12,"mmm"))</f>
        <v>May</v>
      </c>
      <c r="AB12" s="9" t="n">
        <f aca="false">IF(B12="","",YEAR(B12))</f>
        <v>2025</v>
      </c>
      <c r="AC12" s="3"/>
      <c r="AD12" s="3" t="str">
        <f aca="false">IF(LEFT(AC12&amp;IF(B12="","; Missing Order Date","")&amp;IF(C12="","; Missing Ship Date","")&amp;IF(P12&lt;0,"; Invalid Discount (Negative)","")&amp;IF(P12&gt;0.5,"; Invalid Discount (Too High)","")&amp;IF(Z12&lt;0,"; Invalid Shipping Record (Ship Before Order)","")&amp;IF(ABS(Q12-W12)&gt;1,"; Sales Mismatch","")&amp;IF(ABS(S12-X12)&gt;1,"; Profit Mismatch","")&amp;IF(COUNTIF($A$2:$A$913,A12)&gt;1,"; Duplicate Order ID Conflict",""),2)="; ",MID(AC12&amp;IF(B12="","; Missing Order Date","")&amp;IF(C12="","; Missing Ship Date","")&amp;IF(P12&lt;0,"; Invalid Discount (Negative)","")&amp;IF(P12&gt;0.5,"; Invalid Discount (Too High)","")&amp;IF(Z12&lt;0,"; Invalid Shipping Record (Ship Before Order)","")&amp;IF(ABS(Q12-W12)&gt;1,"; Sales Mismatch","")&amp;IF(ABS(S12-X12)&gt;1,"; Profit Mismatch","")&amp;IF(COUNTIF($A$2:$A$913,A12)&gt;1,"; Duplicate Order ID Conflict",""),3,500),AC12&amp;IF(B12="","; Missing Order Date","")&amp;IF(C12="","; Missing Ship Date","")&amp;IF(P12&lt;0,"; Invalid Discount (Negative)","")&amp;IF(P12&gt;0.5,"; Invalid Discount (Too High)","")&amp;IF(Z12&lt;0,"; Invalid Shipping Record (Ship Before Order)","")&amp;IF(ABS(Q12-W12)&gt;1,"; Sales Mismatch","")&amp;IF(ABS(S12-X12)&gt;1,"; Profit Mismatch","")&amp;IF(COUNTIF($A$2:$A$913,A12)&gt;1,"; Duplicate Order ID Conflict",""))</f>
        <v/>
      </c>
      <c r="AE12" s="10" t="str">
        <f aca="false">IF(OR(ISNUMBER(SEARCH("Invalid Discount",AD12)),ISNUMBER(SEARCH("Invalid Shipping Record",AD12)),ISNUMBER(SEARCH("Sales Mismatch",AD12)),ISNUMBER(SEARCH("Profit Mismatch",AD12)),ISNUMBER(SEARCH("Duplicate Order ID Conflict",AD12)),ISNUMBER(SEARCH("Missing Order Date",AD12)),ISNUMBER(SEARCH("Missing Ship Date",AD12))),"Invalid",IF(AD12&lt;&gt;"","Warning","Clean"))</f>
        <v>Clean</v>
      </c>
    </row>
    <row r="13" customFormat="false" ht="15" hidden="false" customHeight="true" outlineLevel="0" collapsed="false">
      <c r="A13" s="3" t="s">
        <v>64</v>
      </c>
      <c r="B13" s="4" t="n">
        <v>45495</v>
      </c>
      <c r="C13" s="4" t="n">
        <v>45496</v>
      </c>
      <c r="D13" s="3" t="s">
        <v>65</v>
      </c>
      <c r="E13" s="3" t="str">
        <f aca="false">PROPER(TRIM(SUBSTITUTE(Raw_Text_Fields!B14,CHAR(160)," ")))</f>
        <v>Vikram Iyer</v>
      </c>
      <c r="F13" s="3" t="str">
        <f aca="false">PROPER(TRIM(SUBSTITUTE(Raw_Text_Fields!C14,CHAR(160)," ")))</f>
        <v>Small Business</v>
      </c>
      <c r="G13" s="3" t="str">
        <f aca="false">PROPER(TRIM(SUBSTITUTE(Raw_Text_Fields!D14,CHAR(160)," ")))</f>
        <v>East</v>
      </c>
      <c r="H13" s="3" t="str">
        <f aca="false">PROPER(TRIM(SUBSTITUTE(Raw_Text_Fields!E14,CHAR(160)," ")))</f>
        <v>Odisha</v>
      </c>
      <c r="I13" s="3" t="str">
        <f aca="false">PROPER(TRIM(SUBSTITUTE(Raw_Text_Fields!F14,CHAR(160)," ")))</f>
        <v>Bhubaneswar</v>
      </c>
      <c r="J13" s="3" t="str">
        <f aca="false">PROPER(TRIM(SUBSTITUTE(Raw_Text_Fields!G14,CHAR(160)," ")))</f>
        <v>Technology</v>
      </c>
      <c r="K13" s="3" t="str">
        <f aca="false">PROPER(TRIM(SUBSTITUTE(Raw_Text_Fields!H14,CHAR(160)," ")))</f>
        <v>Accessories</v>
      </c>
      <c r="L13" s="3" t="s">
        <v>66</v>
      </c>
      <c r="M13" s="3" t="str">
        <f aca="false">PROPER(TRIM(SUBSTITUTE(Raw_Text_Fields!I14,CHAR(160)," ")))</f>
        <v>Same Day</v>
      </c>
      <c r="N13" s="3" t="n">
        <v>6</v>
      </c>
      <c r="O13" s="5" t="n">
        <v>2005.95</v>
      </c>
      <c r="P13" s="6" t="n">
        <v>0.2</v>
      </c>
      <c r="Q13" s="5" t="n">
        <v>9628.56</v>
      </c>
      <c r="R13" s="5" t="n">
        <v>8038.59</v>
      </c>
      <c r="S13" s="5" t="n">
        <v>1589.97</v>
      </c>
      <c r="T13" s="3" t="str">
        <f aca="false">PROPER(TRIM(SUBSTITUTE(Raw_Text_Fields!J14,CHAR(160)," ")))</f>
        <v>Paid</v>
      </c>
      <c r="U13" s="3" t="str">
        <f aca="false">PROPER(TRIM(SUBSTITUTE(Raw_Text_Fields!K14,CHAR(160)," ")))</f>
        <v>Completed</v>
      </c>
      <c r="V13" s="7" t="n">
        <f aca="false">IF(OR(P13&lt;0,P13&gt;0.5),0,P13)</f>
        <v>0.2</v>
      </c>
      <c r="W13" s="8" t="n">
        <f aca="false">N13*O13*(1-V13)</f>
        <v>9628.56</v>
      </c>
      <c r="X13" s="8" t="n">
        <f aca="false">W13-R13</f>
        <v>1589.97</v>
      </c>
      <c r="Y13" s="7" t="n">
        <f aca="false">IFERROR(X13/W13,0)</f>
        <v>0.165130611430993</v>
      </c>
      <c r="Z13" s="9" t="n">
        <f aca="false">C13-B13</f>
        <v>1</v>
      </c>
      <c r="AA13" s="1" t="str">
        <f aca="false">IF(B13="","",TEXT(B13,"mmm"))</f>
        <v>Jul</v>
      </c>
      <c r="AB13" s="9" t="n">
        <f aca="false">IF(B13="","",YEAR(B13))</f>
        <v>2024</v>
      </c>
      <c r="AC13" s="3"/>
      <c r="AD13" s="3" t="str">
        <f aca="false">IF(LEFT(AC13&amp;IF(B13="","; Missing Order Date","")&amp;IF(C13="","; Missing Ship Date","")&amp;IF(P13&lt;0,"; Invalid Discount (Negative)","")&amp;IF(P13&gt;0.5,"; Invalid Discount (Too High)","")&amp;IF(Z13&lt;0,"; Invalid Shipping Record (Ship Before Order)","")&amp;IF(ABS(Q13-W13)&gt;1,"; Sales Mismatch","")&amp;IF(ABS(S13-X13)&gt;1,"; Profit Mismatch","")&amp;IF(COUNTIF($A$2:$A$913,A13)&gt;1,"; Duplicate Order ID Conflict",""),2)="; ",MID(AC13&amp;IF(B13="","; Missing Order Date","")&amp;IF(C13="","; Missing Ship Date","")&amp;IF(P13&lt;0,"; Invalid Discount (Negative)","")&amp;IF(P13&gt;0.5,"; Invalid Discount (Too High)","")&amp;IF(Z13&lt;0,"; Invalid Shipping Record (Ship Before Order)","")&amp;IF(ABS(Q13-W13)&gt;1,"; Sales Mismatch","")&amp;IF(ABS(S13-X13)&gt;1,"; Profit Mismatch","")&amp;IF(COUNTIF($A$2:$A$913,A13)&gt;1,"; Duplicate Order ID Conflict",""),3,500),AC13&amp;IF(B13="","; Missing Order Date","")&amp;IF(C13="","; Missing Ship Date","")&amp;IF(P13&lt;0,"; Invalid Discount (Negative)","")&amp;IF(P13&gt;0.5,"; Invalid Discount (Too High)","")&amp;IF(Z13&lt;0,"; Invalid Shipping Record (Ship Before Order)","")&amp;IF(ABS(Q13-W13)&gt;1,"; Sales Mismatch","")&amp;IF(ABS(S13-X13)&gt;1,"; Profit Mismatch","")&amp;IF(COUNTIF($A$2:$A$913,A13)&gt;1,"; Duplicate Order ID Conflict",""))</f>
        <v/>
      </c>
      <c r="AE13" s="10" t="str">
        <f aca="false">IF(OR(ISNUMBER(SEARCH("Invalid Discount",AD13)),ISNUMBER(SEARCH("Invalid Shipping Record",AD13)),ISNUMBER(SEARCH("Sales Mismatch",AD13)),ISNUMBER(SEARCH("Profit Mismatch",AD13)),ISNUMBER(SEARCH("Duplicate Order ID Conflict",AD13)),ISNUMBER(SEARCH("Missing Order Date",AD13)),ISNUMBER(SEARCH("Missing Ship Date",AD13))),"Invalid",IF(AD13&lt;&gt;"","Warning","Clean"))</f>
        <v>Clean</v>
      </c>
    </row>
    <row r="14" customFormat="false" ht="15" hidden="false" customHeight="true" outlineLevel="0" collapsed="false">
      <c r="A14" s="3" t="s">
        <v>67</v>
      </c>
      <c r="B14" s="4" t="n">
        <v>45646</v>
      </c>
      <c r="C14" s="4" t="n">
        <v>45647</v>
      </c>
      <c r="D14" s="3" t="s">
        <v>68</v>
      </c>
      <c r="E14" s="3" t="str">
        <f aca="false">PROPER(TRIM(SUBSTITUTE(Raw_Text_Fields!B15,CHAR(160)," ")))</f>
        <v>Ananya Rao</v>
      </c>
      <c r="F14" s="3" t="str">
        <f aca="false">PROPER(TRIM(SUBSTITUTE(Raw_Text_Fields!C15,CHAR(160)," ")))</f>
        <v>Corporate</v>
      </c>
      <c r="G14" s="3" t="str">
        <f aca="false">PROPER(TRIM(SUBSTITUTE(Raw_Text_Fields!D15,CHAR(160)," ")))</f>
        <v>West</v>
      </c>
      <c r="H14" s="3" t="str">
        <f aca="false">PROPER(TRIM(SUBSTITUTE(Raw_Text_Fields!E15,CHAR(160)," ")))</f>
        <v>Rajasthan</v>
      </c>
      <c r="I14" s="3" t="str">
        <f aca="false">PROPER(TRIM(SUBSTITUTE(Raw_Text_Fields!F15,CHAR(160)," ")))</f>
        <v>Udaipur</v>
      </c>
      <c r="J14" s="3" t="str">
        <f aca="false">PROPER(TRIM(SUBSTITUTE(Raw_Text_Fields!G15,CHAR(160)," ")))</f>
        <v>Office Supplies</v>
      </c>
      <c r="K14" s="3" t="str">
        <f aca="false">PROPER(TRIM(SUBSTITUTE(Raw_Text_Fields!H15,CHAR(160)," ")))</f>
        <v>Paper</v>
      </c>
      <c r="L14" s="3" t="s">
        <v>69</v>
      </c>
      <c r="M14" s="3" t="str">
        <f aca="false">PROPER(TRIM(SUBSTITUTE(Raw_Text_Fields!I15,CHAR(160)," ")))</f>
        <v>First Class</v>
      </c>
      <c r="N14" s="3" t="n">
        <v>1</v>
      </c>
      <c r="O14" s="5" t="n">
        <v>702.14</v>
      </c>
      <c r="P14" s="6" t="n">
        <v>0.15</v>
      </c>
      <c r="Q14" s="5" t="n">
        <v>596.82</v>
      </c>
      <c r="R14" s="5" t="n">
        <v>380.25</v>
      </c>
      <c r="S14" s="5" t="n">
        <v>216.57</v>
      </c>
      <c r="T14" s="3" t="str">
        <f aca="false">PROPER(TRIM(SUBSTITUTE(Raw_Text_Fields!J15,CHAR(160)," ")))</f>
        <v>Pending</v>
      </c>
      <c r="U14" s="3" t="str">
        <f aca="false">PROPER(TRIM(SUBSTITUTE(Raw_Text_Fields!K15,CHAR(160)," ")))</f>
        <v>Returned</v>
      </c>
      <c r="V14" s="7" t="n">
        <f aca="false">IF(OR(P14&lt;0,P14&gt;0.5),0,P14)</f>
        <v>0.15</v>
      </c>
      <c r="W14" s="8" t="n">
        <f aca="false">N14*O14*(1-V14)</f>
        <v>596.819</v>
      </c>
      <c r="X14" s="8" t="n">
        <f aca="false">W14-R14</f>
        <v>216.569</v>
      </c>
      <c r="Y14" s="7" t="n">
        <f aca="false">IFERROR(X14/W14,0)</f>
        <v>0.362872160571295</v>
      </c>
      <c r="Z14" s="9" t="n">
        <f aca="false">C14-B14</f>
        <v>1</v>
      </c>
      <c r="AA14" s="1" t="str">
        <f aca="false">IF(B14="","",TEXT(B14,"mmm"))</f>
        <v>Dec</v>
      </c>
      <c r="AB14" s="9" t="n">
        <f aca="false">IF(B14="","",YEAR(B14))</f>
        <v>2024</v>
      </c>
      <c r="AC14" s="3"/>
      <c r="AD14" s="3" t="str">
        <f aca="false">IF(LEFT(AC14&amp;IF(B14="","; Missing Order Date","")&amp;IF(C14="","; Missing Ship Date","")&amp;IF(P14&lt;0,"; Invalid Discount (Negative)","")&amp;IF(P14&gt;0.5,"; Invalid Discount (Too High)","")&amp;IF(Z14&lt;0,"; Invalid Shipping Record (Ship Before Order)","")&amp;IF(ABS(Q14-W14)&gt;1,"; Sales Mismatch","")&amp;IF(ABS(S14-X14)&gt;1,"; Profit Mismatch","")&amp;IF(COUNTIF($A$2:$A$913,A14)&gt;1,"; Duplicate Order ID Conflict",""),2)="; ",MID(AC14&amp;IF(B14="","; Missing Order Date","")&amp;IF(C14="","; Missing Ship Date","")&amp;IF(P14&lt;0,"; Invalid Discount (Negative)","")&amp;IF(P14&gt;0.5,"; Invalid Discount (Too High)","")&amp;IF(Z14&lt;0,"; Invalid Shipping Record (Ship Before Order)","")&amp;IF(ABS(Q14-W14)&gt;1,"; Sales Mismatch","")&amp;IF(ABS(S14-X14)&gt;1,"; Profit Mismatch","")&amp;IF(COUNTIF($A$2:$A$913,A14)&gt;1,"; Duplicate Order ID Conflict",""),3,500),AC14&amp;IF(B14="","; Missing Order Date","")&amp;IF(C14="","; Missing Ship Date","")&amp;IF(P14&lt;0,"; Invalid Discount (Negative)","")&amp;IF(P14&gt;0.5,"; Invalid Discount (Too High)","")&amp;IF(Z14&lt;0,"; Invalid Shipping Record (Ship Before Order)","")&amp;IF(ABS(Q14-W14)&gt;1,"; Sales Mismatch","")&amp;IF(ABS(S14-X14)&gt;1,"; Profit Mismatch","")&amp;IF(COUNTIF($A$2:$A$913,A14)&gt;1,"; Duplicate Order ID Conflict",""))</f>
        <v/>
      </c>
      <c r="AE14" s="10" t="str">
        <f aca="false">IF(OR(ISNUMBER(SEARCH("Invalid Discount",AD14)),ISNUMBER(SEARCH("Invalid Shipping Record",AD14)),ISNUMBER(SEARCH("Sales Mismatch",AD14)),ISNUMBER(SEARCH("Profit Mismatch",AD14)),ISNUMBER(SEARCH("Duplicate Order ID Conflict",AD14)),ISNUMBER(SEARCH("Missing Order Date",AD14)),ISNUMBER(SEARCH("Missing Ship Date",AD14))),"Invalid",IF(AD14&lt;&gt;"","Warning","Clean"))</f>
        <v>Clean</v>
      </c>
    </row>
    <row r="15" customFormat="false" ht="15" hidden="false" customHeight="true" outlineLevel="0" collapsed="false">
      <c r="A15" s="3" t="s">
        <v>70</v>
      </c>
      <c r="B15" s="4" t="n">
        <v>45942</v>
      </c>
      <c r="C15" s="4" t="n">
        <v>45946</v>
      </c>
      <c r="D15" s="3" t="s">
        <v>71</v>
      </c>
      <c r="E15" s="3" t="str">
        <f aca="false">PROPER(TRIM(SUBSTITUTE(Raw_Text_Fields!B16,CHAR(160)," ")))</f>
        <v>Priya Menon</v>
      </c>
      <c r="F15" s="3" t="str">
        <f aca="false">PROPER(TRIM(SUBSTITUTE(Raw_Text_Fields!C16,CHAR(160)," ")))</f>
        <v>Small Business</v>
      </c>
      <c r="G15" s="3" t="str">
        <f aca="false">PROPER(TRIM(SUBSTITUTE(Raw_Text_Fields!D16,CHAR(160)," ")))</f>
        <v>West</v>
      </c>
      <c r="H15" s="3" t="str">
        <f aca="false">PROPER(TRIM(SUBSTITUTE(Raw_Text_Fields!E16,CHAR(160)," ")))</f>
        <v>Maharashtra</v>
      </c>
      <c r="I15" s="3" t="str">
        <f aca="false">PROPER(TRIM(SUBSTITUTE(Raw_Text_Fields!F16,CHAR(160)," ")))</f>
        <v>Mumbai</v>
      </c>
      <c r="J15" s="3" t="str">
        <f aca="false">PROPER(TRIM(SUBSTITUTE(Raw_Text_Fields!G16,CHAR(160)," ")))</f>
        <v>Office Supplies</v>
      </c>
      <c r="K15" s="3" t="str">
        <f aca="false">PROPER(TRIM(SUBSTITUTE(Raw_Text_Fields!H16,CHAR(160)," ")))</f>
        <v>Art</v>
      </c>
      <c r="L15" s="3" t="s">
        <v>72</v>
      </c>
      <c r="M15" s="3" t="str">
        <f aca="false">PROPER(TRIM(SUBSTITUTE(Raw_Text_Fields!I16,CHAR(160)," ")))</f>
        <v>Second Class</v>
      </c>
      <c r="N15" s="3" t="n">
        <v>7</v>
      </c>
      <c r="O15" s="5" t="n">
        <v>3964.72</v>
      </c>
      <c r="P15" s="6" t="n">
        <v>0.05</v>
      </c>
      <c r="Q15" s="5" t="n">
        <v>26365.39</v>
      </c>
      <c r="R15" s="5" t="n">
        <v>22306.24</v>
      </c>
      <c r="S15" s="5" t="n">
        <v>4059.15</v>
      </c>
      <c r="T15" s="3" t="str">
        <f aca="false">PROPER(TRIM(SUBSTITUTE(Raw_Text_Fields!J16,CHAR(160)," ")))</f>
        <v>Paid</v>
      </c>
      <c r="U15" s="3" t="str">
        <f aca="false">PROPER(TRIM(SUBSTITUTE(Raw_Text_Fields!K16,CHAR(160)," ")))</f>
        <v>Completed</v>
      </c>
      <c r="V15" s="7" t="n">
        <f aca="false">IF(OR(P15&lt;0,P15&gt;0.5),0,P15)</f>
        <v>0.05</v>
      </c>
      <c r="W15" s="8" t="n">
        <f aca="false">N15*O15*(1-V15)</f>
        <v>26365.388</v>
      </c>
      <c r="X15" s="8" t="n">
        <f aca="false">W15-R15</f>
        <v>4059.14799999999</v>
      </c>
      <c r="Y15" s="7" t="n">
        <f aca="false">IFERROR(X15/W15,0)</f>
        <v>0.153957453613047</v>
      </c>
      <c r="Z15" s="9" t="n">
        <f aca="false">C15-B15</f>
        <v>4</v>
      </c>
      <c r="AA15" s="1" t="str">
        <f aca="false">IF(B15="","",TEXT(B15,"mmm"))</f>
        <v>Oct</v>
      </c>
      <c r="AB15" s="9" t="n">
        <f aca="false">IF(B15="","",YEAR(B15))</f>
        <v>2025</v>
      </c>
      <c r="AC15" s="3"/>
      <c r="AD15" s="3" t="str">
        <f aca="false">IF(LEFT(AC15&amp;IF(B15="","; Missing Order Date","")&amp;IF(C15="","; Missing Ship Date","")&amp;IF(P15&lt;0,"; Invalid Discount (Negative)","")&amp;IF(P15&gt;0.5,"; Invalid Discount (Too High)","")&amp;IF(Z15&lt;0,"; Invalid Shipping Record (Ship Before Order)","")&amp;IF(ABS(Q15-W15)&gt;1,"; Sales Mismatch","")&amp;IF(ABS(S15-X15)&gt;1,"; Profit Mismatch","")&amp;IF(COUNTIF($A$2:$A$913,A15)&gt;1,"; Duplicate Order ID Conflict",""),2)="; ",MID(AC15&amp;IF(B15="","; Missing Order Date","")&amp;IF(C15="","; Missing Ship Date","")&amp;IF(P15&lt;0,"; Invalid Discount (Negative)","")&amp;IF(P15&gt;0.5,"; Invalid Discount (Too High)","")&amp;IF(Z15&lt;0,"; Invalid Shipping Record (Ship Before Order)","")&amp;IF(ABS(Q15-W15)&gt;1,"; Sales Mismatch","")&amp;IF(ABS(S15-X15)&gt;1,"; Profit Mismatch","")&amp;IF(COUNTIF($A$2:$A$913,A15)&gt;1,"; Duplicate Order ID Conflict",""),3,500),AC15&amp;IF(B15="","; Missing Order Date","")&amp;IF(C15="","; Missing Ship Date","")&amp;IF(P15&lt;0,"; Invalid Discount (Negative)","")&amp;IF(P15&gt;0.5,"; Invalid Discount (Too High)","")&amp;IF(Z15&lt;0,"; Invalid Shipping Record (Ship Before Order)","")&amp;IF(ABS(Q15-W15)&gt;1,"; Sales Mismatch","")&amp;IF(ABS(S15-X15)&gt;1,"; Profit Mismatch","")&amp;IF(COUNTIF($A$2:$A$913,A15)&gt;1,"; Duplicate Order ID Conflict",""))</f>
        <v/>
      </c>
      <c r="AE15" s="10" t="str">
        <f aca="false">IF(OR(ISNUMBER(SEARCH("Invalid Discount",AD15)),ISNUMBER(SEARCH("Invalid Shipping Record",AD15)),ISNUMBER(SEARCH("Sales Mismatch",AD15)),ISNUMBER(SEARCH("Profit Mismatch",AD15)),ISNUMBER(SEARCH("Duplicate Order ID Conflict",AD15)),ISNUMBER(SEARCH("Missing Order Date",AD15)),ISNUMBER(SEARCH("Missing Ship Date",AD15))),"Invalid",IF(AD15&lt;&gt;"","Warning","Clean"))</f>
        <v>Clean</v>
      </c>
    </row>
    <row r="16" customFormat="false" ht="15" hidden="false" customHeight="true" outlineLevel="0" collapsed="false">
      <c r="A16" s="3" t="s">
        <v>73</v>
      </c>
      <c r="B16" s="4" t="n">
        <v>45653</v>
      </c>
      <c r="C16" s="4" t="n">
        <v>45654</v>
      </c>
      <c r="D16" s="3" t="s">
        <v>74</v>
      </c>
      <c r="E16" s="3" t="str">
        <f aca="false">PROPER(TRIM(SUBSTITUTE(Raw_Text_Fields!B17,CHAR(160)," ")))</f>
        <v>Rahul Verma</v>
      </c>
      <c r="F16" s="3" t="str">
        <f aca="false">PROPER(TRIM(SUBSTITUTE(Raw_Text_Fields!C17,CHAR(160)," ")))</f>
        <v>Consumer</v>
      </c>
      <c r="G16" s="3" t="str">
        <f aca="false">PROPER(TRIM(SUBSTITUTE(Raw_Text_Fields!D17,CHAR(160)," ")))</f>
        <v>West</v>
      </c>
      <c r="H16" s="3" t="str">
        <f aca="false">PROPER(TRIM(SUBSTITUTE(Raw_Text_Fields!E17,CHAR(160)," ")))</f>
        <v>Rajasthan</v>
      </c>
      <c r="I16" s="3" t="str">
        <f aca="false">PROPER(TRIM(SUBSTITUTE(Raw_Text_Fields!F17,CHAR(160)," ")))</f>
        <v>Udaipur</v>
      </c>
      <c r="J16" s="3" t="str">
        <f aca="false">PROPER(TRIM(SUBSTITUTE(Raw_Text_Fields!G17,CHAR(160)," ")))</f>
        <v>Technology</v>
      </c>
      <c r="K16" s="3" t="str">
        <f aca="false">PROPER(TRIM(SUBSTITUTE(Raw_Text_Fields!H17,CHAR(160)," ")))</f>
        <v>Copiers</v>
      </c>
      <c r="L16" s="3" t="s">
        <v>75</v>
      </c>
      <c r="M16" s="3" t="str">
        <f aca="false">PROPER(TRIM(SUBSTITUTE(Raw_Text_Fields!I17,CHAR(160)," ")))</f>
        <v>Standard Class</v>
      </c>
      <c r="N16" s="3" t="n">
        <v>2</v>
      </c>
      <c r="O16" s="5" t="n">
        <v>2737.83</v>
      </c>
      <c r="P16" s="6" t="n">
        <v>0.25</v>
      </c>
      <c r="Q16" s="5" t="n">
        <v>4106.74</v>
      </c>
      <c r="R16" s="5" t="n">
        <v>2666.3</v>
      </c>
      <c r="S16" s="5" t="n">
        <v>1440.44</v>
      </c>
      <c r="T16" s="3" t="str">
        <f aca="false">PROPER(TRIM(SUBSTITUTE(Raw_Text_Fields!J17,CHAR(160)," ")))</f>
        <v>Paid</v>
      </c>
      <c r="U16" s="3" t="str">
        <f aca="false">PROPER(TRIM(SUBSTITUTE(Raw_Text_Fields!K17,CHAR(160)," ")))</f>
        <v>Completed</v>
      </c>
      <c r="V16" s="7" t="n">
        <f aca="false">IF(OR(P16&lt;0,P16&gt;0.5),0,P16)</f>
        <v>0.25</v>
      </c>
      <c r="W16" s="8" t="n">
        <f aca="false">N16*O16*(1-V16)</f>
        <v>4106.745</v>
      </c>
      <c r="X16" s="8" t="n">
        <f aca="false">W16-R16</f>
        <v>1440.445</v>
      </c>
      <c r="Y16" s="7" t="n">
        <f aca="false">IFERROR(X16/W16,0)</f>
        <v>0.350751020577124</v>
      </c>
      <c r="Z16" s="9" t="n">
        <f aca="false">C16-B16</f>
        <v>1</v>
      </c>
      <c r="AA16" s="1" t="str">
        <f aca="false">IF(B16="","",TEXT(B16,"mmm"))</f>
        <v>Dec</v>
      </c>
      <c r="AB16" s="9" t="n">
        <f aca="false">IF(B16="","",YEAR(B16))</f>
        <v>2024</v>
      </c>
      <c r="AC16" s="3"/>
      <c r="AD16" s="3" t="str">
        <f aca="false">IF(LEFT(AC16&amp;IF(B16="","; Missing Order Date","")&amp;IF(C16="","; Missing Ship Date","")&amp;IF(P16&lt;0,"; Invalid Discount (Negative)","")&amp;IF(P16&gt;0.5,"; Invalid Discount (Too High)","")&amp;IF(Z16&lt;0,"; Invalid Shipping Record (Ship Before Order)","")&amp;IF(ABS(Q16-W16)&gt;1,"; Sales Mismatch","")&amp;IF(ABS(S16-X16)&gt;1,"; Profit Mismatch","")&amp;IF(COUNTIF($A$2:$A$913,A16)&gt;1,"; Duplicate Order ID Conflict",""),2)="; ",MID(AC16&amp;IF(B16="","; Missing Order Date","")&amp;IF(C16="","; Missing Ship Date","")&amp;IF(P16&lt;0,"; Invalid Discount (Negative)","")&amp;IF(P16&gt;0.5,"; Invalid Discount (Too High)","")&amp;IF(Z16&lt;0,"; Invalid Shipping Record (Ship Before Order)","")&amp;IF(ABS(Q16-W16)&gt;1,"; Sales Mismatch","")&amp;IF(ABS(S16-X16)&gt;1,"; Profit Mismatch","")&amp;IF(COUNTIF($A$2:$A$913,A16)&gt;1,"; Duplicate Order ID Conflict",""),3,500),AC16&amp;IF(B16="","; Missing Order Date","")&amp;IF(C16="","; Missing Ship Date","")&amp;IF(P16&lt;0,"; Invalid Discount (Negative)","")&amp;IF(P16&gt;0.5,"; Invalid Discount (Too High)","")&amp;IF(Z16&lt;0,"; Invalid Shipping Record (Ship Before Order)","")&amp;IF(ABS(Q16-W16)&gt;1,"; Sales Mismatch","")&amp;IF(ABS(S16-X16)&gt;1,"; Profit Mismatch","")&amp;IF(COUNTIF($A$2:$A$913,A16)&gt;1,"; Duplicate Order ID Conflict",""))</f>
        <v/>
      </c>
      <c r="AE16" s="10" t="str">
        <f aca="false">IF(OR(ISNUMBER(SEARCH("Invalid Discount",AD16)),ISNUMBER(SEARCH("Invalid Shipping Record",AD16)),ISNUMBER(SEARCH("Sales Mismatch",AD16)),ISNUMBER(SEARCH("Profit Mismatch",AD16)),ISNUMBER(SEARCH("Duplicate Order ID Conflict",AD16)),ISNUMBER(SEARCH("Missing Order Date",AD16)),ISNUMBER(SEARCH("Missing Ship Date",AD16))),"Invalid",IF(AD16&lt;&gt;"","Warning","Clean"))</f>
        <v>Clean</v>
      </c>
    </row>
    <row r="17" customFormat="false" ht="15" hidden="false" customHeight="true" outlineLevel="0" collapsed="false">
      <c r="A17" s="3" t="s">
        <v>76</v>
      </c>
      <c r="B17" s="4" t="n">
        <v>45482</v>
      </c>
      <c r="C17" s="4" t="n">
        <v>45482</v>
      </c>
      <c r="D17" s="3" t="s">
        <v>77</v>
      </c>
      <c r="E17" s="3" t="str">
        <f aca="false">PROPER(TRIM(SUBSTITUTE(Raw_Text_Fields!B18,CHAR(160)," ")))</f>
        <v>Karan Malhotra</v>
      </c>
      <c r="F17" s="3" t="str">
        <f aca="false">PROPER(TRIM(SUBSTITUTE(Raw_Text_Fields!C18,CHAR(160)," ")))</f>
        <v>Small Business</v>
      </c>
      <c r="G17" s="3" t="str">
        <f aca="false">PROPER(TRIM(SUBSTITUTE(Raw_Text_Fields!D18,CHAR(160)," ")))</f>
        <v>North</v>
      </c>
      <c r="H17" s="3" t="str">
        <f aca="false">PROPER(TRIM(SUBSTITUTE(Raw_Text_Fields!E18,CHAR(160)," ")))</f>
        <v>Punjab</v>
      </c>
      <c r="I17" s="3" t="str">
        <f aca="false">PROPER(TRIM(SUBSTITUTE(Raw_Text_Fields!F18,CHAR(160)," ")))</f>
        <v>Ludhiana</v>
      </c>
      <c r="J17" s="3" t="str">
        <f aca="false">PROPER(TRIM(SUBSTITUTE(Raw_Text_Fields!G18,CHAR(160)," ")))</f>
        <v>Office Supplies</v>
      </c>
      <c r="K17" s="3" t="str">
        <f aca="false">PROPER(TRIM(SUBSTITUTE(Raw_Text_Fields!H18,CHAR(160)," ")))</f>
        <v>Storage</v>
      </c>
      <c r="L17" s="3" t="s">
        <v>78</v>
      </c>
      <c r="M17" s="3" t="str">
        <f aca="false">PROPER(TRIM(SUBSTITUTE(Raw_Text_Fields!I18,CHAR(160)," ")))</f>
        <v>Second Class</v>
      </c>
      <c r="N17" s="3" t="n">
        <v>6</v>
      </c>
      <c r="O17" s="5" t="n">
        <v>3965.76</v>
      </c>
      <c r="P17" s="6" t="n">
        <v>0</v>
      </c>
      <c r="Q17" s="5" t="n">
        <v>23794.56</v>
      </c>
      <c r="R17" s="5" t="n">
        <v>15698.47</v>
      </c>
      <c r="S17" s="5" t="n">
        <v>8096.09</v>
      </c>
      <c r="T17" s="3" t="str">
        <f aca="false">PROPER(TRIM(SUBSTITUTE(Raw_Text_Fields!J18,CHAR(160)," ")))</f>
        <v>Paid</v>
      </c>
      <c r="U17" s="3" t="str">
        <f aca="false">PROPER(TRIM(SUBSTITUTE(Raw_Text_Fields!K18,CHAR(160)," ")))</f>
        <v>Completed</v>
      </c>
      <c r="V17" s="7" t="n">
        <f aca="false">IF(OR(P17&lt;0,P17&gt;0.5),0,P17)</f>
        <v>0</v>
      </c>
      <c r="W17" s="8" t="n">
        <f aca="false">N17*O17*(1-V17)</f>
        <v>23794.56</v>
      </c>
      <c r="X17" s="8" t="n">
        <f aca="false">W17-R17</f>
        <v>8096.09</v>
      </c>
      <c r="Y17" s="7" t="n">
        <f aca="false">IFERROR(X17/W17,0)</f>
        <v>0.340249620081229</v>
      </c>
      <c r="Z17" s="9" t="n">
        <f aca="false">C17-B17</f>
        <v>0</v>
      </c>
      <c r="AA17" s="1" t="str">
        <f aca="false">IF(B17="","",TEXT(B17,"mmm"))</f>
        <v>Jul</v>
      </c>
      <c r="AB17" s="9" t="n">
        <f aca="false">IF(B17="","",YEAR(B17))</f>
        <v>2024</v>
      </c>
      <c r="AC17" s="3"/>
      <c r="AD17" s="3" t="str">
        <f aca="false">IF(LEFT(AC17&amp;IF(B17="","; Missing Order Date","")&amp;IF(C17="","; Missing Ship Date","")&amp;IF(P17&lt;0,"; Invalid Discount (Negative)","")&amp;IF(P17&gt;0.5,"; Invalid Discount (Too High)","")&amp;IF(Z17&lt;0,"; Invalid Shipping Record (Ship Before Order)","")&amp;IF(ABS(Q17-W17)&gt;1,"; Sales Mismatch","")&amp;IF(ABS(S17-X17)&gt;1,"; Profit Mismatch","")&amp;IF(COUNTIF($A$2:$A$913,A17)&gt;1,"; Duplicate Order ID Conflict",""),2)="; ",MID(AC17&amp;IF(B17="","; Missing Order Date","")&amp;IF(C17="","; Missing Ship Date","")&amp;IF(P17&lt;0,"; Invalid Discount (Negative)","")&amp;IF(P17&gt;0.5,"; Invalid Discount (Too High)","")&amp;IF(Z17&lt;0,"; Invalid Shipping Record (Ship Before Order)","")&amp;IF(ABS(Q17-W17)&gt;1,"; Sales Mismatch","")&amp;IF(ABS(S17-X17)&gt;1,"; Profit Mismatch","")&amp;IF(COUNTIF($A$2:$A$913,A17)&gt;1,"; Duplicate Order ID Conflict",""),3,500),AC17&amp;IF(B17="","; Missing Order Date","")&amp;IF(C17="","; Missing Ship Date","")&amp;IF(P17&lt;0,"; Invalid Discount (Negative)","")&amp;IF(P17&gt;0.5,"; Invalid Discount (Too High)","")&amp;IF(Z17&lt;0,"; Invalid Shipping Record (Ship Before Order)","")&amp;IF(ABS(Q17-W17)&gt;1,"; Sales Mismatch","")&amp;IF(ABS(S17-X17)&gt;1,"; Profit Mismatch","")&amp;IF(COUNTIF($A$2:$A$913,A17)&gt;1,"; Duplicate Order ID Conflict",""))</f>
        <v/>
      </c>
      <c r="AE17" s="10" t="str">
        <f aca="false">IF(OR(ISNUMBER(SEARCH("Invalid Discount",AD17)),ISNUMBER(SEARCH("Invalid Shipping Record",AD17)),ISNUMBER(SEARCH("Sales Mismatch",AD17)),ISNUMBER(SEARCH("Profit Mismatch",AD17)),ISNUMBER(SEARCH("Duplicate Order ID Conflict",AD17)),ISNUMBER(SEARCH("Missing Order Date",AD17)),ISNUMBER(SEARCH("Missing Ship Date",AD17))),"Invalid",IF(AD17&lt;&gt;"","Warning","Clean"))</f>
        <v>Clean</v>
      </c>
    </row>
    <row r="18" customFormat="false" ht="15" hidden="false" customHeight="true" outlineLevel="0" collapsed="false">
      <c r="A18" s="3" t="s">
        <v>79</v>
      </c>
      <c r="B18" s="4" t="n">
        <v>45420</v>
      </c>
      <c r="C18" s="4" t="n">
        <v>45427</v>
      </c>
      <c r="D18" s="3" t="s">
        <v>80</v>
      </c>
      <c r="E18" s="3" t="str">
        <f aca="false">PROPER(TRIM(SUBSTITUTE(Raw_Text_Fields!B19,CHAR(160)," ")))</f>
        <v>Aarav Sharma</v>
      </c>
      <c r="F18" s="3" t="str">
        <f aca="false">PROPER(TRIM(SUBSTITUTE(Raw_Text_Fields!C19,CHAR(160)," ")))</f>
        <v>Consumer</v>
      </c>
      <c r="G18" s="3" t="str">
        <f aca="false">PROPER(TRIM(SUBSTITUTE(Raw_Text_Fields!D19,CHAR(160)," ")))</f>
        <v>South</v>
      </c>
      <c r="H18" s="3" t="str">
        <f aca="false">PROPER(TRIM(SUBSTITUTE(Raw_Text_Fields!E19,CHAR(160)," ")))</f>
        <v>Telangana</v>
      </c>
      <c r="I18" s="3" t="str">
        <f aca="false">PROPER(TRIM(SUBSTITUTE(Raw_Text_Fields!F19,CHAR(160)," ")))</f>
        <v>Hyderabad</v>
      </c>
      <c r="J18" s="3" t="str">
        <f aca="false">PROPER(TRIM(SUBSTITUTE(Raw_Text_Fields!G19,CHAR(160)," ")))</f>
        <v>Office Supplies</v>
      </c>
      <c r="K18" s="3" t="str">
        <f aca="false">PROPER(TRIM(SUBSTITUTE(Raw_Text_Fields!H19,CHAR(160)," ")))</f>
        <v>Art</v>
      </c>
      <c r="L18" s="3" t="s">
        <v>81</v>
      </c>
      <c r="M18" s="3" t="str">
        <f aca="false">PROPER(TRIM(SUBSTITUTE(Raw_Text_Fields!I19,CHAR(160)," ")))</f>
        <v>First Class</v>
      </c>
      <c r="N18" s="3" t="n">
        <v>4</v>
      </c>
      <c r="O18" s="5" t="n">
        <v>3323.51</v>
      </c>
      <c r="P18" s="6" t="n">
        <v>0.25</v>
      </c>
      <c r="Q18" s="5" t="n">
        <v>9970.53</v>
      </c>
      <c r="R18" s="5" t="n">
        <v>5668.17</v>
      </c>
      <c r="S18" s="5" t="n">
        <v>4302.36</v>
      </c>
      <c r="T18" s="3" t="str">
        <f aca="false">PROPER(TRIM(SUBSTITUTE(Raw_Text_Fields!J19,CHAR(160)," ")))</f>
        <v>Paid</v>
      </c>
      <c r="U18" s="3" t="str">
        <f aca="false">PROPER(TRIM(SUBSTITUTE(Raw_Text_Fields!K19,CHAR(160)," ")))</f>
        <v>Completed</v>
      </c>
      <c r="V18" s="7" t="n">
        <f aca="false">IF(OR(P18&lt;0,P18&gt;0.5),0,P18)</f>
        <v>0.25</v>
      </c>
      <c r="W18" s="8" t="n">
        <f aca="false">N18*O18*(1-V18)</f>
        <v>9970.53</v>
      </c>
      <c r="X18" s="8" t="n">
        <f aca="false">W18-R18</f>
        <v>4302.36</v>
      </c>
      <c r="Y18" s="7" t="n">
        <f aca="false">IFERROR(X18/W18,0)</f>
        <v>0.431507653053549</v>
      </c>
      <c r="Z18" s="9" t="n">
        <f aca="false">C18-B18</f>
        <v>7</v>
      </c>
      <c r="AA18" s="1" t="str">
        <f aca="false">IF(B18="","",TEXT(B18,"mmm"))</f>
        <v>May</v>
      </c>
      <c r="AB18" s="9" t="n">
        <f aca="false">IF(B18="","",YEAR(B18))</f>
        <v>2024</v>
      </c>
      <c r="AC18" s="3"/>
      <c r="AD18" s="3" t="str">
        <f aca="false">IF(LEFT(AC18&amp;IF(B18="","; Missing Order Date","")&amp;IF(C18="","; Missing Ship Date","")&amp;IF(P18&lt;0,"; Invalid Discount (Negative)","")&amp;IF(P18&gt;0.5,"; Invalid Discount (Too High)","")&amp;IF(Z18&lt;0,"; Invalid Shipping Record (Ship Before Order)","")&amp;IF(ABS(Q18-W18)&gt;1,"; Sales Mismatch","")&amp;IF(ABS(S18-X18)&gt;1,"; Profit Mismatch","")&amp;IF(COUNTIF($A$2:$A$913,A18)&gt;1,"; Duplicate Order ID Conflict",""),2)="; ",MID(AC18&amp;IF(B18="","; Missing Order Date","")&amp;IF(C18="","; Missing Ship Date","")&amp;IF(P18&lt;0,"; Invalid Discount (Negative)","")&amp;IF(P18&gt;0.5,"; Invalid Discount (Too High)","")&amp;IF(Z18&lt;0,"; Invalid Shipping Record (Ship Before Order)","")&amp;IF(ABS(Q18-W18)&gt;1,"; Sales Mismatch","")&amp;IF(ABS(S18-X18)&gt;1,"; Profit Mismatch","")&amp;IF(COUNTIF($A$2:$A$913,A18)&gt;1,"; Duplicate Order ID Conflict",""),3,500),AC18&amp;IF(B18="","; Missing Order Date","")&amp;IF(C18="","; Missing Ship Date","")&amp;IF(P18&lt;0,"; Invalid Discount (Negative)","")&amp;IF(P18&gt;0.5,"; Invalid Discount (Too High)","")&amp;IF(Z18&lt;0,"; Invalid Shipping Record (Ship Before Order)","")&amp;IF(ABS(Q18-W18)&gt;1,"; Sales Mismatch","")&amp;IF(ABS(S18-X18)&gt;1,"; Profit Mismatch","")&amp;IF(COUNTIF($A$2:$A$913,A18)&gt;1,"; Duplicate Order ID Conflict",""))</f>
        <v/>
      </c>
      <c r="AE18" s="10" t="str">
        <f aca="false">IF(OR(ISNUMBER(SEARCH("Invalid Discount",AD18)),ISNUMBER(SEARCH("Invalid Shipping Record",AD18)),ISNUMBER(SEARCH("Sales Mismatch",AD18)),ISNUMBER(SEARCH("Profit Mismatch",AD18)),ISNUMBER(SEARCH("Duplicate Order ID Conflict",AD18)),ISNUMBER(SEARCH("Missing Order Date",AD18)),ISNUMBER(SEARCH("Missing Ship Date",AD18))),"Invalid",IF(AD18&lt;&gt;"","Warning","Clean"))</f>
        <v>Clean</v>
      </c>
    </row>
    <row r="19" customFormat="false" ht="15" hidden="false" customHeight="true" outlineLevel="0" collapsed="false">
      <c r="A19" s="3" t="s">
        <v>82</v>
      </c>
      <c r="B19" s="4" t="n">
        <v>45298</v>
      </c>
      <c r="C19" s="4" t="n">
        <v>45299</v>
      </c>
      <c r="D19" s="3" t="s">
        <v>83</v>
      </c>
      <c r="E19" s="3" t="str">
        <f aca="false">PROPER(TRIM(SUBSTITUTE(Raw_Text_Fields!B20,CHAR(160)," ")))</f>
        <v>Sneha Kapoor</v>
      </c>
      <c r="F19" s="3" t="str">
        <f aca="false">PROPER(TRIM(SUBSTITUTE(Raw_Text_Fields!C20,CHAR(160)," ")))</f>
        <v>Small Business</v>
      </c>
      <c r="G19" s="3" t="str">
        <f aca="false">PROPER(TRIM(SUBSTITUTE(Raw_Text_Fields!D20,CHAR(160)," ")))</f>
        <v>North</v>
      </c>
      <c r="H19" s="3" t="str">
        <f aca="false">PROPER(TRIM(SUBSTITUTE(Raw_Text_Fields!E20,CHAR(160)," ")))</f>
        <v>Rajasthan</v>
      </c>
      <c r="I19" s="3" t="str">
        <f aca="false">PROPER(TRIM(SUBSTITUTE(Raw_Text_Fields!F20,CHAR(160)," ")))</f>
        <v>Jaipur</v>
      </c>
      <c r="J19" s="3" t="str">
        <f aca="false">PROPER(TRIM(SUBSTITUTE(Raw_Text_Fields!G20,CHAR(160)," ")))</f>
        <v>Furniture</v>
      </c>
      <c r="K19" s="3" t="str">
        <f aca="false">PROPER(TRIM(SUBSTITUTE(Raw_Text_Fields!H20,CHAR(160)," ")))</f>
        <v>Furnishings</v>
      </c>
      <c r="L19" s="3" t="s">
        <v>84</v>
      </c>
      <c r="M19" s="3" t="str">
        <f aca="false">PROPER(TRIM(SUBSTITUTE(Raw_Text_Fields!I20,CHAR(160)," ")))</f>
        <v>Same Day</v>
      </c>
      <c r="N19" s="3" t="n">
        <v>5</v>
      </c>
      <c r="O19" s="5" t="n">
        <v>1526.78</v>
      </c>
      <c r="P19" s="6" t="n">
        <v>0</v>
      </c>
      <c r="Q19" s="5" t="n">
        <v>7633.9</v>
      </c>
      <c r="R19" s="5" t="n">
        <v>4706.91</v>
      </c>
      <c r="S19" s="5" t="n">
        <v>2926.99</v>
      </c>
      <c r="T19" s="3" t="str">
        <f aca="false">PROPER(TRIM(SUBSTITUTE(Raw_Text_Fields!J20,CHAR(160)," ")))</f>
        <v>Paid</v>
      </c>
      <c r="U19" s="3" t="str">
        <f aca="false">PROPER(TRIM(SUBSTITUTE(Raw_Text_Fields!K20,CHAR(160)," ")))</f>
        <v>Completed</v>
      </c>
      <c r="V19" s="7" t="n">
        <f aca="false">IF(OR(P19&lt;0,P19&gt;0.5),0,P19)</f>
        <v>0</v>
      </c>
      <c r="W19" s="8" t="n">
        <f aca="false">N19*O19*(1-V19)</f>
        <v>7633.9</v>
      </c>
      <c r="X19" s="8" t="n">
        <f aca="false">W19-R19</f>
        <v>2926.99</v>
      </c>
      <c r="Y19" s="7" t="n">
        <f aca="false">IFERROR(X19/W19,0)</f>
        <v>0.383420008121668</v>
      </c>
      <c r="Z19" s="9" t="n">
        <f aca="false">C19-B19</f>
        <v>1</v>
      </c>
      <c r="AA19" s="1" t="str">
        <f aca="false">IF(B19="","",TEXT(B19,"mmm"))</f>
        <v>Jan</v>
      </c>
      <c r="AB19" s="9" t="n">
        <f aca="false">IF(B19="","",YEAR(B19))</f>
        <v>2024</v>
      </c>
      <c r="AC19" s="3"/>
      <c r="AD19" s="3" t="str">
        <f aca="false">IF(LEFT(AC19&amp;IF(B19="","; Missing Order Date","")&amp;IF(C19="","; Missing Ship Date","")&amp;IF(P19&lt;0,"; Invalid Discount (Negative)","")&amp;IF(P19&gt;0.5,"; Invalid Discount (Too High)","")&amp;IF(Z19&lt;0,"; Invalid Shipping Record (Ship Before Order)","")&amp;IF(ABS(Q19-W19)&gt;1,"; Sales Mismatch","")&amp;IF(ABS(S19-X19)&gt;1,"; Profit Mismatch","")&amp;IF(COUNTIF($A$2:$A$913,A19)&gt;1,"; Duplicate Order ID Conflict",""),2)="; ",MID(AC19&amp;IF(B19="","; Missing Order Date","")&amp;IF(C19="","; Missing Ship Date","")&amp;IF(P19&lt;0,"; Invalid Discount (Negative)","")&amp;IF(P19&gt;0.5,"; Invalid Discount (Too High)","")&amp;IF(Z19&lt;0,"; Invalid Shipping Record (Ship Before Order)","")&amp;IF(ABS(Q19-W19)&gt;1,"; Sales Mismatch","")&amp;IF(ABS(S19-X19)&gt;1,"; Profit Mismatch","")&amp;IF(COUNTIF($A$2:$A$913,A19)&gt;1,"; Duplicate Order ID Conflict",""),3,500),AC19&amp;IF(B19="","; Missing Order Date","")&amp;IF(C19="","; Missing Ship Date","")&amp;IF(P19&lt;0,"; Invalid Discount (Negative)","")&amp;IF(P19&gt;0.5,"; Invalid Discount (Too High)","")&amp;IF(Z19&lt;0,"; Invalid Shipping Record (Ship Before Order)","")&amp;IF(ABS(Q19-W19)&gt;1,"; Sales Mismatch","")&amp;IF(ABS(S19-X19)&gt;1,"; Profit Mismatch","")&amp;IF(COUNTIF($A$2:$A$913,A19)&gt;1,"; Duplicate Order ID Conflict",""))</f>
        <v/>
      </c>
      <c r="AE19" s="10" t="str">
        <f aca="false">IF(OR(ISNUMBER(SEARCH("Invalid Discount",AD19)),ISNUMBER(SEARCH("Invalid Shipping Record",AD19)),ISNUMBER(SEARCH("Sales Mismatch",AD19)),ISNUMBER(SEARCH("Profit Mismatch",AD19)),ISNUMBER(SEARCH("Duplicate Order ID Conflict",AD19)),ISNUMBER(SEARCH("Missing Order Date",AD19)),ISNUMBER(SEARCH("Missing Ship Date",AD19))),"Invalid",IF(AD19&lt;&gt;"","Warning","Clean"))</f>
        <v>Clean</v>
      </c>
    </row>
    <row r="20" customFormat="false" ht="15" hidden="false" customHeight="true" outlineLevel="0" collapsed="false">
      <c r="A20" s="3" t="s">
        <v>85</v>
      </c>
      <c r="B20" s="4" t="n">
        <v>45853</v>
      </c>
      <c r="C20" s="4" t="n">
        <v>45855</v>
      </c>
      <c r="D20" s="3" t="s">
        <v>86</v>
      </c>
      <c r="E20" s="3" t="str">
        <f aca="false">PROPER(TRIM(SUBSTITUTE(Raw_Text_Fields!B21,CHAR(160)," ")))</f>
        <v>Aarav Sharma</v>
      </c>
      <c r="F20" s="3" t="str">
        <f aca="false">PROPER(TRIM(SUBSTITUTE(Raw_Text_Fields!C21,CHAR(160)," ")))</f>
        <v>Home Office</v>
      </c>
      <c r="G20" s="3" t="str">
        <f aca="false">PROPER(TRIM(SUBSTITUTE(Raw_Text_Fields!D21,CHAR(160)," ")))</f>
        <v>North</v>
      </c>
      <c r="H20" s="3" t="str">
        <f aca="false">PROPER(TRIM(SUBSTITUTE(Raw_Text_Fields!E21,CHAR(160)," ")))</f>
        <v>Uttar Pradesh</v>
      </c>
      <c r="I20" s="3" t="str">
        <f aca="false">PROPER(TRIM(SUBSTITUTE(Raw_Text_Fields!F21,CHAR(160)," ")))</f>
        <v>Noida</v>
      </c>
      <c r="J20" s="3" t="str">
        <f aca="false">PROPER(TRIM(SUBSTITUTE(Raw_Text_Fields!G21,CHAR(160)," ")))</f>
        <v>Technology</v>
      </c>
      <c r="K20" s="3" t="str">
        <f aca="false">PROPER(TRIM(SUBSTITUTE(Raw_Text_Fields!H21,CHAR(160)," ")))</f>
        <v>Copiers</v>
      </c>
      <c r="L20" s="3" t="s">
        <v>87</v>
      </c>
      <c r="M20" s="3" t="str">
        <f aca="false">PROPER(TRIM(SUBSTITUTE(Raw_Text_Fields!I21,CHAR(160)," ")))</f>
        <v>First Class</v>
      </c>
      <c r="N20" s="3" t="n">
        <v>2</v>
      </c>
      <c r="O20" s="5" t="n">
        <v>1997.99</v>
      </c>
      <c r="P20" s="6" t="n">
        <v>0</v>
      </c>
      <c r="Q20" s="5" t="n">
        <v>3995.98</v>
      </c>
      <c r="R20" s="5" t="n">
        <v>2633.2</v>
      </c>
      <c r="S20" s="5" t="n">
        <v>1362.78</v>
      </c>
      <c r="T20" s="3" t="str">
        <f aca="false">PROPER(TRIM(SUBSTITUTE(Raw_Text_Fields!J21,CHAR(160)," ")))</f>
        <v>Refunded</v>
      </c>
      <c r="U20" s="3" t="str">
        <f aca="false">PROPER(TRIM(SUBSTITUTE(Raw_Text_Fields!K21,CHAR(160)," ")))</f>
        <v>Cancelled</v>
      </c>
      <c r="V20" s="7" t="n">
        <f aca="false">IF(OR(P20&lt;0,P20&gt;0.5),0,P20)</f>
        <v>0</v>
      </c>
      <c r="W20" s="8" t="n">
        <f aca="false">N20*O20*(1-V20)</f>
        <v>3995.98</v>
      </c>
      <c r="X20" s="8" t="n">
        <f aca="false">W20-R20</f>
        <v>1362.78</v>
      </c>
      <c r="Y20" s="7" t="n">
        <f aca="false">IFERROR(X20/W20,0)</f>
        <v>0.341037742931646</v>
      </c>
      <c r="Z20" s="9" t="n">
        <f aca="false">C20-B20</f>
        <v>2</v>
      </c>
      <c r="AA20" s="1" t="str">
        <f aca="false">IF(B20="","",TEXT(B20,"mmm"))</f>
        <v>Jul</v>
      </c>
      <c r="AB20" s="9" t="n">
        <f aca="false">IF(B20="","",YEAR(B20))</f>
        <v>2025</v>
      </c>
      <c r="AC20" s="3"/>
      <c r="AD20" s="3" t="str">
        <f aca="false">IF(LEFT(AC20&amp;IF(B20="","; Missing Order Date","")&amp;IF(C20="","; Missing Ship Date","")&amp;IF(P20&lt;0,"; Invalid Discount (Negative)","")&amp;IF(P20&gt;0.5,"; Invalid Discount (Too High)","")&amp;IF(Z20&lt;0,"; Invalid Shipping Record (Ship Before Order)","")&amp;IF(ABS(Q20-W20)&gt;1,"; Sales Mismatch","")&amp;IF(ABS(S20-X20)&gt;1,"; Profit Mismatch","")&amp;IF(COUNTIF($A$2:$A$913,A20)&gt;1,"; Duplicate Order ID Conflict",""),2)="; ",MID(AC20&amp;IF(B20="","; Missing Order Date","")&amp;IF(C20="","; Missing Ship Date","")&amp;IF(P20&lt;0,"; Invalid Discount (Negative)","")&amp;IF(P20&gt;0.5,"; Invalid Discount (Too High)","")&amp;IF(Z20&lt;0,"; Invalid Shipping Record (Ship Before Order)","")&amp;IF(ABS(Q20-W20)&gt;1,"; Sales Mismatch","")&amp;IF(ABS(S20-X20)&gt;1,"; Profit Mismatch","")&amp;IF(COUNTIF($A$2:$A$913,A20)&gt;1,"; Duplicate Order ID Conflict",""),3,500),AC20&amp;IF(B20="","; Missing Order Date","")&amp;IF(C20="","; Missing Ship Date","")&amp;IF(P20&lt;0,"; Invalid Discount (Negative)","")&amp;IF(P20&gt;0.5,"; Invalid Discount (Too High)","")&amp;IF(Z20&lt;0,"; Invalid Shipping Record (Ship Before Order)","")&amp;IF(ABS(Q20-W20)&gt;1,"; Sales Mismatch","")&amp;IF(ABS(S20-X20)&gt;1,"; Profit Mismatch","")&amp;IF(COUNTIF($A$2:$A$913,A20)&gt;1,"; Duplicate Order ID Conflict",""))</f>
        <v/>
      </c>
      <c r="AE20" s="10" t="str">
        <f aca="false">IF(OR(ISNUMBER(SEARCH("Invalid Discount",AD20)),ISNUMBER(SEARCH("Invalid Shipping Record",AD20)),ISNUMBER(SEARCH("Sales Mismatch",AD20)),ISNUMBER(SEARCH("Profit Mismatch",AD20)),ISNUMBER(SEARCH("Duplicate Order ID Conflict",AD20)),ISNUMBER(SEARCH("Missing Order Date",AD20)),ISNUMBER(SEARCH("Missing Ship Date",AD20))),"Invalid",IF(AD20&lt;&gt;"","Warning","Clean"))</f>
        <v>Clean</v>
      </c>
    </row>
    <row r="21" customFormat="false" ht="15" hidden="false" customHeight="true" outlineLevel="0" collapsed="false">
      <c r="A21" s="3" t="s">
        <v>88</v>
      </c>
      <c r="B21" s="4" t="n">
        <v>45500</v>
      </c>
      <c r="C21" s="4" t="n">
        <v>45504</v>
      </c>
      <c r="D21" s="3" t="s">
        <v>89</v>
      </c>
      <c r="E21" s="3" t="str">
        <f aca="false">PROPER(TRIM(SUBSTITUTE(Raw_Text_Fields!B22,CHAR(160)," ")))</f>
        <v>Rohan Mehta</v>
      </c>
      <c r="F21" s="3" t="str">
        <f aca="false">PROPER(TRIM(SUBSTITUTE(Raw_Text_Fields!C22,CHAR(160)," ")))</f>
        <v>Home Office</v>
      </c>
      <c r="G21" s="3" t="str">
        <f aca="false">PROPER(TRIM(SUBSTITUTE(Raw_Text_Fields!D22,CHAR(160)," ")))</f>
        <v>West</v>
      </c>
      <c r="H21" s="3" t="str">
        <f aca="false">PROPER(TRIM(SUBSTITUTE(Raw_Text_Fields!E22,CHAR(160)," ")))</f>
        <v>Madhya Pradesh</v>
      </c>
      <c r="I21" s="3" t="str">
        <f aca="false">PROPER(TRIM(SUBSTITUTE(Raw_Text_Fields!F22,CHAR(160)," ")))</f>
        <v>Indore</v>
      </c>
      <c r="J21" s="3" t="str">
        <f aca="false">PROPER(TRIM(SUBSTITUTE(Raw_Text_Fields!G22,CHAR(160)," ")))</f>
        <v>Office Supplies</v>
      </c>
      <c r="K21" s="3" t="str">
        <f aca="false">PROPER(TRIM(SUBSTITUTE(Raw_Text_Fields!H22,CHAR(160)," ")))</f>
        <v>Storage</v>
      </c>
      <c r="L21" s="3" t="s">
        <v>90</v>
      </c>
      <c r="M21" s="3" t="str">
        <f aca="false">PROPER(TRIM(SUBSTITUTE(Raw_Text_Fields!I22,CHAR(160)," ")))</f>
        <v>Second Class</v>
      </c>
      <c r="N21" s="3" t="n">
        <v>3</v>
      </c>
      <c r="O21" s="5" t="n">
        <v>3887.94</v>
      </c>
      <c r="P21" s="6" t="n">
        <v>-0.19</v>
      </c>
      <c r="Q21" s="5" t="n">
        <v>9331.06</v>
      </c>
      <c r="R21" s="5" t="n">
        <v>7529.31</v>
      </c>
      <c r="S21" s="5" t="n">
        <v>1801.75</v>
      </c>
      <c r="T21" s="3" t="str">
        <f aca="false">PROPER(TRIM(SUBSTITUTE(Raw_Text_Fields!J22,CHAR(160)," ")))</f>
        <v>Paid</v>
      </c>
      <c r="U21" s="3" t="str">
        <f aca="false">PROPER(TRIM(SUBSTITUTE(Raw_Text_Fields!K22,CHAR(160)," ")))</f>
        <v>Completed</v>
      </c>
      <c r="V21" s="7" t="n">
        <f aca="false">IF(OR(P21&lt;0,P21&gt;0.5),0,P21)</f>
        <v>0</v>
      </c>
      <c r="W21" s="8" t="n">
        <f aca="false">N21*O21*(1-V21)</f>
        <v>11663.82</v>
      </c>
      <c r="X21" s="8" t="n">
        <f aca="false">W21-R21</f>
        <v>4134.51</v>
      </c>
      <c r="Y21" s="7" t="n">
        <f aca="false">IFERROR(X21/W21,0)</f>
        <v>0.354473062855908</v>
      </c>
      <c r="Z21" s="9" t="n">
        <f aca="false">C21-B21</f>
        <v>4</v>
      </c>
      <c r="AA21" s="1" t="str">
        <f aca="false">IF(B21="","",TEXT(B21,"mmm"))</f>
        <v>Jul</v>
      </c>
      <c r="AB21" s="9" t="n">
        <f aca="false">IF(B21="","",YEAR(B21))</f>
        <v>2024</v>
      </c>
      <c r="AC21" s="3"/>
      <c r="AD21" s="3" t="str">
        <f aca="false">IF(LEFT(AC21&amp;IF(B21="","; Missing Order Date","")&amp;IF(C21="","; Missing Ship Date","")&amp;IF(P21&lt;0,"; Invalid Discount (Negative)","")&amp;IF(P21&gt;0.5,"; Invalid Discount (Too High)","")&amp;IF(Z21&lt;0,"; Invalid Shipping Record (Ship Before Order)","")&amp;IF(ABS(Q21-W21)&gt;1,"; Sales Mismatch","")&amp;IF(ABS(S21-X21)&gt;1,"; Profit Mismatch","")&amp;IF(COUNTIF($A$2:$A$913,A21)&gt;1,"; Duplicate Order ID Conflict",""),2)="; ",MID(AC21&amp;IF(B21="","; Missing Order Date","")&amp;IF(C21="","; Missing Ship Date","")&amp;IF(P21&lt;0,"; Invalid Discount (Negative)","")&amp;IF(P21&gt;0.5,"; Invalid Discount (Too High)","")&amp;IF(Z21&lt;0,"; Invalid Shipping Record (Ship Before Order)","")&amp;IF(ABS(Q21-W21)&gt;1,"; Sales Mismatch","")&amp;IF(ABS(S21-X21)&gt;1,"; Profit Mismatch","")&amp;IF(COUNTIF($A$2:$A$913,A21)&gt;1,"; Duplicate Order ID Conflict",""),3,500),AC21&amp;IF(B21="","; Missing Order Date","")&amp;IF(C21="","; Missing Ship Date","")&amp;IF(P21&lt;0,"; Invalid Discount (Negative)","")&amp;IF(P21&gt;0.5,"; Invalid Discount (Too High)","")&amp;IF(Z21&lt;0,"; Invalid Shipping Record (Ship Before Order)","")&amp;IF(ABS(Q21-W21)&gt;1,"; Sales Mismatch","")&amp;IF(ABS(S21-X21)&gt;1,"; Profit Mismatch","")&amp;IF(COUNTIF($A$2:$A$913,A21)&gt;1,"; Duplicate Order ID Conflict",""))</f>
        <v>Invalid Discount (Negative); Sales Mismatch; Profit Mismatch</v>
      </c>
      <c r="AE21" s="10" t="str">
        <f aca="false">IF(OR(ISNUMBER(SEARCH("Invalid Discount",AD21)),ISNUMBER(SEARCH("Invalid Shipping Record",AD21)),ISNUMBER(SEARCH("Sales Mismatch",AD21)),ISNUMBER(SEARCH("Profit Mismatch",AD21)),ISNUMBER(SEARCH("Duplicate Order ID Conflict",AD21)),ISNUMBER(SEARCH("Missing Order Date",AD21)),ISNUMBER(SEARCH("Missing Ship Date",AD21))),"Invalid",IF(AD21&lt;&gt;"","Warning","Clean"))</f>
        <v>Invalid</v>
      </c>
    </row>
    <row r="22" customFormat="false" ht="15" hidden="false" customHeight="true" outlineLevel="0" collapsed="false">
      <c r="A22" s="3" t="s">
        <v>91</v>
      </c>
      <c r="B22" s="4" t="n">
        <v>45678</v>
      </c>
      <c r="C22" s="4" t="n">
        <v>45680</v>
      </c>
      <c r="D22" s="3" t="s">
        <v>92</v>
      </c>
      <c r="E22" s="3" t="str">
        <f aca="false">PROPER(TRIM(SUBSTITUTE(Raw_Text_Fields!B23,CHAR(160)," ")))</f>
        <v>Aditi Sen</v>
      </c>
      <c r="F22" s="3" t="str">
        <f aca="false">PROPER(TRIM(SUBSTITUTE(Raw_Text_Fields!C23,CHAR(160)," ")))</f>
        <v>Home Office</v>
      </c>
      <c r="G22" s="3" t="str">
        <f aca="false">PROPER(TRIM(SUBSTITUTE(Raw_Text_Fields!D23,CHAR(160)," ")))</f>
        <v>East</v>
      </c>
      <c r="H22" s="3" t="str">
        <f aca="false">PROPER(TRIM(SUBSTITUTE(Raw_Text_Fields!E23,CHAR(160)," ")))</f>
        <v>Bihar</v>
      </c>
      <c r="I22" s="3" t="str">
        <f aca="false">PROPER(TRIM(SUBSTITUTE(Raw_Text_Fields!F23,CHAR(160)," ")))</f>
        <v>Patna</v>
      </c>
      <c r="J22" s="3" t="str">
        <f aca="false">PROPER(TRIM(SUBSTITUTE(Raw_Text_Fields!G23,CHAR(160)," ")))</f>
        <v>Technology</v>
      </c>
      <c r="K22" s="3" t="str">
        <f aca="false">PROPER(TRIM(SUBSTITUTE(Raw_Text_Fields!H23,CHAR(160)," ")))</f>
        <v>Copiers</v>
      </c>
      <c r="L22" s="3" t="s">
        <v>93</v>
      </c>
      <c r="M22" s="3" t="str">
        <f aca="false">PROPER(TRIM(SUBSTITUTE(Raw_Text_Fields!I23,CHAR(160)," ")))</f>
        <v>First Class</v>
      </c>
      <c r="N22" s="3" t="n">
        <v>5</v>
      </c>
      <c r="O22" s="5" t="n">
        <v>4373.06</v>
      </c>
      <c r="P22" s="6" t="n">
        <v>0.25</v>
      </c>
      <c r="Q22" s="5" t="n">
        <v>16398.98</v>
      </c>
      <c r="R22" s="5" t="n">
        <v>9556.52</v>
      </c>
      <c r="S22" s="5" t="n">
        <v>6842.46</v>
      </c>
      <c r="T22" s="3" t="str">
        <f aca="false">PROPER(TRIM(SUBSTITUTE(Raw_Text_Fields!J23,CHAR(160)," ")))</f>
        <v>Paid</v>
      </c>
      <c r="U22" s="3" t="str">
        <f aca="false">PROPER(TRIM(SUBSTITUTE(Raw_Text_Fields!K23,CHAR(160)," ")))</f>
        <v>Completed</v>
      </c>
      <c r="V22" s="7" t="n">
        <f aca="false">IF(OR(P22&lt;0,P22&gt;0.5),0,P22)</f>
        <v>0.25</v>
      </c>
      <c r="W22" s="8" t="n">
        <f aca="false">N22*O22*(1-V22)</f>
        <v>16398.975</v>
      </c>
      <c r="X22" s="8" t="n">
        <f aca="false">W22-R22</f>
        <v>6842.455</v>
      </c>
      <c r="Y22" s="7" t="n">
        <f aca="false">IFERROR(X22/W22,0)</f>
        <v>0.417248943912653</v>
      </c>
      <c r="Z22" s="9" t="n">
        <f aca="false">C22-B22</f>
        <v>2</v>
      </c>
      <c r="AA22" s="1" t="str">
        <f aca="false">IF(B22="","",TEXT(B22,"mmm"))</f>
        <v>Jan</v>
      </c>
      <c r="AB22" s="9" t="n">
        <f aca="false">IF(B22="","",YEAR(B22))</f>
        <v>2025</v>
      </c>
      <c r="AC22" s="3"/>
      <c r="AD22" s="3" t="str">
        <f aca="false">IF(LEFT(AC22&amp;IF(B22="","; Missing Order Date","")&amp;IF(C22="","; Missing Ship Date","")&amp;IF(P22&lt;0,"; Invalid Discount (Negative)","")&amp;IF(P22&gt;0.5,"; Invalid Discount (Too High)","")&amp;IF(Z22&lt;0,"; Invalid Shipping Record (Ship Before Order)","")&amp;IF(ABS(Q22-W22)&gt;1,"; Sales Mismatch","")&amp;IF(ABS(S22-X22)&gt;1,"; Profit Mismatch","")&amp;IF(COUNTIF($A$2:$A$913,A22)&gt;1,"; Duplicate Order ID Conflict",""),2)="; ",MID(AC22&amp;IF(B22="","; Missing Order Date","")&amp;IF(C22="","; Missing Ship Date","")&amp;IF(P22&lt;0,"; Invalid Discount (Negative)","")&amp;IF(P22&gt;0.5,"; Invalid Discount (Too High)","")&amp;IF(Z22&lt;0,"; Invalid Shipping Record (Ship Before Order)","")&amp;IF(ABS(Q22-W22)&gt;1,"; Sales Mismatch","")&amp;IF(ABS(S22-X22)&gt;1,"; Profit Mismatch","")&amp;IF(COUNTIF($A$2:$A$913,A22)&gt;1,"; Duplicate Order ID Conflict",""),3,500),AC22&amp;IF(B22="","; Missing Order Date","")&amp;IF(C22="","; Missing Ship Date","")&amp;IF(P22&lt;0,"; Invalid Discount (Negative)","")&amp;IF(P22&gt;0.5,"; Invalid Discount (Too High)","")&amp;IF(Z22&lt;0,"; Invalid Shipping Record (Ship Before Order)","")&amp;IF(ABS(Q22-W22)&gt;1,"; Sales Mismatch","")&amp;IF(ABS(S22-X22)&gt;1,"; Profit Mismatch","")&amp;IF(COUNTIF($A$2:$A$913,A22)&gt;1,"; Duplicate Order ID Conflict",""))</f>
        <v/>
      </c>
      <c r="AE22" s="10" t="str">
        <f aca="false">IF(OR(ISNUMBER(SEARCH("Invalid Discount",AD22)),ISNUMBER(SEARCH("Invalid Shipping Record",AD22)),ISNUMBER(SEARCH("Sales Mismatch",AD22)),ISNUMBER(SEARCH("Profit Mismatch",AD22)),ISNUMBER(SEARCH("Duplicate Order ID Conflict",AD22)),ISNUMBER(SEARCH("Missing Order Date",AD22)),ISNUMBER(SEARCH("Missing Ship Date",AD22))),"Invalid",IF(AD22&lt;&gt;"","Warning","Clean"))</f>
        <v>Clean</v>
      </c>
    </row>
    <row r="23" customFormat="false" ht="15" hidden="false" customHeight="true" outlineLevel="0" collapsed="false">
      <c r="A23" s="3" t="s">
        <v>94</v>
      </c>
      <c r="B23" s="4" t="n">
        <v>45681</v>
      </c>
      <c r="C23" s="4" t="n">
        <v>45687</v>
      </c>
      <c r="D23" s="3" t="s">
        <v>95</v>
      </c>
      <c r="E23" s="3" t="str">
        <f aca="false">PROPER(TRIM(SUBSTITUTE(Raw_Text_Fields!B24,CHAR(160)," ")))</f>
        <v>Sneha Kapoor</v>
      </c>
      <c r="F23" s="3" t="str">
        <f aca="false">PROPER(TRIM(SUBSTITUTE(Raw_Text_Fields!C24,CHAR(160)," ")))</f>
        <v>Consumer</v>
      </c>
      <c r="G23" s="3" t="str">
        <f aca="false">PROPER(TRIM(SUBSTITUTE(Raw_Text_Fields!D24,CHAR(160)," ")))</f>
        <v>West</v>
      </c>
      <c r="H23" s="3" t="str">
        <f aca="false">PROPER(TRIM(SUBSTITUTE(Raw_Text_Fields!E24,CHAR(160)," ")))</f>
        <v>Madhya Pradesh</v>
      </c>
      <c r="I23" s="3" t="str">
        <f aca="false">PROPER(TRIM(SUBSTITUTE(Raw_Text_Fields!F24,CHAR(160)," ")))</f>
        <v>Indore</v>
      </c>
      <c r="J23" s="3" t="str">
        <f aca="false">PROPER(TRIM(SUBSTITUTE(Raw_Text_Fields!G24,CHAR(160)," ")))</f>
        <v>Furniture</v>
      </c>
      <c r="K23" s="3" t="str">
        <f aca="false">PROPER(TRIM(SUBSTITUTE(Raw_Text_Fields!H24,CHAR(160)," ")))</f>
        <v>Furnishings</v>
      </c>
      <c r="L23" s="3" t="s">
        <v>96</v>
      </c>
      <c r="M23" s="3" t="str">
        <f aca="false">PROPER(TRIM(SUBSTITUTE(Raw_Text_Fields!I24,CHAR(160)," ")))</f>
        <v>Second Class</v>
      </c>
      <c r="N23" s="3" t="n">
        <v>4</v>
      </c>
      <c r="O23" s="5" t="n">
        <v>697.69</v>
      </c>
      <c r="P23" s="6" t="n">
        <v>-0.23</v>
      </c>
      <c r="Q23" s="5" t="n">
        <v>2790.76</v>
      </c>
      <c r="R23" s="5" t="n">
        <v>2037.71</v>
      </c>
      <c r="S23" s="5" t="n">
        <v>753.05</v>
      </c>
      <c r="T23" s="3" t="str">
        <f aca="false">PROPER(TRIM(SUBSTITUTE(Raw_Text_Fields!J24,CHAR(160)," ")))</f>
        <v>Paid</v>
      </c>
      <c r="U23" s="3" t="str">
        <f aca="false">PROPER(TRIM(SUBSTITUTE(Raw_Text_Fields!K24,CHAR(160)," ")))</f>
        <v>Completed</v>
      </c>
      <c r="V23" s="7" t="n">
        <f aca="false">IF(OR(P23&lt;0,P23&gt;0.5),0,P23)</f>
        <v>0</v>
      </c>
      <c r="W23" s="8" t="n">
        <f aca="false">N23*O23*(1-V23)</f>
        <v>2790.76</v>
      </c>
      <c r="X23" s="8" t="n">
        <f aca="false">W23-R23</f>
        <v>753.05</v>
      </c>
      <c r="Y23" s="7" t="n">
        <f aca="false">IFERROR(X23/W23,0)</f>
        <v>0.26983689030945</v>
      </c>
      <c r="Z23" s="9" t="n">
        <f aca="false">C23-B23</f>
        <v>6</v>
      </c>
      <c r="AA23" s="1" t="str">
        <f aca="false">IF(B23="","",TEXT(B23,"mmm"))</f>
        <v>Jan</v>
      </c>
      <c r="AB23" s="9" t="n">
        <f aca="false">IF(B23="","",YEAR(B23))</f>
        <v>2025</v>
      </c>
      <c r="AC23" s="3"/>
      <c r="AD23" s="3" t="str">
        <f aca="false">IF(LEFT(AC23&amp;IF(B23="","; Missing Order Date","")&amp;IF(C23="","; Missing Ship Date","")&amp;IF(P23&lt;0,"; Invalid Discount (Negative)","")&amp;IF(P23&gt;0.5,"; Invalid Discount (Too High)","")&amp;IF(Z23&lt;0,"; Invalid Shipping Record (Ship Before Order)","")&amp;IF(ABS(Q23-W23)&gt;1,"; Sales Mismatch","")&amp;IF(ABS(S23-X23)&gt;1,"; Profit Mismatch","")&amp;IF(COUNTIF($A$2:$A$913,A23)&gt;1,"; Duplicate Order ID Conflict",""),2)="; ",MID(AC23&amp;IF(B23="","; Missing Order Date","")&amp;IF(C23="","; Missing Ship Date","")&amp;IF(P23&lt;0,"; Invalid Discount (Negative)","")&amp;IF(P23&gt;0.5,"; Invalid Discount (Too High)","")&amp;IF(Z23&lt;0,"; Invalid Shipping Record (Ship Before Order)","")&amp;IF(ABS(Q23-W23)&gt;1,"; Sales Mismatch","")&amp;IF(ABS(S23-X23)&gt;1,"; Profit Mismatch","")&amp;IF(COUNTIF($A$2:$A$913,A23)&gt;1,"; Duplicate Order ID Conflict",""),3,500),AC23&amp;IF(B23="","; Missing Order Date","")&amp;IF(C23="","; Missing Ship Date","")&amp;IF(P23&lt;0,"; Invalid Discount (Negative)","")&amp;IF(P23&gt;0.5,"; Invalid Discount (Too High)","")&amp;IF(Z23&lt;0,"; Invalid Shipping Record (Ship Before Order)","")&amp;IF(ABS(Q23-W23)&gt;1,"; Sales Mismatch","")&amp;IF(ABS(S23-X23)&gt;1,"; Profit Mismatch","")&amp;IF(COUNTIF($A$2:$A$913,A23)&gt;1,"; Duplicate Order ID Conflict",""))</f>
        <v>Invalid Discount (Negative)</v>
      </c>
      <c r="AE23" s="10" t="str">
        <f aca="false">IF(OR(ISNUMBER(SEARCH("Invalid Discount",AD23)),ISNUMBER(SEARCH("Invalid Shipping Record",AD23)),ISNUMBER(SEARCH("Sales Mismatch",AD23)),ISNUMBER(SEARCH("Profit Mismatch",AD23)),ISNUMBER(SEARCH("Duplicate Order ID Conflict",AD23)),ISNUMBER(SEARCH("Missing Order Date",AD23)),ISNUMBER(SEARCH("Missing Ship Date",AD23))),"Invalid",IF(AD23&lt;&gt;"","Warning","Clean"))</f>
        <v>Invalid</v>
      </c>
    </row>
    <row r="24" customFormat="false" ht="15" hidden="false" customHeight="true" outlineLevel="0" collapsed="false">
      <c r="A24" s="3" t="s">
        <v>97</v>
      </c>
      <c r="B24" s="4" t="n">
        <v>45676</v>
      </c>
      <c r="C24" s="4" t="n">
        <v>45678</v>
      </c>
      <c r="D24" s="3" t="s">
        <v>98</v>
      </c>
      <c r="E24" s="3" t="str">
        <f aca="false">PROPER(TRIM(SUBSTITUTE(Raw_Text_Fields!B25,CHAR(160)," ")))</f>
        <v>Mira Das</v>
      </c>
      <c r="F24" s="3" t="str">
        <f aca="false">PROPER(TRIM(SUBSTITUTE(Raw_Text_Fields!C25,CHAR(160)," ")))</f>
        <v>Consumer</v>
      </c>
      <c r="G24" s="3" t="str">
        <f aca="false">PROPER(TRIM(SUBSTITUTE(Raw_Text_Fields!D25,CHAR(160)," ")))</f>
        <v>South</v>
      </c>
      <c r="H24" s="3" t="str">
        <f aca="false">PROPER(TRIM(SUBSTITUTE(Raw_Text_Fields!E25,CHAR(160)," ")))</f>
        <v>Telangana</v>
      </c>
      <c r="I24" s="3" t="str">
        <f aca="false">PROPER(TRIM(SUBSTITUTE(Raw_Text_Fields!F25,CHAR(160)," ")))</f>
        <v>Hyderabad</v>
      </c>
      <c r="J24" s="3" t="str">
        <f aca="false">PROPER(TRIM(SUBSTITUTE(Raw_Text_Fields!G25,CHAR(160)," ")))</f>
        <v>Office Supplies</v>
      </c>
      <c r="K24" s="3" t="str">
        <f aca="false">PROPER(TRIM(SUBSTITUTE(Raw_Text_Fields!H25,CHAR(160)," ")))</f>
        <v>Binders</v>
      </c>
      <c r="L24" s="3" t="s">
        <v>99</v>
      </c>
      <c r="M24" s="3" t="str">
        <f aca="false">PROPER(TRIM(SUBSTITUTE(Raw_Text_Fields!I25,CHAR(160)," ")))</f>
        <v>Standard Class</v>
      </c>
      <c r="N24" s="3" t="n">
        <v>8</v>
      </c>
      <c r="O24" s="5" t="n">
        <v>1219.34</v>
      </c>
      <c r="P24" s="6" t="n">
        <v>0.15</v>
      </c>
      <c r="Q24" s="5" t="n">
        <v>8291.51</v>
      </c>
      <c r="R24" s="5" t="n">
        <v>6685.03</v>
      </c>
      <c r="S24" s="5" t="n">
        <v>1606.48</v>
      </c>
      <c r="T24" s="3" t="str">
        <f aca="false">PROPER(TRIM(SUBSTITUTE(Raw_Text_Fields!J25,CHAR(160)," ")))</f>
        <v>Failed</v>
      </c>
      <c r="U24" s="3" t="str">
        <f aca="false">PROPER(TRIM(SUBSTITUTE(Raw_Text_Fields!K25,CHAR(160)," ")))</f>
        <v>Returned</v>
      </c>
      <c r="V24" s="7" t="n">
        <f aca="false">IF(OR(P24&lt;0,P24&gt;0.5),0,P24)</f>
        <v>0.15</v>
      </c>
      <c r="W24" s="8" t="n">
        <f aca="false">N24*O24*(1-V24)</f>
        <v>8291.512</v>
      </c>
      <c r="X24" s="8" t="n">
        <f aca="false">W24-R24</f>
        <v>1606.482</v>
      </c>
      <c r="Y24" s="7" t="n">
        <f aca="false">IFERROR(X24/W24,0)</f>
        <v>0.19375018693816</v>
      </c>
      <c r="Z24" s="9" t="n">
        <f aca="false">C24-B24</f>
        <v>2</v>
      </c>
      <c r="AA24" s="1" t="str">
        <f aca="false">IF(B24="","",TEXT(B24,"mmm"))</f>
        <v>Jan</v>
      </c>
      <c r="AB24" s="9" t="n">
        <f aca="false">IF(B24="","",YEAR(B24))</f>
        <v>2025</v>
      </c>
      <c r="AC24" s="3"/>
      <c r="AD24" s="3" t="str">
        <f aca="false">IF(LEFT(AC24&amp;IF(B24="","; Missing Order Date","")&amp;IF(C24="","; Missing Ship Date","")&amp;IF(P24&lt;0,"; Invalid Discount (Negative)","")&amp;IF(P24&gt;0.5,"; Invalid Discount (Too High)","")&amp;IF(Z24&lt;0,"; Invalid Shipping Record (Ship Before Order)","")&amp;IF(ABS(Q24-W24)&gt;1,"; Sales Mismatch","")&amp;IF(ABS(S24-X24)&gt;1,"; Profit Mismatch","")&amp;IF(COUNTIF($A$2:$A$913,A24)&gt;1,"; Duplicate Order ID Conflict",""),2)="; ",MID(AC24&amp;IF(B24="","; Missing Order Date","")&amp;IF(C24="","; Missing Ship Date","")&amp;IF(P24&lt;0,"; Invalid Discount (Negative)","")&amp;IF(P24&gt;0.5,"; Invalid Discount (Too High)","")&amp;IF(Z24&lt;0,"; Invalid Shipping Record (Ship Before Order)","")&amp;IF(ABS(Q24-W24)&gt;1,"; Sales Mismatch","")&amp;IF(ABS(S24-X24)&gt;1,"; Profit Mismatch","")&amp;IF(COUNTIF($A$2:$A$913,A24)&gt;1,"; Duplicate Order ID Conflict",""),3,500),AC24&amp;IF(B24="","; Missing Order Date","")&amp;IF(C24="","; Missing Ship Date","")&amp;IF(P24&lt;0,"; Invalid Discount (Negative)","")&amp;IF(P24&gt;0.5,"; Invalid Discount (Too High)","")&amp;IF(Z24&lt;0,"; Invalid Shipping Record (Ship Before Order)","")&amp;IF(ABS(Q24-W24)&gt;1,"; Sales Mismatch","")&amp;IF(ABS(S24-X24)&gt;1,"; Profit Mismatch","")&amp;IF(COUNTIF($A$2:$A$913,A24)&gt;1,"; Duplicate Order ID Conflict",""))</f>
        <v/>
      </c>
      <c r="AE24" s="10" t="str">
        <f aca="false">IF(OR(ISNUMBER(SEARCH("Invalid Discount",AD24)),ISNUMBER(SEARCH("Invalid Shipping Record",AD24)),ISNUMBER(SEARCH("Sales Mismatch",AD24)),ISNUMBER(SEARCH("Profit Mismatch",AD24)),ISNUMBER(SEARCH("Duplicate Order ID Conflict",AD24)),ISNUMBER(SEARCH("Missing Order Date",AD24)),ISNUMBER(SEARCH("Missing Ship Date",AD24))),"Invalid",IF(AD24&lt;&gt;"","Warning","Clean"))</f>
        <v>Clean</v>
      </c>
    </row>
    <row r="25" customFormat="false" ht="15" hidden="false" customHeight="true" outlineLevel="0" collapsed="false">
      <c r="A25" s="3" t="s">
        <v>100</v>
      </c>
      <c r="B25" s="4" t="n">
        <v>45898</v>
      </c>
      <c r="C25" s="4" t="n">
        <v>45900</v>
      </c>
      <c r="D25" s="3" t="s">
        <v>101</v>
      </c>
      <c r="E25" s="3" t="str">
        <f aca="false">PROPER(TRIM(SUBSTITUTE(Raw_Text_Fields!B26,CHAR(160)," ")))</f>
        <v>Rahul Verma</v>
      </c>
      <c r="F25" s="3" t="str">
        <f aca="false">PROPER(TRIM(SUBSTITUTE(Raw_Text_Fields!C26,CHAR(160)," ")))</f>
        <v>Home Office</v>
      </c>
      <c r="G25" s="3" t="str">
        <f aca="false">PROPER(TRIM(SUBSTITUTE(Raw_Text_Fields!D26,CHAR(160)," ")))</f>
        <v>East</v>
      </c>
      <c r="H25" s="3" t="str">
        <f aca="false">PROPER(TRIM(SUBSTITUTE(Raw_Text_Fields!E26,CHAR(160)," ")))</f>
        <v>Bihar</v>
      </c>
      <c r="I25" s="3" t="str">
        <f aca="false">PROPER(TRIM(SUBSTITUTE(Raw_Text_Fields!F26,CHAR(160)," ")))</f>
        <v>Patna</v>
      </c>
      <c r="J25" s="3" t="str">
        <f aca="false">PROPER(TRIM(SUBSTITUTE(Raw_Text_Fields!G26,CHAR(160)," ")))</f>
        <v>Furniture</v>
      </c>
      <c r="K25" s="3" t="str">
        <f aca="false">PROPER(TRIM(SUBSTITUTE(Raw_Text_Fields!H26,CHAR(160)," ")))</f>
        <v>Bookcases</v>
      </c>
      <c r="L25" s="3" t="s">
        <v>102</v>
      </c>
      <c r="M25" s="3" t="str">
        <f aca="false">PROPER(TRIM(SUBSTITUTE(Raw_Text_Fields!I26,CHAR(160)," ")))</f>
        <v>First Class</v>
      </c>
      <c r="N25" s="3" t="n">
        <v>4</v>
      </c>
      <c r="O25" s="5" t="n">
        <v>1958.01</v>
      </c>
      <c r="P25" s="6" t="n">
        <v>0.2</v>
      </c>
      <c r="Q25" s="5" t="n">
        <v>6265.63</v>
      </c>
      <c r="R25" s="5" t="n">
        <v>4321.86</v>
      </c>
      <c r="S25" s="5" t="n">
        <v>1943.77</v>
      </c>
      <c r="T25" s="3" t="str">
        <f aca="false">PROPER(TRIM(SUBSTITUTE(Raw_Text_Fields!J26,CHAR(160)," ")))</f>
        <v>Paid</v>
      </c>
      <c r="U25" s="3" t="str">
        <f aca="false">PROPER(TRIM(SUBSTITUTE(Raw_Text_Fields!K26,CHAR(160)," ")))</f>
        <v>Completed</v>
      </c>
      <c r="V25" s="7" t="n">
        <f aca="false">IF(OR(P25&lt;0,P25&gt;0.5),0,P25)</f>
        <v>0.2</v>
      </c>
      <c r="W25" s="8" t="n">
        <f aca="false">N25*O25*(1-V25)</f>
        <v>6265.632</v>
      </c>
      <c r="X25" s="8" t="n">
        <f aca="false">W25-R25</f>
        <v>1943.772</v>
      </c>
      <c r="Y25" s="7" t="n">
        <f aca="false">IFERROR(X25/W25,0)</f>
        <v>0.310227603536244</v>
      </c>
      <c r="Z25" s="9" t="n">
        <f aca="false">C25-B25</f>
        <v>2</v>
      </c>
      <c r="AA25" s="1" t="str">
        <f aca="false">IF(B25="","",TEXT(B25,"mmm"))</f>
        <v>Aug</v>
      </c>
      <c r="AB25" s="9" t="n">
        <f aca="false">IF(B25="","",YEAR(B25))</f>
        <v>2025</v>
      </c>
      <c r="AC25" s="3"/>
      <c r="AD25" s="3" t="str">
        <f aca="false">IF(LEFT(AC25&amp;IF(B25="","; Missing Order Date","")&amp;IF(C25="","; Missing Ship Date","")&amp;IF(P25&lt;0,"; Invalid Discount (Negative)","")&amp;IF(P25&gt;0.5,"; Invalid Discount (Too High)","")&amp;IF(Z25&lt;0,"; Invalid Shipping Record (Ship Before Order)","")&amp;IF(ABS(Q25-W25)&gt;1,"; Sales Mismatch","")&amp;IF(ABS(S25-X25)&gt;1,"; Profit Mismatch","")&amp;IF(COUNTIF($A$2:$A$913,A25)&gt;1,"; Duplicate Order ID Conflict",""),2)="; ",MID(AC25&amp;IF(B25="","; Missing Order Date","")&amp;IF(C25="","; Missing Ship Date","")&amp;IF(P25&lt;0,"; Invalid Discount (Negative)","")&amp;IF(P25&gt;0.5,"; Invalid Discount (Too High)","")&amp;IF(Z25&lt;0,"; Invalid Shipping Record (Ship Before Order)","")&amp;IF(ABS(Q25-W25)&gt;1,"; Sales Mismatch","")&amp;IF(ABS(S25-X25)&gt;1,"; Profit Mismatch","")&amp;IF(COUNTIF($A$2:$A$913,A25)&gt;1,"; Duplicate Order ID Conflict",""),3,500),AC25&amp;IF(B25="","; Missing Order Date","")&amp;IF(C25="","; Missing Ship Date","")&amp;IF(P25&lt;0,"; Invalid Discount (Negative)","")&amp;IF(P25&gt;0.5,"; Invalid Discount (Too High)","")&amp;IF(Z25&lt;0,"; Invalid Shipping Record (Ship Before Order)","")&amp;IF(ABS(Q25-W25)&gt;1,"; Sales Mismatch","")&amp;IF(ABS(S25-X25)&gt;1,"; Profit Mismatch","")&amp;IF(COUNTIF($A$2:$A$913,A25)&gt;1,"; Duplicate Order ID Conflict",""))</f>
        <v/>
      </c>
      <c r="AE25" s="10" t="str">
        <f aca="false">IF(OR(ISNUMBER(SEARCH("Invalid Discount",AD25)),ISNUMBER(SEARCH("Invalid Shipping Record",AD25)),ISNUMBER(SEARCH("Sales Mismatch",AD25)),ISNUMBER(SEARCH("Profit Mismatch",AD25)),ISNUMBER(SEARCH("Duplicate Order ID Conflict",AD25)),ISNUMBER(SEARCH("Missing Order Date",AD25)),ISNUMBER(SEARCH("Missing Ship Date",AD25))),"Invalid",IF(AD25&lt;&gt;"","Warning","Clean"))</f>
        <v>Clean</v>
      </c>
    </row>
    <row r="26" customFormat="false" ht="15" hidden="false" customHeight="true" outlineLevel="0" collapsed="false">
      <c r="A26" s="3" t="s">
        <v>103</v>
      </c>
      <c r="B26" s="4" t="n">
        <v>45355</v>
      </c>
      <c r="C26" s="4" t="n">
        <v>45352</v>
      </c>
      <c r="D26" s="3" t="s">
        <v>104</v>
      </c>
      <c r="E26" s="3" t="str">
        <f aca="false">PROPER(TRIM(SUBSTITUTE(Raw_Text_Fields!B27,CHAR(160)," ")))</f>
        <v>Diya Patel</v>
      </c>
      <c r="F26" s="3" t="str">
        <f aca="false">PROPER(TRIM(SUBSTITUTE(Raw_Text_Fields!C27,CHAR(160)," ")))</f>
        <v>Consumer</v>
      </c>
      <c r="G26" s="3" t="str">
        <f aca="false">PROPER(TRIM(SUBSTITUTE(Raw_Text_Fields!D27,CHAR(160)," ")))</f>
        <v>North</v>
      </c>
      <c r="H26" s="3" t="str">
        <f aca="false">PROPER(TRIM(SUBSTITUTE(Raw_Text_Fields!E27,CHAR(160)," ")))</f>
        <v>Punjab</v>
      </c>
      <c r="I26" s="3" t="str">
        <f aca="false">PROPER(TRIM(SUBSTITUTE(Raw_Text_Fields!F27,CHAR(160)," ")))</f>
        <v>Ludhiana</v>
      </c>
      <c r="J26" s="3" t="str">
        <f aca="false">PROPER(TRIM(SUBSTITUTE(Raw_Text_Fields!G27,CHAR(160)," ")))</f>
        <v>Office Supplies</v>
      </c>
      <c r="K26" s="3" t="str">
        <f aca="false">PROPER(TRIM(SUBSTITUTE(Raw_Text_Fields!H27,CHAR(160)," ")))</f>
        <v>Art</v>
      </c>
      <c r="L26" s="3" t="s">
        <v>105</v>
      </c>
      <c r="M26" s="3" t="str">
        <f aca="false">PROPER(TRIM(SUBSTITUTE(Raw_Text_Fields!I27,CHAR(160)," ")))</f>
        <v>Standard Class</v>
      </c>
      <c r="N26" s="3" t="n">
        <v>4</v>
      </c>
      <c r="O26" s="5" t="n">
        <v>4492.94</v>
      </c>
      <c r="P26" s="6" t="n">
        <v>0.25</v>
      </c>
      <c r="Q26" s="5" t="n">
        <v>13478.82</v>
      </c>
      <c r="R26" s="5" t="n">
        <v>10937.35</v>
      </c>
      <c r="S26" s="5" t="n">
        <v>2541.47</v>
      </c>
      <c r="T26" s="3" t="str">
        <f aca="false">PROPER(TRIM(SUBSTITUTE(Raw_Text_Fields!J27,CHAR(160)," ")))</f>
        <v>Pending</v>
      </c>
      <c r="U26" s="3" t="str">
        <f aca="false">PROPER(TRIM(SUBSTITUTE(Raw_Text_Fields!K27,CHAR(160)," ")))</f>
        <v>Cancelled</v>
      </c>
      <c r="V26" s="7" t="n">
        <f aca="false">IF(OR(P26&lt;0,P26&gt;0.5),0,P26)</f>
        <v>0.25</v>
      </c>
      <c r="W26" s="8" t="n">
        <f aca="false">N26*O26*(1-V26)</f>
        <v>13478.82</v>
      </c>
      <c r="X26" s="8" t="n">
        <f aca="false">W26-R26</f>
        <v>2541.47</v>
      </c>
      <c r="Y26" s="7" t="n">
        <f aca="false">IFERROR(X26/W26,0)</f>
        <v>0.188552855517026</v>
      </c>
      <c r="Z26" s="9" t="n">
        <f aca="false">C26-B26</f>
        <v>-3</v>
      </c>
      <c r="AA26" s="1" t="str">
        <f aca="false">IF(B26="","",TEXT(B26,"mmm"))</f>
        <v>Mar</v>
      </c>
      <c r="AB26" s="9" t="n">
        <f aca="false">IF(B26="","",YEAR(B26))</f>
        <v>2024</v>
      </c>
      <c r="AC26" s="3"/>
      <c r="AD26" s="3" t="str">
        <f aca="false">IF(LEFT(AC26&amp;IF(B26="","; Missing Order Date","")&amp;IF(C26="","; Missing Ship Date","")&amp;IF(P26&lt;0,"; Invalid Discount (Negative)","")&amp;IF(P26&gt;0.5,"; Invalid Discount (Too High)","")&amp;IF(Z26&lt;0,"; Invalid Shipping Record (Ship Before Order)","")&amp;IF(ABS(Q26-W26)&gt;1,"; Sales Mismatch","")&amp;IF(ABS(S26-X26)&gt;1,"; Profit Mismatch","")&amp;IF(COUNTIF($A$2:$A$913,A26)&gt;1,"; Duplicate Order ID Conflict",""),2)="; ",MID(AC26&amp;IF(B26="","; Missing Order Date","")&amp;IF(C26="","; Missing Ship Date","")&amp;IF(P26&lt;0,"; Invalid Discount (Negative)","")&amp;IF(P26&gt;0.5,"; Invalid Discount (Too High)","")&amp;IF(Z26&lt;0,"; Invalid Shipping Record (Ship Before Order)","")&amp;IF(ABS(Q26-W26)&gt;1,"; Sales Mismatch","")&amp;IF(ABS(S26-X26)&gt;1,"; Profit Mismatch","")&amp;IF(COUNTIF($A$2:$A$913,A26)&gt;1,"; Duplicate Order ID Conflict",""),3,500),AC26&amp;IF(B26="","; Missing Order Date","")&amp;IF(C26="","; Missing Ship Date","")&amp;IF(P26&lt;0,"; Invalid Discount (Negative)","")&amp;IF(P26&gt;0.5,"; Invalid Discount (Too High)","")&amp;IF(Z26&lt;0,"; Invalid Shipping Record (Ship Before Order)","")&amp;IF(ABS(Q26-W26)&gt;1,"; Sales Mismatch","")&amp;IF(ABS(S26-X26)&gt;1,"; Profit Mismatch","")&amp;IF(COUNTIF($A$2:$A$913,A26)&gt;1,"; Duplicate Order ID Conflict",""))</f>
        <v>Invalid Shipping Record (Ship Before Order)</v>
      </c>
      <c r="AE26" s="10" t="str">
        <f aca="false">IF(OR(ISNUMBER(SEARCH("Invalid Discount",AD26)),ISNUMBER(SEARCH("Invalid Shipping Record",AD26)),ISNUMBER(SEARCH("Sales Mismatch",AD26)),ISNUMBER(SEARCH("Profit Mismatch",AD26)),ISNUMBER(SEARCH("Duplicate Order ID Conflict",AD26)),ISNUMBER(SEARCH("Missing Order Date",AD26)),ISNUMBER(SEARCH("Missing Ship Date",AD26))),"Invalid",IF(AD26&lt;&gt;"","Warning","Clean"))</f>
        <v>Invalid</v>
      </c>
    </row>
    <row r="27" customFormat="false" ht="15" hidden="false" customHeight="true" outlineLevel="0" collapsed="false">
      <c r="A27" s="3" t="s">
        <v>106</v>
      </c>
      <c r="B27" s="4" t="n">
        <v>45576</v>
      </c>
      <c r="C27" s="4" t="n">
        <v>45584</v>
      </c>
      <c r="D27" s="3" t="s">
        <v>107</v>
      </c>
      <c r="E27" s="3" t="str">
        <f aca="false">PROPER(TRIM(SUBSTITUTE(Raw_Text_Fields!B28,CHAR(160)," ")))</f>
        <v>Arjun Bose</v>
      </c>
      <c r="F27" s="3" t="str">
        <f aca="false">PROPER(TRIM(SUBSTITUTE(Raw_Text_Fields!C28,CHAR(160)," ")))</f>
        <v>Corporate</v>
      </c>
      <c r="G27" s="3" t="str">
        <f aca="false">PROPER(TRIM(SUBSTITUTE(Raw_Text_Fields!D28,CHAR(160)," ")))</f>
        <v>East</v>
      </c>
      <c r="H27" s="3" t="str">
        <f aca="false">PROPER(TRIM(SUBSTITUTE(Raw_Text_Fields!E28,CHAR(160)," ")))</f>
        <v>Assam</v>
      </c>
      <c r="I27" s="3" t="str">
        <f aca="false">PROPER(TRIM(SUBSTITUTE(Raw_Text_Fields!F28,CHAR(160)," ")))</f>
        <v>Guwahati</v>
      </c>
      <c r="J27" s="3" t="str">
        <f aca="false">PROPER(TRIM(SUBSTITUTE(Raw_Text_Fields!G28,CHAR(160)," ")))</f>
        <v>Technology</v>
      </c>
      <c r="K27" s="3" t="str">
        <f aca="false">PROPER(TRIM(SUBSTITUTE(Raw_Text_Fields!H28,CHAR(160)," ")))</f>
        <v>Accessories</v>
      </c>
      <c r="L27" s="3" t="s">
        <v>108</v>
      </c>
      <c r="M27" s="3" t="str">
        <f aca="false">PROPER(TRIM(SUBSTITUTE(Raw_Text_Fields!I28,CHAR(160)," ")))</f>
        <v>First Class</v>
      </c>
      <c r="N27" s="3" t="n">
        <v>2</v>
      </c>
      <c r="O27" s="5" t="n">
        <v>4315.2</v>
      </c>
      <c r="P27" s="6" t="n">
        <v>0.15</v>
      </c>
      <c r="Q27" s="5" t="n">
        <v>7335.84</v>
      </c>
      <c r="R27" s="5" t="n">
        <v>4968.41</v>
      </c>
      <c r="S27" s="5" t="n">
        <v>2367.43</v>
      </c>
      <c r="T27" s="3" t="str">
        <f aca="false">PROPER(TRIM(SUBSTITUTE(Raw_Text_Fields!J28,CHAR(160)," ")))</f>
        <v>Paid</v>
      </c>
      <c r="U27" s="3" t="str">
        <f aca="false">PROPER(TRIM(SUBSTITUTE(Raw_Text_Fields!K28,CHAR(160)," ")))</f>
        <v>Completed</v>
      </c>
      <c r="V27" s="7" t="n">
        <f aca="false">IF(OR(P27&lt;0,P27&gt;0.5),0,P27)</f>
        <v>0.15</v>
      </c>
      <c r="W27" s="8" t="n">
        <f aca="false">N27*O27*(1-V27)</f>
        <v>7335.84</v>
      </c>
      <c r="X27" s="8" t="n">
        <f aca="false">W27-R27</f>
        <v>2367.43</v>
      </c>
      <c r="Y27" s="7" t="n">
        <f aca="false">IFERROR(X27/W27,0)</f>
        <v>0.322721051713233</v>
      </c>
      <c r="Z27" s="9" t="n">
        <f aca="false">C27-B27</f>
        <v>8</v>
      </c>
      <c r="AA27" s="1" t="str">
        <f aca="false">IF(B27="","",TEXT(B27,"mmm"))</f>
        <v>Oct</v>
      </c>
      <c r="AB27" s="9" t="n">
        <f aca="false">IF(B27="","",YEAR(B27))</f>
        <v>2024</v>
      </c>
      <c r="AC27" s="3"/>
      <c r="AD27" s="3" t="str">
        <f aca="false">IF(LEFT(AC27&amp;IF(B27="","; Missing Order Date","")&amp;IF(C27="","; Missing Ship Date","")&amp;IF(P27&lt;0,"; Invalid Discount (Negative)","")&amp;IF(P27&gt;0.5,"; Invalid Discount (Too High)","")&amp;IF(Z27&lt;0,"; Invalid Shipping Record (Ship Before Order)","")&amp;IF(ABS(Q27-W27)&gt;1,"; Sales Mismatch","")&amp;IF(ABS(S27-X27)&gt;1,"; Profit Mismatch","")&amp;IF(COUNTIF($A$2:$A$913,A27)&gt;1,"; Duplicate Order ID Conflict",""),2)="; ",MID(AC27&amp;IF(B27="","; Missing Order Date","")&amp;IF(C27="","; Missing Ship Date","")&amp;IF(P27&lt;0,"; Invalid Discount (Negative)","")&amp;IF(P27&gt;0.5,"; Invalid Discount (Too High)","")&amp;IF(Z27&lt;0,"; Invalid Shipping Record (Ship Before Order)","")&amp;IF(ABS(Q27-W27)&gt;1,"; Sales Mismatch","")&amp;IF(ABS(S27-X27)&gt;1,"; Profit Mismatch","")&amp;IF(COUNTIF($A$2:$A$913,A27)&gt;1,"; Duplicate Order ID Conflict",""),3,500),AC27&amp;IF(B27="","; Missing Order Date","")&amp;IF(C27="","; Missing Ship Date","")&amp;IF(P27&lt;0,"; Invalid Discount (Negative)","")&amp;IF(P27&gt;0.5,"; Invalid Discount (Too High)","")&amp;IF(Z27&lt;0,"; Invalid Shipping Record (Ship Before Order)","")&amp;IF(ABS(Q27-W27)&gt;1,"; Sales Mismatch","")&amp;IF(ABS(S27-X27)&gt;1,"; Profit Mismatch","")&amp;IF(COUNTIF($A$2:$A$913,A27)&gt;1,"; Duplicate Order ID Conflict",""))</f>
        <v/>
      </c>
      <c r="AE27" s="10" t="str">
        <f aca="false">IF(OR(ISNUMBER(SEARCH("Invalid Discount",AD27)),ISNUMBER(SEARCH("Invalid Shipping Record",AD27)),ISNUMBER(SEARCH("Sales Mismatch",AD27)),ISNUMBER(SEARCH("Profit Mismatch",AD27)),ISNUMBER(SEARCH("Duplicate Order ID Conflict",AD27)),ISNUMBER(SEARCH("Missing Order Date",AD27)),ISNUMBER(SEARCH("Missing Ship Date",AD27))),"Invalid",IF(AD27&lt;&gt;"","Warning","Clean"))</f>
        <v>Clean</v>
      </c>
    </row>
    <row r="28" customFormat="false" ht="15" hidden="false" customHeight="true" outlineLevel="0" collapsed="false">
      <c r="A28" s="3" t="s">
        <v>109</v>
      </c>
      <c r="B28" s="4" t="n">
        <v>45619</v>
      </c>
      <c r="C28" s="4" t="n">
        <v>45619</v>
      </c>
      <c r="D28" s="3" t="s">
        <v>110</v>
      </c>
      <c r="E28" s="3" t="str">
        <f aca="false">PROPER(TRIM(SUBSTITUTE(Raw_Text_Fields!B29,CHAR(160)," ")))</f>
        <v>Diya Patel</v>
      </c>
      <c r="F28" s="3" t="str">
        <f aca="false">PROPER(TRIM(SUBSTITUTE(Raw_Text_Fields!C29,CHAR(160)," ")))</f>
        <v>Corporate</v>
      </c>
      <c r="G28" s="3" t="str">
        <f aca="false">PROPER(TRIM(SUBSTITUTE(Raw_Text_Fields!D29,CHAR(160)," ")))</f>
        <v>North</v>
      </c>
      <c r="H28" s="3" t="str">
        <f aca="false">PROPER(TRIM(SUBSTITUTE(Raw_Text_Fields!E29,CHAR(160)," ")))</f>
        <v>Uttar Pradesh</v>
      </c>
      <c r="I28" s="3" t="str">
        <f aca="false">PROPER(TRIM(SUBSTITUTE(Raw_Text_Fields!F29,CHAR(160)," ")))</f>
        <v>Noida</v>
      </c>
      <c r="J28" s="3" t="str">
        <f aca="false">PROPER(TRIM(SUBSTITUTE(Raw_Text_Fields!G29,CHAR(160)," ")))</f>
        <v>Technology</v>
      </c>
      <c r="K28" s="3" t="str">
        <f aca="false">PROPER(TRIM(SUBSTITUTE(Raw_Text_Fields!H29,CHAR(160)," ")))</f>
        <v>Phones</v>
      </c>
      <c r="L28" s="3" t="s">
        <v>111</v>
      </c>
      <c r="M28" s="3" t="str">
        <f aca="false">PROPER(TRIM(SUBSTITUTE(Raw_Text_Fields!I29,CHAR(160)," ")))</f>
        <v>Standard Class</v>
      </c>
      <c r="N28" s="3" t="n">
        <v>4</v>
      </c>
      <c r="O28" s="5" t="n">
        <v>716.13</v>
      </c>
      <c r="P28" s="6" t="n">
        <v>0.1</v>
      </c>
      <c r="Q28" s="5" t="n">
        <v>2578.07</v>
      </c>
      <c r="R28" s="5" t="n">
        <v>1527.55</v>
      </c>
      <c r="S28" s="5" t="n">
        <v>1050.52</v>
      </c>
      <c r="T28" s="3" t="str">
        <f aca="false">PROPER(TRIM(SUBSTITUTE(Raw_Text_Fields!J29,CHAR(160)," ")))</f>
        <v>Paid</v>
      </c>
      <c r="U28" s="3" t="str">
        <f aca="false">PROPER(TRIM(SUBSTITUTE(Raw_Text_Fields!K29,CHAR(160)," ")))</f>
        <v>Returned</v>
      </c>
      <c r="V28" s="7" t="n">
        <f aca="false">IF(OR(P28&lt;0,P28&gt;0.5),0,P28)</f>
        <v>0.1</v>
      </c>
      <c r="W28" s="8" t="n">
        <f aca="false">N28*O28*(1-V28)</f>
        <v>2578.068</v>
      </c>
      <c r="X28" s="8" t="n">
        <f aca="false">W28-R28</f>
        <v>1050.518</v>
      </c>
      <c r="Y28" s="7" t="n">
        <f aca="false">IFERROR(X28/W28,0)</f>
        <v>0.407482657555968</v>
      </c>
      <c r="Z28" s="9" t="n">
        <f aca="false">C28-B28</f>
        <v>0</v>
      </c>
      <c r="AA28" s="1" t="str">
        <f aca="false">IF(B28="","",TEXT(B28,"mmm"))</f>
        <v>Nov</v>
      </c>
      <c r="AB28" s="9" t="n">
        <f aca="false">IF(B28="","",YEAR(B28))</f>
        <v>2024</v>
      </c>
      <c r="AC28" s="3"/>
      <c r="AD28" s="3" t="str">
        <f aca="false">IF(LEFT(AC28&amp;IF(B28="","; Missing Order Date","")&amp;IF(C28="","; Missing Ship Date","")&amp;IF(P28&lt;0,"; Invalid Discount (Negative)","")&amp;IF(P28&gt;0.5,"; Invalid Discount (Too High)","")&amp;IF(Z28&lt;0,"; Invalid Shipping Record (Ship Before Order)","")&amp;IF(ABS(Q28-W28)&gt;1,"; Sales Mismatch","")&amp;IF(ABS(S28-X28)&gt;1,"; Profit Mismatch","")&amp;IF(COUNTIF($A$2:$A$913,A28)&gt;1,"; Duplicate Order ID Conflict",""),2)="; ",MID(AC28&amp;IF(B28="","; Missing Order Date","")&amp;IF(C28="","; Missing Ship Date","")&amp;IF(P28&lt;0,"; Invalid Discount (Negative)","")&amp;IF(P28&gt;0.5,"; Invalid Discount (Too High)","")&amp;IF(Z28&lt;0,"; Invalid Shipping Record (Ship Before Order)","")&amp;IF(ABS(Q28-W28)&gt;1,"; Sales Mismatch","")&amp;IF(ABS(S28-X28)&gt;1,"; Profit Mismatch","")&amp;IF(COUNTIF($A$2:$A$913,A28)&gt;1,"; Duplicate Order ID Conflict",""),3,500),AC28&amp;IF(B28="","; Missing Order Date","")&amp;IF(C28="","; Missing Ship Date","")&amp;IF(P28&lt;0,"; Invalid Discount (Negative)","")&amp;IF(P28&gt;0.5,"; Invalid Discount (Too High)","")&amp;IF(Z28&lt;0,"; Invalid Shipping Record (Ship Before Order)","")&amp;IF(ABS(Q28-W28)&gt;1,"; Sales Mismatch","")&amp;IF(ABS(S28-X28)&gt;1,"; Profit Mismatch","")&amp;IF(COUNTIF($A$2:$A$913,A28)&gt;1,"; Duplicate Order ID Conflict",""))</f>
        <v/>
      </c>
      <c r="AE28" s="10" t="str">
        <f aca="false">IF(OR(ISNUMBER(SEARCH("Invalid Discount",AD28)),ISNUMBER(SEARCH("Invalid Shipping Record",AD28)),ISNUMBER(SEARCH("Sales Mismatch",AD28)),ISNUMBER(SEARCH("Profit Mismatch",AD28)),ISNUMBER(SEARCH("Duplicate Order ID Conflict",AD28)),ISNUMBER(SEARCH("Missing Order Date",AD28)),ISNUMBER(SEARCH("Missing Ship Date",AD28))),"Invalid",IF(AD28&lt;&gt;"","Warning","Clean"))</f>
        <v>Clean</v>
      </c>
    </row>
    <row r="29" customFormat="false" ht="15" hidden="false" customHeight="true" outlineLevel="0" collapsed="false">
      <c r="A29" s="3" t="s">
        <v>112</v>
      </c>
      <c r="B29" s="4" t="n">
        <v>45929</v>
      </c>
      <c r="C29" s="4" t="n">
        <v>45935</v>
      </c>
      <c r="D29" s="3" t="s">
        <v>113</v>
      </c>
      <c r="E29" s="3" t="str">
        <f aca="false">PROPER(TRIM(SUBSTITUTE(Raw_Text_Fields!B30,CHAR(160)," ")))</f>
        <v>Arjun Bose</v>
      </c>
      <c r="F29" s="3" t="str">
        <f aca="false">PROPER(TRIM(SUBSTITUTE(Raw_Text_Fields!C30,CHAR(160)," ")))</f>
        <v>Small Business</v>
      </c>
      <c r="G29" s="3" t="str">
        <f aca="false">PROPER(TRIM(SUBSTITUTE(Raw_Text_Fields!D30,CHAR(160)," ")))</f>
        <v>South</v>
      </c>
      <c r="H29" s="3" t="str">
        <f aca="false">PROPER(TRIM(SUBSTITUTE(Raw_Text_Fields!E30,CHAR(160)," ")))</f>
        <v>Karnataka</v>
      </c>
      <c r="I29" s="3" t="str">
        <f aca="false">PROPER(TRIM(SUBSTITUTE(Raw_Text_Fields!F30,CHAR(160)," ")))</f>
        <v>Bengaluru</v>
      </c>
      <c r="J29" s="3" t="str">
        <f aca="false">PROPER(TRIM(SUBSTITUTE(Raw_Text_Fields!G30,CHAR(160)," ")))</f>
        <v>Office Supplies</v>
      </c>
      <c r="K29" s="3" t="str">
        <f aca="false">PROPER(TRIM(SUBSTITUTE(Raw_Text_Fields!H30,CHAR(160)," ")))</f>
        <v>Paper</v>
      </c>
      <c r="L29" s="3" t="s">
        <v>114</v>
      </c>
      <c r="M29" s="3" t="str">
        <f aca="false">PROPER(TRIM(SUBSTITUTE(Raw_Text_Fields!I30,CHAR(160)," ")))</f>
        <v>Second Class</v>
      </c>
      <c r="N29" s="3" t="n">
        <v>5</v>
      </c>
      <c r="O29" s="5" t="n">
        <v>1806.51</v>
      </c>
      <c r="P29" s="6" t="n">
        <v>0.25</v>
      </c>
      <c r="Q29" s="5" t="n">
        <v>6774.41</v>
      </c>
      <c r="R29" s="5" t="n">
        <v>4710.36</v>
      </c>
      <c r="S29" s="5" t="n">
        <v>2064.05</v>
      </c>
      <c r="T29" s="3" t="str">
        <f aca="false">PROPER(TRIM(SUBSTITUTE(Raw_Text_Fields!J30,CHAR(160)," ")))</f>
        <v>Failed</v>
      </c>
      <c r="U29" s="3" t="str">
        <f aca="false">PROPER(TRIM(SUBSTITUTE(Raw_Text_Fields!K30,CHAR(160)," ")))</f>
        <v>Returned</v>
      </c>
      <c r="V29" s="7" t="n">
        <f aca="false">IF(OR(P29&lt;0,P29&gt;0.5),0,P29)</f>
        <v>0.25</v>
      </c>
      <c r="W29" s="8" t="n">
        <f aca="false">N29*O29*(1-V29)</f>
        <v>6774.4125</v>
      </c>
      <c r="X29" s="8" t="n">
        <f aca="false">W29-R29</f>
        <v>2064.0525</v>
      </c>
      <c r="Y29" s="7" t="n">
        <f aca="false">IFERROR(X29/W29,0)</f>
        <v>0.304683616475968</v>
      </c>
      <c r="Z29" s="9" t="n">
        <f aca="false">C29-B29</f>
        <v>6</v>
      </c>
      <c r="AA29" s="1" t="str">
        <f aca="false">IF(B29="","",TEXT(B29,"mmm"))</f>
        <v>Sep</v>
      </c>
      <c r="AB29" s="9" t="n">
        <f aca="false">IF(B29="","",YEAR(B29))</f>
        <v>2025</v>
      </c>
      <c r="AC29" s="3"/>
      <c r="AD29" s="3" t="str">
        <f aca="false">IF(LEFT(AC29&amp;IF(B29="","; Missing Order Date","")&amp;IF(C29="","; Missing Ship Date","")&amp;IF(P29&lt;0,"; Invalid Discount (Negative)","")&amp;IF(P29&gt;0.5,"; Invalid Discount (Too High)","")&amp;IF(Z29&lt;0,"; Invalid Shipping Record (Ship Before Order)","")&amp;IF(ABS(Q29-W29)&gt;1,"; Sales Mismatch","")&amp;IF(ABS(S29-X29)&gt;1,"; Profit Mismatch","")&amp;IF(COUNTIF($A$2:$A$913,A29)&gt;1,"; Duplicate Order ID Conflict",""),2)="; ",MID(AC29&amp;IF(B29="","; Missing Order Date","")&amp;IF(C29="","; Missing Ship Date","")&amp;IF(P29&lt;0,"; Invalid Discount (Negative)","")&amp;IF(P29&gt;0.5,"; Invalid Discount (Too High)","")&amp;IF(Z29&lt;0,"; Invalid Shipping Record (Ship Before Order)","")&amp;IF(ABS(Q29-W29)&gt;1,"; Sales Mismatch","")&amp;IF(ABS(S29-X29)&gt;1,"; Profit Mismatch","")&amp;IF(COUNTIF($A$2:$A$913,A29)&gt;1,"; Duplicate Order ID Conflict",""),3,500),AC29&amp;IF(B29="","; Missing Order Date","")&amp;IF(C29="","; Missing Ship Date","")&amp;IF(P29&lt;0,"; Invalid Discount (Negative)","")&amp;IF(P29&gt;0.5,"; Invalid Discount (Too High)","")&amp;IF(Z29&lt;0,"; Invalid Shipping Record (Ship Before Order)","")&amp;IF(ABS(Q29-W29)&gt;1,"; Sales Mismatch","")&amp;IF(ABS(S29-X29)&gt;1,"; Profit Mismatch","")&amp;IF(COUNTIF($A$2:$A$913,A29)&gt;1,"; Duplicate Order ID Conflict",""))</f>
        <v/>
      </c>
      <c r="AE29" s="10" t="str">
        <f aca="false">IF(OR(ISNUMBER(SEARCH("Invalid Discount",AD29)),ISNUMBER(SEARCH("Invalid Shipping Record",AD29)),ISNUMBER(SEARCH("Sales Mismatch",AD29)),ISNUMBER(SEARCH("Profit Mismatch",AD29)),ISNUMBER(SEARCH("Duplicate Order ID Conflict",AD29)),ISNUMBER(SEARCH("Missing Order Date",AD29)),ISNUMBER(SEARCH("Missing Ship Date",AD29))),"Invalid",IF(AD29&lt;&gt;"","Warning","Clean"))</f>
        <v>Clean</v>
      </c>
    </row>
    <row r="30" customFormat="false" ht="15" hidden="false" customHeight="true" outlineLevel="0" collapsed="false">
      <c r="A30" s="3" t="s">
        <v>115</v>
      </c>
      <c r="B30" s="4" t="n">
        <v>45576</v>
      </c>
      <c r="C30" s="4" t="n">
        <v>45583</v>
      </c>
      <c r="D30" s="3" t="s">
        <v>116</v>
      </c>
      <c r="E30" s="3" t="str">
        <f aca="false">PROPER(TRIM(SUBSTITUTE(Raw_Text_Fields!B31,CHAR(160)," ")))</f>
        <v>Ananya Rao</v>
      </c>
      <c r="F30" s="3" t="str">
        <f aca="false">PROPER(TRIM(SUBSTITUTE(Raw_Text_Fields!C31,CHAR(160)," ")))</f>
        <v>Home Office</v>
      </c>
      <c r="G30" s="3" t="str">
        <f aca="false">PROPER(TRIM(SUBSTITUTE(Raw_Text_Fields!D31,CHAR(160)," ")))</f>
        <v>West</v>
      </c>
      <c r="H30" s="3" t="str">
        <f aca="false">PROPER(TRIM(SUBSTITUTE(Raw_Text_Fields!E31,CHAR(160)," ")))</f>
        <v>Gujarat</v>
      </c>
      <c r="I30" s="3" t="str">
        <f aca="false">PROPER(TRIM(SUBSTITUTE(Raw_Text_Fields!F31,CHAR(160)," ")))</f>
        <v>Ahmedabad</v>
      </c>
      <c r="J30" s="3" t="str">
        <f aca="false">PROPER(TRIM(SUBSTITUTE(Raw_Text_Fields!G31,CHAR(160)," ")))</f>
        <v>Technology</v>
      </c>
      <c r="K30" s="3" t="str">
        <f aca="false">PROPER(TRIM(SUBSTITUTE(Raw_Text_Fields!H31,CHAR(160)," ")))</f>
        <v>Phones</v>
      </c>
      <c r="L30" s="3" t="s">
        <v>117</v>
      </c>
      <c r="M30" s="3" t="str">
        <f aca="false">PROPER(TRIM(SUBSTITUTE(Raw_Text_Fields!I31,CHAR(160)," ")))</f>
        <v>Second Class</v>
      </c>
      <c r="N30" s="3" t="n">
        <v>2</v>
      </c>
      <c r="O30" s="5" t="n">
        <v>1942.22</v>
      </c>
      <c r="P30" s="6" t="n">
        <v>0.25</v>
      </c>
      <c r="Q30" s="5" t="n">
        <v>2913.33</v>
      </c>
      <c r="R30" s="5" t="n">
        <v>2122.33</v>
      </c>
      <c r="S30" s="5" t="n">
        <v>791</v>
      </c>
      <c r="T30" s="3" t="str">
        <f aca="false">PROPER(TRIM(SUBSTITUTE(Raw_Text_Fields!J31,CHAR(160)," ")))</f>
        <v>Refunded</v>
      </c>
      <c r="U30" s="3" t="str">
        <f aca="false">PROPER(TRIM(SUBSTITUTE(Raw_Text_Fields!K31,CHAR(160)," ")))</f>
        <v>Cancelled</v>
      </c>
      <c r="V30" s="7" t="n">
        <f aca="false">IF(OR(P30&lt;0,P30&gt;0.5),0,P30)</f>
        <v>0.25</v>
      </c>
      <c r="W30" s="8" t="n">
        <f aca="false">N30*O30*(1-V30)</f>
        <v>2913.33</v>
      </c>
      <c r="X30" s="8" t="n">
        <f aca="false">W30-R30</f>
        <v>791</v>
      </c>
      <c r="Y30" s="7" t="n">
        <f aca="false">IFERROR(X30/W30,0)</f>
        <v>0.271510608135707</v>
      </c>
      <c r="Z30" s="9" t="n">
        <f aca="false">C30-B30</f>
        <v>7</v>
      </c>
      <c r="AA30" s="1" t="str">
        <f aca="false">IF(B30="","",TEXT(B30,"mmm"))</f>
        <v>Oct</v>
      </c>
      <c r="AB30" s="9" t="n">
        <f aca="false">IF(B30="","",YEAR(B30))</f>
        <v>2024</v>
      </c>
      <c r="AC30" s="3"/>
      <c r="AD30" s="3" t="str">
        <f aca="false">IF(LEFT(AC30&amp;IF(B30="","; Missing Order Date","")&amp;IF(C30="","; Missing Ship Date","")&amp;IF(P30&lt;0,"; Invalid Discount (Negative)","")&amp;IF(P30&gt;0.5,"; Invalid Discount (Too High)","")&amp;IF(Z30&lt;0,"; Invalid Shipping Record (Ship Before Order)","")&amp;IF(ABS(Q30-W30)&gt;1,"; Sales Mismatch","")&amp;IF(ABS(S30-X30)&gt;1,"; Profit Mismatch","")&amp;IF(COUNTIF($A$2:$A$913,A30)&gt;1,"; Duplicate Order ID Conflict",""),2)="; ",MID(AC30&amp;IF(B30="","; Missing Order Date","")&amp;IF(C30="","; Missing Ship Date","")&amp;IF(P30&lt;0,"; Invalid Discount (Negative)","")&amp;IF(P30&gt;0.5,"; Invalid Discount (Too High)","")&amp;IF(Z30&lt;0,"; Invalid Shipping Record (Ship Before Order)","")&amp;IF(ABS(Q30-W30)&gt;1,"; Sales Mismatch","")&amp;IF(ABS(S30-X30)&gt;1,"; Profit Mismatch","")&amp;IF(COUNTIF($A$2:$A$913,A30)&gt;1,"; Duplicate Order ID Conflict",""),3,500),AC30&amp;IF(B30="","; Missing Order Date","")&amp;IF(C30="","; Missing Ship Date","")&amp;IF(P30&lt;0,"; Invalid Discount (Negative)","")&amp;IF(P30&gt;0.5,"; Invalid Discount (Too High)","")&amp;IF(Z30&lt;0,"; Invalid Shipping Record (Ship Before Order)","")&amp;IF(ABS(Q30-W30)&gt;1,"; Sales Mismatch","")&amp;IF(ABS(S30-X30)&gt;1,"; Profit Mismatch","")&amp;IF(COUNTIF($A$2:$A$913,A30)&gt;1,"; Duplicate Order ID Conflict",""))</f>
        <v/>
      </c>
      <c r="AE30" s="10" t="str">
        <f aca="false">IF(OR(ISNUMBER(SEARCH("Invalid Discount",AD30)),ISNUMBER(SEARCH("Invalid Shipping Record",AD30)),ISNUMBER(SEARCH("Sales Mismatch",AD30)),ISNUMBER(SEARCH("Profit Mismatch",AD30)),ISNUMBER(SEARCH("Duplicate Order ID Conflict",AD30)),ISNUMBER(SEARCH("Missing Order Date",AD30)),ISNUMBER(SEARCH("Missing Ship Date",AD30))),"Invalid",IF(AD30&lt;&gt;"","Warning","Clean"))</f>
        <v>Clean</v>
      </c>
    </row>
    <row r="31" customFormat="false" ht="15" hidden="false" customHeight="true" outlineLevel="0" collapsed="false">
      <c r="A31" s="3" t="s">
        <v>118</v>
      </c>
      <c r="B31" s="4" t="n">
        <v>45882</v>
      </c>
      <c r="C31" s="4" t="n">
        <v>45882</v>
      </c>
      <c r="D31" s="3" t="s">
        <v>119</v>
      </c>
      <c r="E31" s="3" t="str">
        <f aca="false">PROPER(TRIM(SUBSTITUTE(Raw_Text_Fields!B32,CHAR(160)," ")))</f>
        <v>Rohan Mehta</v>
      </c>
      <c r="F31" s="3" t="str">
        <f aca="false">PROPER(TRIM(SUBSTITUTE(Raw_Text_Fields!C32,CHAR(160)," ")))</f>
        <v>Home Office</v>
      </c>
      <c r="G31" s="3" t="str">
        <f aca="false">PROPER(TRIM(SUBSTITUTE(Raw_Text_Fields!D32,CHAR(160)," ")))</f>
        <v>South</v>
      </c>
      <c r="H31" s="3" t="str">
        <f aca="false">PROPER(TRIM(SUBSTITUTE(Raw_Text_Fields!E32,CHAR(160)," ")))</f>
        <v>Kerala</v>
      </c>
      <c r="I31" s="3" t="str">
        <f aca="false">PROPER(TRIM(SUBSTITUTE(Raw_Text_Fields!F32,CHAR(160)," ")))</f>
        <v>Kochi</v>
      </c>
      <c r="J31" s="3" t="str">
        <f aca="false">PROPER(TRIM(SUBSTITUTE(Raw_Text_Fields!G32,CHAR(160)," ")))</f>
        <v>Technology</v>
      </c>
      <c r="K31" s="3" t="str">
        <f aca="false">PROPER(TRIM(SUBSTITUTE(Raw_Text_Fields!H32,CHAR(160)," ")))</f>
        <v>Phones</v>
      </c>
      <c r="L31" s="3" t="s">
        <v>120</v>
      </c>
      <c r="M31" s="3" t="str">
        <f aca="false">PROPER(TRIM(SUBSTITUTE(Raw_Text_Fields!I32,CHAR(160)," ")))</f>
        <v>Standard Class</v>
      </c>
      <c r="N31" s="3" t="n">
        <v>1</v>
      </c>
      <c r="O31" s="5" t="n">
        <v>256.01</v>
      </c>
      <c r="P31" s="6" t="n">
        <v>0.15</v>
      </c>
      <c r="Q31" s="5" t="n">
        <v>217.61</v>
      </c>
      <c r="R31" s="5" t="n">
        <v>119.77</v>
      </c>
      <c r="S31" s="5" t="n">
        <v>97.84</v>
      </c>
      <c r="T31" s="3" t="str">
        <f aca="false">PROPER(TRIM(SUBSTITUTE(Raw_Text_Fields!J32,CHAR(160)," ")))</f>
        <v>Paid</v>
      </c>
      <c r="U31" s="3" t="str">
        <f aca="false">PROPER(TRIM(SUBSTITUTE(Raw_Text_Fields!K32,CHAR(160)," ")))</f>
        <v>Completed</v>
      </c>
      <c r="V31" s="7" t="n">
        <f aca="false">IF(OR(P31&lt;0,P31&gt;0.5),0,P31)</f>
        <v>0.15</v>
      </c>
      <c r="W31" s="8" t="n">
        <f aca="false">N31*O31*(1-V31)</f>
        <v>217.6085</v>
      </c>
      <c r="X31" s="8" t="n">
        <f aca="false">W31-R31</f>
        <v>97.8385</v>
      </c>
      <c r="Y31" s="7" t="n">
        <f aca="false">IFERROR(X31/W31,0)</f>
        <v>0.449607896750357</v>
      </c>
      <c r="Z31" s="9" t="n">
        <f aca="false">C31-B31</f>
        <v>0</v>
      </c>
      <c r="AA31" s="1" t="str">
        <f aca="false">IF(B31="","",TEXT(B31,"mmm"))</f>
        <v>Aug</v>
      </c>
      <c r="AB31" s="9" t="n">
        <f aca="false">IF(B31="","",YEAR(B31))</f>
        <v>2025</v>
      </c>
      <c r="AC31" s="3"/>
      <c r="AD31" s="3" t="str">
        <f aca="false">IF(LEFT(AC31&amp;IF(B31="","; Missing Order Date","")&amp;IF(C31="","; Missing Ship Date","")&amp;IF(P31&lt;0,"; Invalid Discount (Negative)","")&amp;IF(P31&gt;0.5,"; Invalid Discount (Too High)","")&amp;IF(Z31&lt;0,"; Invalid Shipping Record (Ship Before Order)","")&amp;IF(ABS(Q31-W31)&gt;1,"; Sales Mismatch","")&amp;IF(ABS(S31-X31)&gt;1,"; Profit Mismatch","")&amp;IF(COUNTIF($A$2:$A$913,A31)&gt;1,"; Duplicate Order ID Conflict",""),2)="; ",MID(AC31&amp;IF(B31="","; Missing Order Date","")&amp;IF(C31="","; Missing Ship Date","")&amp;IF(P31&lt;0,"; Invalid Discount (Negative)","")&amp;IF(P31&gt;0.5,"; Invalid Discount (Too High)","")&amp;IF(Z31&lt;0,"; Invalid Shipping Record (Ship Before Order)","")&amp;IF(ABS(Q31-W31)&gt;1,"; Sales Mismatch","")&amp;IF(ABS(S31-X31)&gt;1,"; Profit Mismatch","")&amp;IF(COUNTIF($A$2:$A$913,A31)&gt;1,"; Duplicate Order ID Conflict",""),3,500),AC31&amp;IF(B31="","; Missing Order Date","")&amp;IF(C31="","; Missing Ship Date","")&amp;IF(P31&lt;0,"; Invalid Discount (Negative)","")&amp;IF(P31&gt;0.5,"; Invalid Discount (Too High)","")&amp;IF(Z31&lt;0,"; Invalid Shipping Record (Ship Before Order)","")&amp;IF(ABS(Q31-W31)&gt;1,"; Sales Mismatch","")&amp;IF(ABS(S31-X31)&gt;1,"; Profit Mismatch","")&amp;IF(COUNTIF($A$2:$A$913,A31)&gt;1,"; Duplicate Order ID Conflict",""))</f>
        <v/>
      </c>
      <c r="AE31" s="10" t="str">
        <f aca="false">IF(OR(ISNUMBER(SEARCH("Invalid Discount",AD31)),ISNUMBER(SEARCH("Invalid Shipping Record",AD31)),ISNUMBER(SEARCH("Sales Mismatch",AD31)),ISNUMBER(SEARCH("Profit Mismatch",AD31)),ISNUMBER(SEARCH("Duplicate Order ID Conflict",AD31)),ISNUMBER(SEARCH("Missing Order Date",AD31)),ISNUMBER(SEARCH("Missing Ship Date",AD31))),"Invalid",IF(AD31&lt;&gt;"","Warning","Clean"))</f>
        <v>Clean</v>
      </c>
    </row>
    <row r="32" customFormat="false" ht="15" hidden="false" customHeight="true" outlineLevel="0" collapsed="false">
      <c r="A32" s="3" t="s">
        <v>121</v>
      </c>
      <c r="B32" s="4" t="n">
        <v>45331</v>
      </c>
      <c r="C32" s="4" t="n">
        <v>45334</v>
      </c>
      <c r="D32" s="3" t="s">
        <v>122</v>
      </c>
      <c r="E32" s="3" t="str">
        <f aca="false">PROPER(TRIM(SUBSTITUTE(Raw_Text_Fields!B33,CHAR(160)," ")))</f>
        <v>Ananya Rao</v>
      </c>
      <c r="F32" s="3" t="str">
        <f aca="false">PROPER(TRIM(SUBSTITUTE(Raw_Text_Fields!C33,CHAR(160)," ")))</f>
        <v>Corporate</v>
      </c>
      <c r="G32" s="3" t="str">
        <f aca="false">PROPER(TRIM(SUBSTITUTE(Raw_Text_Fields!D33,CHAR(160)," ")))</f>
        <v>West</v>
      </c>
      <c r="H32" s="3" t="str">
        <f aca="false">PROPER(TRIM(SUBSTITUTE(Raw_Text_Fields!E33,CHAR(160)," ")))</f>
        <v>Goa</v>
      </c>
      <c r="I32" s="3" t="str">
        <f aca="false">PROPER(TRIM(SUBSTITUTE(Raw_Text_Fields!F33,CHAR(160)," ")))</f>
        <v>Panaji</v>
      </c>
      <c r="J32" s="3" t="str">
        <f aca="false">PROPER(TRIM(SUBSTITUTE(Raw_Text_Fields!G33,CHAR(160)," ")))</f>
        <v>Office Supplies</v>
      </c>
      <c r="K32" s="3" t="str">
        <f aca="false">PROPER(TRIM(SUBSTITUTE(Raw_Text_Fields!H33,CHAR(160)," ")))</f>
        <v>Labels</v>
      </c>
      <c r="L32" s="3" t="s">
        <v>123</v>
      </c>
      <c r="M32" s="3" t="str">
        <f aca="false">PROPER(TRIM(SUBSTITUTE(Raw_Text_Fields!I33,CHAR(160)," ")))</f>
        <v>First Class</v>
      </c>
      <c r="N32" s="3" t="n">
        <v>1</v>
      </c>
      <c r="O32" s="5" t="n">
        <v>3421.77</v>
      </c>
      <c r="P32" s="6" t="n">
        <v>0.1</v>
      </c>
      <c r="Q32" s="5" t="n">
        <v>3079.59</v>
      </c>
      <c r="R32" s="5" t="n">
        <v>2001.89</v>
      </c>
      <c r="S32" s="5" t="n">
        <v>1077.7</v>
      </c>
      <c r="T32" s="3" t="str">
        <f aca="false">PROPER(TRIM(SUBSTITUTE(Raw_Text_Fields!J33,CHAR(160)," ")))</f>
        <v>Paid</v>
      </c>
      <c r="U32" s="3" t="str">
        <f aca="false">PROPER(TRIM(SUBSTITUTE(Raw_Text_Fields!K33,CHAR(160)," ")))</f>
        <v>Completed</v>
      </c>
      <c r="V32" s="7" t="n">
        <f aca="false">IF(OR(P32&lt;0,P32&gt;0.5),0,P32)</f>
        <v>0.1</v>
      </c>
      <c r="W32" s="8" t="n">
        <f aca="false">N32*O32*(1-V32)</f>
        <v>3079.593</v>
      </c>
      <c r="X32" s="8" t="n">
        <f aca="false">W32-R32</f>
        <v>1077.703</v>
      </c>
      <c r="Y32" s="7" t="n">
        <f aca="false">IFERROR(X32/W32,0)</f>
        <v>0.349949814796955</v>
      </c>
      <c r="Z32" s="9" t="n">
        <f aca="false">C32-B32</f>
        <v>3</v>
      </c>
      <c r="AA32" s="1" t="str">
        <f aca="false">IF(B32="","",TEXT(B32,"mmm"))</f>
        <v>Feb</v>
      </c>
      <c r="AB32" s="9" t="n">
        <f aca="false">IF(B32="","",YEAR(B32))</f>
        <v>2024</v>
      </c>
      <c r="AC32" s="3"/>
      <c r="AD32" s="3" t="str">
        <f aca="false">IF(LEFT(AC32&amp;IF(B32="","; Missing Order Date","")&amp;IF(C32="","; Missing Ship Date","")&amp;IF(P32&lt;0,"; Invalid Discount (Negative)","")&amp;IF(P32&gt;0.5,"; Invalid Discount (Too High)","")&amp;IF(Z32&lt;0,"; Invalid Shipping Record (Ship Before Order)","")&amp;IF(ABS(Q32-W32)&gt;1,"; Sales Mismatch","")&amp;IF(ABS(S32-X32)&gt;1,"; Profit Mismatch","")&amp;IF(COUNTIF($A$2:$A$913,A32)&gt;1,"; Duplicate Order ID Conflict",""),2)="; ",MID(AC32&amp;IF(B32="","; Missing Order Date","")&amp;IF(C32="","; Missing Ship Date","")&amp;IF(P32&lt;0,"; Invalid Discount (Negative)","")&amp;IF(P32&gt;0.5,"; Invalid Discount (Too High)","")&amp;IF(Z32&lt;0,"; Invalid Shipping Record (Ship Before Order)","")&amp;IF(ABS(Q32-W32)&gt;1,"; Sales Mismatch","")&amp;IF(ABS(S32-X32)&gt;1,"; Profit Mismatch","")&amp;IF(COUNTIF($A$2:$A$913,A32)&gt;1,"; Duplicate Order ID Conflict",""),3,500),AC32&amp;IF(B32="","; Missing Order Date","")&amp;IF(C32="","; Missing Ship Date","")&amp;IF(P32&lt;0,"; Invalid Discount (Negative)","")&amp;IF(P32&gt;0.5,"; Invalid Discount (Too High)","")&amp;IF(Z32&lt;0,"; Invalid Shipping Record (Ship Before Order)","")&amp;IF(ABS(Q32-W32)&gt;1,"; Sales Mismatch","")&amp;IF(ABS(S32-X32)&gt;1,"; Profit Mismatch","")&amp;IF(COUNTIF($A$2:$A$913,A32)&gt;1,"; Duplicate Order ID Conflict",""))</f>
        <v/>
      </c>
      <c r="AE32" s="10" t="str">
        <f aca="false">IF(OR(ISNUMBER(SEARCH("Invalid Discount",AD32)),ISNUMBER(SEARCH("Invalid Shipping Record",AD32)),ISNUMBER(SEARCH("Sales Mismatch",AD32)),ISNUMBER(SEARCH("Profit Mismatch",AD32)),ISNUMBER(SEARCH("Duplicate Order ID Conflict",AD32)),ISNUMBER(SEARCH("Missing Order Date",AD32)),ISNUMBER(SEARCH("Missing Ship Date",AD32))),"Invalid",IF(AD32&lt;&gt;"","Warning","Clean"))</f>
        <v>Clean</v>
      </c>
    </row>
    <row r="33" customFormat="false" ht="15" hidden="false" customHeight="true" outlineLevel="0" collapsed="false">
      <c r="A33" s="3" t="s">
        <v>124</v>
      </c>
      <c r="B33" s="4" t="n">
        <v>45823</v>
      </c>
      <c r="C33" s="4" t="n">
        <v>45827</v>
      </c>
      <c r="D33" s="3" t="s">
        <v>125</v>
      </c>
      <c r="E33" s="3" t="str">
        <f aca="false">PROPER(TRIM(SUBSTITUTE(Raw_Text_Fields!B34,CHAR(160)," ")))</f>
        <v>Karan Malhotra</v>
      </c>
      <c r="F33" s="3" t="str">
        <f aca="false">PROPER(TRIM(SUBSTITUTE(Raw_Text_Fields!C34,CHAR(160)," ")))</f>
        <v>Small Business</v>
      </c>
      <c r="G33" s="3" t="str">
        <f aca="false">PROPER(TRIM(SUBSTITUTE(Raw_Text_Fields!D34,CHAR(160)," ")))</f>
        <v>West</v>
      </c>
      <c r="H33" s="3" t="str">
        <f aca="false">PROPER(TRIM(SUBSTITUTE(Raw_Text_Fields!E34,CHAR(160)," ")))</f>
        <v>Madhya Pradesh</v>
      </c>
      <c r="I33" s="3" t="str">
        <f aca="false">PROPER(TRIM(SUBSTITUTE(Raw_Text_Fields!F34,CHAR(160)," ")))</f>
        <v>Indore</v>
      </c>
      <c r="J33" s="3" t="str">
        <f aca="false">PROPER(TRIM(SUBSTITUTE(Raw_Text_Fields!G34,CHAR(160)," ")))</f>
        <v>Office Supplies</v>
      </c>
      <c r="K33" s="3" t="str">
        <f aca="false">PROPER(TRIM(SUBSTITUTE(Raw_Text_Fields!H34,CHAR(160)," ")))</f>
        <v>Paper</v>
      </c>
      <c r="L33" s="3" t="s">
        <v>126</v>
      </c>
      <c r="M33" s="3" t="str">
        <f aca="false">PROPER(TRIM(SUBSTITUTE(Raw_Text_Fields!I34,CHAR(160)," ")))</f>
        <v>Second Class</v>
      </c>
      <c r="N33" s="3" t="n">
        <v>9</v>
      </c>
      <c r="O33" s="5" t="n">
        <v>3092.55</v>
      </c>
      <c r="P33" s="6" t="n">
        <v>0</v>
      </c>
      <c r="Q33" s="5" t="n">
        <v>27832.95</v>
      </c>
      <c r="R33" s="5" t="n">
        <v>17769.75</v>
      </c>
      <c r="S33" s="5" t="n">
        <v>10063.2</v>
      </c>
      <c r="T33" s="3" t="str">
        <f aca="false">PROPER(TRIM(SUBSTITUTE(Raw_Text_Fields!J34,CHAR(160)," ")))</f>
        <v>Failed</v>
      </c>
      <c r="U33" s="3" t="str">
        <f aca="false">PROPER(TRIM(SUBSTITUTE(Raw_Text_Fields!K34,CHAR(160)," ")))</f>
        <v>Returned</v>
      </c>
      <c r="V33" s="7" t="n">
        <f aca="false">IF(OR(P33&lt;0,P33&gt;0.5),0,P33)</f>
        <v>0</v>
      </c>
      <c r="W33" s="8" t="n">
        <f aca="false">N33*O33*(1-V33)</f>
        <v>27832.95</v>
      </c>
      <c r="X33" s="8" t="n">
        <f aca="false">W33-R33</f>
        <v>10063.2</v>
      </c>
      <c r="Y33" s="7" t="n">
        <f aca="false">IFERROR(X33/W33,0)</f>
        <v>0.361557075336966</v>
      </c>
      <c r="Z33" s="9" t="n">
        <f aca="false">C33-B33</f>
        <v>4</v>
      </c>
      <c r="AA33" s="1" t="str">
        <f aca="false">IF(B33="","",TEXT(B33,"mmm"))</f>
        <v>Jun</v>
      </c>
      <c r="AB33" s="9" t="n">
        <f aca="false">IF(B33="","",YEAR(B33))</f>
        <v>2025</v>
      </c>
      <c r="AC33" s="3"/>
      <c r="AD33" s="3" t="str">
        <f aca="false">IF(LEFT(AC33&amp;IF(B33="","; Missing Order Date","")&amp;IF(C33="","; Missing Ship Date","")&amp;IF(P33&lt;0,"; Invalid Discount (Negative)","")&amp;IF(P33&gt;0.5,"; Invalid Discount (Too High)","")&amp;IF(Z33&lt;0,"; Invalid Shipping Record (Ship Before Order)","")&amp;IF(ABS(Q33-W33)&gt;1,"; Sales Mismatch","")&amp;IF(ABS(S33-X33)&gt;1,"; Profit Mismatch","")&amp;IF(COUNTIF($A$2:$A$913,A33)&gt;1,"; Duplicate Order ID Conflict",""),2)="; ",MID(AC33&amp;IF(B33="","; Missing Order Date","")&amp;IF(C33="","; Missing Ship Date","")&amp;IF(P33&lt;0,"; Invalid Discount (Negative)","")&amp;IF(P33&gt;0.5,"; Invalid Discount (Too High)","")&amp;IF(Z33&lt;0,"; Invalid Shipping Record (Ship Before Order)","")&amp;IF(ABS(Q33-W33)&gt;1,"; Sales Mismatch","")&amp;IF(ABS(S33-X33)&gt;1,"; Profit Mismatch","")&amp;IF(COUNTIF($A$2:$A$913,A33)&gt;1,"; Duplicate Order ID Conflict",""),3,500),AC33&amp;IF(B33="","; Missing Order Date","")&amp;IF(C33="","; Missing Ship Date","")&amp;IF(P33&lt;0,"; Invalid Discount (Negative)","")&amp;IF(P33&gt;0.5,"; Invalid Discount (Too High)","")&amp;IF(Z33&lt;0,"; Invalid Shipping Record (Ship Before Order)","")&amp;IF(ABS(Q33-W33)&gt;1,"; Sales Mismatch","")&amp;IF(ABS(S33-X33)&gt;1,"; Profit Mismatch","")&amp;IF(COUNTIF($A$2:$A$913,A33)&gt;1,"; Duplicate Order ID Conflict",""))</f>
        <v/>
      </c>
      <c r="AE33" s="10" t="str">
        <f aca="false">IF(OR(ISNUMBER(SEARCH("Invalid Discount",AD33)),ISNUMBER(SEARCH("Invalid Shipping Record",AD33)),ISNUMBER(SEARCH("Sales Mismatch",AD33)),ISNUMBER(SEARCH("Profit Mismatch",AD33)),ISNUMBER(SEARCH("Duplicate Order ID Conflict",AD33)),ISNUMBER(SEARCH("Missing Order Date",AD33)),ISNUMBER(SEARCH("Missing Ship Date",AD33))),"Invalid",IF(AD33&lt;&gt;"","Warning","Clean"))</f>
        <v>Clean</v>
      </c>
    </row>
    <row r="34" customFormat="false" ht="15" hidden="false" customHeight="true" outlineLevel="0" collapsed="false">
      <c r="A34" s="3" t="s">
        <v>127</v>
      </c>
      <c r="B34" s="4" t="n">
        <v>45618</v>
      </c>
      <c r="C34" s="4" t="n">
        <v>45622</v>
      </c>
      <c r="D34" s="3" t="s">
        <v>128</v>
      </c>
      <c r="E34" s="3" t="str">
        <f aca="false">PROPER(TRIM(SUBSTITUTE(Raw_Text_Fields!B35,CHAR(160)," ")))</f>
        <v>Aarav Sharma</v>
      </c>
      <c r="F34" s="3" t="str">
        <f aca="false">PROPER(TRIM(SUBSTITUTE(Raw_Text_Fields!C35,CHAR(160)," ")))</f>
        <v>Corporate</v>
      </c>
      <c r="G34" s="3" t="str">
        <f aca="false">PROPER(TRIM(SUBSTITUTE(Raw_Text_Fields!D35,CHAR(160)," ")))</f>
        <v>South</v>
      </c>
      <c r="H34" s="3" t="str">
        <f aca="false">PROPER(TRIM(SUBSTITUTE(Raw_Text_Fields!E35,CHAR(160)," ")))</f>
        <v>Andhra Pradesh</v>
      </c>
      <c r="I34" s="3" t="str">
        <f aca="false">PROPER(TRIM(SUBSTITUTE(Raw_Text_Fields!F35,CHAR(160)," ")))</f>
        <v>Vijayawada</v>
      </c>
      <c r="J34" s="3" t="str">
        <f aca="false">PROPER(TRIM(SUBSTITUTE(Raw_Text_Fields!G35,CHAR(160)," ")))</f>
        <v>Technology</v>
      </c>
      <c r="K34" s="3" t="str">
        <f aca="false">PROPER(TRIM(SUBSTITUTE(Raw_Text_Fields!H35,CHAR(160)," ")))</f>
        <v>Phones</v>
      </c>
      <c r="L34" s="3" t="s">
        <v>129</v>
      </c>
      <c r="M34" s="3" t="str">
        <f aca="false">PROPER(TRIM(SUBSTITUTE(Raw_Text_Fields!I35,CHAR(160)," ")))</f>
        <v>Second Class</v>
      </c>
      <c r="N34" s="3" t="n">
        <v>3</v>
      </c>
      <c r="O34" s="5" t="n">
        <v>4001.25</v>
      </c>
      <c r="P34" s="6" t="n">
        <v>0</v>
      </c>
      <c r="Q34" s="5" t="n">
        <v>9002.81</v>
      </c>
      <c r="R34" s="5" t="n">
        <v>7529.92</v>
      </c>
      <c r="S34" s="5" t="n">
        <v>1472.89</v>
      </c>
      <c r="T34" s="3" t="str">
        <f aca="false">PROPER(TRIM(SUBSTITUTE(Raw_Text_Fields!J35,CHAR(160)," ")))</f>
        <v>Paid</v>
      </c>
      <c r="U34" s="3" t="str">
        <f aca="false">PROPER(TRIM(SUBSTITUTE(Raw_Text_Fields!K35,CHAR(160)," ")))</f>
        <v>Completed</v>
      </c>
      <c r="V34" s="7" t="n">
        <f aca="false">IF(OR(P34&lt;0,P34&gt;0.5),0,P34)</f>
        <v>0</v>
      </c>
      <c r="W34" s="8" t="n">
        <f aca="false">N34*O34*(1-V34)</f>
        <v>12003.75</v>
      </c>
      <c r="X34" s="8" t="n">
        <f aca="false">W34-R34</f>
        <v>4473.83</v>
      </c>
      <c r="Y34" s="7" t="n">
        <f aca="false">IFERROR(X34/W34,0)</f>
        <v>0.372702697073831</v>
      </c>
      <c r="Z34" s="9" t="n">
        <f aca="false">C34-B34</f>
        <v>4</v>
      </c>
      <c r="AA34" s="1" t="str">
        <f aca="false">IF(B34="","",TEXT(B34,"mmm"))</f>
        <v>Nov</v>
      </c>
      <c r="AB34" s="9" t="n">
        <f aca="false">IF(B34="","",YEAR(B34))</f>
        <v>2024</v>
      </c>
      <c r="AC34" s="3" t="s">
        <v>130</v>
      </c>
      <c r="AD34" s="3" t="str">
        <f aca="false">IF(LEFT(AC34&amp;IF(B34="","; Missing Order Date","")&amp;IF(C34="","; Missing Ship Date","")&amp;IF(P34&lt;0,"; Invalid Discount (Negative)","")&amp;IF(P34&gt;0.5,"; Invalid Discount (Too High)","")&amp;IF(Z34&lt;0,"; Invalid Shipping Record (Ship Before Order)","")&amp;IF(ABS(Q34-W34)&gt;1,"; Sales Mismatch","")&amp;IF(ABS(S34-X34)&gt;1,"; Profit Mismatch","")&amp;IF(COUNTIF($A$2:$A$913,A34)&gt;1,"; Duplicate Order ID Conflict",""),2)="; ",MID(AC34&amp;IF(B34="","; Missing Order Date","")&amp;IF(C34="","; Missing Ship Date","")&amp;IF(P34&lt;0,"; Invalid Discount (Negative)","")&amp;IF(P34&gt;0.5,"; Invalid Discount (Too High)","")&amp;IF(Z34&lt;0,"; Invalid Shipping Record (Ship Before Order)","")&amp;IF(ABS(Q34-W34)&gt;1,"; Sales Mismatch","")&amp;IF(ABS(S34-X34)&gt;1,"; Profit Mismatch","")&amp;IF(COUNTIF($A$2:$A$913,A34)&gt;1,"; Duplicate Order ID Conflict",""),3,500),AC34&amp;IF(B34="","; Missing Order Date","")&amp;IF(C34="","; Missing Ship Date","")&amp;IF(P34&lt;0,"; Invalid Discount (Negative)","")&amp;IF(P34&gt;0.5,"; Invalid Discount (Too High)","")&amp;IF(Z34&lt;0,"; Invalid Shipping Record (Ship Before Order)","")&amp;IF(ABS(Q34-W34)&gt;1,"; Sales Mismatch","")&amp;IF(ABS(S34-X34)&gt;1,"; Profit Mismatch","")&amp;IF(COUNTIF($A$2:$A$913,A34)&gt;1,"; Duplicate Order ID Conflict",""))</f>
        <v>Missing Discount (defaulted 0); Sales Mismatch; Profit Mismatch</v>
      </c>
      <c r="AE34" s="10" t="str">
        <f aca="false">IF(OR(ISNUMBER(SEARCH("Invalid Discount",AD34)),ISNUMBER(SEARCH("Invalid Shipping Record",AD34)),ISNUMBER(SEARCH("Sales Mismatch",AD34)),ISNUMBER(SEARCH("Profit Mismatch",AD34)),ISNUMBER(SEARCH("Duplicate Order ID Conflict",AD34)),ISNUMBER(SEARCH("Missing Order Date",AD34)),ISNUMBER(SEARCH("Missing Ship Date",AD34))),"Invalid",IF(AD34&lt;&gt;"","Warning","Clean"))</f>
        <v>Invalid</v>
      </c>
    </row>
    <row r="35" customFormat="false" ht="15" hidden="false" customHeight="true" outlineLevel="0" collapsed="false">
      <c r="A35" s="3" t="s">
        <v>131</v>
      </c>
      <c r="B35" s="4" t="n">
        <v>45495</v>
      </c>
      <c r="C35" s="4" t="n">
        <v>45500</v>
      </c>
      <c r="D35" s="3" t="s">
        <v>132</v>
      </c>
      <c r="E35" s="3" t="str">
        <f aca="false">PROPER(TRIM(SUBSTITUTE(Raw_Text_Fields!B36,CHAR(160)," ")))</f>
        <v>Priya Menon</v>
      </c>
      <c r="F35" s="3" t="str">
        <f aca="false">PROPER(TRIM(SUBSTITUTE(Raw_Text_Fields!C36,CHAR(160)," ")))</f>
        <v>Home Office</v>
      </c>
      <c r="G35" s="3" t="str">
        <f aca="false">PROPER(TRIM(SUBSTITUTE(Raw_Text_Fields!D36,CHAR(160)," ")))</f>
        <v>West</v>
      </c>
      <c r="H35" s="3" t="str">
        <f aca="false">PROPER(TRIM(SUBSTITUTE(Raw_Text_Fields!E36,CHAR(160)," ")))</f>
        <v>Goa</v>
      </c>
      <c r="I35" s="3" t="str">
        <f aca="false">PROPER(TRIM(SUBSTITUTE(Raw_Text_Fields!F36,CHAR(160)," ")))</f>
        <v>Panaji</v>
      </c>
      <c r="J35" s="3" t="str">
        <f aca="false">PROPER(TRIM(SUBSTITUTE(Raw_Text_Fields!G36,CHAR(160)," ")))</f>
        <v>Furniture</v>
      </c>
      <c r="K35" s="3" t="str">
        <f aca="false">PROPER(TRIM(SUBSTITUTE(Raw_Text_Fields!H36,CHAR(160)," ")))</f>
        <v>Tables</v>
      </c>
      <c r="L35" s="3" t="s">
        <v>133</v>
      </c>
      <c r="M35" s="3" t="str">
        <f aca="false">PROPER(TRIM(SUBSTITUTE(Raw_Text_Fields!I36,CHAR(160)," ")))</f>
        <v>Same Day</v>
      </c>
      <c r="N35" s="3" t="n">
        <v>7</v>
      </c>
      <c r="O35" s="5" t="n">
        <v>492.41</v>
      </c>
      <c r="P35" s="6" t="n">
        <v>0.25</v>
      </c>
      <c r="Q35" s="5" t="n">
        <v>2585.15</v>
      </c>
      <c r="R35" s="5" t="n">
        <v>2070.73</v>
      </c>
      <c r="S35" s="5" t="n">
        <v>514.42</v>
      </c>
      <c r="T35" s="3" t="str">
        <f aca="false">PROPER(TRIM(SUBSTITUTE(Raw_Text_Fields!J36,CHAR(160)," ")))</f>
        <v>Paid</v>
      </c>
      <c r="U35" s="3" t="str">
        <f aca="false">PROPER(TRIM(SUBSTITUTE(Raw_Text_Fields!K36,CHAR(160)," ")))</f>
        <v>Completed</v>
      </c>
      <c r="V35" s="7" t="n">
        <f aca="false">IF(OR(P35&lt;0,P35&gt;0.5),0,P35)</f>
        <v>0.25</v>
      </c>
      <c r="W35" s="8" t="n">
        <f aca="false">N35*O35*(1-V35)</f>
        <v>2585.1525</v>
      </c>
      <c r="X35" s="8" t="n">
        <f aca="false">W35-R35</f>
        <v>514.4225</v>
      </c>
      <c r="Y35" s="7" t="n">
        <f aca="false">IFERROR(X35/W35,0)</f>
        <v>0.198991162030093</v>
      </c>
      <c r="Z35" s="9" t="n">
        <f aca="false">C35-B35</f>
        <v>5</v>
      </c>
      <c r="AA35" s="1" t="str">
        <f aca="false">IF(B35="","",TEXT(B35,"mmm"))</f>
        <v>Jul</v>
      </c>
      <c r="AB35" s="9" t="n">
        <f aca="false">IF(B35="","",YEAR(B35))</f>
        <v>2024</v>
      </c>
      <c r="AC35" s="3"/>
      <c r="AD35" s="3" t="str">
        <f aca="false">IF(LEFT(AC35&amp;IF(B35="","; Missing Order Date","")&amp;IF(C35="","; Missing Ship Date","")&amp;IF(P35&lt;0,"; Invalid Discount (Negative)","")&amp;IF(P35&gt;0.5,"; Invalid Discount (Too High)","")&amp;IF(Z35&lt;0,"; Invalid Shipping Record (Ship Before Order)","")&amp;IF(ABS(Q35-W35)&gt;1,"; Sales Mismatch","")&amp;IF(ABS(S35-X35)&gt;1,"; Profit Mismatch","")&amp;IF(COUNTIF($A$2:$A$913,A35)&gt;1,"; Duplicate Order ID Conflict",""),2)="; ",MID(AC35&amp;IF(B35="","; Missing Order Date","")&amp;IF(C35="","; Missing Ship Date","")&amp;IF(P35&lt;0,"; Invalid Discount (Negative)","")&amp;IF(P35&gt;0.5,"; Invalid Discount (Too High)","")&amp;IF(Z35&lt;0,"; Invalid Shipping Record (Ship Before Order)","")&amp;IF(ABS(Q35-W35)&gt;1,"; Sales Mismatch","")&amp;IF(ABS(S35-X35)&gt;1,"; Profit Mismatch","")&amp;IF(COUNTIF($A$2:$A$913,A35)&gt;1,"; Duplicate Order ID Conflict",""),3,500),AC35&amp;IF(B35="","; Missing Order Date","")&amp;IF(C35="","; Missing Ship Date","")&amp;IF(P35&lt;0,"; Invalid Discount (Negative)","")&amp;IF(P35&gt;0.5,"; Invalid Discount (Too High)","")&amp;IF(Z35&lt;0,"; Invalid Shipping Record (Ship Before Order)","")&amp;IF(ABS(Q35-W35)&gt;1,"; Sales Mismatch","")&amp;IF(ABS(S35-X35)&gt;1,"; Profit Mismatch","")&amp;IF(COUNTIF($A$2:$A$913,A35)&gt;1,"; Duplicate Order ID Conflict",""))</f>
        <v/>
      </c>
      <c r="AE35" s="10" t="str">
        <f aca="false">IF(OR(ISNUMBER(SEARCH("Invalid Discount",AD35)),ISNUMBER(SEARCH("Invalid Shipping Record",AD35)),ISNUMBER(SEARCH("Sales Mismatch",AD35)),ISNUMBER(SEARCH("Profit Mismatch",AD35)),ISNUMBER(SEARCH("Duplicate Order ID Conflict",AD35)),ISNUMBER(SEARCH("Missing Order Date",AD35)),ISNUMBER(SEARCH("Missing Ship Date",AD35))),"Invalid",IF(AD35&lt;&gt;"","Warning","Clean"))</f>
        <v>Clean</v>
      </c>
    </row>
    <row r="36" customFormat="false" ht="15" hidden="false" customHeight="true" outlineLevel="0" collapsed="false">
      <c r="A36" s="3" t="s">
        <v>134</v>
      </c>
      <c r="B36" s="4" t="n">
        <v>45688</v>
      </c>
      <c r="C36" s="4" t="n">
        <v>45693</v>
      </c>
      <c r="D36" s="3" t="s">
        <v>135</v>
      </c>
      <c r="E36" s="3" t="str">
        <f aca="false">PROPER(TRIM(SUBSTITUTE(Raw_Text_Fields!B37,CHAR(160)," ")))</f>
        <v>Priya Menon</v>
      </c>
      <c r="F36" s="3" t="str">
        <f aca="false">PROPER(TRIM(SUBSTITUTE(Raw_Text_Fields!C37,CHAR(160)," ")))</f>
        <v>Home Office</v>
      </c>
      <c r="G36" s="3" t="str">
        <f aca="false">PROPER(TRIM(SUBSTITUTE(Raw_Text_Fields!D37,CHAR(160)," ")))</f>
        <v>East</v>
      </c>
      <c r="H36" s="3" t="str">
        <f aca="false">PROPER(TRIM(SUBSTITUTE(Raw_Text_Fields!E37,CHAR(160)," ")))</f>
        <v>West Bengal</v>
      </c>
      <c r="I36" s="3" t="str">
        <f aca="false">PROPER(TRIM(SUBSTITUTE(Raw_Text_Fields!F37,CHAR(160)," ")))</f>
        <v>Kolkata</v>
      </c>
      <c r="J36" s="3" t="str">
        <f aca="false">PROPER(TRIM(SUBSTITUTE(Raw_Text_Fields!G37,CHAR(160)," ")))</f>
        <v>Furniture</v>
      </c>
      <c r="K36" s="3" t="str">
        <f aca="false">PROPER(TRIM(SUBSTITUTE(Raw_Text_Fields!H37,CHAR(160)," ")))</f>
        <v>Chairs</v>
      </c>
      <c r="L36" s="3" t="s">
        <v>136</v>
      </c>
      <c r="M36" s="3" t="str">
        <f aca="false">PROPER(TRIM(SUBSTITUTE(Raw_Text_Fields!I37,CHAR(160)," ")))</f>
        <v>Unknown</v>
      </c>
      <c r="N36" s="3" t="n">
        <v>2</v>
      </c>
      <c r="O36" s="5" t="n">
        <v>4159.69</v>
      </c>
      <c r="P36" s="6" t="n">
        <v>0.2</v>
      </c>
      <c r="Q36" s="5" t="n">
        <v>6655.5</v>
      </c>
      <c r="R36" s="5" t="n">
        <v>4340.21</v>
      </c>
      <c r="S36" s="5" t="n">
        <v>2607.32</v>
      </c>
      <c r="T36" s="3" t="str">
        <f aca="false">PROPER(TRIM(SUBSTITUTE(Raw_Text_Fields!J37,CHAR(160)," ")))</f>
        <v>Paid</v>
      </c>
      <c r="U36" s="3" t="str">
        <f aca="false">PROPER(TRIM(SUBSTITUTE(Raw_Text_Fields!K37,CHAR(160)," ")))</f>
        <v>Completed</v>
      </c>
      <c r="V36" s="7" t="n">
        <f aca="false">IF(OR(P36&lt;0,P36&gt;0.5),0,P36)</f>
        <v>0.2</v>
      </c>
      <c r="W36" s="8" t="n">
        <f aca="false">N36*O36*(1-V36)</f>
        <v>6655.504</v>
      </c>
      <c r="X36" s="8" t="n">
        <f aca="false">W36-R36</f>
        <v>2315.294</v>
      </c>
      <c r="Y36" s="7" t="n">
        <f aca="false">IFERROR(X36/W36,0)</f>
        <v>0.347876584553176</v>
      </c>
      <c r="Z36" s="9" t="n">
        <f aca="false">C36-B36</f>
        <v>5</v>
      </c>
      <c r="AA36" s="1" t="str">
        <f aca="false">IF(B36="","",TEXT(B36,"mmm"))</f>
        <v>Jan</v>
      </c>
      <c r="AB36" s="9" t="n">
        <f aca="false">IF(B36="","",YEAR(B36))</f>
        <v>2025</v>
      </c>
      <c r="AC36" s="3" t="s">
        <v>137</v>
      </c>
      <c r="AD36" s="3" t="str">
        <f aca="false">IF(LEFT(AC36&amp;IF(B36="","; Missing Order Date","")&amp;IF(C36="","; Missing Ship Date","")&amp;IF(P36&lt;0,"; Invalid Discount (Negative)","")&amp;IF(P36&gt;0.5,"; Invalid Discount (Too High)","")&amp;IF(Z36&lt;0,"; Invalid Shipping Record (Ship Before Order)","")&amp;IF(ABS(Q36-W36)&gt;1,"; Sales Mismatch","")&amp;IF(ABS(S36-X36)&gt;1,"; Profit Mismatch","")&amp;IF(COUNTIF($A$2:$A$913,A36)&gt;1,"; Duplicate Order ID Conflict",""),2)="; ",MID(AC36&amp;IF(B36="","; Missing Order Date","")&amp;IF(C36="","; Missing Ship Date","")&amp;IF(P36&lt;0,"; Invalid Discount (Negative)","")&amp;IF(P36&gt;0.5,"; Invalid Discount (Too High)","")&amp;IF(Z36&lt;0,"; Invalid Shipping Record (Ship Before Order)","")&amp;IF(ABS(Q36-W36)&gt;1,"; Sales Mismatch","")&amp;IF(ABS(S36-X36)&gt;1,"; Profit Mismatch","")&amp;IF(COUNTIF($A$2:$A$913,A36)&gt;1,"; Duplicate Order ID Conflict",""),3,500),AC36&amp;IF(B36="","; Missing Order Date","")&amp;IF(C36="","; Missing Ship Date","")&amp;IF(P36&lt;0,"; Invalid Discount (Negative)","")&amp;IF(P36&gt;0.5,"; Invalid Discount (Too High)","")&amp;IF(Z36&lt;0,"; Invalid Shipping Record (Ship Before Order)","")&amp;IF(ABS(Q36-W36)&gt;1,"; Sales Mismatch","")&amp;IF(ABS(S36-X36)&gt;1,"; Profit Mismatch","")&amp;IF(COUNTIF($A$2:$A$913,A36)&gt;1,"; Duplicate Order ID Conflict",""))</f>
        <v>Missing Ship Mode (filled Unknown); Profit Mismatch</v>
      </c>
      <c r="AE36" s="10" t="str">
        <f aca="false">IF(OR(ISNUMBER(SEARCH("Invalid Discount",AD36)),ISNUMBER(SEARCH("Invalid Shipping Record",AD36)),ISNUMBER(SEARCH("Sales Mismatch",AD36)),ISNUMBER(SEARCH("Profit Mismatch",AD36)),ISNUMBER(SEARCH("Duplicate Order ID Conflict",AD36)),ISNUMBER(SEARCH("Missing Order Date",AD36)),ISNUMBER(SEARCH("Missing Ship Date",AD36))),"Invalid",IF(AD36&lt;&gt;"","Warning","Clean"))</f>
        <v>Invalid</v>
      </c>
    </row>
    <row r="37" customFormat="false" ht="15" hidden="false" customHeight="true" outlineLevel="0" collapsed="false">
      <c r="A37" s="3" t="s">
        <v>138</v>
      </c>
      <c r="B37" s="4" t="n">
        <v>45441</v>
      </c>
      <c r="C37" s="4" t="n">
        <v>45441</v>
      </c>
      <c r="D37" s="3" t="s">
        <v>139</v>
      </c>
      <c r="E37" s="3" t="str">
        <f aca="false">PROPER(TRIM(SUBSTITUTE(Raw_Text_Fields!B38,CHAR(160)," ")))</f>
        <v>Sneha Kapoor</v>
      </c>
      <c r="F37" s="3" t="str">
        <f aca="false">PROPER(TRIM(SUBSTITUTE(Raw_Text_Fields!C38,CHAR(160)," ")))</f>
        <v>Small Business</v>
      </c>
      <c r="G37" s="3" t="str">
        <f aca="false">PROPER(TRIM(SUBSTITUTE(Raw_Text_Fields!D38,CHAR(160)," ")))</f>
        <v>West</v>
      </c>
      <c r="H37" s="3" t="str">
        <f aca="false">PROPER(TRIM(SUBSTITUTE(Raw_Text_Fields!E38,CHAR(160)," ")))</f>
        <v>Gujarat</v>
      </c>
      <c r="I37" s="3" t="str">
        <f aca="false">PROPER(TRIM(SUBSTITUTE(Raw_Text_Fields!F38,CHAR(160)," ")))</f>
        <v>Ahmedabad</v>
      </c>
      <c r="J37" s="3" t="str">
        <f aca="false">PROPER(TRIM(SUBSTITUTE(Raw_Text_Fields!G38,CHAR(160)," ")))</f>
        <v>Furniture</v>
      </c>
      <c r="K37" s="3" t="str">
        <f aca="false">PROPER(TRIM(SUBSTITUTE(Raw_Text_Fields!H38,CHAR(160)," ")))</f>
        <v>Bookcases</v>
      </c>
      <c r="L37" s="3" t="s">
        <v>140</v>
      </c>
      <c r="M37" s="3" t="str">
        <f aca="false">PROPER(TRIM(SUBSTITUTE(Raw_Text_Fields!I38,CHAR(160)," ")))</f>
        <v>Second Class</v>
      </c>
      <c r="N37" s="3" t="n">
        <v>8</v>
      </c>
      <c r="O37" s="5" t="n">
        <v>2507.12</v>
      </c>
      <c r="P37" s="6" t="n">
        <v>0.05</v>
      </c>
      <c r="Q37" s="5" t="n">
        <v>19054.11</v>
      </c>
      <c r="R37" s="5" t="n">
        <v>15313.83</v>
      </c>
      <c r="S37" s="5" t="n">
        <v>3740.28</v>
      </c>
      <c r="T37" s="3" t="str">
        <f aca="false">PROPER(TRIM(SUBSTITUTE(Raw_Text_Fields!J38,CHAR(160)," ")))</f>
        <v>Pending</v>
      </c>
      <c r="U37" s="3" t="str">
        <f aca="false">PROPER(TRIM(SUBSTITUTE(Raw_Text_Fields!K38,CHAR(160)," ")))</f>
        <v>Returned</v>
      </c>
      <c r="V37" s="7" t="n">
        <f aca="false">IF(OR(P37&lt;0,P37&gt;0.5),0,P37)</f>
        <v>0.05</v>
      </c>
      <c r="W37" s="8" t="n">
        <f aca="false">N37*O37*(1-V37)</f>
        <v>19054.112</v>
      </c>
      <c r="X37" s="8" t="n">
        <f aca="false">W37-R37</f>
        <v>3740.282</v>
      </c>
      <c r="Y37" s="7" t="n">
        <f aca="false">IFERROR(X37/W37,0)</f>
        <v>0.196297890974924</v>
      </c>
      <c r="Z37" s="9" t="n">
        <f aca="false">C37-B37</f>
        <v>0</v>
      </c>
      <c r="AA37" s="1" t="str">
        <f aca="false">IF(B37="","",TEXT(B37,"mmm"))</f>
        <v>May</v>
      </c>
      <c r="AB37" s="9" t="n">
        <f aca="false">IF(B37="","",YEAR(B37))</f>
        <v>2024</v>
      </c>
      <c r="AC37" s="3"/>
      <c r="AD37" s="3" t="str">
        <f aca="false">IF(LEFT(AC37&amp;IF(B37="","; Missing Order Date","")&amp;IF(C37="","; Missing Ship Date","")&amp;IF(P37&lt;0,"; Invalid Discount (Negative)","")&amp;IF(P37&gt;0.5,"; Invalid Discount (Too High)","")&amp;IF(Z37&lt;0,"; Invalid Shipping Record (Ship Before Order)","")&amp;IF(ABS(Q37-W37)&gt;1,"; Sales Mismatch","")&amp;IF(ABS(S37-X37)&gt;1,"; Profit Mismatch","")&amp;IF(COUNTIF($A$2:$A$913,A37)&gt;1,"; Duplicate Order ID Conflict",""),2)="; ",MID(AC37&amp;IF(B37="","; Missing Order Date","")&amp;IF(C37="","; Missing Ship Date","")&amp;IF(P37&lt;0,"; Invalid Discount (Negative)","")&amp;IF(P37&gt;0.5,"; Invalid Discount (Too High)","")&amp;IF(Z37&lt;0,"; Invalid Shipping Record (Ship Before Order)","")&amp;IF(ABS(Q37-W37)&gt;1,"; Sales Mismatch","")&amp;IF(ABS(S37-X37)&gt;1,"; Profit Mismatch","")&amp;IF(COUNTIF($A$2:$A$913,A37)&gt;1,"; Duplicate Order ID Conflict",""),3,500),AC37&amp;IF(B37="","; Missing Order Date","")&amp;IF(C37="","; Missing Ship Date","")&amp;IF(P37&lt;0,"; Invalid Discount (Negative)","")&amp;IF(P37&gt;0.5,"; Invalid Discount (Too High)","")&amp;IF(Z37&lt;0,"; Invalid Shipping Record (Ship Before Order)","")&amp;IF(ABS(Q37-W37)&gt;1,"; Sales Mismatch","")&amp;IF(ABS(S37-X37)&gt;1,"; Profit Mismatch","")&amp;IF(COUNTIF($A$2:$A$913,A37)&gt;1,"; Duplicate Order ID Conflict",""))</f>
        <v/>
      </c>
      <c r="AE37" s="10" t="str">
        <f aca="false">IF(OR(ISNUMBER(SEARCH("Invalid Discount",AD37)),ISNUMBER(SEARCH("Invalid Shipping Record",AD37)),ISNUMBER(SEARCH("Sales Mismatch",AD37)),ISNUMBER(SEARCH("Profit Mismatch",AD37)),ISNUMBER(SEARCH("Duplicate Order ID Conflict",AD37)),ISNUMBER(SEARCH("Missing Order Date",AD37)),ISNUMBER(SEARCH("Missing Ship Date",AD37))),"Invalid",IF(AD37&lt;&gt;"","Warning","Clean"))</f>
        <v>Clean</v>
      </c>
    </row>
    <row r="38" customFormat="false" ht="15" hidden="false" customHeight="true" outlineLevel="0" collapsed="false">
      <c r="A38" s="3" t="s">
        <v>141</v>
      </c>
      <c r="B38" s="4" t="n">
        <v>45590</v>
      </c>
      <c r="C38" s="4" t="n">
        <v>45593</v>
      </c>
      <c r="D38" s="3" t="s">
        <v>142</v>
      </c>
      <c r="E38" s="3" t="str">
        <f aca="false">PROPER(TRIM(SUBSTITUTE(Raw_Text_Fields!B39,CHAR(160)," ")))</f>
        <v>Rohan Mehta</v>
      </c>
      <c r="F38" s="3" t="str">
        <f aca="false">PROPER(TRIM(SUBSTITUTE(Raw_Text_Fields!C39,CHAR(160)," ")))</f>
        <v>Corporate</v>
      </c>
      <c r="G38" s="3" t="str">
        <f aca="false">PROPER(TRIM(SUBSTITUTE(Raw_Text_Fields!D39,CHAR(160)," ")))</f>
        <v>West</v>
      </c>
      <c r="H38" s="3" t="str">
        <f aca="false">PROPER(TRIM(SUBSTITUTE(Raw_Text_Fields!E39,CHAR(160)," ")))</f>
        <v>Maharashtra</v>
      </c>
      <c r="I38" s="3" t="str">
        <f aca="false">PROPER(TRIM(SUBSTITUTE(Raw_Text_Fields!F39,CHAR(160)," ")))</f>
        <v>Mumbai</v>
      </c>
      <c r="J38" s="3" t="str">
        <f aca="false">PROPER(TRIM(SUBSTITUTE(Raw_Text_Fields!G39,CHAR(160)," ")))</f>
        <v>Furniture</v>
      </c>
      <c r="K38" s="3" t="str">
        <f aca="false">PROPER(TRIM(SUBSTITUTE(Raw_Text_Fields!H39,CHAR(160)," ")))</f>
        <v>Bookcases</v>
      </c>
      <c r="L38" s="3" t="s">
        <v>143</v>
      </c>
      <c r="M38" s="3" t="str">
        <f aca="false">PROPER(TRIM(SUBSTITUTE(Raw_Text_Fields!I39,CHAR(160)," ")))</f>
        <v>Second Class</v>
      </c>
      <c r="N38" s="3" t="n">
        <v>3</v>
      </c>
      <c r="O38" s="5" t="n">
        <v>3126.47</v>
      </c>
      <c r="P38" s="6" t="n">
        <v>0</v>
      </c>
      <c r="Q38" s="5" t="n">
        <v>9379.41</v>
      </c>
      <c r="R38" s="5" t="n">
        <v>6670.85</v>
      </c>
      <c r="S38" s="5" t="n">
        <v>2708.56</v>
      </c>
      <c r="T38" s="3" t="str">
        <f aca="false">PROPER(TRIM(SUBSTITUTE(Raw_Text_Fields!J39,CHAR(160)," ")))</f>
        <v>Paid</v>
      </c>
      <c r="U38" s="3" t="str">
        <f aca="false">PROPER(TRIM(SUBSTITUTE(Raw_Text_Fields!K39,CHAR(160)," ")))</f>
        <v>Returned</v>
      </c>
      <c r="V38" s="7" t="n">
        <f aca="false">IF(OR(P38&lt;0,P38&gt;0.5),0,P38)</f>
        <v>0</v>
      </c>
      <c r="W38" s="8" t="n">
        <f aca="false">N38*O38*(1-V38)</f>
        <v>9379.41</v>
      </c>
      <c r="X38" s="8" t="n">
        <f aca="false">W38-R38</f>
        <v>2708.56</v>
      </c>
      <c r="Y38" s="7" t="n">
        <f aca="false">IFERROR(X38/W38,0)</f>
        <v>0.288777225859622</v>
      </c>
      <c r="Z38" s="9" t="n">
        <f aca="false">C38-B38</f>
        <v>3</v>
      </c>
      <c r="AA38" s="1" t="str">
        <f aca="false">IF(B38="","",TEXT(B38,"mmm"))</f>
        <v>Oct</v>
      </c>
      <c r="AB38" s="9" t="n">
        <f aca="false">IF(B38="","",YEAR(B38))</f>
        <v>2024</v>
      </c>
      <c r="AC38" s="3"/>
      <c r="AD38" s="3" t="str">
        <f aca="false">IF(LEFT(AC38&amp;IF(B38="","; Missing Order Date","")&amp;IF(C38="","; Missing Ship Date","")&amp;IF(P38&lt;0,"; Invalid Discount (Negative)","")&amp;IF(P38&gt;0.5,"; Invalid Discount (Too High)","")&amp;IF(Z38&lt;0,"; Invalid Shipping Record (Ship Before Order)","")&amp;IF(ABS(Q38-W38)&gt;1,"; Sales Mismatch","")&amp;IF(ABS(S38-X38)&gt;1,"; Profit Mismatch","")&amp;IF(COUNTIF($A$2:$A$913,A38)&gt;1,"; Duplicate Order ID Conflict",""),2)="; ",MID(AC38&amp;IF(B38="","; Missing Order Date","")&amp;IF(C38="","; Missing Ship Date","")&amp;IF(P38&lt;0,"; Invalid Discount (Negative)","")&amp;IF(P38&gt;0.5,"; Invalid Discount (Too High)","")&amp;IF(Z38&lt;0,"; Invalid Shipping Record (Ship Before Order)","")&amp;IF(ABS(Q38-W38)&gt;1,"; Sales Mismatch","")&amp;IF(ABS(S38-X38)&gt;1,"; Profit Mismatch","")&amp;IF(COUNTIF($A$2:$A$913,A38)&gt;1,"; Duplicate Order ID Conflict",""),3,500),AC38&amp;IF(B38="","; Missing Order Date","")&amp;IF(C38="","; Missing Ship Date","")&amp;IF(P38&lt;0,"; Invalid Discount (Negative)","")&amp;IF(P38&gt;0.5,"; Invalid Discount (Too High)","")&amp;IF(Z38&lt;0,"; Invalid Shipping Record (Ship Before Order)","")&amp;IF(ABS(Q38-W38)&gt;1,"; Sales Mismatch","")&amp;IF(ABS(S38-X38)&gt;1,"; Profit Mismatch","")&amp;IF(COUNTIF($A$2:$A$913,A38)&gt;1,"; Duplicate Order ID Conflict",""))</f>
        <v/>
      </c>
      <c r="AE38" s="10" t="str">
        <f aca="false">IF(OR(ISNUMBER(SEARCH("Invalid Discount",AD38)),ISNUMBER(SEARCH("Invalid Shipping Record",AD38)),ISNUMBER(SEARCH("Sales Mismatch",AD38)),ISNUMBER(SEARCH("Profit Mismatch",AD38)),ISNUMBER(SEARCH("Duplicate Order ID Conflict",AD38)),ISNUMBER(SEARCH("Missing Order Date",AD38)),ISNUMBER(SEARCH("Missing Ship Date",AD38))),"Invalid",IF(AD38&lt;&gt;"","Warning","Clean"))</f>
        <v>Clean</v>
      </c>
    </row>
    <row r="39" customFormat="false" ht="15" hidden="false" customHeight="true" outlineLevel="0" collapsed="false">
      <c r="A39" s="3" t="s">
        <v>144</v>
      </c>
      <c r="B39" s="4" t="n">
        <v>45867</v>
      </c>
      <c r="C39" s="4" t="n">
        <v>45867</v>
      </c>
      <c r="D39" s="3" t="s">
        <v>145</v>
      </c>
      <c r="E39" s="3" t="str">
        <f aca="false">PROPER(TRIM(SUBSTITUTE(Raw_Text_Fields!B40,CHAR(160)," ")))</f>
        <v>Diya Patel</v>
      </c>
      <c r="F39" s="3" t="str">
        <f aca="false">PROPER(TRIM(SUBSTITUTE(Raw_Text_Fields!C40,CHAR(160)," ")))</f>
        <v>Consumer</v>
      </c>
      <c r="G39" s="3" t="str">
        <f aca="false">PROPER(TRIM(SUBSTITUTE(Raw_Text_Fields!D40,CHAR(160)," ")))</f>
        <v>West</v>
      </c>
      <c r="H39" s="3" t="str">
        <f aca="false">PROPER(TRIM(SUBSTITUTE(Raw_Text_Fields!E40,CHAR(160)," ")))</f>
        <v>Maharashtra</v>
      </c>
      <c r="I39" s="3" t="str">
        <f aca="false">PROPER(TRIM(SUBSTITUTE(Raw_Text_Fields!F40,CHAR(160)," ")))</f>
        <v>Mumbai</v>
      </c>
      <c r="J39" s="3" t="str">
        <f aca="false">PROPER(TRIM(SUBSTITUTE(Raw_Text_Fields!G40,CHAR(160)," ")))</f>
        <v>Technology</v>
      </c>
      <c r="K39" s="3" t="str">
        <f aca="false">PROPER(TRIM(SUBSTITUTE(Raw_Text_Fields!H40,CHAR(160)," ")))</f>
        <v>Copiers</v>
      </c>
      <c r="L39" s="3" t="s">
        <v>146</v>
      </c>
      <c r="M39" s="3" t="str">
        <f aca="false">PROPER(TRIM(SUBSTITUTE(Raw_Text_Fields!I40,CHAR(160)," ")))</f>
        <v>Standard Class</v>
      </c>
      <c r="N39" s="3" t="n">
        <v>4</v>
      </c>
      <c r="O39" s="5" t="n">
        <v>1327.54</v>
      </c>
      <c r="P39" s="6" t="n">
        <v>0.2</v>
      </c>
      <c r="Q39" s="5" t="n">
        <v>4248.13</v>
      </c>
      <c r="R39" s="5" t="n">
        <v>3321.09</v>
      </c>
      <c r="S39" s="5" t="n">
        <v>927.04</v>
      </c>
      <c r="T39" s="3" t="str">
        <f aca="false">PROPER(TRIM(SUBSTITUTE(Raw_Text_Fields!J40,CHAR(160)," ")))</f>
        <v>Paid</v>
      </c>
      <c r="U39" s="3" t="str">
        <f aca="false">PROPER(TRIM(SUBSTITUTE(Raw_Text_Fields!K40,CHAR(160)," ")))</f>
        <v>Completed</v>
      </c>
      <c r="V39" s="7" t="n">
        <f aca="false">IF(OR(P39&lt;0,P39&gt;0.5),0,P39)</f>
        <v>0.2</v>
      </c>
      <c r="W39" s="8" t="n">
        <f aca="false">N39*O39*(1-V39)</f>
        <v>4248.128</v>
      </c>
      <c r="X39" s="8" t="n">
        <f aca="false">W39-R39</f>
        <v>927.038</v>
      </c>
      <c r="Y39" s="7" t="n">
        <f aca="false">IFERROR(X39/W39,0)</f>
        <v>0.218222708920258</v>
      </c>
      <c r="Z39" s="9" t="n">
        <f aca="false">C39-B39</f>
        <v>0</v>
      </c>
      <c r="AA39" s="1" t="str">
        <f aca="false">IF(B39="","",TEXT(B39,"mmm"))</f>
        <v>Jul</v>
      </c>
      <c r="AB39" s="9" t="n">
        <f aca="false">IF(B39="","",YEAR(B39))</f>
        <v>2025</v>
      </c>
      <c r="AC39" s="3"/>
      <c r="AD39" s="3" t="str">
        <f aca="false">IF(LEFT(AC39&amp;IF(B39="","; Missing Order Date","")&amp;IF(C39="","; Missing Ship Date","")&amp;IF(P39&lt;0,"; Invalid Discount (Negative)","")&amp;IF(P39&gt;0.5,"; Invalid Discount (Too High)","")&amp;IF(Z39&lt;0,"; Invalid Shipping Record (Ship Before Order)","")&amp;IF(ABS(Q39-W39)&gt;1,"; Sales Mismatch","")&amp;IF(ABS(S39-X39)&gt;1,"; Profit Mismatch","")&amp;IF(COUNTIF($A$2:$A$913,A39)&gt;1,"; Duplicate Order ID Conflict",""),2)="; ",MID(AC39&amp;IF(B39="","; Missing Order Date","")&amp;IF(C39="","; Missing Ship Date","")&amp;IF(P39&lt;0,"; Invalid Discount (Negative)","")&amp;IF(P39&gt;0.5,"; Invalid Discount (Too High)","")&amp;IF(Z39&lt;0,"; Invalid Shipping Record (Ship Before Order)","")&amp;IF(ABS(Q39-W39)&gt;1,"; Sales Mismatch","")&amp;IF(ABS(S39-X39)&gt;1,"; Profit Mismatch","")&amp;IF(COUNTIF($A$2:$A$913,A39)&gt;1,"; Duplicate Order ID Conflict",""),3,500),AC39&amp;IF(B39="","; Missing Order Date","")&amp;IF(C39="","; Missing Ship Date","")&amp;IF(P39&lt;0,"; Invalid Discount (Negative)","")&amp;IF(P39&gt;0.5,"; Invalid Discount (Too High)","")&amp;IF(Z39&lt;0,"; Invalid Shipping Record (Ship Before Order)","")&amp;IF(ABS(Q39-W39)&gt;1,"; Sales Mismatch","")&amp;IF(ABS(S39-X39)&gt;1,"; Profit Mismatch","")&amp;IF(COUNTIF($A$2:$A$913,A39)&gt;1,"; Duplicate Order ID Conflict",""))</f>
        <v/>
      </c>
      <c r="AE39" s="10" t="str">
        <f aca="false">IF(OR(ISNUMBER(SEARCH("Invalid Discount",AD39)),ISNUMBER(SEARCH("Invalid Shipping Record",AD39)),ISNUMBER(SEARCH("Sales Mismatch",AD39)),ISNUMBER(SEARCH("Profit Mismatch",AD39)),ISNUMBER(SEARCH("Duplicate Order ID Conflict",AD39)),ISNUMBER(SEARCH("Missing Order Date",AD39)),ISNUMBER(SEARCH("Missing Ship Date",AD39))),"Invalid",IF(AD39&lt;&gt;"","Warning","Clean"))</f>
        <v>Clean</v>
      </c>
    </row>
    <row r="40" customFormat="false" ht="15" hidden="false" customHeight="true" outlineLevel="0" collapsed="false">
      <c r="A40" s="3" t="s">
        <v>147</v>
      </c>
      <c r="B40" s="4" t="n">
        <v>45460</v>
      </c>
      <c r="C40" s="4" t="n">
        <v>45465</v>
      </c>
      <c r="D40" s="3" t="s">
        <v>148</v>
      </c>
      <c r="E40" s="3" t="str">
        <f aca="false">PROPER(TRIM(SUBSTITUTE(Raw_Text_Fields!B41,CHAR(160)," ")))</f>
        <v>Aarav Sharma</v>
      </c>
      <c r="F40" s="3" t="str">
        <f aca="false">PROPER(TRIM(SUBSTITUTE(Raw_Text_Fields!C41,CHAR(160)," ")))</f>
        <v>Corporate</v>
      </c>
      <c r="G40" s="3" t="str">
        <f aca="false">PROPER(TRIM(SUBSTITUTE(Raw_Text_Fields!D41,CHAR(160)," ")))</f>
        <v>West</v>
      </c>
      <c r="H40" s="3" t="str">
        <f aca="false">PROPER(TRIM(SUBSTITUTE(Raw_Text_Fields!E41,CHAR(160)," ")))</f>
        <v>Gujarat</v>
      </c>
      <c r="I40" s="3" t="str">
        <f aca="false">PROPER(TRIM(SUBSTITUTE(Raw_Text_Fields!F41,CHAR(160)," ")))</f>
        <v>Ahmedabad</v>
      </c>
      <c r="J40" s="3" t="str">
        <f aca="false">PROPER(TRIM(SUBSTITUTE(Raw_Text_Fields!G41,CHAR(160)," ")))</f>
        <v>Technology</v>
      </c>
      <c r="K40" s="3" t="str">
        <f aca="false">PROPER(TRIM(SUBSTITUTE(Raw_Text_Fields!H41,CHAR(160)," ")))</f>
        <v>Phones</v>
      </c>
      <c r="L40" s="3" t="s">
        <v>149</v>
      </c>
      <c r="M40" s="3" t="str">
        <f aca="false">PROPER(TRIM(SUBSTITUTE(Raw_Text_Fields!I41,CHAR(160)," ")))</f>
        <v>First Class</v>
      </c>
      <c r="N40" s="3" t="n">
        <v>7</v>
      </c>
      <c r="O40" s="5" t="n">
        <v>2210.68</v>
      </c>
      <c r="P40" s="6" t="n">
        <v>0.1</v>
      </c>
      <c r="Q40" s="5" t="n">
        <v>13927.28</v>
      </c>
      <c r="R40" s="5" t="n">
        <v>10504.87</v>
      </c>
      <c r="S40" s="5" t="n">
        <v>3422.41</v>
      </c>
      <c r="T40" s="3" t="str">
        <f aca="false">PROPER(TRIM(SUBSTITUTE(Raw_Text_Fields!J41,CHAR(160)," ")))</f>
        <v>Paid</v>
      </c>
      <c r="U40" s="3" t="str">
        <f aca="false">PROPER(TRIM(SUBSTITUTE(Raw_Text_Fields!K41,CHAR(160)," ")))</f>
        <v>Completed</v>
      </c>
      <c r="V40" s="7" t="n">
        <f aca="false">IF(OR(P40&lt;0,P40&gt;0.5),0,P40)</f>
        <v>0.1</v>
      </c>
      <c r="W40" s="8" t="n">
        <f aca="false">N40*O40*(1-V40)</f>
        <v>13927.284</v>
      </c>
      <c r="X40" s="8" t="n">
        <f aca="false">W40-R40</f>
        <v>3422.414</v>
      </c>
      <c r="Y40" s="7" t="n">
        <f aca="false">IFERROR(X40/W40,0)</f>
        <v>0.245734487786707</v>
      </c>
      <c r="Z40" s="9" t="n">
        <f aca="false">C40-B40</f>
        <v>5</v>
      </c>
      <c r="AA40" s="1" t="str">
        <f aca="false">IF(B40="","",TEXT(B40,"mmm"))</f>
        <v>Jun</v>
      </c>
      <c r="AB40" s="9" t="n">
        <f aca="false">IF(B40="","",YEAR(B40))</f>
        <v>2024</v>
      </c>
      <c r="AC40" s="3"/>
      <c r="AD40" s="3" t="str">
        <f aca="false">IF(LEFT(AC40&amp;IF(B40="","; Missing Order Date","")&amp;IF(C40="","; Missing Ship Date","")&amp;IF(P40&lt;0,"; Invalid Discount (Negative)","")&amp;IF(P40&gt;0.5,"; Invalid Discount (Too High)","")&amp;IF(Z40&lt;0,"; Invalid Shipping Record (Ship Before Order)","")&amp;IF(ABS(Q40-W40)&gt;1,"; Sales Mismatch","")&amp;IF(ABS(S40-X40)&gt;1,"; Profit Mismatch","")&amp;IF(COUNTIF($A$2:$A$913,A40)&gt;1,"; Duplicate Order ID Conflict",""),2)="; ",MID(AC40&amp;IF(B40="","; Missing Order Date","")&amp;IF(C40="","; Missing Ship Date","")&amp;IF(P40&lt;0,"; Invalid Discount (Negative)","")&amp;IF(P40&gt;0.5,"; Invalid Discount (Too High)","")&amp;IF(Z40&lt;0,"; Invalid Shipping Record (Ship Before Order)","")&amp;IF(ABS(Q40-W40)&gt;1,"; Sales Mismatch","")&amp;IF(ABS(S40-X40)&gt;1,"; Profit Mismatch","")&amp;IF(COUNTIF($A$2:$A$913,A40)&gt;1,"; Duplicate Order ID Conflict",""),3,500),AC40&amp;IF(B40="","; Missing Order Date","")&amp;IF(C40="","; Missing Ship Date","")&amp;IF(P40&lt;0,"; Invalid Discount (Negative)","")&amp;IF(P40&gt;0.5,"; Invalid Discount (Too High)","")&amp;IF(Z40&lt;0,"; Invalid Shipping Record (Ship Before Order)","")&amp;IF(ABS(Q40-W40)&gt;1,"; Sales Mismatch","")&amp;IF(ABS(S40-X40)&gt;1,"; Profit Mismatch","")&amp;IF(COUNTIF($A$2:$A$913,A40)&gt;1,"; Duplicate Order ID Conflict",""))</f>
        <v/>
      </c>
      <c r="AE40" s="10" t="str">
        <f aca="false">IF(OR(ISNUMBER(SEARCH("Invalid Discount",AD40)),ISNUMBER(SEARCH("Invalid Shipping Record",AD40)),ISNUMBER(SEARCH("Sales Mismatch",AD40)),ISNUMBER(SEARCH("Profit Mismatch",AD40)),ISNUMBER(SEARCH("Duplicate Order ID Conflict",AD40)),ISNUMBER(SEARCH("Missing Order Date",AD40)),ISNUMBER(SEARCH("Missing Ship Date",AD40))),"Invalid",IF(AD40&lt;&gt;"","Warning","Clean"))</f>
        <v>Clean</v>
      </c>
    </row>
    <row r="41" customFormat="false" ht="15" hidden="false" customHeight="true" outlineLevel="0" collapsed="false">
      <c r="A41" s="3" t="s">
        <v>150</v>
      </c>
      <c r="B41" s="4" t="n">
        <v>45637</v>
      </c>
      <c r="C41" s="4" t="n">
        <v>45637</v>
      </c>
      <c r="D41" s="3" t="s">
        <v>151</v>
      </c>
      <c r="E41" s="3" t="str">
        <f aca="false">PROPER(TRIM(SUBSTITUTE(Raw_Text_Fields!B42,CHAR(160)," ")))</f>
        <v>Mira Das</v>
      </c>
      <c r="F41" s="3" t="str">
        <f aca="false">PROPER(TRIM(SUBSTITUTE(Raw_Text_Fields!C42,CHAR(160)," ")))</f>
        <v>Small Business</v>
      </c>
      <c r="G41" s="3" t="str">
        <f aca="false">PROPER(TRIM(SUBSTITUTE(Raw_Text_Fields!D42,CHAR(160)," ")))</f>
        <v>West</v>
      </c>
      <c r="H41" s="3" t="str">
        <f aca="false">PROPER(TRIM(SUBSTITUTE(Raw_Text_Fields!E42,CHAR(160)," ")))</f>
        <v>Madhya Pradesh</v>
      </c>
      <c r="I41" s="3" t="str">
        <f aca="false">PROPER(TRIM(SUBSTITUTE(Raw_Text_Fields!F42,CHAR(160)," ")))</f>
        <v>Indore</v>
      </c>
      <c r="J41" s="3" t="str">
        <f aca="false">PROPER(TRIM(SUBSTITUTE(Raw_Text_Fields!G42,CHAR(160)," ")))</f>
        <v>Technology</v>
      </c>
      <c r="K41" s="3" t="str">
        <f aca="false">PROPER(TRIM(SUBSTITUTE(Raw_Text_Fields!H42,CHAR(160)," ")))</f>
        <v>Copiers</v>
      </c>
      <c r="L41" s="3" t="s">
        <v>152</v>
      </c>
      <c r="M41" s="3" t="str">
        <f aca="false">PROPER(TRIM(SUBSTITUTE(Raw_Text_Fields!I42,CHAR(160)," ")))</f>
        <v>First Class</v>
      </c>
      <c r="N41" s="3" t="n">
        <v>4</v>
      </c>
      <c r="O41" s="5" t="n">
        <v>1370.92</v>
      </c>
      <c r="P41" s="6" t="n">
        <v>0.1</v>
      </c>
      <c r="Q41" s="5" t="n">
        <v>4935.31</v>
      </c>
      <c r="R41" s="5" t="n">
        <v>3374.77</v>
      </c>
      <c r="S41" s="5" t="n">
        <v>1560.54</v>
      </c>
      <c r="T41" s="3" t="str">
        <f aca="false">PROPER(TRIM(SUBSTITUTE(Raw_Text_Fields!J42,CHAR(160)," ")))</f>
        <v>Pending</v>
      </c>
      <c r="U41" s="3" t="str">
        <f aca="false">PROPER(TRIM(SUBSTITUTE(Raw_Text_Fields!K42,CHAR(160)," ")))</f>
        <v>Returned</v>
      </c>
      <c r="V41" s="7" t="n">
        <f aca="false">IF(OR(P41&lt;0,P41&gt;0.5),0,P41)</f>
        <v>0.1</v>
      </c>
      <c r="W41" s="8" t="n">
        <f aca="false">N41*O41*(1-V41)</f>
        <v>4935.312</v>
      </c>
      <c r="X41" s="8" t="n">
        <f aca="false">W41-R41</f>
        <v>1560.542</v>
      </c>
      <c r="Y41" s="7" t="n">
        <f aca="false">IFERROR(X41/W41,0)</f>
        <v>0.316199259540228</v>
      </c>
      <c r="Z41" s="9" t="n">
        <f aca="false">C41-B41</f>
        <v>0</v>
      </c>
      <c r="AA41" s="1" t="str">
        <f aca="false">IF(B41="","",TEXT(B41,"mmm"))</f>
        <v>Dec</v>
      </c>
      <c r="AB41" s="9" t="n">
        <f aca="false">IF(B41="","",YEAR(B41))</f>
        <v>2024</v>
      </c>
      <c r="AC41" s="3"/>
      <c r="AD41" s="3" t="str">
        <f aca="false">IF(LEFT(AC41&amp;IF(B41="","; Missing Order Date","")&amp;IF(C41="","; Missing Ship Date","")&amp;IF(P41&lt;0,"; Invalid Discount (Negative)","")&amp;IF(P41&gt;0.5,"; Invalid Discount (Too High)","")&amp;IF(Z41&lt;0,"; Invalid Shipping Record (Ship Before Order)","")&amp;IF(ABS(Q41-W41)&gt;1,"; Sales Mismatch","")&amp;IF(ABS(S41-X41)&gt;1,"; Profit Mismatch","")&amp;IF(COUNTIF($A$2:$A$913,A41)&gt;1,"; Duplicate Order ID Conflict",""),2)="; ",MID(AC41&amp;IF(B41="","; Missing Order Date","")&amp;IF(C41="","; Missing Ship Date","")&amp;IF(P41&lt;0,"; Invalid Discount (Negative)","")&amp;IF(P41&gt;0.5,"; Invalid Discount (Too High)","")&amp;IF(Z41&lt;0,"; Invalid Shipping Record (Ship Before Order)","")&amp;IF(ABS(Q41-W41)&gt;1,"; Sales Mismatch","")&amp;IF(ABS(S41-X41)&gt;1,"; Profit Mismatch","")&amp;IF(COUNTIF($A$2:$A$913,A41)&gt;1,"; Duplicate Order ID Conflict",""),3,500),AC41&amp;IF(B41="","; Missing Order Date","")&amp;IF(C41="","; Missing Ship Date","")&amp;IF(P41&lt;0,"; Invalid Discount (Negative)","")&amp;IF(P41&gt;0.5,"; Invalid Discount (Too High)","")&amp;IF(Z41&lt;0,"; Invalid Shipping Record (Ship Before Order)","")&amp;IF(ABS(Q41-W41)&gt;1,"; Sales Mismatch","")&amp;IF(ABS(S41-X41)&gt;1,"; Profit Mismatch","")&amp;IF(COUNTIF($A$2:$A$913,A41)&gt;1,"; Duplicate Order ID Conflict",""))</f>
        <v/>
      </c>
      <c r="AE41" s="10" t="str">
        <f aca="false">IF(OR(ISNUMBER(SEARCH("Invalid Discount",AD41)),ISNUMBER(SEARCH("Invalid Shipping Record",AD41)),ISNUMBER(SEARCH("Sales Mismatch",AD41)),ISNUMBER(SEARCH("Profit Mismatch",AD41)),ISNUMBER(SEARCH("Duplicate Order ID Conflict",AD41)),ISNUMBER(SEARCH("Missing Order Date",AD41)),ISNUMBER(SEARCH("Missing Ship Date",AD41))),"Invalid",IF(AD41&lt;&gt;"","Warning","Clean"))</f>
        <v>Clean</v>
      </c>
    </row>
    <row r="42" customFormat="false" ht="15" hidden="false" customHeight="true" outlineLevel="0" collapsed="false">
      <c r="A42" s="3" t="s">
        <v>153</v>
      </c>
      <c r="B42" s="4" t="n">
        <v>45575</v>
      </c>
      <c r="C42" s="4" t="n">
        <v>45581</v>
      </c>
      <c r="D42" s="3" t="s">
        <v>154</v>
      </c>
      <c r="E42" s="3" t="str">
        <f aca="false">PROPER(TRIM(SUBSTITUTE(Raw_Text_Fields!B43,CHAR(160)," ")))</f>
        <v>Isha Nair</v>
      </c>
      <c r="F42" s="3" t="str">
        <f aca="false">PROPER(TRIM(SUBSTITUTE(Raw_Text_Fields!C43,CHAR(160)," ")))</f>
        <v>Home Office</v>
      </c>
      <c r="G42" s="3" t="str">
        <f aca="false">PROPER(TRIM(SUBSTITUTE(Raw_Text_Fields!D43,CHAR(160)," ")))</f>
        <v>West</v>
      </c>
      <c r="H42" s="3" t="str">
        <f aca="false">PROPER(TRIM(SUBSTITUTE(Raw_Text_Fields!E43,CHAR(160)," ")))</f>
        <v>Rajasthan</v>
      </c>
      <c r="I42" s="3" t="str">
        <f aca="false">PROPER(TRIM(SUBSTITUTE(Raw_Text_Fields!F43,CHAR(160)," ")))</f>
        <v>Udaipur</v>
      </c>
      <c r="J42" s="3" t="str">
        <f aca="false">PROPER(TRIM(SUBSTITUTE(Raw_Text_Fields!G43,CHAR(160)," ")))</f>
        <v>Technology</v>
      </c>
      <c r="K42" s="3" t="str">
        <f aca="false">PROPER(TRIM(SUBSTITUTE(Raw_Text_Fields!H43,CHAR(160)," ")))</f>
        <v>Copiers</v>
      </c>
      <c r="L42" s="3" t="s">
        <v>155</v>
      </c>
      <c r="M42" s="3" t="str">
        <f aca="false">PROPER(TRIM(SUBSTITUTE(Raw_Text_Fields!I43,CHAR(160)," ")))</f>
        <v>Standard Class</v>
      </c>
      <c r="N42" s="3" t="n">
        <v>7</v>
      </c>
      <c r="O42" s="5" t="n">
        <v>2509.27</v>
      </c>
      <c r="P42" s="6" t="n">
        <v>0.2</v>
      </c>
      <c r="Q42" s="5" t="n">
        <v>14051.91</v>
      </c>
      <c r="R42" s="5" t="n">
        <v>11990.37</v>
      </c>
      <c r="S42" s="5" t="n">
        <v>2061.54</v>
      </c>
      <c r="T42" s="3" t="str">
        <f aca="false">PROPER(TRIM(SUBSTITUTE(Raw_Text_Fields!J43,CHAR(160)," ")))</f>
        <v>Paid</v>
      </c>
      <c r="U42" s="3" t="str">
        <f aca="false">PROPER(TRIM(SUBSTITUTE(Raw_Text_Fields!K43,CHAR(160)," ")))</f>
        <v>Completed</v>
      </c>
      <c r="V42" s="7" t="n">
        <f aca="false">IF(OR(P42&lt;0,P42&gt;0.5),0,P42)</f>
        <v>0.2</v>
      </c>
      <c r="W42" s="8" t="n">
        <f aca="false">N42*O42*(1-V42)</f>
        <v>14051.912</v>
      </c>
      <c r="X42" s="8" t="n">
        <f aca="false">W42-R42</f>
        <v>2061.542</v>
      </c>
      <c r="Y42" s="7" t="n">
        <f aca="false">IFERROR(X42/W42,0)</f>
        <v>0.146709003016814</v>
      </c>
      <c r="Z42" s="9" t="n">
        <f aca="false">C42-B42</f>
        <v>6</v>
      </c>
      <c r="AA42" s="1" t="str">
        <f aca="false">IF(B42="","",TEXT(B42,"mmm"))</f>
        <v>Oct</v>
      </c>
      <c r="AB42" s="9" t="n">
        <f aca="false">IF(B42="","",YEAR(B42))</f>
        <v>2024</v>
      </c>
      <c r="AC42" s="3"/>
      <c r="AD42" s="3" t="str">
        <f aca="false">IF(LEFT(AC42&amp;IF(B42="","; Missing Order Date","")&amp;IF(C42="","; Missing Ship Date","")&amp;IF(P42&lt;0,"; Invalid Discount (Negative)","")&amp;IF(P42&gt;0.5,"; Invalid Discount (Too High)","")&amp;IF(Z42&lt;0,"; Invalid Shipping Record (Ship Before Order)","")&amp;IF(ABS(Q42-W42)&gt;1,"; Sales Mismatch","")&amp;IF(ABS(S42-X42)&gt;1,"; Profit Mismatch","")&amp;IF(COUNTIF($A$2:$A$913,A42)&gt;1,"; Duplicate Order ID Conflict",""),2)="; ",MID(AC42&amp;IF(B42="","; Missing Order Date","")&amp;IF(C42="","; Missing Ship Date","")&amp;IF(P42&lt;0,"; Invalid Discount (Negative)","")&amp;IF(P42&gt;0.5,"; Invalid Discount (Too High)","")&amp;IF(Z42&lt;0,"; Invalid Shipping Record (Ship Before Order)","")&amp;IF(ABS(Q42-W42)&gt;1,"; Sales Mismatch","")&amp;IF(ABS(S42-X42)&gt;1,"; Profit Mismatch","")&amp;IF(COUNTIF($A$2:$A$913,A42)&gt;1,"; Duplicate Order ID Conflict",""),3,500),AC42&amp;IF(B42="","; Missing Order Date","")&amp;IF(C42="","; Missing Ship Date","")&amp;IF(P42&lt;0,"; Invalid Discount (Negative)","")&amp;IF(P42&gt;0.5,"; Invalid Discount (Too High)","")&amp;IF(Z42&lt;0,"; Invalid Shipping Record (Ship Before Order)","")&amp;IF(ABS(Q42-W42)&gt;1,"; Sales Mismatch","")&amp;IF(ABS(S42-X42)&gt;1,"; Profit Mismatch","")&amp;IF(COUNTIF($A$2:$A$913,A42)&gt;1,"; Duplicate Order ID Conflict",""))</f>
        <v/>
      </c>
      <c r="AE42" s="10" t="str">
        <f aca="false">IF(OR(ISNUMBER(SEARCH("Invalid Discount",AD42)),ISNUMBER(SEARCH("Invalid Shipping Record",AD42)),ISNUMBER(SEARCH("Sales Mismatch",AD42)),ISNUMBER(SEARCH("Profit Mismatch",AD42)),ISNUMBER(SEARCH("Duplicate Order ID Conflict",AD42)),ISNUMBER(SEARCH("Missing Order Date",AD42)),ISNUMBER(SEARCH("Missing Ship Date",AD42))),"Invalid",IF(AD42&lt;&gt;"","Warning","Clean"))</f>
        <v>Clean</v>
      </c>
    </row>
    <row r="43" customFormat="false" ht="15" hidden="false" customHeight="true" outlineLevel="0" collapsed="false">
      <c r="A43" s="3" t="s">
        <v>156</v>
      </c>
      <c r="B43" s="4" t="n">
        <v>45363</v>
      </c>
      <c r="C43" s="4" t="n">
        <v>45368</v>
      </c>
      <c r="D43" s="3" t="s">
        <v>157</v>
      </c>
      <c r="E43" s="3" t="str">
        <f aca="false">PROPER(TRIM(SUBSTITUTE(Raw_Text_Fields!B44,CHAR(160)," ")))</f>
        <v>Aarav Sharma</v>
      </c>
      <c r="F43" s="3" t="str">
        <f aca="false">PROPER(TRIM(SUBSTITUTE(Raw_Text_Fields!C44,CHAR(160)," ")))</f>
        <v>Small Business</v>
      </c>
      <c r="G43" s="3" t="str">
        <f aca="false">PROPER(TRIM(SUBSTITUTE(Raw_Text_Fields!D44,CHAR(160)," ")))</f>
        <v>East</v>
      </c>
      <c r="H43" s="3" t="str">
        <f aca="false">PROPER(TRIM(SUBSTITUTE(Raw_Text_Fields!E44,CHAR(160)," ")))</f>
        <v>Odisha</v>
      </c>
      <c r="I43" s="3" t="str">
        <f aca="false">PROPER(TRIM(SUBSTITUTE(Raw_Text_Fields!F44,CHAR(160)," ")))</f>
        <v>Bhubaneswar</v>
      </c>
      <c r="J43" s="3" t="str">
        <f aca="false">PROPER(TRIM(SUBSTITUTE(Raw_Text_Fields!G44,CHAR(160)," ")))</f>
        <v>Furniture</v>
      </c>
      <c r="K43" s="3" t="str">
        <f aca="false">PROPER(TRIM(SUBSTITUTE(Raw_Text_Fields!H44,CHAR(160)," ")))</f>
        <v>Bookcases</v>
      </c>
      <c r="L43" s="3" t="s">
        <v>158</v>
      </c>
      <c r="M43" s="3" t="str">
        <f aca="false">PROPER(TRIM(SUBSTITUTE(Raw_Text_Fields!I44,CHAR(160)," ")))</f>
        <v>Same Day</v>
      </c>
      <c r="N43" s="3" t="n">
        <v>8</v>
      </c>
      <c r="O43" s="5" t="n">
        <v>855.81</v>
      </c>
      <c r="P43" s="6" t="n">
        <v>0</v>
      </c>
      <c r="Q43" s="5" t="n">
        <v>6846.48</v>
      </c>
      <c r="R43" s="5" t="n">
        <v>4239.89</v>
      </c>
      <c r="S43" s="5" t="n">
        <v>2606.59</v>
      </c>
      <c r="T43" s="3" t="str">
        <f aca="false">PROPER(TRIM(SUBSTITUTE(Raw_Text_Fields!J44,CHAR(160)," ")))</f>
        <v>Pending</v>
      </c>
      <c r="U43" s="3" t="str">
        <f aca="false">PROPER(TRIM(SUBSTITUTE(Raw_Text_Fields!K44,CHAR(160)," ")))</f>
        <v>Cancelled</v>
      </c>
      <c r="V43" s="7" t="n">
        <f aca="false">IF(OR(P43&lt;0,P43&gt;0.5),0,P43)</f>
        <v>0</v>
      </c>
      <c r="W43" s="8" t="n">
        <f aca="false">N43*O43*(1-V43)</f>
        <v>6846.48</v>
      </c>
      <c r="X43" s="8" t="n">
        <f aca="false">W43-R43</f>
        <v>2606.59</v>
      </c>
      <c r="Y43" s="7" t="n">
        <f aca="false">IFERROR(X43/W43,0)</f>
        <v>0.380719727509611</v>
      </c>
      <c r="Z43" s="9" t="n">
        <f aca="false">C43-B43</f>
        <v>5</v>
      </c>
      <c r="AA43" s="1" t="str">
        <f aca="false">IF(B43="","",TEXT(B43,"mmm"))</f>
        <v>Mar</v>
      </c>
      <c r="AB43" s="9" t="n">
        <f aca="false">IF(B43="","",YEAR(B43))</f>
        <v>2024</v>
      </c>
      <c r="AC43" s="3"/>
      <c r="AD43" s="3" t="str">
        <f aca="false">IF(LEFT(AC43&amp;IF(B43="","; Missing Order Date","")&amp;IF(C43="","; Missing Ship Date","")&amp;IF(P43&lt;0,"; Invalid Discount (Negative)","")&amp;IF(P43&gt;0.5,"; Invalid Discount (Too High)","")&amp;IF(Z43&lt;0,"; Invalid Shipping Record (Ship Before Order)","")&amp;IF(ABS(Q43-W43)&gt;1,"; Sales Mismatch","")&amp;IF(ABS(S43-X43)&gt;1,"; Profit Mismatch","")&amp;IF(COUNTIF($A$2:$A$913,A43)&gt;1,"; Duplicate Order ID Conflict",""),2)="; ",MID(AC43&amp;IF(B43="","; Missing Order Date","")&amp;IF(C43="","; Missing Ship Date","")&amp;IF(P43&lt;0,"; Invalid Discount (Negative)","")&amp;IF(P43&gt;0.5,"; Invalid Discount (Too High)","")&amp;IF(Z43&lt;0,"; Invalid Shipping Record (Ship Before Order)","")&amp;IF(ABS(Q43-W43)&gt;1,"; Sales Mismatch","")&amp;IF(ABS(S43-X43)&gt;1,"; Profit Mismatch","")&amp;IF(COUNTIF($A$2:$A$913,A43)&gt;1,"; Duplicate Order ID Conflict",""),3,500),AC43&amp;IF(B43="","; Missing Order Date","")&amp;IF(C43="","; Missing Ship Date","")&amp;IF(P43&lt;0,"; Invalid Discount (Negative)","")&amp;IF(P43&gt;0.5,"; Invalid Discount (Too High)","")&amp;IF(Z43&lt;0,"; Invalid Shipping Record (Ship Before Order)","")&amp;IF(ABS(Q43-W43)&gt;1,"; Sales Mismatch","")&amp;IF(ABS(S43-X43)&gt;1,"; Profit Mismatch","")&amp;IF(COUNTIF($A$2:$A$913,A43)&gt;1,"; Duplicate Order ID Conflict",""))</f>
        <v/>
      </c>
      <c r="AE43" s="10" t="str">
        <f aca="false">IF(OR(ISNUMBER(SEARCH("Invalid Discount",AD43)),ISNUMBER(SEARCH("Invalid Shipping Record",AD43)),ISNUMBER(SEARCH("Sales Mismatch",AD43)),ISNUMBER(SEARCH("Profit Mismatch",AD43)),ISNUMBER(SEARCH("Duplicate Order ID Conflict",AD43)),ISNUMBER(SEARCH("Missing Order Date",AD43)),ISNUMBER(SEARCH("Missing Ship Date",AD43))),"Invalid",IF(AD43&lt;&gt;"","Warning","Clean"))</f>
        <v>Clean</v>
      </c>
    </row>
    <row r="44" customFormat="false" ht="15" hidden="false" customHeight="true" outlineLevel="0" collapsed="false">
      <c r="A44" s="3" t="s">
        <v>159</v>
      </c>
      <c r="B44" s="4" t="n">
        <v>45940</v>
      </c>
      <c r="C44" s="4" t="n">
        <v>45945</v>
      </c>
      <c r="D44" s="3" t="s">
        <v>160</v>
      </c>
      <c r="E44" s="3" t="str">
        <f aca="false">PROPER(TRIM(SUBSTITUTE(Raw_Text_Fields!B45,CHAR(160)," ")))</f>
        <v>Arjun Bose</v>
      </c>
      <c r="F44" s="3" t="str">
        <f aca="false">PROPER(TRIM(SUBSTITUTE(Raw_Text_Fields!C45,CHAR(160)," ")))</f>
        <v>Corporate</v>
      </c>
      <c r="G44" s="3" t="str">
        <f aca="false">PROPER(TRIM(SUBSTITUTE(Raw_Text_Fields!D45,CHAR(160)," ")))</f>
        <v>East</v>
      </c>
      <c r="H44" s="3" t="str">
        <f aca="false">PROPER(TRIM(SUBSTITUTE(Raw_Text_Fields!E45,CHAR(160)," ")))</f>
        <v>Jharkhand</v>
      </c>
      <c r="I44" s="3" t="str">
        <f aca="false">PROPER(TRIM(SUBSTITUTE(Raw_Text_Fields!F45,CHAR(160)," ")))</f>
        <v>Ranchi</v>
      </c>
      <c r="J44" s="3" t="str">
        <f aca="false">PROPER(TRIM(SUBSTITUTE(Raw_Text_Fields!G45,CHAR(160)," ")))</f>
        <v>Technology</v>
      </c>
      <c r="K44" s="3" t="str">
        <f aca="false">PROPER(TRIM(SUBSTITUTE(Raw_Text_Fields!H45,CHAR(160)," ")))</f>
        <v>Phones</v>
      </c>
      <c r="L44" s="3" t="s">
        <v>161</v>
      </c>
      <c r="M44" s="3" t="str">
        <f aca="false">PROPER(TRIM(SUBSTITUTE(Raw_Text_Fields!I45,CHAR(160)," ")))</f>
        <v>Standard Class</v>
      </c>
      <c r="N44" s="3" t="n">
        <v>8</v>
      </c>
      <c r="O44" s="5" t="n">
        <v>979.87</v>
      </c>
      <c r="P44" s="6" t="n">
        <v>0.05</v>
      </c>
      <c r="Q44" s="5" t="n">
        <v>7447.01</v>
      </c>
      <c r="R44" s="5" t="n">
        <v>4496.22</v>
      </c>
      <c r="S44" s="5" t="n">
        <v>2950.79</v>
      </c>
      <c r="T44" s="3" t="str">
        <f aca="false">PROPER(TRIM(SUBSTITUTE(Raw_Text_Fields!J45,CHAR(160)," ")))</f>
        <v>Paid</v>
      </c>
      <c r="U44" s="3" t="str">
        <f aca="false">PROPER(TRIM(SUBSTITUTE(Raw_Text_Fields!K45,CHAR(160)," ")))</f>
        <v>Completed</v>
      </c>
      <c r="V44" s="7" t="n">
        <f aca="false">IF(OR(P44&lt;0,P44&gt;0.5),0,P44)</f>
        <v>0.05</v>
      </c>
      <c r="W44" s="8" t="n">
        <f aca="false">N44*O44*(1-V44)</f>
        <v>7447.012</v>
      </c>
      <c r="X44" s="8" t="n">
        <f aca="false">W44-R44</f>
        <v>2950.792</v>
      </c>
      <c r="Y44" s="7" t="n">
        <f aca="false">IFERROR(X44/W44,0)</f>
        <v>0.396238383931703</v>
      </c>
      <c r="Z44" s="9" t="n">
        <f aca="false">C44-B44</f>
        <v>5</v>
      </c>
      <c r="AA44" s="1" t="str">
        <f aca="false">IF(B44="","",TEXT(B44,"mmm"))</f>
        <v>Oct</v>
      </c>
      <c r="AB44" s="9" t="n">
        <f aca="false">IF(B44="","",YEAR(B44))</f>
        <v>2025</v>
      </c>
      <c r="AC44" s="3"/>
      <c r="AD44" s="3" t="str">
        <f aca="false">IF(LEFT(AC44&amp;IF(B44="","; Missing Order Date","")&amp;IF(C44="","; Missing Ship Date","")&amp;IF(P44&lt;0,"; Invalid Discount (Negative)","")&amp;IF(P44&gt;0.5,"; Invalid Discount (Too High)","")&amp;IF(Z44&lt;0,"; Invalid Shipping Record (Ship Before Order)","")&amp;IF(ABS(Q44-W44)&gt;1,"; Sales Mismatch","")&amp;IF(ABS(S44-X44)&gt;1,"; Profit Mismatch","")&amp;IF(COUNTIF($A$2:$A$913,A44)&gt;1,"; Duplicate Order ID Conflict",""),2)="; ",MID(AC44&amp;IF(B44="","; Missing Order Date","")&amp;IF(C44="","; Missing Ship Date","")&amp;IF(P44&lt;0,"; Invalid Discount (Negative)","")&amp;IF(P44&gt;0.5,"; Invalid Discount (Too High)","")&amp;IF(Z44&lt;0,"; Invalid Shipping Record (Ship Before Order)","")&amp;IF(ABS(Q44-W44)&gt;1,"; Sales Mismatch","")&amp;IF(ABS(S44-X44)&gt;1,"; Profit Mismatch","")&amp;IF(COUNTIF($A$2:$A$913,A44)&gt;1,"; Duplicate Order ID Conflict",""),3,500),AC44&amp;IF(B44="","; Missing Order Date","")&amp;IF(C44="","; Missing Ship Date","")&amp;IF(P44&lt;0,"; Invalid Discount (Negative)","")&amp;IF(P44&gt;0.5,"; Invalid Discount (Too High)","")&amp;IF(Z44&lt;0,"; Invalid Shipping Record (Ship Before Order)","")&amp;IF(ABS(Q44-W44)&gt;1,"; Sales Mismatch","")&amp;IF(ABS(S44-X44)&gt;1,"; Profit Mismatch","")&amp;IF(COUNTIF($A$2:$A$913,A44)&gt;1,"; Duplicate Order ID Conflict",""))</f>
        <v/>
      </c>
      <c r="AE44" s="10" t="str">
        <f aca="false">IF(OR(ISNUMBER(SEARCH("Invalid Discount",AD44)),ISNUMBER(SEARCH("Invalid Shipping Record",AD44)),ISNUMBER(SEARCH("Sales Mismatch",AD44)),ISNUMBER(SEARCH("Profit Mismatch",AD44)),ISNUMBER(SEARCH("Duplicate Order ID Conflict",AD44)),ISNUMBER(SEARCH("Missing Order Date",AD44)),ISNUMBER(SEARCH("Missing Ship Date",AD44))),"Invalid",IF(AD44&lt;&gt;"","Warning","Clean"))</f>
        <v>Clean</v>
      </c>
    </row>
    <row r="45" customFormat="false" ht="15" hidden="false" customHeight="true" outlineLevel="0" collapsed="false">
      <c r="A45" s="3" t="s">
        <v>162</v>
      </c>
      <c r="B45" s="4" t="n">
        <v>45481</v>
      </c>
      <c r="C45" s="4" t="n">
        <v>45487</v>
      </c>
      <c r="D45" s="3" t="s">
        <v>163</v>
      </c>
      <c r="E45" s="3" t="str">
        <f aca="false">PROPER(TRIM(SUBSTITUTE(Raw_Text_Fields!B46,CHAR(160)," ")))</f>
        <v>Priya Menon</v>
      </c>
      <c r="F45" s="3" t="str">
        <f aca="false">PROPER(TRIM(SUBSTITUTE(Raw_Text_Fields!C46,CHAR(160)," ")))</f>
        <v>Small Business</v>
      </c>
      <c r="G45" s="3" t="str">
        <f aca="false">PROPER(TRIM(SUBSTITUTE(Raw_Text_Fields!D46,CHAR(160)," ")))</f>
        <v>East</v>
      </c>
      <c r="H45" s="3" t="str">
        <f aca="false">PROPER(TRIM(SUBSTITUTE(Raw_Text_Fields!E46,CHAR(160)," ")))</f>
        <v>Odisha</v>
      </c>
      <c r="I45" s="3" t="str">
        <f aca="false">PROPER(TRIM(SUBSTITUTE(Raw_Text_Fields!F46,CHAR(160)," ")))</f>
        <v>Bhubaneswar</v>
      </c>
      <c r="J45" s="3" t="str">
        <f aca="false">PROPER(TRIM(SUBSTITUTE(Raw_Text_Fields!G46,CHAR(160)," ")))</f>
        <v>Furniture</v>
      </c>
      <c r="K45" s="3" t="str">
        <f aca="false">PROPER(TRIM(SUBSTITUTE(Raw_Text_Fields!H46,CHAR(160)," ")))</f>
        <v>Furnishings</v>
      </c>
      <c r="L45" s="3" t="s">
        <v>164</v>
      </c>
      <c r="M45" s="3" t="str">
        <f aca="false">PROPER(TRIM(SUBSTITUTE(Raw_Text_Fields!I46,CHAR(160)," ")))</f>
        <v>Same Day</v>
      </c>
      <c r="N45" s="3" t="n">
        <v>3</v>
      </c>
      <c r="O45" s="5" t="n">
        <v>1010.23</v>
      </c>
      <c r="P45" s="6" t="n">
        <v>0</v>
      </c>
      <c r="Q45" s="5" t="n">
        <v>3030.69</v>
      </c>
      <c r="R45" s="5" t="n">
        <v>1721.08</v>
      </c>
      <c r="S45" s="5" t="n">
        <v>1309.61</v>
      </c>
      <c r="T45" s="3" t="str">
        <f aca="false">PROPER(TRIM(SUBSTITUTE(Raw_Text_Fields!J46,CHAR(160)," ")))</f>
        <v>Paid</v>
      </c>
      <c r="U45" s="3" t="str">
        <f aca="false">PROPER(TRIM(SUBSTITUTE(Raw_Text_Fields!K46,CHAR(160)," ")))</f>
        <v>Completed</v>
      </c>
      <c r="V45" s="7" t="n">
        <f aca="false">IF(OR(P45&lt;0,P45&gt;0.5),0,P45)</f>
        <v>0</v>
      </c>
      <c r="W45" s="8" t="n">
        <f aca="false">N45*O45*(1-V45)</f>
        <v>3030.69</v>
      </c>
      <c r="X45" s="8" t="n">
        <f aca="false">W45-R45</f>
        <v>1309.61</v>
      </c>
      <c r="Y45" s="7" t="n">
        <f aca="false">IFERROR(X45/W45,0)</f>
        <v>0.432116118771633</v>
      </c>
      <c r="Z45" s="9" t="n">
        <f aca="false">C45-B45</f>
        <v>6</v>
      </c>
      <c r="AA45" s="1" t="str">
        <f aca="false">IF(B45="","",TEXT(B45,"mmm"))</f>
        <v>Jul</v>
      </c>
      <c r="AB45" s="9" t="n">
        <f aca="false">IF(B45="","",YEAR(B45))</f>
        <v>2024</v>
      </c>
      <c r="AC45" s="3"/>
      <c r="AD45" s="3" t="str">
        <f aca="false">IF(LEFT(AC45&amp;IF(B45="","; Missing Order Date","")&amp;IF(C45="","; Missing Ship Date","")&amp;IF(P45&lt;0,"; Invalid Discount (Negative)","")&amp;IF(P45&gt;0.5,"; Invalid Discount (Too High)","")&amp;IF(Z45&lt;0,"; Invalid Shipping Record (Ship Before Order)","")&amp;IF(ABS(Q45-W45)&gt;1,"; Sales Mismatch","")&amp;IF(ABS(S45-X45)&gt;1,"; Profit Mismatch","")&amp;IF(COUNTIF($A$2:$A$913,A45)&gt;1,"; Duplicate Order ID Conflict",""),2)="; ",MID(AC45&amp;IF(B45="","; Missing Order Date","")&amp;IF(C45="","; Missing Ship Date","")&amp;IF(P45&lt;0,"; Invalid Discount (Negative)","")&amp;IF(P45&gt;0.5,"; Invalid Discount (Too High)","")&amp;IF(Z45&lt;0,"; Invalid Shipping Record (Ship Before Order)","")&amp;IF(ABS(Q45-W45)&gt;1,"; Sales Mismatch","")&amp;IF(ABS(S45-X45)&gt;1,"; Profit Mismatch","")&amp;IF(COUNTIF($A$2:$A$913,A45)&gt;1,"; Duplicate Order ID Conflict",""),3,500),AC45&amp;IF(B45="","; Missing Order Date","")&amp;IF(C45="","; Missing Ship Date","")&amp;IF(P45&lt;0,"; Invalid Discount (Negative)","")&amp;IF(P45&gt;0.5,"; Invalid Discount (Too High)","")&amp;IF(Z45&lt;0,"; Invalid Shipping Record (Ship Before Order)","")&amp;IF(ABS(Q45-W45)&gt;1,"; Sales Mismatch","")&amp;IF(ABS(S45-X45)&gt;1,"; Profit Mismatch","")&amp;IF(COUNTIF($A$2:$A$913,A45)&gt;1,"; Duplicate Order ID Conflict",""))</f>
        <v/>
      </c>
      <c r="AE45" s="10" t="str">
        <f aca="false">IF(OR(ISNUMBER(SEARCH("Invalid Discount",AD45)),ISNUMBER(SEARCH("Invalid Shipping Record",AD45)),ISNUMBER(SEARCH("Sales Mismatch",AD45)),ISNUMBER(SEARCH("Profit Mismatch",AD45)),ISNUMBER(SEARCH("Duplicate Order ID Conflict",AD45)),ISNUMBER(SEARCH("Missing Order Date",AD45)),ISNUMBER(SEARCH("Missing Ship Date",AD45))),"Invalid",IF(AD45&lt;&gt;"","Warning","Clean"))</f>
        <v>Clean</v>
      </c>
    </row>
    <row r="46" customFormat="false" ht="15" hidden="false" customHeight="true" outlineLevel="0" collapsed="false">
      <c r="A46" s="3" t="s">
        <v>165</v>
      </c>
      <c r="B46" s="4" t="n">
        <v>45465</v>
      </c>
      <c r="C46" s="4" t="n">
        <v>45468</v>
      </c>
      <c r="D46" s="3" t="s">
        <v>166</v>
      </c>
      <c r="E46" s="3" t="str">
        <f aca="false">PROPER(TRIM(SUBSTITUTE(Raw_Text_Fields!B47,CHAR(160)," ")))</f>
        <v>Rohan Mehta</v>
      </c>
      <c r="F46" s="3" t="str">
        <f aca="false">PROPER(TRIM(SUBSTITUTE(Raw_Text_Fields!C47,CHAR(160)," ")))</f>
        <v>Small Business</v>
      </c>
      <c r="G46" s="3" t="str">
        <f aca="false">PROPER(TRIM(SUBSTITUTE(Raw_Text_Fields!D47,CHAR(160)," ")))</f>
        <v>North</v>
      </c>
      <c r="H46" s="3" t="str">
        <f aca="false">PROPER(TRIM(SUBSTITUTE(Raw_Text_Fields!E47,CHAR(160)," ")))</f>
        <v>Haryana</v>
      </c>
      <c r="I46" s="3" t="str">
        <f aca="false">PROPER(TRIM(SUBSTITUTE(Raw_Text_Fields!F47,CHAR(160)," ")))</f>
        <v>Gurugram</v>
      </c>
      <c r="J46" s="3" t="str">
        <f aca="false">PROPER(TRIM(SUBSTITUTE(Raw_Text_Fields!G47,CHAR(160)," ")))</f>
        <v>Furniture</v>
      </c>
      <c r="K46" s="3" t="str">
        <f aca="false">PROPER(TRIM(SUBSTITUTE(Raw_Text_Fields!H47,CHAR(160)," ")))</f>
        <v>Chairs</v>
      </c>
      <c r="L46" s="3" t="s">
        <v>167</v>
      </c>
      <c r="M46" s="3" t="str">
        <f aca="false">PROPER(TRIM(SUBSTITUTE(Raw_Text_Fields!I47,CHAR(160)," ")))</f>
        <v>Standard Class</v>
      </c>
      <c r="N46" s="3" t="n">
        <v>9</v>
      </c>
      <c r="O46" s="5" t="n">
        <v>3329.77</v>
      </c>
      <c r="P46" s="6" t="n">
        <v>0.1</v>
      </c>
      <c r="Q46" s="5" t="n">
        <v>26971.14</v>
      </c>
      <c r="R46" s="5" t="n">
        <v>17376.2</v>
      </c>
      <c r="S46" s="5" t="n">
        <v>9594.94</v>
      </c>
      <c r="T46" s="3" t="str">
        <f aca="false">PROPER(TRIM(SUBSTITUTE(Raw_Text_Fields!J47,CHAR(160)," ")))</f>
        <v>Paid</v>
      </c>
      <c r="U46" s="3" t="str">
        <f aca="false">PROPER(TRIM(SUBSTITUTE(Raw_Text_Fields!K47,CHAR(160)," ")))</f>
        <v>Completed</v>
      </c>
      <c r="V46" s="7" t="n">
        <f aca="false">IF(OR(P46&lt;0,P46&gt;0.5),0,P46)</f>
        <v>0.1</v>
      </c>
      <c r="W46" s="8" t="n">
        <f aca="false">N46*O46*(1-V46)</f>
        <v>26971.137</v>
      </c>
      <c r="X46" s="8" t="n">
        <f aca="false">W46-R46</f>
        <v>9594.937</v>
      </c>
      <c r="Y46" s="7" t="n">
        <f aca="false">IFERROR(X46/W46,0)</f>
        <v>0.355748332003949</v>
      </c>
      <c r="Z46" s="9" t="n">
        <f aca="false">C46-B46</f>
        <v>3</v>
      </c>
      <c r="AA46" s="1" t="str">
        <f aca="false">IF(B46="","",TEXT(B46,"mmm"))</f>
        <v>Jun</v>
      </c>
      <c r="AB46" s="9" t="n">
        <f aca="false">IF(B46="","",YEAR(B46))</f>
        <v>2024</v>
      </c>
      <c r="AC46" s="3"/>
      <c r="AD46" s="3" t="str">
        <f aca="false">IF(LEFT(AC46&amp;IF(B46="","; Missing Order Date","")&amp;IF(C46="","; Missing Ship Date","")&amp;IF(P46&lt;0,"; Invalid Discount (Negative)","")&amp;IF(P46&gt;0.5,"; Invalid Discount (Too High)","")&amp;IF(Z46&lt;0,"; Invalid Shipping Record (Ship Before Order)","")&amp;IF(ABS(Q46-W46)&gt;1,"; Sales Mismatch","")&amp;IF(ABS(S46-X46)&gt;1,"; Profit Mismatch","")&amp;IF(COUNTIF($A$2:$A$913,A46)&gt;1,"; Duplicate Order ID Conflict",""),2)="; ",MID(AC46&amp;IF(B46="","; Missing Order Date","")&amp;IF(C46="","; Missing Ship Date","")&amp;IF(P46&lt;0,"; Invalid Discount (Negative)","")&amp;IF(P46&gt;0.5,"; Invalid Discount (Too High)","")&amp;IF(Z46&lt;0,"; Invalid Shipping Record (Ship Before Order)","")&amp;IF(ABS(Q46-W46)&gt;1,"; Sales Mismatch","")&amp;IF(ABS(S46-X46)&gt;1,"; Profit Mismatch","")&amp;IF(COUNTIF($A$2:$A$913,A46)&gt;1,"; Duplicate Order ID Conflict",""),3,500),AC46&amp;IF(B46="","; Missing Order Date","")&amp;IF(C46="","; Missing Ship Date","")&amp;IF(P46&lt;0,"; Invalid Discount (Negative)","")&amp;IF(P46&gt;0.5,"; Invalid Discount (Too High)","")&amp;IF(Z46&lt;0,"; Invalid Shipping Record (Ship Before Order)","")&amp;IF(ABS(Q46-W46)&gt;1,"; Sales Mismatch","")&amp;IF(ABS(S46-X46)&gt;1,"; Profit Mismatch","")&amp;IF(COUNTIF($A$2:$A$913,A46)&gt;1,"; Duplicate Order ID Conflict",""))</f>
        <v/>
      </c>
      <c r="AE46" s="10" t="str">
        <f aca="false">IF(OR(ISNUMBER(SEARCH("Invalid Discount",AD46)),ISNUMBER(SEARCH("Invalid Shipping Record",AD46)),ISNUMBER(SEARCH("Sales Mismatch",AD46)),ISNUMBER(SEARCH("Profit Mismatch",AD46)),ISNUMBER(SEARCH("Duplicate Order ID Conflict",AD46)),ISNUMBER(SEARCH("Missing Order Date",AD46)),ISNUMBER(SEARCH("Missing Ship Date",AD46))),"Invalid",IF(AD46&lt;&gt;"","Warning","Clean"))</f>
        <v>Clean</v>
      </c>
    </row>
    <row r="47" customFormat="false" ht="15" hidden="false" customHeight="true" outlineLevel="0" collapsed="false">
      <c r="A47" s="3" t="s">
        <v>168</v>
      </c>
      <c r="B47" s="4" t="n">
        <v>45309</v>
      </c>
      <c r="C47" s="4" t="n">
        <v>45315</v>
      </c>
      <c r="D47" s="3" t="s">
        <v>169</v>
      </c>
      <c r="E47" s="3" t="str">
        <f aca="false">PROPER(TRIM(SUBSTITUTE(Raw_Text_Fields!B48,CHAR(160)," ")))</f>
        <v>Isha Nair</v>
      </c>
      <c r="F47" s="3" t="str">
        <f aca="false">PROPER(TRIM(SUBSTITUTE(Raw_Text_Fields!C48,CHAR(160)," ")))</f>
        <v>Home Office</v>
      </c>
      <c r="G47" s="3" t="str">
        <f aca="false">PROPER(TRIM(SUBSTITUTE(Raw_Text_Fields!D48,CHAR(160)," ")))</f>
        <v>East</v>
      </c>
      <c r="H47" s="3" t="str">
        <f aca="false">PROPER(TRIM(SUBSTITUTE(Raw_Text_Fields!E48,CHAR(160)," ")))</f>
        <v>Bihar</v>
      </c>
      <c r="I47" s="3" t="str">
        <f aca="false">PROPER(TRIM(SUBSTITUTE(Raw_Text_Fields!F48,CHAR(160)," ")))</f>
        <v>Patna</v>
      </c>
      <c r="J47" s="3" t="str">
        <f aca="false">PROPER(TRIM(SUBSTITUTE(Raw_Text_Fields!G48,CHAR(160)," ")))</f>
        <v>Office Supplies</v>
      </c>
      <c r="K47" s="3" t="str">
        <f aca="false">PROPER(TRIM(SUBSTITUTE(Raw_Text_Fields!H48,CHAR(160)," ")))</f>
        <v>Art</v>
      </c>
      <c r="L47" s="3" t="s">
        <v>170</v>
      </c>
      <c r="M47" s="3" t="str">
        <f aca="false">PROPER(TRIM(SUBSTITUTE(Raw_Text_Fields!I48,CHAR(160)," ")))</f>
        <v>Second Class</v>
      </c>
      <c r="N47" s="3" t="n">
        <v>8</v>
      </c>
      <c r="O47" s="5" t="n">
        <v>3927.82</v>
      </c>
      <c r="P47" s="6" t="n">
        <v>0.05</v>
      </c>
      <c r="Q47" s="5" t="n">
        <v>29851.43</v>
      </c>
      <c r="R47" s="5" t="n">
        <v>17487.48</v>
      </c>
      <c r="S47" s="5" t="n">
        <v>12363.95</v>
      </c>
      <c r="T47" s="3" t="str">
        <f aca="false">PROPER(TRIM(SUBSTITUTE(Raw_Text_Fields!J48,CHAR(160)," ")))</f>
        <v>Pending</v>
      </c>
      <c r="U47" s="3" t="str">
        <f aca="false">PROPER(TRIM(SUBSTITUTE(Raw_Text_Fields!K48,CHAR(160)," ")))</f>
        <v>Returned</v>
      </c>
      <c r="V47" s="7" t="n">
        <f aca="false">IF(OR(P47&lt;0,P47&gt;0.5),0,P47)</f>
        <v>0.05</v>
      </c>
      <c r="W47" s="8" t="n">
        <f aca="false">N47*O47*(1-V47)</f>
        <v>29851.432</v>
      </c>
      <c r="X47" s="8" t="n">
        <f aca="false">W47-R47</f>
        <v>12363.952</v>
      </c>
      <c r="Y47" s="7" t="n">
        <f aca="false">IFERROR(X47/W47,0)</f>
        <v>0.414182877390941</v>
      </c>
      <c r="Z47" s="9" t="n">
        <f aca="false">C47-B47</f>
        <v>6</v>
      </c>
      <c r="AA47" s="1" t="str">
        <f aca="false">IF(B47="","",TEXT(B47,"mmm"))</f>
        <v>Jan</v>
      </c>
      <c r="AB47" s="9" t="n">
        <f aca="false">IF(B47="","",YEAR(B47))</f>
        <v>2024</v>
      </c>
      <c r="AC47" s="3"/>
      <c r="AD47" s="3" t="str">
        <f aca="false">IF(LEFT(AC47&amp;IF(B47="","; Missing Order Date","")&amp;IF(C47="","; Missing Ship Date","")&amp;IF(P47&lt;0,"; Invalid Discount (Negative)","")&amp;IF(P47&gt;0.5,"; Invalid Discount (Too High)","")&amp;IF(Z47&lt;0,"; Invalid Shipping Record (Ship Before Order)","")&amp;IF(ABS(Q47-W47)&gt;1,"; Sales Mismatch","")&amp;IF(ABS(S47-X47)&gt;1,"; Profit Mismatch","")&amp;IF(COUNTIF($A$2:$A$913,A47)&gt;1,"; Duplicate Order ID Conflict",""),2)="; ",MID(AC47&amp;IF(B47="","; Missing Order Date","")&amp;IF(C47="","; Missing Ship Date","")&amp;IF(P47&lt;0,"; Invalid Discount (Negative)","")&amp;IF(P47&gt;0.5,"; Invalid Discount (Too High)","")&amp;IF(Z47&lt;0,"; Invalid Shipping Record (Ship Before Order)","")&amp;IF(ABS(Q47-W47)&gt;1,"; Sales Mismatch","")&amp;IF(ABS(S47-X47)&gt;1,"; Profit Mismatch","")&amp;IF(COUNTIF($A$2:$A$913,A47)&gt;1,"; Duplicate Order ID Conflict",""),3,500),AC47&amp;IF(B47="","; Missing Order Date","")&amp;IF(C47="","; Missing Ship Date","")&amp;IF(P47&lt;0,"; Invalid Discount (Negative)","")&amp;IF(P47&gt;0.5,"; Invalid Discount (Too High)","")&amp;IF(Z47&lt;0,"; Invalid Shipping Record (Ship Before Order)","")&amp;IF(ABS(Q47-W47)&gt;1,"; Sales Mismatch","")&amp;IF(ABS(S47-X47)&gt;1,"; Profit Mismatch","")&amp;IF(COUNTIF($A$2:$A$913,A47)&gt;1,"; Duplicate Order ID Conflict",""))</f>
        <v/>
      </c>
      <c r="AE47" s="10" t="str">
        <f aca="false">IF(OR(ISNUMBER(SEARCH("Invalid Discount",AD47)),ISNUMBER(SEARCH("Invalid Shipping Record",AD47)),ISNUMBER(SEARCH("Sales Mismatch",AD47)),ISNUMBER(SEARCH("Profit Mismatch",AD47)),ISNUMBER(SEARCH("Duplicate Order ID Conflict",AD47)),ISNUMBER(SEARCH("Missing Order Date",AD47)),ISNUMBER(SEARCH("Missing Ship Date",AD47))),"Invalid",IF(AD47&lt;&gt;"","Warning","Clean"))</f>
        <v>Clean</v>
      </c>
    </row>
    <row r="48" customFormat="false" ht="15" hidden="false" customHeight="true" outlineLevel="0" collapsed="false">
      <c r="A48" s="3" t="s">
        <v>171</v>
      </c>
      <c r="B48" s="4" t="n">
        <v>45492</v>
      </c>
      <c r="C48" s="4" t="n">
        <v>45492</v>
      </c>
      <c r="D48" s="3" t="s">
        <v>172</v>
      </c>
      <c r="E48" s="3" t="str">
        <f aca="false">PROPER(TRIM(SUBSTITUTE(Raw_Text_Fields!B49,CHAR(160)," ")))</f>
        <v>Ananya Rao</v>
      </c>
      <c r="F48" s="3" t="str">
        <f aca="false">PROPER(TRIM(SUBSTITUTE(Raw_Text_Fields!C49,CHAR(160)," ")))</f>
        <v>Small Business</v>
      </c>
      <c r="G48" s="3" t="str">
        <f aca="false">PROPER(TRIM(SUBSTITUTE(Raw_Text_Fields!D49,CHAR(160)," ")))</f>
        <v>South</v>
      </c>
      <c r="H48" s="3" t="str">
        <f aca="false">PROPER(TRIM(SUBSTITUTE(Raw_Text_Fields!E49,CHAR(160)," ")))</f>
        <v>Kerala</v>
      </c>
      <c r="I48" s="3" t="str">
        <f aca="false">PROPER(TRIM(SUBSTITUTE(Raw_Text_Fields!F49,CHAR(160)," ")))</f>
        <v>Kochi</v>
      </c>
      <c r="J48" s="3" t="str">
        <f aca="false">PROPER(TRIM(SUBSTITUTE(Raw_Text_Fields!G49,CHAR(160)," ")))</f>
        <v>Furniture</v>
      </c>
      <c r="K48" s="3" t="str">
        <f aca="false">PROPER(TRIM(SUBSTITUTE(Raw_Text_Fields!H49,CHAR(160)," ")))</f>
        <v>Bookcases</v>
      </c>
      <c r="L48" s="3" t="s">
        <v>173</v>
      </c>
      <c r="M48" s="3" t="str">
        <f aca="false">PROPER(TRIM(SUBSTITUTE(Raw_Text_Fields!I49,CHAR(160)," ")))</f>
        <v>Standard Class</v>
      </c>
      <c r="N48" s="3" t="n">
        <v>9</v>
      </c>
      <c r="O48" s="5" t="n">
        <v>2386.79</v>
      </c>
      <c r="P48" s="6" t="n">
        <v>0.25</v>
      </c>
      <c r="Q48" s="5" t="n">
        <v>16110.83</v>
      </c>
      <c r="R48" s="5" t="n">
        <v>10680.03</v>
      </c>
      <c r="S48" s="5" t="n">
        <v>5430.8</v>
      </c>
      <c r="T48" s="3" t="str">
        <f aca="false">PROPER(TRIM(SUBSTITUTE(Raw_Text_Fields!J49,CHAR(160)," ")))</f>
        <v>Refunded</v>
      </c>
      <c r="U48" s="3" t="str">
        <f aca="false">PROPER(TRIM(SUBSTITUTE(Raw_Text_Fields!K49,CHAR(160)," ")))</f>
        <v>Returned</v>
      </c>
      <c r="V48" s="7" t="n">
        <f aca="false">IF(OR(P48&lt;0,P48&gt;0.5),0,P48)</f>
        <v>0.25</v>
      </c>
      <c r="W48" s="8" t="n">
        <f aca="false">N48*O48*(1-V48)</f>
        <v>16110.8325</v>
      </c>
      <c r="X48" s="8" t="n">
        <f aca="false">W48-R48</f>
        <v>5430.8025</v>
      </c>
      <c r="Y48" s="7" t="n">
        <f aca="false">IFERROR(X48/W48,0)</f>
        <v>0.337090122437807</v>
      </c>
      <c r="Z48" s="9" t="n">
        <f aca="false">C48-B48</f>
        <v>0</v>
      </c>
      <c r="AA48" s="1" t="str">
        <f aca="false">IF(B48="","",TEXT(B48,"mmm"))</f>
        <v>Jul</v>
      </c>
      <c r="AB48" s="9" t="n">
        <f aca="false">IF(B48="","",YEAR(B48))</f>
        <v>2024</v>
      </c>
      <c r="AC48" s="3"/>
      <c r="AD48" s="3" t="str">
        <f aca="false">IF(LEFT(AC48&amp;IF(B48="","; Missing Order Date","")&amp;IF(C48="","; Missing Ship Date","")&amp;IF(P48&lt;0,"; Invalid Discount (Negative)","")&amp;IF(P48&gt;0.5,"; Invalid Discount (Too High)","")&amp;IF(Z48&lt;0,"; Invalid Shipping Record (Ship Before Order)","")&amp;IF(ABS(Q48-W48)&gt;1,"; Sales Mismatch","")&amp;IF(ABS(S48-X48)&gt;1,"; Profit Mismatch","")&amp;IF(COUNTIF($A$2:$A$913,A48)&gt;1,"; Duplicate Order ID Conflict",""),2)="; ",MID(AC48&amp;IF(B48="","; Missing Order Date","")&amp;IF(C48="","; Missing Ship Date","")&amp;IF(P48&lt;0,"; Invalid Discount (Negative)","")&amp;IF(P48&gt;0.5,"; Invalid Discount (Too High)","")&amp;IF(Z48&lt;0,"; Invalid Shipping Record (Ship Before Order)","")&amp;IF(ABS(Q48-W48)&gt;1,"; Sales Mismatch","")&amp;IF(ABS(S48-X48)&gt;1,"; Profit Mismatch","")&amp;IF(COUNTIF($A$2:$A$913,A48)&gt;1,"; Duplicate Order ID Conflict",""),3,500),AC48&amp;IF(B48="","; Missing Order Date","")&amp;IF(C48="","; Missing Ship Date","")&amp;IF(P48&lt;0,"; Invalid Discount (Negative)","")&amp;IF(P48&gt;0.5,"; Invalid Discount (Too High)","")&amp;IF(Z48&lt;0,"; Invalid Shipping Record (Ship Before Order)","")&amp;IF(ABS(Q48-W48)&gt;1,"; Sales Mismatch","")&amp;IF(ABS(S48-X48)&gt;1,"; Profit Mismatch","")&amp;IF(COUNTIF($A$2:$A$913,A48)&gt;1,"; Duplicate Order ID Conflict",""))</f>
        <v/>
      </c>
      <c r="AE48" s="10" t="str">
        <f aca="false">IF(OR(ISNUMBER(SEARCH("Invalid Discount",AD48)),ISNUMBER(SEARCH("Invalid Shipping Record",AD48)),ISNUMBER(SEARCH("Sales Mismatch",AD48)),ISNUMBER(SEARCH("Profit Mismatch",AD48)),ISNUMBER(SEARCH("Duplicate Order ID Conflict",AD48)),ISNUMBER(SEARCH("Missing Order Date",AD48)),ISNUMBER(SEARCH("Missing Ship Date",AD48))),"Invalid",IF(AD48&lt;&gt;"","Warning","Clean"))</f>
        <v>Clean</v>
      </c>
    </row>
    <row r="49" customFormat="false" ht="15" hidden="false" customHeight="true" outlineLevel="0" collapsed="false">
      <c r="A49" s="3" t="s">
        <v>174</v>
      </c>
      <c r="B49" s="4" t="n">
        <v>45516</v>
      </c>
      <c r="C49" s="4" t="n">
        <v>45516</v>
      </c>
      <c r="D49" s="3" t="s">
        <v>175</v>
      </c>
      <c r="E49" s="3" t="str">
        <f aca="false">PROPER(TRIM(SUBSTITUTE(Raw_Text_Fields!B50,CHAR(160)," ")))</f>
        <v>Rahul Verma</v>
      </c>
      <c r="F49" s="3" t="str">
        <f aca="false">PROPER(TRIM(SUBSTITUTE(Raw_Text_Fields!C50,CHAR(160)," ")))</f>
        <v>Corporate</v>
      </c>
      <c r="G49" s="3" t="str">
        <f aca="false">PROPER(TRIM(SUBSTITUTE(Raw_Text_Fields!D50,CHAR(160)," ")))</f>
        <v>South</v>
      </c>
      <c r="H49" s="3" t="str">
        <f aca="false">PROPER(TRIM(SUBSTITUTE(Raw_Text_Fields!E50,CHAR(160)," ")))</f>
        <v>Tamil Nadu</v>
      </c>
      <c r="I49" s="3" t="str">
        <f aca="false">PROPER(TRIM(SUBSTITUTE(Raw_Text_Fields!F50,CHAR(160)," ")))</f>
        <v>Chennai</v>
      </c>
      <c r="J49" s="3" t="str">
        <f aca="false">PROPER(TRIM(SUBSTITUTE(Raw_Text_Fields!G50,CHAR(160)," ")))</f>
        <v>Office Supplies</v>
      </c>
      <c r="K49" s="3" t="str">
        <f aca="false">PROPER(TRIM(SUBSTITUTE(Raw_Text_Fields!H50,CHAR(160)," ")))</f>
        <v>Storage</v>
      </c>
      <c r="L49" s="3" t="s">
        <v>176</v>
      </c>
      <c r="M49" s="3" t="str">
        <f aca="false">PROPER(TRIM(SUBSTITUTE(Raw_Text_Fields!I50,CHAR(160)," ")))</f>
        <v>Standard Class</v>
      </c>
      <c r="N49" s="3" t="n">
        <v>8</v>
      </c>
      <c r="O49" s="5" t="n">
        <v>2445.31</v>
      </c>
      <c r="P49" s="6" t="n">
        <v>0.1</v>
      </c>
      <c r="Q49" s="5" t="n">
        <v>17606.23</v>
      </c>
      <c r="R49" s="5" t="n">
        <v>12438.96</v>
      </c>
      <c r="S49" s="5" t="n">
        <v>5167.27</v>
      </c>
      <c r="T49" s="3" t="str">
        <f aca="false">PROPER(TRIM(SUBSTITUTE(Raw_Text_Fields!J50,CHAR(160)," ")))</f>
        <v>Paid</v>
      </c>
      <c r="U49" s="3" t="str">
        <f aca="false">PROPER(TRIM(SUBSTITUTE(Raw_Text_Fields!K50,CHAR(160)," ")))</f>
        <v>Completed</v>
      </c>
      <c r="V49" s="7" t="n">
        <f aca="false">IF(OR(P49&lt;0,P49&gt;0.5),0,P49)</f>
        <v>0.1</v>
      </c>
      <c r="W49" s="8" t="n">
        <f aca="false">N49*O49*(1-V49)</f>
        <v>17606.232</v>
      </c>
      <c r="X49" s="8" t="n">
        <f aca="false">W49-R49</f>
        <v>5167.272</v>
      </c>
      <c r="Y49" s="7" t="n">
        <f aca="false">IFERROR(X49/W49,0)</f>
        <v>0.293491077477566</v>
      </c>
      <c r="Z49" s="9" t="n">
        <f aca="false">C49-B49</f>
        <v>0</v>
      </c>
      <c r="AA49" s="1" t="str">
        <f aca="false">IF(B49="","",TEXT(B49,"mmm"))</f>
        <v>Aug</v>
      </c>
      <c r="AB49" s="9" t="n">
        <f aca="false">IF(B49="","",YEAR(B49))</f>
        <v>2024</v>
      </c>
      <c r="AC49" s="3"/>
      <c r="AD49" s="3" t="str">
        <f aca="false">IF(LEFT(AC49&amp;IF(B49="","; Missing Order Date","")&amp;IF(C49="","; Missing Ship Date","")&amp;IF(P49&lt;0,"; Invalid Discount (Negative)","")&amp;IF(P49&gt;0.5,"; Invalid Discount (Too High)","")&amp;IF(Z49&lt;0,"; Invalid Shipping Record (Ship Before Order)","")&amp;IF(ABS(Q49-W49)&gt;1,"; Sales Mismatch","")&amp;IF(ABS(S49-X49)&gt;1,"; Profit Mismatch","")&amp;IF(COUNTIF($A$2:$A$913,A49)&gt;1,"; Duplicate Order ID Conflict",""),2)="; ",MID(AC49&amp;IF(B49="","; Missing Order Date","")&amp;IF(C49="","; Missing Ship Date","")&amp;IF(P49&lt;0,"; Invalid Discount (Negative)","")&amp;IF(P49&gt;0.5,"; Invalid Discount (Too High)","")&amp;IF(Z49&lt;0,"; Invalid Shipping Record (Ship Before Order)","")&amp;IF(ABS(Q49-W49)&gt;1,"; Sales Mismatch","")&amp;IF(ABS(S49-X49)&gt;1,"; Profit Mismatch","")&amp;IF(COUNTIF($A$2:$A$913,A49)&gt;1,"; Duplicate Order ID Conflict",""),3,500),AC49&amp;IF(B49="","; Missing Order Date","")&amp;IF(C49="","; Missing Ship Date","")&amp;IF(P49&lt;0,"; Invalid Discount (Negative)","")&amp;IF(P49&gt;0.5,"; Invalid Discount (Too High)","")&amp;IF(Z49&lt;0,"; Invalid Shipping Record (Ship Before Order)","")&amp;IF(ABS(Q49-W49)&gt;1,"; Sales Mismatch","")&amp;IF(ABS(S49-X49)&gt;1,"; Profit Mismatch","")&amp;IF(COUNTIF($A$2:$A$913,A49)&gt;1,"; Duplicate Order ID Conflict",""))</f>
        <v/>
      </c>
      <c r="AE49" s="10" t="str">
        <f aca="false">IF(OR(ISNUMBER(SEARCH("Invalid Discount",AD49)),ISNUMBER(SEARCH("Invalid Shipping Record",AD49)),ISNUMBER(SEARCH("Sales Mismatch",AD49)),ISNUMBER(SEARCH("Profit Mismatch",AD49)),ISNUMBER(SEARCH("Duplicate Order ID Conflict",AD49)),ISNUMBER(SEARCH("Missing Order Date",AD49)),ISNUMBER(SEARCH("Missing Ship Date",AD49))),"Invalid",IF(AD49&lt;&gt;"","Warning","Clean"))</f>
        <v>Clean</v>
      </c>
    </row>
    <row r="50" customFormat="false" ht="15" hidden="false" customHeight="true" outlineLevel="0" collapsed="false">
      <c r="A50" s="3" t="s">
        <v>177</v>
      </c>
      <c r="B50" s="4" t="n">
        <v>45687</v>
      </c>
      <c r="C50" s="4" t="n">
        <v>45693</v>
      </c>
      <c r="D50" s="3" t="s">
        <v>178</v>
      </c>
      <c r="E50" s="3" t="str">
        <f aca="false">PROPER(TRIM(SUBSTITUTE(Raw_Text_Fields!B51,CHAR(160)," ")))</f>
        <v>Neha Gupta</v>
      </c>
      <c r="F50" s="3" t="str">
        <f aca="false">PROPER(TRIM(SUBSTITUTE(Raw_Text_Fields!C51,CHAR(160)," ")))</f>
        <v>Corporate</v>
      </c>
      <c r="G50" s="3" t="str">
        <f aca="false">PROPER(TRIM(SUBSTITUTE(Raw_Text_Fields!D51,CHAR(160)," ")))</f>
        <v>West</v>
      </c>
      <c r="H50" s="3" t="str">
        <f aca="false">PROPER(TRIM(SUBSTITUTE(Raw_Text_Fields!E51,CHAR(160)," ")))</f>
        <v>Maharashtra</v>
      </c>
      <c r="I50" s="3" t="str">
        <f aca="false">PROPER(TRIM(SUBSTITUTE(Raw_Text_Fields!F51,CHAR(160)," ")))</f>
        <v>Mumbai</v>
      </c>
      <c r="J50" s="3" t="str">
        <f aca="false">PROPER(TRIM(SUBSTITUTE(Raw_Text_Fields!G51,CHAR(160)," ")))</f>
        <v>Furniture</v>
      </c>
      <c r="K50" s="3" t="str">
        <f aca="false">PROPER(TRIM(SUBSTITUTE(Raw_Text_Fields!H51,CHAR(160)," ")))</f>
        <v>Chairs</v>
      </c>
      <c r="L50" s="3" t="s">
        <v>179</v>
      </c>
      <c r="M50" s="3" t="str">
        <f aca="false">PROPER(TRIM(SUBSTITUTE(Raw_Text_Fields!I51,CHAR(160)," ")))</f>
        <v>Second Class</v>
      </c>
      <c r="N50" s="3" t="n">
        <v>7</v>
      </c>
      <c r="O50" s="5" t="n">
        <v>4063.66</v>
      </c>
      <c r="P50" s="6" t="n">
        <v>0</v>
      </c>
      <c r="Q50" s="5" t="n">
        <v>28445.62</v>
      </c>
      <c r="R50" s="5" t="n">
        <v>20938.59</v>
      </c>
      <c r="S50" s="5" t="n">
        <v>7507.03</v>
      </c>
      <c r="T50" s="3" t="str">
        <f aca="false">PROPER(TRIM(SUBSTITUTE(Raw_Text_Fields!J51,CHAR(160)," ")))</f>
        <v>Paid</v>
      </c>
      <c r="U50" s="3" t="str">
        <f aca="false">PROPER(TRIM(SUBSTITUTE(Raw_Text_Fields!K51,CHAR(160)," ")))</f>
        <v>Completed</v>
      </c>
      <c r="V50" s="7" t="n">
        <f aca="false">IF(OR(P50&lt;0,P50&gt;0.5),0,P50)</f>
        <v>0</v>
      </c>
      <c r="W50" s="8" t="n">
        <f aca="false">N50*O50*(1-V50)</f>
        <v>28445.62</v>
      </c>
      <c r="X50" s="8" t="n">
        <f aca="false">W50-R50</f>
        <v>7507.03</v>
      </c>
      <c r="Y50" s="7" t="n">
        <f aca="false">IFERROR(X50/W50,0)</f>
        <v>0.263908116609868</v>
      </c>
      <c r="Z50" s="9" t="n">
        <f aca="false">C50-B50</f>
        <v>6</v>
      </c>
      <c r="AA50" s="1" t="str">
        <f aca="false">IF(B50="","",TEXT(B50,"mmm"))</f>
        <v>Jan</v>
      </c>
      <c r="AB50" s="9" t="n">
        <f aca="false">IF(B50="","",YEAR(B50))</f>
        <v>2025</v>
      </c>
      <c r="AC50" s="3"/>
      <c r="AD50" s="3" t="str">
        <f aca="false">IF(LEFT(AC50&amp;IF(B50="","; Missing Order Date","")&amp;IF(C50="","; Missing Ship Date","")&amp;IF(P50&lt;0,"; Invalid Discount (Negative)","")&amp;IF(P50&gt;0.5,"; Invalid Discount (Too High)","")&amp;IF(Z50&lt;0,"; Invalid Shipping Record (Ship Before Order)","")&amp;IF(ABS(Q50-W50)&gt;1,"; Sales Mismatch","")&amp;IF(ABS(S50-X50)&gt;1,"; Profit Mismatch","")&amp;IF(COUNTIF($A$2:$A$913,A50)&gt;1,"; Duplicate Order ID Conflict",""),2)="; ",MID(AC50&amp;IF(B50="","; Missing Order Date","")&amp;IF(C50="","; Missing Ship Date","")&amp;IF(P50&lt;0,"; Invalid Discount (Negative)","")&amp;IF(P50&gt;0.5,"; Invalid Discount (Too High)","")&amp;IF(Z50&lt;0,"; Invalid Shipping Record (Ship Before Order)","")&amp;IF(ABS(Q50-W50)&gt;1,"; Sales Mismatch","")&amp;IF(ABS(S50-X50)&gt;1,"; Profit Mismatch","")&amp;IF(COUNTIF($A$2:$A$913,A50)&gt;1,"; Duplicate Order ID Conflict",""),3,500),AC50&amp;IF(B50="","; Missing Order Date","")&amp;IF(C50="","; Missing Ship Date","")&amp;IF(P50&lt;0,"; Invalid Discount (Negative)","")&amp;IF(P50&gt;0.5,"; Invalid Discount (Too High)","")&amp;IF(Z50&lt;0,"; Invalid Shipping Record (Ship Before Order)","")&amp;IF(ABS(Q50-W50)&gt;1,"; Sales Mismatch","")&amp;IF(ABS(S50-X50)&gt;1,"; Profit Mismatch","")&amp;IF(COUNTIF($A$2:$A$913,A50)&gt;1,"; Duplicate Order ID Conflict",""))</f>
        <v/>
      </c>
      <c r="AE50" s="10" t="str">
        <f aca="false">IF(OR(ISNUMBER(SEARCH("Invalid Discount",AD50)),ISNUMBER(SEARCH("Invalid Shipping Record",AD50)),ISNUMBER(SEARCH("Sales Mismatch",AD50)),ISNUMBER(SEARCH("Profit Mismatch",AD50)),ISNUMBER(SEARCH("Duplicate Order ID Conflict",AD50)),ISNUMBER(SEARCH("Missing Order Date",AD50)),ISNUMBER(SEARCH("Missing Ship Date",AD50))),"Invalid",IF(AD50&lt;&gt;"","Warning","Clean"))</f>
        <v>Clean</v>
      </c>
    </row>
    <row r="51" customFormat="false" ht="15" hidden="false" customHeight="true" outlineLevel="0" collapsed="false">
      <c r="A51" s="3" t="s">
        <v>180</v>
      </c>
      <c r="B51" s="4" t="n">
        <v>45388</v>
      </c>
      <c r="C51" s="4" t="n">
        <v>45395</v>
      </c>
      <c r="D51" s="3" t="s">
        <v>181</v>
      </c>
      <c r="E51" s="3" t="str">
        <f aca="false">PROPER(TRIM(SUBSTITUTE(Raw_Text_Fields!B52,CHAR(160)," ")))</f>
        <v>Aarav Sharma</v>
      </c>
      <c r="F51" s="3" t="str">
        <f aca="false">PROPER(TRIM(SUBSTITUTE(Raw_Text_Fields!C52,CHAR(160)," ")))</f>
        <v>Home Office</v>
      </c>
      <c r="G51" s="3" t="str">
        <f aca="false">PROPER(TRIM(SUBSTITUTE(Raw_Text_Fields!D52,CHAR(160)," ")))</f>
        <v>North</v>
      </c>
      <c r="H51" s="3" t="str">
        <f aca="false">PROPER(TRIM(SUBSTITUTE(Raw_Text_Fields!E52,CHAR(160)," ")))</f>
        <v>Uttar Pradesh</v>
      </c>
      <c r="I51" s="3" t="str">
        <f aca="false">PROPER(TRIM(SUBSTITUTE(Raw_Text_Fields!F52,CHAR(160)," ")))</f>
        <v>Noida</v>
      </c>
      <c r="J51" s="3" t="str">
        <f aca="false">PROPER(TRIM(SUBSTITUTE(Raw_Text_Fields!G52,CHAR(160)," ")))</f>
        <v>Technology</v>
      </c>
      <c r="K51" s="3" t="str">
        <f aca="false">PROPER(TRIM(SUBSTITUTE(Raw_Text_Fields!H52,CHAR(160)," ")))</f>
        <v>Copiers</v>
      </c>
      <c r="L51" s="3" t="s">
        <v>182</v>
      </c>
      <c r="M51" s="3" t="str">
        <f aca="false">PROPER(TRIM(SUBSTITUTE(Raw_Text_Fields!I52,CHAR(160)," ")))</f>
        <v>Second Class</v>
      </c>
      <c r="N51" s="3" t="n">
        <v>9</v>
      </c>
      <c r="O51" s="5" t="n">
        <v>792.11</v>
      </c>
      <c r="P51" s="6" t="n">
        <v>0.05</v>
      </c>
      <c r="Q51" s="5" t="n">
        <v>6772.54</v>
      </c>
      <c r="R51" s="5" t="n">
        <v>5755.46</v>
      </c>
      <c r="S51" s="5" t="n">
        <v>1017.08</v>
      </c>
      <c r="T51" s="3" t="str">
        <f aca="false">PROPER(TRIM(SUBSTITUTE(Raw_Text_Fields!J52,CHAR(160)," ")))</f>
        <v>Paid</v>
      </c>
      <c r="U51" s="3" t="str">
        <f aca="false">PROPER(TRIM(SUBSTITUTE(Raw_Text_Fields!K52,CHAR(160)," ")))</f>
        <v>Completed</v>
      </c>
      <c r="V51" s="7" t="n">
        <f aca="false">IF(OR(P51&lt;0,P51&gt;0.5),0,P51)</f>
        <v>0.05</v>
      </c>
      <c r="W51" s="8" t="n">
        <f aca="false">N51*O51*(1-V51)</f>
        <v>6772.5405</v>
      </c>
      <c r="X51" s="8" t="n">
        <f aca="false">W51-R51</f>
        <v>1017.0805</v>
      </c>
      <c r="Y51" s="7" t="n">
        <f aca="false">IFERROR(X51/W51,0)</f>
        <v>0.150177101192676</v>
      </c>
      <c r="Z51" s="9" t="n">
        <f aca="false">C51-B51</f>
        <v>7</v>
      </c>
      <c r="AA51" s="1" t="str">
        <f aca="false">IF(B51="","",TEXT(B51,"mmm"))</f>
        <v>Apr</v>
      </c>
      <c r="AB51" s="9" t="n">
        <f aca="false">IF(B51="","",YEAR(B51))</f>
        <v>2024</v>
      </c>
      <c r="AC51" s="3"/>
      <c r="AD51" s="3" t="str">
        <f aca="false">IF(LEFT(AC51&amp;IF(B51="","; Missing Order Date","")&amp;IF(C51="","; Missing Ship Date","")&amp;IF(P51&lt;0,"; Invalid Discount (Negative)","")&amp;IF(P51&gt;0.5,"; Invalid Discount (Too High)","")&amp;IF(Z51&lt;0,"; Invalid Shipping Record (Ship Before Order)","")&amp;IF(ABS(Q51-W51)&gt;1,"; Sales Mismatch","")&amp;IF(ABS(S51-X51)&gt;1,"; Profit Mismatch","")&amp;IF(COUNTIF($A$2:$A$913,A51)&gt;1,"; Duplicate Order ID Conflict",""),2)="; ",MID(AC51&amp;IF(B51="","; Missing Order Date","")&amp;IF(C51="","; Missing Ship Date","")&amp;IF(P51&lt;0,"; Invalid Discount (Negative)","")&amp;IF(P51&gt;0.5,"; Invalid Discount (Too High)","")&amp;IF(Z51&lt;0,"; Invalid Shipping Record (Ship Before Order)","")&amp;IF(ABS(Q51-W51)&gt;1,"; Sales Mismatch","")&amp;IF(ABS(S51-X51)&gt;1,"; Profit Mismatch","")&amp;IF(COUNTIF($A$2:$A$913,A51)&gt;1,"; Duplicate Order ID Conflict",""),3,500),AC51&amp;IF(B51="","; Missing Order Date","")&amp;IF(C51="","; Missing Ship Date","")&amp;IF(P51&lt;0,"; Invalid Discount (Negative)","")&amp;IF(P51&gt;0.5,"; Invalid Discount (Too High)","")&amp;IF(Z51&lt;0,"; Invalid Shipping Record (Ship Before Order)","")&amp;IF(ABS(Q51-W51)&gt;1,"; Sales Mismatch","")&amp;IF(ABS(S51-X51)&gt;1,"; Profit Mismatch","")&amp;IF(COUNTIF($A$2:$A$913,A51)&gt;1,"; Duplicate Order ID Conflict",""))</f>
        <v/>
      </c>
      <c r="AE51" s="10" t="str">
        <f aca="false">IF(OR(ISNUMBER(SEARCH("Invalid Discount",AD51)),ISNUMBER(SEARCH("Invalid Shipping Record",AD51)),ISNUMBER(SEARCH("Sales Mismatch",AD51)),ISNUMBER(SEARCH("Profit Mismatch",AD51)),ISNUMBER(SEARCH("Duplicate Order ID Conflict",AD51)),ISNUMBER(SEARCH("Missing Order Date",AD51)),ISNUMBER(SEARCH("Missing Ship Date",AD51))),"Invalid",IF(AD51&lt;&gt;"","Warning","Clean"))</f>
        <v>Clean</v>
      </c>
    </row>
    <row r="52" customFormat="false" ht="15" hidden="false" customHeight="true" outlineLevel="0" collapsed="false">
      <c r="A52" s="3" t="s">
        <v>183</v>
      </c>
      <c r="B52" s="4" t="n">
        <v>45788</v>
      </c>
      <c r="C52" s="4" t="n">
        <v>45796</v>
      </c>
      <c r="D52" s="3" t="s">
        <v>184</v>
      </c>
      <c r="E52" s="3" t="str">
        <f aca="false">PROPER(TRIM(SUBSTITUTE(Raw_Text_Fields!B53,CHAR(160)," ")))</f>
        <v>Sneha Kapoor</v>
      </c>
      <c r="F52" s="3" t="str">
        <f aca="false">PROPER(TRIM(SUBSTITUTE(Raw_Text_Fields!C53,CHAR(160)," ")))</f>
        <v>Consumer</v>
      </c>
      <c r="G52" s="3" t="str">
        <f aca="false">PROPER(TRIM(SUBSTITUTE(Raw_Text_Fields!D53,CHAR(160)," ")))</f>
        <v>East</v>
      </c>
      <c r="H52" s="3" t="str">
        <f aca="false">PROPER(TRIM(SUBSTITUTE(Raw_Text_Fields!E53,CHAR(160)," ")))</f>
        <v>West Bengal</v>
      </c>
      <c r="I52" s="3" t="str">
        <f aca="false">PROPER(TRIM(SUBSTITUTE(Raw_Text_Fields!F53,CHAR(160)," ")))</f>
        <v>Kolkata</v>
      </c>
      <c r="J52" s="3" t="str">
        <f aca="false">PROPER(TRIM(SUBSTITUTE(Raw_Text_Fields!G53,CHAR(160)," ")))</f>
        <v>Technology</v>
      </c>
      <c r="K52" s="3" t="str">
        <f aca="false">PROPER(TRIM(SUBSTITUTE(Raw_Text_Fields!H53,CHAR(160)," ")))</f>
        <v>Copiers</v>
      </c>
      <c r="L52" s="3" t="s">
        <v>185</v>
      </c>
      <c r="M52" s="3" t="str">
        <f aca="false">PROPER(TRIM(SUBSTITUTE(Raw_Text_Fields!I53,CHAR(160)," ")))</f>
        <v>Standard Class</v>
      </c>
      <c r="N52" s="3" t="n">
        <v>1</v>
      </c>
      <c r="O52" s="5" t="n">
        <v>2382.8</v>
      </c>
      <c r="P52" s="6" t="n">
        <v>0.15</v>
      </c>
      <c r="Q52" s="5" t="n">
        <v>2025.38</v>
      </c>
      <c r="R52" s="5" t="n">
        <v>1140.65</v>
      </c>
      <c r="S52" s="5" t="n">
        <v>884.73</v>
      </c>
      <c r="T52" s="3" t="str">
        <f aca="false">PROPER(TRIM(SUBSTITUTE(Raw_Text_Fields!J53,CHAR(160)," ")))</f>
        <v>Paid</v>
      </c>
      <c r="U52" s="3" t="str">
        <f aca="false">PROPER(TRIM(SUBSTITUTE(Raw_Text_Fields!K53,CHAR(160)," ")))</f>
        <v>Completed</v>
      </c>
      <c r="V52" s="7" t="n">
        <f aca="false">IF(OR(P52&lt;0,P52&gt;0.5),0,P52)</f>
        <v>0.15</v>
      </c>
      <c r="W52" s="8" t="n">
        <f aca="false">N52*O52*(1-V52)</f>
        <v>2025.38</v>
      </c>
      <c r="X52" s="8" t="n">
        <f aca="false">W52-R52</f>
        <v>884.73</v>
      </c>
      <c r="Y52" s="7" t="n">
        <f aca="false">IFERROR(X52/W52,0)</f>
        <v>0.436821732218152</v>
      </c>
      <c r="Z52" s="9" t="n">
        <f aca="false">C52-B52</f>
        <v>8</v>
      </c>
      <c r="AA52" s="1" t="str">
        <f aca="false">IF(B52="","",TEXT(B52,"mmm"))</f>
        <v>May</v>
      </c>
      <c r="AB52" s="9" t="n">
        <f aca="false">IF(B52="","",YEAR(B52))</f>
        <v>2025</v>
      </c>
      <c r="AC52" s="3"/>
      <c r="AD52" s="3" t="str">
        <f aca="false">IF(LEFT(AC52&amp;IF(B52="","; Missing Order Date","")&amp;IF(C52="","; Missing Ship Date","")&amp;IF(P52&lt;0,"; Invalid Discount (Negative)","")&amp;IF(P52&gt;0.5,"; Invalid Discount (Too High)","")&amp;IF(Z52&lt;0,"; Invalid Shipping Record (Ship Before Order)","")&amp;IF(ABS(Q52-W52)&gt;1,"; Sales Mismatch","")&amp;IF(ABS(S52-X52)&gt;1,"; Profit Mismatch","")&amp;IF(COUNTIF($A$2:$A$913,A52)&gt;1,"; Duplicate Order ID Conflict",""),2)="; ",MID(AC52&amp;IF(B52="","; Missing Order Date","")&amp;IF(C52="","; Missing Ship Date","")&amp;IF(P52&lt;0,"; Invalid Discount (Negative)","")&amp;IF(P52&gt;0.5,"; Invalid Discount (Too High)","")&amp;IF(Z52&lt;0,"; Invalid Shipping Record (Ship Before Order)","")&amp;IF(ABS(Q52-W52)&gt;1,"; Sales Mismatch","")&amp;IF(ABS(S52-X52)&gt;1,"; Profit Mismatch","")&amp;IF(COUNTIF($A$2:$A$913,A52)&gt;1,"; Duplicate Order ID Conflict",""),3,500),AC52&amp;IF(B52="","; Missing Order Date","")&amp;IF(C52="","; Missing Ship Date","")&amp;IF(P52&lt;0,"; Invalid Discount (Negative)","")&amp;IF(P52&gt;0.5,"; Invalid Discount (Too High)","")&amp;IF(Z52&lt;0,"; Invalid Shipping Record (Ship Before Order)","")&amp;IF(ABS(Q52-W52)&gt;1,"; Sales Mismatch","")&amp;IF(ABS(S52-X52)&gt;1,"; Profit Mismatch","")&amp;IF(COUNTIF($A$2:$A$913,A52)&gt;1,"; Duplicate Order ID Conflict",""))</f>
        <v/>
      </c>
      <c r="AE52" s="10" t="str">
        <f aca="false">IF(OR(ISNUMBER(SEARCH("Invalid Discount",AD52)),ISNUMBER(SEARCH("Invalid Shipping Record",AD52)),ISNUMBER(SEARCH("Sales Mismatch",AD52)),ISNUMBER(SEARCH("Profit Mismatch",AD52)),ISNUMBER(SEARCH("Duplicate Order ID Conflict",AD52)),ISNUMBER(SEARCH("Missing Order Date",AD52)),ISNUMBER(SEARCH("Missing Ship Date",AD52))),"Invalid",IF(AD52&lt;&gt;"","Warning","Clean"))</f>
        <v>Clean</v>
      </c>
    </row>
    <row r="53" customFormat="false" ht="15" hidden="false" customHeight="true" outlineLevel="0" collapsed="false">
      <c r="A53" s="3" t="s">
        <v>186</v>
      </c>
      <c r="B53" s="4" t="n">
        <v>45406</v>
      </c>
      <c r="C53" s="4" t="n">
        <v>45411</v>
      </c>
      <c r="D53" s="3" t="s">
        <v>187</v>
      </c>
      <c r="E53" s="3" t="str">
        <f aca="false">PROPER(TRIM(SUBSTITUTE(Raw_Text_Fields!B54,CHAR(160)," ")))</f>
        <v>Ananya Rao</v>
      </c>
      <c r="F53" s="3" t="str">
        <f aca="false">PROPER(TRIM(SUBSTITUTE(Raw_Text_Fields!C54,CHAR(160)," ")))</f>
        <v>Corporate</v>
      </c>
      <c r="G53" s="3" t="str">
        <f aca="false">PROPER(TRIM(SUBSTITUTE(Raw_Text_Fields!D54,CHAR(160)," ")))</f>
        <v>South</v>
      </c>
      <c r="H53" s="3" t="str">
        <f aca="false">PROPER(TRIM(SUBSTITUTE(Raw_Text_Fields!E54,CHAR(160)," ")))</f>
        <v>Telangana</v>
      </c>
      <c r="I53" s="3" t="str">
        <f aca="false">PROPER(TRIM(SUBSTITUTE(Raw_Text_Fields!F54,CHAR(160)," ")))</f>
        <v>Hyderabad</v>
      </c>
      <c r="J53" s="3" t="str">
        <f aca="false">PROPER(TRIM(SUBSTITUTE(Raw_Text_Fields!G54,CHAR(160)," ")))</f>
        <v>Office Supplies</v>
      </c>
      <c r="K53" s="3" t="str">
        <f aca="false">PROPER(TRIM(SUBSTITUTE(Raw_Text_Fields!H54,CHAR(160)," ")))</f>
        <v>Art</v>
      </c>
      <c r="L53" s="3" t="s">
        <v>188</v>
      </c>
      <c r="M53" s="3" t="str">
        <f aca="false">PROPER(TRIM(SUBSTITUTE(Raw_Text_Fields!I54,CHAR(160)," ")))</f>
        <v>Standard Class</v>
      </c>
      <c r="N53" s="3" t="n">
        <v>6</v>
      </c>
      <c r="O53" s="5" t="n">
        <v>1528.08</v>
      </c>
      <c r="P53" s="6" t="n">
        <v>0</v>
      </c>
      <c r="Q53" s="5" t="n">
        <v>9168.48</v>
      </c>
      <c r="R53" s="5" t="n">
        <v>7439.77</v>
      </c>
      <c r="S53" s="5" t="n">
        <v>1728.71</v>
      </c>
      <c r="T53" s="3" t="str">
        <f aca="false">PROPER(TRIM(SUBSTITUTE(Raw_Text_Fields!J54,CHAR(160)," ")))</f>
        <v>Paid</v>
      </c>
      <c r="U53" s="3" t="str">
        <f aca="false">PROPER(TRIM(SUBSTITUTE(Raw_Text_Fields!K54,CHAR(160)," ")))</f>
        <v>Completed</v>
      </c>
      <c r="V53" s="7" t="n">
        <f aca="false">IF(OR(P53&lt;0,P53&gt;0.5),0,P53)</f>
        <v>0</v>
      </c>
      <c r="W53" s="8" t="n">
        <f aca="false">N53*O53*(1-V53)</f>
        <v>9168.48</v>
      </c>
      <c r="X53" s="8" t="n">
        <f aca="false">W53-R53</f>
        <v>1728.71</v>
      </c>
      <c r="Y53" s="7" t="n">
        <f aca="false">IFERROR(X53/W53,0)</f>
        <v>0.188549246985324</v>
      </c>
      <c r="Z53" s="9" t="n">
        <f aca="false">C53-B53</f>
        <v>5</v>
      </c>
      <c r="AA53" s="1" t="str">
        <f aca="false">IF(B53="","",TEXT(B53,"mmm"))</f>
        <v>Apr</v>
      </c>
      <c r="AB53" s="9" t="n">
        <f aca="false">IF(B53="","",YEAR(B53))</f>
        <v>2024</v>
      </c>
      <c r="AC53" s="3"/>
      <c r="AD53" s="3" t="str">
        <f aca="false">IF(LEFT(AC53&amp;IF(B53="","; Missing Order Date","")&amp;IF(C53="","; Missing Ship Date","")&amp;IF(P53&lt;0,"; Invalid Discount (Negative)","")&amp;IF(P53&gt;0.5,"; Invalid Discount (Too High)","")&amp;IF(Z53&lt;0,"; Invalid Shipping Record (Ship Before Order)","")&amp;IF(ABS(Q53-W53)&gt;1,"; Sales Mismatch","")&amp;IF(ABS(S53-X53)&gt;1,"; Profit Mismatch","")&amp;IF(COUNTIF($A$2:$A$913,A53)&gt;1,"; Duplicate Order ID Conflict",""),2)="; ",MID(AC53&amp;IF(B53="","; Missing Order Date","")&amp;IF(C53="","; Missing Ship Date","")&amp;IF(P53&lt;0,"; Invalid Discount (Negative)","")&amp;IF(P53&gt;0.5,"; Invalid Discount (Too High)","")&amp;IF(Z53&lt;0,"; Invalid Shipping Record (Ship Before Order)","")&amp;IF(ABS(Q53-W53)&gt;1,"; Sales Mismatch","")&amp;IF(ABS(S53-X53)&gt;1,"; Profit Mismatch","")&amp;IF(COUNTIF($A$2:$A$913,A53)&gt;1,"; Duplicate Order ID Conflict",""),3,500),AC53&amp;IF(B53="","; Missing Order Date","")&amp;IF(C53="","; Missing Ship Date","")&amp;IF(P53&lt;0,"; Invalid Discount (Negative)","")&amp;IF(P53&gt;0.5,"; Invalid Discount (Too High)","")&amp;IF(Z53&lt;0,"; Invalid Shipping Record (Ship Before Order)","")&amp;IF(ABS(Q53-W53)&gt;1,"; Sales Mismatch","")&amp;IF(ABS(S53-X53)&gt;1,"; Profit Mismatch","")&amp;IF(COUNTIF($A$2:$A$913,A53)&gt;1,"; Duplicate Order ID Conflict",""))</f>
        <v/>
      </c>
      <c r="AE53" s="10" t="str">
        <f aca="false">IF(OR(ISNUMBER(SEARCH("Invalid Discount",AD53)),ISNUMBER(SEARCH("Invalid Shipping Record",AD53)),ISNUMBER(SEARCH("Sales Mismatch",AD53)),ISNUMBER(SEARCH("Profit Mismatch",AD53)),ISNUMBER(SEARCH("Duplicate Order ID Conflict",AD53)),ISNUMBER(SEARCH("Missing Order Date",AD53)),ISNUMBER(SEARCH("Missing Ship Date",AD53))),"Invalid",IF(AD53&lt;&gt;"","Warning","Clean"))</f>
        <v>Clean</v>
      </c>
    </row>
    <row r="54" customFormat="false" ht="15" hidden="false" customHeight="true" outlineLevel="0" collapsed="false">
      <c r="A54" s="3" t="s">
        <v>189</v>
      </c>
      <c r="B54" s="4" t="n">
        <v>45591</v>
      </c>
      <c r="C54" s="4" t="n">
        <v>45593</v>
      </c>
      <c r="D54" s="3" t="s">
        <v>190</v>
      </c>
      <c r="E54" s="3" t="str">
        <f aca="false">PROPER(TRIM(SUBSTITUTE(Raw_Text_Fields!B55,CHAR(160)," ")))</f>
        <v>Kabir Singh</v>
      </c>
      <c r="F54" s="3" t="str">
        <f aca="false">PROPER(TRIM(SUBSTITUTE(Raw_Text_Fields!C55,CHAR(160)," ")))</f>
        <v>Small Business</v>
      </c>
      <c r="G54" s="3" t="str">
        <f aca="false">PROPER(TRIM(SUBSTITUTE(Raw_Text_Fields!D55,CHAR(160)," ")))</f>
        <v>North</v>
      </c>
      <c r="H54" s="3" t="str">
        <f aca="false">PROPER(TRIM(SUBSTITUTE(Raw_Text_Fields!E55,CHAR(160)," ")))</f>
        <v>Rajasthan</v>
      </c>
      <c r="I54" s="3" t="str">
        <f aca="false">PROPER(TRIM(SUBSTITUTE(Raw_Text_Fields!F55,CHAR(160)," ")))</f>
        <v>Jaipur</v>
      </c>
      <c r="J54" s="3" t="str">
        <f aca="false">PROPER(TRIM(SUBSTITUTE(Raw_Text_Fields!G55,CHAR(160)," ")))</f>
        <v>Furniture</v>
      </c>
      <c r="K54" s="3" t="str">
        <f aca="false">PROPER(TRIM(SUBSTITUTE(Raw_Text_Fields!H55,CHAR(160)," ")))</f>
        <v>Chairs</v>
      </c>
      <c r="L54" s="3" t="s">
        <v>191</v>
      </c>
      <c r="M54" s="3" t="str">
        <f aca="false">PROPER(TRIM(SUBSTITUTE(Raw_Text_Fields!I55,CHAR(160)," ")))</f>
        <v>First Class</v>
      </c>
      <c r="N54" s="3" t="n">
        <v>9</v>
      </c>
      <c r="O54" s="5" t="n">
        <v>1399.63</v>
      </c>
      <c r="P54" s="6" t="n">
        <v>0</v>
      </c>
      <c r="Q54" s="5" t="n">
        <v>12596.67</v>
      </c>
      <c r="R54" s="5" t="n">
        <v>10603.29</v>
      </c>
      <c r="S54" s="5" t="n">
        <v>1993.38</v>
      </c>
      <c r="T54" s="3" t="str">
        <f aca="false">PROPER(TRIM(SUBSTITUTE(Raw_Text_Fields!J55,CHAR(160)," ")))</f>
        <v>Failed</v>
      </c>
      <c r="U54" s="3" t="str">
        <f aca="false">PROPER(TRIM(SUBSTITUTE(Raw_Text_Fields!K55,CHAR(160)," ")))</f>
        <v>Cancelled</v>
      </c>
      <c r="V54" s="7" t="n">
        <f aca="false">IF(OR(P54&lt;0,P54&gt;0.5),0,P54)</f>
        <v>0</v>
      </c>
      <c r="W54" s="8" t="n">
        <f aca="false">N54*O54*(1-V54)</f>
        <v>12596.67</v>
      </c>
      <c r="X54" s="8" t="n">
        <f aca="false">W54-R54</f>
        <v>1993.38</v>
      </c>
      <c r="Y54" s="7" t="n">
        <f aca="false">IFERROR(X54/W54,0)</f>
        <v>0.158246584216305</v>
      </c>
      <c r="Z54" s="9" t="n">
        <f aca="false">C54-B54</f>
        <v>2</v>
      </c>
      <c r="AA54" s="1" t="str">
        <f aca="false">IF(B54="","",TEXT(B54,"mmm"))</f>
        <v>Oct</v>
      </c>
      <c r="AB54" s="9" t="n">
        <f aca="false">IF(B54="","",YEAR(B54))</f>
        <v>2024</v>
      </c>
      <c r="AC54" s="3"/>
      <c r="AD54" s="3" t="str">
        <f aca="false">IF(LEFT(AC54&amp;IF(B54="","; Missing Order Date","")&amp;IF(C54="","; Missing Ship Date","")&amp;IF(P54&lt;0,"; Invalid Discount (Negative)","")&amp;IF(P54&gt;0.5,"; Invalid Discount (Too High)","")&amp;IF(Z54&lt;0,"; Invalid Shipping Record (Ship Before Order)","")&amp;IF(ABS(Q54-W54)&gt;1,"; Sales Mismatch","")&amp;IF(ABS(S54-X54)&gt;1,"; Profit Mismatch","")&amp;IF(COUNTIF($A$2:$A$913,A54)&gt;1,"; Duplicate Order ID Conflict",""),2)="; ",MID(AC54&amp;IF(B54="","; Missing Order Date","")&amp;IF(C54="","; Missing Ship Date","")&amp;IF(P54&lt;0,"; Invalid Discount (Negative)","")&amp;IF(P54&gt;0.5,"; Invalid Discount (Too High)","")&amp;IF(Z54&lt;0,"; Invalid Shipping Record (Ship Before Order)","")&amp;IF(ABS(Q54-W54)&gt;1,"; Sales Mismatch","")&amp;IF(ABS(S54-X54)&gt;1,"; Profit Mismatch","")&amp;IF(COUNTIF($A$2:$A$913,A54)&gt;1,"; Duplicate Order ID Conflict",""),3,500),AC54&amp;IF(B54="","; Missing Order Date","")&amp;IF(C54="","; Missing Ship Date","")&amp;IF(P54&lt;0,"; Invalid Discount (Negative)","")&amp;IF(P54&gt;0.5,"; Invalid Discount (Too High)","")&amp;IF(Z54&lt;0,"; Invalid Shipping Record (Ship Before Order)","")&amp;IF(ABS(Q54-W54)&gt;1,"; Sales Mismatch","")&amp;IF(ABS(S54-X54)&gt;1,"; Profit Mismatch","")&amp;IF(COUNTIF($A$2:$A$913,A54)&gt;1,"; Duplicate Order ID Conflict",""))</f>
        <v/>
      </c>
      <c r="AE54" s="10" t="str">
        <f aca="false">IF(OR(ISNUMBER(SEARCH("Invalid Discount",AD54)),ISNUMBER(SEARCH("Invalid Shipping Record",AD54)),ISNUMBER(SEARCH("Sales Mismatch",AD54)),ISNUMBER(SEARCH("Profit Mismatch",AD54)),ISNUMBER(SEARCH("Duplicate Order ID Conflict",AD54)),ISNUMBER(SEARCH("Missing Order Date",AD54)),ISNUMBER(SEARCH("Missing Ship Date",AD54))),"Invalid",IF(AD54&lt;&gt;"","Warning","Clean"))</f>
        <v>Clean</v>
      </c>
    </row>
    <row r="55" customFormat="false" ht="15" hidden="false" customHeight="true" outlineLevel="0" collapsed="false">
      <c r="A55" s="3" t="s">
        <v>192</v>
      </c>
      <c r="B55" s="4" t="n">
        <v>45747</v>
      </c>
      <c r="C55" s="4" t="n">
        <v>45747</v>
      </c>
      <c r="D55" s="3" t="s">
        <v>193</v>
      </c>
      <c r="E55" s="3" t="str">
        <f aca="false">PROPER(TRIM(SUBSTITUTE(Raw_Text_Fields!B56,CHAR(160)," ")))</f>
        <v>Kabir Singh</v>
      </c>
      <c r="F55" s="3" t="str">
        <f aca="false">PROPER(TRIM(SUBSTITUTE(Raw_Text_Fields!C56,CHAR(160)," ")))</f>
        <v>Home Office</v>
      </c>
      <c r="G55" s="3" t="str">
        <f aca="false">PROPER(TRIM(SUBSTITUTE(Raw_Text_Fields!D56,CHAR(160)," ")))</f>
        <v>West</v>
      </c>
      <c r="H55" s="3" t="str">
        <f aca="false">PROPER(TRIM(SUBSTITUTE(Raw_Text_Fields!E56,CHAR(160)," ")))</f>
        <v>Gujarat</v>
      </c>
      <c r="I55" s="3" t="str">
        <f aca="false">PROPER(TRIM(SUBSTITUTE(Raw_Text_Fields!F56,CHAR(160)," ")))</f>
        <v>Ahmedabad</v>
      </c>
      <c r="J55" s="3" t="str">
        <f aca="false">PROPER(TRIM(SUBSTITUTE(Raw_Text_Fields!G56,CHAR(160)," ")))</f>
        <v>Office Supplies</v>
      </c>
      <c r="K55" s="3" t="str">
        <f aca="false">PROPER(TRIM(SUBSTITUTE(Raw_Text_Fields!H56,CHAR(160)," ")))</f>
        <v>Storage</v>
      </c>
      <c r="L55" s="3" t="s">
        <v>194</v>
      </c>
      <c r="M55" s="3" t="str">
        <f aca="false">PROPER(TRIM(SUBSTITUTE(Raw_Text_Fields!I56,CHAR(160)," ")))</f>
        <v>First Class</v>
      </c>
      <c r="N55" s="3" t="n">
        <v>5</v>
      </c>
      <c r="O55" s="5" t="n">
        <v>1207.47</v>
      </c>
      <c r="P55" s="6" t="n">
        <v>0.15</v>
      </c>
      <c r="Q55" s="5" t="n">
        <v>5131.75</v>
      </c>
      <c r="R55" s="5" t="n">
        <v>2838.68</v>
      </c>
      <c r="S55" s="5" t="n">
        <v>2293.07</v>
      </c>
      <c r="T55" s="3" t="str">
        <f aca="false">PROPER(TRIM(SUBSTITUTE(Raw_Text_Fields!J56,CHAR(160)," ")))</f>
        <v>Paid</v>
      </c>
      <c r="U55" s="3" t="str">
        <f aca="false">PROPER(TRIM(SUBSTITUTE(Raw_Text_Fields!K56,CHAR(160)," ")))</f>
        <v>Completed</v>
      </c>
      <c r="V55" s="7" t="n">
        <f aca="false">IF(OR(P55&lt;0,P55&gt;0.5),0,P55)</f>
        <v>0.15</v>
      </c>
      <c r="W55" s="8" t="n">
        <f aca="false">N55*O55*(1-V55)</f>
        <v>5131.7475</v>
      </c>
      <c r="X55" s="8" t="n">
        <f aca="false">W55-R55</f>
        <v>2293.0675</v>
      </c>
      <c r="Y55" s="7" t="n">
        <f aca="false">IFERROR(X55/W55,0)</f>
        <v>0.446839502528135</v>
      </c>
      <c r="Z55" s="9" t="n">
        <f aca="false">C55-B55</f>
        <v>0</v>
      </c>
      <c r="AA55" s="1" t="str">
        <f aca="false">IF(B55="","",TEXT(B55,"mmm"))</f>
        <v>Mar</v>
      </c>
      <c r="AB55" s="9" t="n">
        <f aca="false">IF(B55="","",YEAR(B55))</f>
        <v>2025</v>
      </c>
      <c r="AC55" s="3"/>
      <c r="AD55" s="3" t="str">
        <f aca="false">IF(LEFT(AC55&amp;IF(B55="","; Missing Order Date","")&amp;IF(C55="","; Missing Ship Date","")&amp;IF(P55&lt;0,"; Invalid Discount (Negative)","")&amp;IF(P55&gt;0.5,"; Invalid Discount (Too High)","")&amp;IF(Z55&lt;0,"; Invalid Shipping Record (Ship Before Order)","")&amp;IF(ABS(Q55-W55)&gt;1,"; Sales Mismatch","")&amp;IF(ABS(S55-X55)&gt;1,"; Profit Mismatch","")&amp;IF(COUNTIF($A$2:$A$913,A55)&gt;1,"; Duplicate Order ID Conflict",""),2)="; ",MID(AC55&amp;IF(B55="","; Missing Order Date","")&amp;IF(C55="","; Missing Ship Date","")&amp;IF(P55&lt;0,"; Invalid Discount (Negative)","")&amp;IF(P55&gt;0.5,"; Invalid Discount (Too High)","")&amp;IF(Z55&lt;0,"; Invalid Shipping Record (Ship Before Order)","")&amp;IF(ABS(Q55-W55)&gt;1,"; Sales Mismatch","")&amp;IF(ABS(S55-X55)&gt;1,"; Profit Mismatch","")&amp;IF(COUNTIF($A$2:$A$913,A55)&gt;1,"; Duplicate Order ID Conflict",""),3,500),AC55&amp;IF(B55="","; Missing Order Date","")&amp;IF(C55="","; Missing Ship Date","")&amp;IF(P55&lt;0,"; Invalid Discount (Negative)","")&amp;IF(P55&gt;0.5,"; Invalid Discount (Too High)","")&amp;IF(Z55&lt;0,"; Invalid Shipping Record (Ship Before Order)","")&amp;IF(ABS(Q55-W55)&gt;1,"; Sales Mismatch","")&amp;IF(ABS(S55-X55)&gt;1,"; Profit Mismatch","")&amp;IF(COUNTIF($A$2:$A$913,A55)&gt;1,"; Duplicate Order ID Conflict",""))</f>
        <v/>
      </c>
      <c r="AE55" s="10" t="str">
        <f aca="false">IF(OR(ISNUMBER(SEARCH("Invalid Discount",AD55)),ISNUMBER(SEARCH("Invalid Shipping Record",AD55)),ISNUMBER(SEARCH("Sales Mismatch",AD55)),ISNUMBER(SEARCH("Profit Mismatch",AD55)),ISNUMBER(SEARCH("Duplicate Order ID Conflict",AD55)),ISNUMBER(SEARCH("Missing Order Date",AD55)),ISNUMBER(SEARCH("Missing Ship Date",AD55))),"Invalid",IF(AD55&lt;&gt;"","Warning","Clean"))</f>
        <v>Clean</v>
      </c>
    </row>
    <row r="56" customFormat="false" ht="15" hidden="false" customHeight="true" outlineLevel="0" collapsed="false">
      <c r="A56" s="3" t="s">
        <v>195</v>
      </c>
      <c r="B56" s="4" t="n">
        <v>45807</v>
      </c>
      <c r="C56" s="4" t="n">
        <v>45810</v>
      </c>
      <c r="D56" s="3" t="s">
        <v>196</v>
      </c>
      <c r="E56" s="3" t="str">
        <f aca="false">PROPER(TRIM(SUBSTITUTE(Raw_Text_Fields!B57,CHAR(160)," ")))</f>
        <v>Arjun Bose</v>
      </c>
      <c r="F56" s="3" t="str">
        <f aca="false">PROPER(TRIM(SUBSTITUTE(Raw_Text_Fields!C57,CHAR(160)," ")))</f>
        <v>Corporate</v>
      </c>
      <c r="G56" s="3" t="str">
        <f aca="false">PROPER(TRIM(SUBSTITUTE(Raw_Text_Fields!D57,CHAR(160)," ")))</f>
        <v>South</v>
      </c>
      <c r="H56" s="3" t="str">
        <f aca="false">PROPER(TRIM(SUBSTITUTE(Raw_Text_Fields!E57,CHAR(160)," ")))</f>
        <v>Tamil Nadu</v>
      </c>
      <c r="I56" s="3" t="str">
        <f aca="false">PROPER(TRIM(SUBSTITUTE(Raw_Text_Fields!F57,CHAR(160)," ")))</f>
        <v>Chennai</v>
      </c>
      <c r="J56" s="3" t="str">
        <f aca="false">PROPER(TRIM(SUBSTITUTE(Raw_Text_Fields!G57,CHAR(160)," ")))</f>
        <v>Office Supplies</v>
      </c>
      <c r="K56" s="3" t="str">
        <f aca="false">PROPER(TRIM(SUBSTITUTE(Raw_Text_Fields!H57,CHAR(160)," ")))</f>
        <v>Labels</v>
      </c>
      <c r="L56" s="3" t="s">
        <v>197</v>
      </c>
      <c r="M56" s="3" t="str">
        <f aca="false">PROPER(TRIM(SUBSTITUTE(Raw_Text_Fields!I57,CHAR(160)," ")))</f>
        <v>Same Day</v>
      </c>
      <c r="N56" s="3" t="n">
        <v>8</v>
      </c>
      <c r="O56" s="5" t="n">
        <v>474.37</v>
      </c>
      <c r="P56" s="6" t="n">
        <v>0.1</v>
      </c>
      <c r="Q56" s="5" t="n">
        <v>3415.46</v>
      </c>
      <c r="R56" s="5" t="n">
        <v>1993.23</v>
      </c>
      <c r="S56" s="5" t="n">
        <v>1422.23</v>
      </c>
      <c r="T56" s="3" t="str">
        <f aca="false">PROPER(TRIM(SUBSTITUTE(Raw_Text_Fields!J57,CHAR(160)," ")))</f>
        <v>Failed</v>
      </c>
      <c r="U56" s="3" t="str">
        <f aca="false">PROPER(TRIM(SUBSTITUTE(Raw_Text_Fields!K57,CHAR(160)," ")))</f>
        <v>Cancelled</v>
      </c>
      <c r="V56" s="7" t="n">
        <f aca="false">IF(OR(P56&lt;0,P56&gt;0.5),0,P56)</f>
        <v>0.1</v>
      </c>
      <c r="W56" s="8" t="n">
        <f aca="false">N56*O56*(1-V56)</f>
        <v>3415.464</v>
      </c>
      <c r="X56" s="8" t="n">
        <f aca="false">W56-R56</f>
        <v>1422.234</v>
      </c>
      <c r="Y56" s="7" t="n">
        <f aca="false">IFERROR(X56/W56,0)</f>
        <v>0.416410186141619</v>
      </c>
      <c r="Z56" s="9" t="n">
        <f aca="false">C56-B56</f>
        <v>3</v>
      </c>
      <c r="AA56" s="1" t="str">
        <f aca="false">IF(B56="","",TEXT(B56,"mmm"))</f>
        <v>May</v>
      </c>
      <c r="AB56" s="9" t="n">
        <f aca="false">IF(B56="","",YEAR(B56))</f>
        <v>2025</v>
      </c>
      <c r="AC56" s="3"/>
      <c r="AD56" s="3" t="str">
        <f aca="false">IF(LEFT(AC56&amp;IF(B56="","; Missing Order Date","")&amp;IF(C56="","; Missing Ship Date","")&amp;IF(P56&lt;0,"; Invalid Discount (Negative)","")&amp;IF(P56&gt;0.5,"; Invalid Discount (Too High)","")&amp;IF(Z56&lt;0,"; Invalid Shipping Record (Ship Before Order)","")&amp;IF(ABS(Q56-W56)&gt;1,"; Sales Mismatch","")&amp;IF(ABS(S56-X56)&gt;1,"; Profit Mismatch","")&amp;IF(COUNTIF($A$2:$A$913,A56)&gt;1,"; Duplicate Order ID Conflict",""),2)="; ",MID(AC56&amp;IF(B56="","; Missing Order Date","")&amp;IF(C56="","; Missing Ship Date","")&amp;IF(P56&lt;0,"; Invalid Discount (Negative)","")&amp;IF(P56&gt;0.5,"; Invalid Discount (Too High)","")&amp;IF(Z56&lt;0,"; Invalid Shipping Record (Ship Before Order)","")&amp;IF(ABS(Q56-W56)&gt;1,"; Sales Mismatch","")&amp;IF(ABS(S56-X56)&gt;1,"; Profit Mismatch","")&amp;IF(COUNTIF($A$2:$A$913,A56)&gt;1,"; Duplicate Order ID Conflict",""),3,500),AC56&amp;IF(B56="","; Missing Order Date","")&amp;IF(C56="","; Missing Ship Date","")&amp;IF(P56&lt;0,"; Invalid Discount (Negative)","")&amp;IF(P56&gt;0.5,"; Invalid Discount (Too High)","")&amp;IF(Z56&lt;0,"; Invalid Shipping Record (Ship Before Order)","")&amp;IF(ABS(Q56-W56)&gt;1,"; Sales Mismatch","")&amp;IF(ABS(S56-X56)&gt;1,"; Profit Mismatch","")&amp;IF(COUNTIF($A$2:$A$913,A56)&gt;1,"; Duplicate Order ID Conflict",""))</f>
        <v/>
      </c>
      <c r="AE56" s="10" t="str">
        <f aca="false">IF(OR(ISNUMBER(SEARCH("Invalid Discount",AD56)),ISNUMBER(SEARCH("Invalid Shipping Record",AD56)),ISNUMBER(SEARCH("Sales Mismatch",AD56)),ISNUMBER(SEARCH("Profit Mismatch",AD56)),ISNUMBER(SEARCH("Duplicate Order ID Conflict",AD56)),ISNUMBER(SEARCH("Missing Order Date",AD56)),ISNUMBER(SEARCH("Missing Ship Date",AD56))),"Invalid",IF(AD56&lt;&gt;"","Warning","Clean"))</f>
        <v>Clean</v>
      </c>
    </row>
    <row r="57" customFormat="false" ht="15" hidden="false" customHeight="true" outlineLevel="0" collapsed="false">
      <c r="A57" s="3" t="s">
        <v>198</v>
      </c>
      <c r="B57" s="4" t="n">
        <v>45839</v>
      </c>
      <c r="C57" s="4" t="n">
        <v>45841</v>
      </c>
      <c r="D57" s="3" t="s">
        <v>199</v>
      </c>
      <c r="E57" s="3" t="str">
        <f aca="false">PROPER(TRIM(SUBSTITUTE(Raw_Text_Fields!B58,CHAR(160)," ")))</f>
        <v>Mira Das</v>
      </c>
      <c r="F57" s="3" t="str">
        <f aca="false">PROPER(TRIM(SUBSTITUTE(Raw_Text_Fields!C58,CHAR(160)," ")))</f>
        <v>Small Business</v>
      </c>
      <c r="G57" s="3" t="str">
        <f aca="false">PROPER(TRIM(SUBSTITUTE(Raw_Text_Fields!D58,CHAR(160)," ")))</f>
        <v>South</v>
      </c>
      <c r="H57" s="3" t="str">
        <f aca="false">PROPER(TRIM(SUBSTITUTE(Raw_Text_Fields!E58,CHAR(160)," ")))</f>
        <v>Andhra Pradesh</v>
      </c>
      <c r="I57" s="3" t="str">
        <f aca="false">PROPER(TRIM(SUBSTITUTE(Raw_Text_Fields!F58,CHAR(160)," ")))</f>
        <v>Vijayawada</v>
      </c>
      <c r="J57" s="3" t="str">
        <f aca="false">PROPER(TRIM(SUBSTITUTE(Raw_Text_Fields!G58,CHAR(160)," ")))</f>
        <v>Technology</v>
      </c>
      <c r="K57" s="3" t="str">
        <f aca="false">PROPER(TRIM(SUBSTITUTE(Raw_Text_Fields!H58,CHAR(160)," ")))</f>
        <v>Machines</v>
      </c>
      <c r="L57" s="3" t="s">
        <v>200</v>
      </c>
      <c r="M57" s="3" t="str">
        <f aca="false">PROPER(TRIM(SUBSTITUTE(Raw_Text_Fields!I58,CHAR(160)," ")))</f>
        <v>Same Day</v>
      </c>
      <c r="N57" s="3" t="n">
        <v>3</v>
      </c>
      <c r="O57" s="5" t="n">
        <v>1516.24</v>
      </c>
      <c r="P57" s="6" t="n">
        <v>0.25</v>
      </c>
      <c r="Q57" s="5" t="n">
        <v>3411.54</v>
      </c>
      <c r="R57" s="5" t="n">
        <v>2803.13</v>
      </c>
      <c r="S57" s="5" t="n">
        <v>608.41</v>
      </c>
      <c r="T57" s="3" t="str">
        <f aca="false">PROPER(TRIM(SUBSTITUTE(Raw_Text_Fields!J58,CHAR(160)," ")))</f>
        <v>Paid</v>
      </c>
      <c r="U57" s="3" t="str">
        <f aca="false">PROPER(TRIM(SUBSTITUTE(Raw_Text_Fields!K58,CHAR(160)," ")))</f>
        <v>Completed</v>
      </c>
      <c r="V57" s="7" t="n">
        <f aca="false">IF(OR(P57&lt;0,P57&gt;0.5),0,P57)</f>
        <v>0.25</v>
      </c>
      <c r="W57" s="8" t="n">
        <f aca="false">N57*O57*(1-V57)</f>
        <v>3411.54</v>
      </c>
      <c r="X57" s="8" t="n">
        <f aca="false">W57-R57</f>
        <v>608.41</v>
      </c>
      <c r="Y57" s="7" t="n">
        <f aca="false">IFERROR(X57/W57,0)</f>
        <v>0.178338814728832</v>
      </c>
      <c r="Z57" s="9" t="n">
        <f aca="false">C57-B57</f>
        <v>2</v>
      </c>
      <c r="AA57" s="1" t="str">
        <f aca="false">IF(B57="","",TEXT(B57,"mmm"))</f>
        <v>Jul</v>
      </c>
      <c r="AB57" s="9" t="n">
        <f aca="false">IF(B57="","",YEAR(B57))</f>
        <v>2025</v>
      </c>
      <c r="AC57" s="3"/>
      <c r="AD57" s="3" t="str">
        <f aca="false">IF(LEFT(AC57&amp;IF(B57="","; Missing Order Date","")&amp;IF(C57="","; Missing Ship Date","")&amp;IF(P57&lt;0,"; Invalid Discount (Negative)","")&amp;IF(P57&gt;0.5,"; Invalid Discount (Too High)","")&amp;IF(Z57&lt;0,"; Invalid Shipping Record (Ship Before Order)","")&amp;IF(ABS(Q57-W57)&gt;1,"; Sales Mismatch","")&amp;IF(ABS(S57-X57)&gt;1,"; Profit Mismatch","")&amp;IF(COUNTIF($A$2:$A$913,A57)&gt;1,"; Duplicate Order ID Conflict",""),2)="; ",MID(AC57&amp;IF(B57="","; Missing Order Date","")&amp;IF(C57="","; Missing Ship Date","")&amp;IF(P57&lt;0,"; Invalid Discount (Negative)","")&amp;IF(P57&gt;0.5,"; Invalid Discount (Too High)","")&amp;IF(Z57&lt;0,"; Invalid Shipping Record (Ship Before Order)","")&amp;IF(ABS(Q57-W57)&gt;1,"; Sales Mismatch","")&amp;IF(ABS(S57-X57)&gt;1,"; Profit Mismatch","")&amp;IF(COUNTIF($A$2:$A$913,A57)&gt;1,"; Duplicate Order ID Conflict",""),3,500),AC57&amp;IF(B57="","; Missing Order Date","")&amp;IF(C57="","; Missing Ship Date","")&amp;IF(P57&lt;0,"; Invalid Discount (Negative)","")&amp;IF(P57&gt;0.5,"; Invalid Discount (Too High)","")&amp;IF(Z57&lt;0,"; Invalid Shipping Record (Ship Before Order)","")&amp;IF(ABS(Q57-W57)&gt;1,"; Sales Mismatch","")&amp;IF(ABS(S57-X57)&gt;1,"; Profit Mismatch","")&amp;IF(COUNTIF($A$2:$A$913,A57)&gt;1,"; Duplicate Order ID Conflict",""))</f>
        <v/>
      </c>
      <c r="AE57" s="10" t="str">
        <f aca="false">IF(OR(ISNUMBER(SEARCH("Invalid Discount",AD57)),ISNUMBER(SEARCH("Invalid Shipping Record",AD57)),ISNUMBER(SEARCH("Sales Mismatch",AD57)),ISNUMBER(SEARCH("Profit Mismatch",AD57)),ISNUMBER(SEARCH("Duplicate Order ID Conflict",AD57)),ISNUMBER(SEARCH("Missing Order Date",AD57)),ISNUMBER(SEARCH("Missing Ship Date",AD57))),"Invalid",IF(AD57&lt;&gt;"","Warning","Clean"))</f>
        <v>Clean</v>
      </c>
    </row>
    <row r="58" customFormat="false" ht="15" hidden="false" customHeight="true" outlineLevel="0" collapsed="false">
      <c r="A58" s="3" t="s">
        <v>201</v>
      </c>
      <c r="B58" s="4" t="n">
        <v>45662</v>
      </c>
      <c r="C58" s="4" t="n">
        <v>45663</v>
      </c>
      <c r="D58" s="3" t="s">
        <v>202</v>
      </c>
      <c r="E58" s="3" t="str">
        <f aca="false">PROPER(TRIM(SUBSTITUTE(Raw_Text_Fields!B59,CHAR(160)," ")))</f>
        <v>Karan Malhotra</v>
      </c>
      <c r="F58" s="3" t="str">
        <f aca="false">PROPER(TRIM(SUBSTITUTE(Raw_Text_Fields!C59,CHAR(160)," ")))</f>
        <v>Consumer</v>
      </c>
      <c r="G58" s="3" t="str">
        <f aca="false">PROPER(TRIM(SUBSTITUTE(Raw_Text_Fields!D59,CHAR(160)," ")))</f>
        <v>South</v>
      </c>
      <c r="H58" s="3" t="str">
        <f aca="false">PROPER(TRIM(SUBSTITUTE(Raw_Text_Fields!E59,CHAR(160)," ")))</f>
        <v>Karnataka</v>
      </c>
      <c r="I58" s="3" t="str">
        <f aca="false">PROPER(TRIM(SUBSTITUTE(Raw_Text_Fields!F59,CHAR(160)," ")))</f>
        <v>Bengaluru</v>
      </c>
      <c r="J58" s="3" t="str">
        <f aca="false">PROPER(TRIM(SUBSTITUTE(Raw_Text_Fields!G59,CHAR(160)," ")))</f>
        <v>Office Supplies</v>
      </c>
      <c r="K58" s="3" t="str">
        <f aca="false">PROPER(TRIM(SUBSTITUTE(Raw_Text_Fields!H59,CHAR(160)," ")))</f>
        <v>Binders</v>
      </c>
      <c r="L58" s="3" t="s">
        <v>203</v>
      </c>
      <c r="M58" s="3" t="str">
        <f aca="false">PROPER(TRIM(SUBSTITUTE(Raw_Text_Fields!I59,CHAR(160)," ")))</f>
        <v>Second Class</v>
      </c>
      <c r="N58" s="3" t="n">
        <v>3</v>
      </c>
      <c r="O58" s="5" t="n">
        <v>3155.61</v>
      </c>
      <c r="P58" s="6" t="n">
        <v>0</v>
      </c>
      <c r="Q58" s="5" t="n">
        <v>9466.83</v>
      </c>
      <c r="R58" s="5" t="n">
        <v>6557.83</v>
      </c>
      <c r="S58" s="5" t="n">
        <v>2909</v>
      </c>
      <c r="T58" s="3" t="str">
        <f aca="false">PROPER(TRIM(SUBSTITUTE(Raw_Text_Fields!J59,CHAR(160)," ")))</f>
        <v>Refunded</v>
      </c>
      <c r="U58" s="3" t="str">
        <f aca="false">PROPER(TRIM(SUBSTITUTE(Raw_Text_Fields!K59,CHAR(160)," ")))</f>
        <v>Cancelled</v>
      </c>
      <c r="V58" s="7" t="n">
        <f aca="false">IF(OR(P58&lt;0,P58&gt;0.5),0,P58)</f>
        <v>0</v>
      </c>
      <c r="W58" s="8" t="n">
        <f aca="false">N58*O58*(1-V58)</f>
        <v>9466.83</v>
      </c>
      <c r="X58" s="8" t="n">
        <f aca="false">W58-R58</f>
        <v>2909</v>
      </c>
      <c r="Y58" s="7" t="n">
        <f aca="false">IFERROR(X58/W58,0)</f>
        <v>0.307283430673203</v>
      </c>
      <c r="Z58" s="9" t="n">
        <f aca="false">C58-B58</f>
        <v>1</v>
      </c>
      <c r="AA58" s="1" t="str">
        <f aca="false">IF(B58="","",TEXT(B58,"mmm"))</f>
        <v>Jan</v>
      </c>
      <c r="AB58" s="9" t="n">
        <f aca="false">IF(B58="","",YEAR(B58))</f>
        <v>2025</v>
      </c>
      <c r="AC58" s="3"/>
      <c r="AD58" s="3" t="str">
        <f aca="false">IF(LEFT(AC58&amp;IF(B58="","; Missing Order Date","")&amp;IF(C58="","; Missing Ship Date","")&amp;IF(P58&lt;0,"; Invalid Discount (Negative)","")&amp;IF(P58&gt;0.5,"; Invalid Discount (Too High)","")&amp;IF(Z58&lt;0,"; Invalid Shipping Record (Ship Before Order)","")&amp;IF(ABS(Q58-W58)&gt;1,"; Sales Mismatch","")&amp;IF(ABS(S58-X58)&gt;1,"; Profit Mismatch","")&amp;IF(COUNTIF($A$2:$A$913,A58)&gt;1,"; Duplicate Order ID Conflict",""),2)="; ",MID(AC58&amp;IF(B58="","; Missing Order Date","")&amp;IF(C58="","; Missing Ship Date","")&amp;IF(P58&lt;0,"; Invalid Discount (Negative)","")&amp;IF(P58&gt;0.5,"; Invalid Discount (Too High)","")&amp;IF(Z58&lt;0,"; Invalid Shipping Record (Ship Before Order)","")&amp;IF(ABS(Q58-W58)&gt;1,"; Sales Mismatch","")&amp;IF(ABS(S58-X58)&gt;1,"; Profit Mismatch","")&amp;IF(COUNTIF($A$2:$A$913,A58)&gt;1,"; Duplicate Order ID Conflict",""),3,500),AC58&amp;IF(B58="","; Missing Order Date","")&amp;IF(C58="","; Missing Ship Date","")&amp;IF(P58&lt;0,"; Invalid Discount (Negative)","")&amp;IF(P58&gt;0.5,"; Invalid Discount (Too High)","")&amp;IF(Z58&lt;0,"; Invalid Shipping Record (Ship Before Order)","")&amp;IF(ABS(Q58-W58)&gt;1,"; Sales Mismatch","")&amp;IF(ABS(S58-X58)&gt;1,"; Profit Mismatch","")&amp;IF(COUNTIF($A$2:$A$913,A58)&gt;1,"; Duplicate Order ID Conflict",""))</f>
        <v/>
      </c>
      <c r="AE58" s="10" t="str">
        <f aca="false">IF(OR(ISNUMBER(SEARCH("Invalid Discount",AD58)),ISNUMBER(SEARCH("Invalid Shipping Record",AD58)),ISNUMBER(SEARCH("Sales Mismatch",AD58)),ISNUMBER(SEARCH("Profit Mismatch",AD58)),ISNUMBER(SEARCH("Duplicate Order ID Conflict",AD58)),ISNUMBER(SEARCH("Missing Order Date",AD58)),ISNUMBER(SEARCH("Missing Ship Date",AD58))),"Invalid",IF(AD58&lt;&gt;"","Warning","Clean"))</f>
        <v>Clean</v>
      </c>
    </row>
    <row r="59" customFormat="false" ht="15" hidden="false" customHeight="true" outlineLevel="0" collapsed="false">
      <c r="A59" s="3" t="s">
        <v>204</v>
      </c>
      <c r="B59" s="4" t="n">
        <v>45329</v>
      </c>
      <c r="C59" s="4" t="n">
        <v>45337</v>
      </c>
      <c r="D59" s="3" t="s">
        <v>205</v>
      </c>
      <c r="E59" s="3" t="str">
        <f aca="false">PROPER(TRIM(SUBSTITUTE(Raw_Text_Fields!B60,CHAR(160)," ")))</f>
        <v>Priya Menon</v>
      </c>
      <c r="F59" s="3" t="str">
        <f aca="false">PROPER(TRIM(SUBSTITUTE(Raw_Text_Fields!C60,CHAR(160)," ")))</f>
        <v>Consumer</v>
      </c>
      <c r="G59" s="3" t="str">
        <f aca="false">PROPER(TRIM(SUBSTITUTE(Raw_Text_Fields!D60,CHAR(160)," ")))</f>
        <v>West</v>
      </c>
      <c r="H59" s="3" t="str">
        <f aca="false">PROPER(TRIM(SUBSTITUTE(Raw_Text_Fields!E60,CHAR(160)," ")))</f>
        <v>Goa</v>
      </c>
      <c r="I59" s="3" t="str">
        <f aca="false">PROPER(TRIM(SUBSTITUTE(Raw_Text_Fields!F60,CHAR(160)," ")))</f>
        <v>Panaji</v>
      </c>
      <c r="J59" s="3" t="str">
        <f aca="false">PROPER(TRIM(SUBSTITUTE(Raw_Text_Fields!G60,CHAR(160)," ")))</f>
        <v>Furniture</v>
      </c>
      <c r="K59" s="3" t="str">
        <f aca="false">PROPER(TRIM(SUBSTITUTE(Raw_Text_Fields!H60,CHAR(160)," ")))</f>
        <v>Chairs</v>
      </c>
      <c r="L59" s="3" t="s">
        <v>206</v>
      </c>
      <c r="M59" s="3" t="str">
        <f aca="false">PROPER(TRIM(SUBSTITUTE(Raw_Text_Fields!I60,CHAR(160)," ")))</f>
        <v>Same Day</v>
      </c>
      <c r="N59" s="3" t="n">
        <v>5</v>
      </c>
      <c r="O59" s="5" t="n">
        <v>255.87</v>
      </c>
      <c r="P59" s="6" t="n">
        <v>0</v>
      </c>
      <c r="Q59" s="5" t="n">
        <v>1279.35</v>
      </c>
      <c r="R59" s="5" t="n">
        <v>1091.54</v>
      </c>
      <c r="S59" s="5" t="n">
        <v>187.81</v>
      </c>
      <c r="T59" s="3" t="str">
        <f aca="false">PROPER(TRIM(SUBSTITUTE(Raw_Text_Fields!J60,CHAR(160)," ")))</f>
        <v>Paid</v>
      </c>
      <c r="U59" s="3" t="str">
        <f aca="false">PROPER(TRIM(SUBSTITUTE(Raw_Text_Fields!K60,CHAR(160)," ")))</f>
        <v>Completed</v>
      </c>
      <c r="V59" s="7" t="n">
        <f aca="false">IF(OR(P59&lt;0,P59&gt;0.5),0,P59)</f>
        <v>0</v>
      </c>
      <c r="W59" s="8" t="n">
        <f aca="false">N59*O59*(1-V59)</f>
        <v>1279.35</v>
      </c>
      <c r="X59" s="8" t="n">
        <f aca="false">W59-R59</f>
        <v>187.81</v>
      </c>
      <c r="Y59" s="7" t="n">
        <f aca="false">IFERROR(X59/W59,0)</f>
        <v>0.146801109938641</v>
      </c>
      <c r="Z59" s="9" t="n">
        <f aca="false">C59-B59</f>
        <v>8</v>
      </c>
      <c r="AA59" s="1" t="str">
        <f aca="false">IF(B59="","",TEXT(B59,"mmm"))</f>
        <v>Feb</v>
      </c>
      <c r="AB59" s="9" t="n">
        <f aca="false">IF(B59="","",YEAR(B59))</f>
        <v>2024</v>
      </c>
      <c r="AC59" s="3"/>
      <c r="AD59" s="3" t="str">
        <f aca="false">IF(LEFT(AC59&amp;IF(B59="","; Missing Order Date","")&amp;IF(C59="","; Missing Ship Date","")&amp;IF(P59&lt;0,"; Invalid Discount (Negative)","")&amp;IF(P59&gt;0.5,"; Invalid Discount (Too High)","")&amp;IF(Z59&lt;0,"; Invalid Shipping Record (Ship Before Order)","")&amp;IF(ABS(Q59-W59)&gt;1,"; Sales Mismatch","")&amp;IF(ABS(S59-X59)&gt;1,"; Profit Mismatch","")&amp;IF(COUNTIF($A$2:$A$913,A59)&gt;1,"; Duplicate Order ID Conflict",""),2)="; ",MID(AC59&amp;IF(B59="","; Missing Order Date","")&amp;IF(C59="","; Missing Ship Date","")&amp;IF(P59&lt;0,"; Invalid Discount (Negative)","")&amp;IF(P59&gt;0.5,"; Invalid Discount (Too High)","")&amp;IF(Z59&lt;0,"; Invalid Shipping Record (Ship Before Order)","")&amp;IF(ABS(Q59-W59)&gt;1,"; Sales Mismatch","")&amp;IF(ABS(S59-X59)&gt;1,"; Profit Mismatch","")&amp;IF(COUNTIF($A$2:$A$913,A59)&gt;1,"; Duplicate Order ID Conflict",""),3,500),AC59&amp;IF(B59="","; Missing Order Date","")&amp;IF(C59="","; Missing Ship Date","")&amp;IF(P59&lt;0,"; Invalid Discount (Negative)","")&amp;IF(P59&gt;0.5,"; Invalid Discount (Too High)","")&amp;IF(Z59&lt;0,"; Invalid Shipping Record (Ship Before Order)","")&amp;IF(ABS(Q59-W59)&gt;1,"; Sales Mismatch","")&amp;IF(ABS(S59-X59)&gt;1,"; Profit Mismatch","")&amp;IF(COUNTIF($A$2:$A$913,A59)&gt;1,"; Duplicate Order ID Conflict",""))</f>
        <v/>
      </c>
      <c r="AE59" s="10" t="str">
        <f aca="false">IF(OR(ISNUMBER(SEARCH("Invalid Discount",AD59)),ISNUMBER(SEARCH("Invalid Shipping Record",AD59)),ISNUMBER(SEARCH("Sales Mismatch",AD59)),ISNUMBER(SEARCH("Profit Mismatch",AD59)),ISNUMBER(SEARCH("Duplicate Order ID Conflict",AD59)),ISNUMBER(SEARCH("Missing Order Date",AD59)),ISNUMBER(SEARCH("Missing Ship Date",AD59))),"Invalid",IF(AD59&lt;&gt;"","Warning","Clean"))</f>
        <v>Clean</v>
      </c>
    </row>
    <row r="60" customFormat="false" ht="15" hidden="false" customHeight="true" outlineLevel="0" collapsed="false">
      <c r="A60" s="3" t="s">
        <v>207</v>
      </c>
      <c r="B60" s="4" t="n">
        <v>45536</v>
      </c>
      <c r="C60" s="4" t="n">
        <v>45542</v>
      </c>
      <c r="D60" s="3" t="s">
        <v>208</v>
      </c>
      <c r="E60" s="3" t="str">
        <f aca="false">PROPER(TRIM(SUBSTITUTE(Raw_Text_Fields!B61,CHAR(160)," ")))</f>
        <v>Isha Nair</v>
      </c>
      <c r="F60" s="3" t="str">
        <f aca="false">PROPER(TRIM(SUBSTITUTE(Raw_Text_Fields!C61,CHAR(160)," ")))</f>
        <v>Home Office</v>
      </c>
      <c r="G60" s="3" t="str">
        <f aca="false">PROPER(TRIM(SUBSTITUTE(Raw_Text_Fields!D61,CHAR(160)," ")))</f>
        <v>North</v>
      </c>
      <c r="H60" s="3" t="str">
        <f aca="false">PROPER(TRIM(SUBSTITUTE(Raw_Text_Fields!E61,CHAR(160)," ")))</f>
        <v>Rajasthan</v>
      </c>
      <c r="I60" s="3" t="str">
        <f aca="false">PROPER(TRIM(SUBSTITUTE(Raw_Text_Fields!F61,CHAR(160)," ")))</f>
        <v>Jaipur</v>
      </c>
      <c r="J60" s="3" t="str">
        <f aca="false">PROPER(TRIM(SUBSTITUTE(Raw_Text_Fields!G61,CHAR(160)," ")))</f>
        <v>Office Supplies</v>
      </c>
      <c r="K60" s="3" t="str">
        <f aca="false">PROPER(TRIM(SUBSTITUTE(Raw_Text_Fields!H61,CHAR(160)," ")))</f>
        <v>Storage</v>
      </c>
      <c r="L60" s="3" t="s">
        <v>209</v>
      </c>
      <c r="M60" s="3" t="str">
        <f aca="false">PROPER(TRIM(SUBSTITUTE(Raw_Text_Fields!I61,CHAR(160)," ")))</f>
        <v>Unknown</v>
      </c>
      <c r="N60" s="3" t="n">
        <v>9</v>
      </c>
      <c r="O60" s="5" t="n">
        <v>1389.48</v>
      </c>
      <c r="P60" s="6" t="n">
        <v>0.1</v>
      </c>
      <c r="Q60" s="5" t="n">
        <v>11254.79</v>
      </c>
      <c r="R60" s="5" t="n">
        <v>6578.06</v>
      </c>
      <c r="S60" s="5" t="n">
        <v>4676.73</v>
      </c>
      <c r="T60" s="3" t="str">
        <f aca="false">PROPER(TRIM(SUBSTITUTE(Raw_Text_Fields!J61,CHAR(160)," ")))</f>
        <v>Pending</v>
      </c>
      <c r="U60" s="3" t="str">
        <f aca="false">PROPER(TRIM(SUBSTITUTE(Raw_Text_Fields!K61,CHAR(160)," ")))</f>
        <v>Returned</v>
      </c>
      <c r="V60" s="7" t="n">
        <f aca="false">IF(OR(P60&lt;0,P60&gt;0.5),0,P60)</f>
        <v>0.1</v>
      </c>
      <c r="W60" s="8" t="n">
        <f aca="false">N60*O60*(1-V60)</f>
        <v>11254.788</v>
      </c>
      <c r="X60" s="8" t="n">
        <f aca="false">W60-R60</f>
        <v>4676.728</v>
      </c>
      <c r="Y60" s="7" t="n">
        <f aca="false">IFERROR(X60/W60,0)</f>
        <v>0.415532305006545</v>
      </c>
      <c r="Z60" s="9" t="n">
        <f aca="false">C60-B60</f>
        <v>6</v>
      </c>
      <c r="AA60" s="1" t="str">
        <f aca="false">IF(B60="","",TEXT(B60,"mmm"))</f>
        <v>Sep</v>
      </c>
      <c r="AB60" s="9" t="n">
        <f aca="false">IF(B60="","",YEAR(B60))</f>
        <v>2024</v>
      </c>
      <c r="AC60" s="3" t="s">
        <v>137</v>
      </c>
      <c r="AD60" s="3" t="str">
        <f aca="false">IF(LEFT(AC60&amp;IF(B60="","; Missing Order Date","")&amp;IF(C60="","; Missing Ship Date","")&amp;IF(P60&lt;0,"; Invalid Discount (Negative)","")&amp;IF(P60&gt;0.5,"; Invalid Discount (Too High)","")&amp;IF(Z60&lt;0,"; Invalid Shipping Record (Ship Before Order)","")&amp;IF(ABS(Q60-W60)&gt;1,"; Sales Mismatch","")&amp;IF(ABS(S60-X60)&gt;1,"; Profit Mismatch","")&amp;IF(COUNTIF($A$2:$A$913,A60)&gt;1,"; Duplicate Order ID Conflict",""),2)="; ",MID(AC60&amp;IF(B60="","; Missing Order Date","")&amp;IF(C60="","; Missing Ship Date","")&amp;IF(P60&lt;0,"; Invalid Discount (Negative)","")&amp;IF(P60&gt;0.5,"; Invalid Discount (Too High)","")&amp;IF(Z60&lt;0,"; Invalid Shipping Record (Ship Before Order)","")&amp;IF(ABS(Q60-W60)&gt;1,"; Sales Mismatch","")&amp;IF(ABS(S60-X60)&gt;1,"; Profit Mismatch","")&amp;IF(COUNTIF($A$2:$A$913,A60)&gt;1,"; Duplicate Order ID Conflict",""),3,500),AC60&amp;IF(B60="","; Missing Order Date","")&amp;IF(C60="","; Missing Ship Date","")&amp;IF(P60&lt;0,"; Invalid Discount (Negative)","")&amp;IF(P60&gt;0.5,"; Invalid Discount (Too High)","")&amp;IF(Z60&lt;0,"; Invalid Shipping Record (Ship Before Order)","")&amp;IF(ABS(Q60-W60)&gt;1,"; Sales Mismatch","")&amp;IF(ABS(S60-X60)&gt;1,"; Profit Mismatch","")&amp;IF(COUNTIF($A$2:$A$913,A60)&gt;1,"; Duplicate Order ID Conflict",""))</f>
        <v>Missing Ship Mode (filled Unknown)</v>
      </c>
      <c r="AE60" s="10" t="str">
        <f aca="false">IF(OR(ISNUMBER(SEARCH("Invalid Discount",AD60)),ISNUMBER(SEARCH("Invalid Shipping Record",AD60)),ISNUMBER(SEARCH("Sales Mismatch",AD60)),ISNUMBER(SEARCH("Profit Mismatch",AD60)),ISNUMBER(SEARCH("Duplicate Order ID Conflict",AD60)),ISNUMBER(SEARCH("Missing Order Date",AD60)),ISNUMBER(SEARCH("Missing Ship Date",AD60))),"Invalid",IF(AD60&lt;&gt;"","Warning","Clean"))</f>
        <v>Warning</v>
      </c>
    </row>
    <row r="61" customFormat="false" ht="15" hidden="false" customHeight="true" outlineLevel="0" collapsed="false">
      <c r="A61" s="3" t="s">
        <v>210</v>
      </c>
      <c r="B61" s="4" t="n">
        <v>45493</v>
      </c>
      <c r="C61" s="4" t="n">
        <v>45498</v>
      </c>
      <c r="D61" s="3" t="s">
        <v>211</v>
      </c>
      <c r="E61" s="3" t="str">
        <f aca="false">PROPER(TRIM(SUBSTITUTE(Raw_Text_Fields!B62,CHAR(160)," ")))</f>
        <v>Priya Menon</v>
      </c>
      <c r="F61" s="3" t="str">
        <f aca="false">PROPER(TRIM(SUBSTITUTE(Raw_Text_Fields!C62,CHAR(160)," ")))</f>
        <v>Corporate</v>
      </c>
      <c r="G61" s="3" t="str">
        <f aca="false">PROPER(TRIM(SUBSTITUTE(Raw_Text_Fields!D62,CHAR(160)," ")))</f>
        <v>East</v>
      </c>
      <c r="H61" s="3" t="str">
        <f aca="false">PROPER(TRIM(SUBSTITUTE(Raw_Text_Fields!E62,CHAR(160)," ")))</f>
        <v>Assam</v>
      </c>
      <c r="I61" s="3" t="str">
        <f aca="false">PROPER(TRIM(SUBSTITUTE(Raw_Text_Fields!F62,CHAR(160)," ")))</f>
        <v>Guwahati</v>
      </c>
      <c r="J61" s="3" t="str">
        <f aca="false">PROPER(TRIM(SUBSTITUTE(Raw_Text_Fields!G62,CHAR(160)," ")))</f>
        <v>Office Supplies</v>
      </c>
      <c r="K61" s="3" t="str">
        <f aca="false">PROPER(TRIM(SUBSTITUTE(Raw_Text_Fields!H62,CHAR(160)," ")))</f>
        <v>Labels</v>
      </c>
      <c r="L61" s="3" t="s">
        <v>212</v>
      </c>
      <c r="M61" s="3" t="str">
        <f aca="false">PROPER(TRIM(SUBSTITUTE(Raw_Text_Fields!I62,CHAR(160)," ")))</f>
        <v>Same Day</v>
      </c>
      <c r="N61" s="3" t="n">
        <v>5</v>
      </c>
      <c r="O61" s="5" t="n">
        <v>4133.85</v>
      </c>
      <c r="P61" s="6" t="n">
        <v>0.2</v>
      </c>
      <c r="Q61" s="5" t="n">
        <v>16535.4</v>
      </c>
      <c r="R61" s="5" t="n">
        <v>12990.21</v>
      </c>
      <c r="S61" s="5" t="n">
        <v>3545.19</v>
      </c>
      <c r="T61" s="3" t="str">
        <f aca="false">PROPER(TRIM(SUBSTITUTE(Raw_Text_Fields!J62,CHAR(160)," ")))</f>
        <v>Paid</v>
      </c>
      <c r="U61" s="3" t="str">
        <f aca="false">PROPER(TRIM(SUBSTITUTE(Raw_Text_Fields!K62,CHAR(160)," ")))</f>
        <v>Cancelled</v>
      </c>
      <c r="V61" s="7" t="n">
        <f aca="false">IF(OR(P61&lt;0,P61&gt;0.5),0,P61)</f>
        <v>0.2</v>
      </c>
      <c r="W61" s="8" t="n">
        <f aca="false">N61*O61*(1-V61)</f>
        <v>16535.4</v>
      </c>
      <c r="X61" s="8" t="n">
        <f aca="false">W61-R61</f>
        <v>3545.19</v>
      </c>
      <c r="Y61" s="7" t="n">
        <f aca="false">IFERROR(X61/W61,0)</f>
        <v>0.214400014514315</v>
      </c>
      <c r="Z61" s="9" t="n">
        <f aca="false">C61-B61</f>
        <v>5</v>
      </c>
      <c r="AA61" s="1" t="str">
        <f aca="false">IF(B61="","",TEXT(B61,"mmm"))</f>
        <v>Jul</v>
      </c>
      <c r="AB61" s="9" t="n">
        <f aca="false">IF(B61="","",YEAR(B61))</f>
        <v>2024</v>
      </c>
      <c r="AC61" s="3"/>
      <c r="AD61" s="3" t="str">
        <f aca="false">IF(LEFT(AC61&amp;IF(B61="","; Missing Order Date","")&amp;IF(C61="","; Missing Ship Date","")&amp;IF(P61&lt;0,"; Invalid Discount (Negative)","")&amp;IF(P61&gt;0.5,"; Invalid Discount (Too High)","")&amp;IF(Z61&lt;0,"; Invalid Shipping Record (Ship Before Order)","")&amp;IF(ABS(Q61-W61)&gt;1,"; Sales Mismatch","")&amp;IF(ABS(S61-X61)&gt;1,"; Profit Mismatch","")&amp;IF(COUNTIF($A$2:$A$913,A61)&gt;1,"; Duplicate Order ID Conflict",""),2)="; ",MID(AC61&amp;IF(B61="","; Missing Order Date","")&amp;IF(C61="","; Missing Ship Date","")&amp;IF(P61&lt;0,"; Invalid Discount (Negative)","")&amp;IF(P61&gt;0.5,"; Invalid Discount (Too High)","")&amp;IF(Z61&lt;0,"; Invalid Shipping Record (Ship Before Order)","")&amp;IF(ABS(Q61-W61)&gt;1,"; Sales Mismatch","")&amp;IF(ABS(S61-X61)&gt;1,"; Profit Mismatch","")&amp;IF(COUNTIF($A$2:$A$913,A61)&gt;1,"; Duplicate Order ID Conflict",""),3,500),AC61&amp;IF(B61="","; Missing Order Date","")&amp;IF(C61="","; Missing Ship Date","")&amp;IF(P61&lt;0,"; Invalid Discount (Negative)","")&amp;IF(P61&gt;0.5,"; Invalid Discount (Too High)","")&amp;IF(Z61&lt;0,"; Invalid Shipping Record (Ship Before Order)","")&amp;IF(ABS(Q61-W61)&gt;1,"; Sales Mismatch","")&amp;IF(ABS(S61-X61)&gt;1,"; Profit Mismatch","")&amp;IF(COUNTIF($A$2:$A$913,A61)&gt;1,"; Duplicate Order ID Conflict",""))</f>
        <v/>
      </c>
      <c r="AE61" s="10" t="str">
        <f aca="false">IF(OR(ISNUMBER(SEARCH("Invalid Discount",AD61)),ISNUMBER(SEARCH("Invalid Shipping Record",AD61)),ISNUMBER(SEARCH("Sales Mismatch",AD61)),ISNUMBER(SEARCH("Profit Mismatch",AD61)),ISNUMBER(SEARCH("Duplicate Order ID Conflict",AD61)),ISNUMBER(SEARCH("Missing Order Date",AD61)),ISNUMBER(SEARCH("Missing Ship Date",AD61))),"Invalid",IF(AD61&lt;&gt;"","Warning","Clean"))</f>
        <v>Clean</v>
      </c>
    </row>
    <row r="62" customFormat="false" ht="15" hidden="false" customHeight="true" outlineLevel="0" collapsed="false">
      <c r="A62" s="3" t="s">
        <v>213</v>
      </c>
      <c r="B62" s="4" t="n">
        <v>45486</v>
      </c>
      <c r="C62" s="4" t="n">
        <v>45492</v>
      </c>
      <c r="D62" s="3" t="s">
        <v>214</v>
      </c>
      <c r="E62" s="3" t="str">
        <f aca="false">PROPER(TRIM(SUBSTITUTE(Raw_Text_Fields!B63,CHAR(160)," ")))</f>
        <v>Ananya Rao</v>
      </c>
      <c r="F62" s="3" t="str">
        <f aca="false">PROPER(TRIM(SUBSTITUTE(Raw_Text_Fields!C63,CHAR(160)," ")))</f>
        <v>Corporate</v>
      </c>
      <c r="G62" s="3" t="str">
        <f aca="false">PROPER(TRIM(SUBSTITUTE(Raw_Text_Fields!D63,CHAR(160)," ")))</f>
        <v>East</v>
      </c>
      <c r="H62" s="3" t="str">
        <f aca="false">PROPER(TRIM(SUBSTITUTE(Raw_Text_Fields!E63,CHAR(160)," ")))</f>
        <v>Assam</v>
      </c>
      <c r="I62" s="3" t="str">
        <f aca="false">PROPER(TRIM(SUBSTITUTE(Raw_Text_Fields!F63,CHAR(160)," ")))</f>
        <v>Guwahati</v>
      </c>
      <c r="J62" s="3" t="str">
        <f aca="false">PROPER(TRIM(SUBSTITUTE(Raw_Text_Fields!G63,CHAR(160)," ")))</f>
        <v>Office Supplies</v>
      </c>
      <c r="K62" s="3" t="str">
        <f aca="false">PROPER(TRIM(SUBSTITUTE(Raw_Text_Fields!H63,CHAR(160)," ")))</f>
        <v>Labels</v>
      </c>
      <c r="L62" s="3" t="s">
        <v>215</v>
      </c>
      <c r="M62" s="3" t="str">
        <f aca="false">PROPER(TRIM(SUBSTITUTE(Raw_Text_Fields!I63,CHAR(160)," ")))</f>
        <v>Same Day</v>
      </c>
      <c r="N62" s="3" t="n">
        <v>3</v>
      </c>
      <c r="O62" s="5" t="n">
        <v>275.76</v>
      </c>
      <c r="P62" s="6" t="n">
        <v>0.2</v>
      </c>
      <c r="Q62" s="5" t="n">
        <v>661.82</v>
      </c>
      <c r="R62" s="5" t="n">
        <v>481.47</v>
      </c>
      <c r="S62" s="5" t="n">
        <v>180.35</v>
      </c>
      <c r="T62" s="3" t="str">
        <f aca="false">PROPER(TRIM(SUBSTITUTE(Raw_Text_Fields!J63,CHAR(160)," ")))</f>
        <v>Refunded</v>
      </c>
      <c r="U62" s="3" t="str">
        <f aca="false">PROPER(TRIM(SUBSTITUTE(Raw_Text_Fields!K63,CHAR(160)," ")))</f>
        <v>Cancelled</v>
      </c>
      <c r="V62" s="7" t="n">
        <f aca="false">IF(OR(P62&lt;0,P62&gt;0.5),0,P62)</f>
        <v>0.2</v>
      </c>
      <c r="W62" s="8" t="n">
        <f aca="false">N62*O62*(1-V62)</f>
        <v>661.824</v>
      </c>
      <c r="X62" s="8" t="n">
        <f aca="false">W62-R62</f>
        <v>180.354</v>
      </c>
      <c r="Y62" s="7" t="n">
        <f aca="false">IFERROR(X62/W62,0)</f>
        <v>0.272510516391065</v>
      </c>
      <c r="Z62" s="9" t="n">
        <f aca="false">C62-B62</f>
        <v>6</v>
      </c>
      <c r="AA62" s="1" t="str">
        <f aca="false">IF(B62="","",TEXT(B62,"mmm"))</f>
        <v>Jul</v>
      </c>
      <c r="AB62" s="9" t="n">
        <f aca="false">IF(B62="","",YEAR(B62))</f>
        <v>2024</v>
      </c>
      <c r="AC62" s="3"/>
      <c r="AD62" s="3" t="str">
        <f aca="false">IF(LEFT(AC62&amp;IF(B62="","; Missing Order Date","")&amp;IF(C62="","; Missing Ship Date","")&amp;IF(P62&lt;0,"; Invalid Discount (Negative)","")&amp;IF(P62&gt;0.5,"; Invalid Discount (Too High)","")&amp;IF(Z62&lt;0,"; Invalid Shipping Record (Ship Before Order)","")&amp;IF(ABS(Q62-W62)&gt;1,"; Sales Mismatch","")&amp;IF(ABS(S62-X62)&gt;1,"; Profit Mismatch","")&amp;IF(COUNTIF($A$2:$A$913,A62)&gt;1,"; Duplicate Order ID Conflict",""),2)="; ",MID(AC62&amp;IF(B62="","; Missing Order Date","")&amp;IF(C62="","; Missing Ship Date","")&amp;IF(P62&lt;0,"; Invalid Discount (Negative)","")&amp;IF(P62&gt;0.5,"; Invalid Discount (Too High)","")&amp;IF(Z62&lt;0,"; Invalid Shipping Record (Ship Before Order)","")&amp;IF(ABS(Q62-W62)&gt;1,"; Sales Mismatch","")&amp;IF(ABS(S62-X62)&gt;1,"; Profit Mismatch","")&amp;IF(COUNTIF($A$2:$A$913,A62)&gt;1,"; Duplicate Order ID Conflict",""),3,500),AC62&amp;IF(B62="","; Missing Order Date","")&amp;IF(C62="","; Missing Ship Date","")&amp;IF(P62&lt;0,"; Invalid Discount (Negative)","")&amp;IF(P62&gt;0.5,"; Invalid Discount (Too High)","")&amp;IF(Z62&lt;0,"; Invalid Shipping Record (Ship Before Order)","")&amp;IF(ABS(Q62-W62)&gt;1,"; Sales Mismatch","")&amp;IF(ABS(S62-X62)&gt;1,"; Profit Mismatch","")&amp;IF(COUNTIF($A$2:$A$913,A62)&gt;1,"; Duplicate Order ID Conflict",""))</f>
        <v/>
      </c>
      <c r="AE62" s="10" t="str">
        <f aca="false">IF(OR(ISNUMBER(SEARCH("Invalid Discount",AD62)),ISNUMBER(SEARCH("Invalid Shipping Record",AD62)),ISNUMBER(SEARCH("Sales Mismatch",AD62)),ISNUMBER(SEARCH("Profit Mismatch",AD62)),ISNUMBER(SEARCH("Duplicate Order ID Conflict",AD62)),ISNUMBER(SEARCH("Missing Order Date",AD62)),ISNUMBER(SEARCH("Missing Ship Date",AD62))),"Invalid",IF(AD62&lt;&gt;"","Warning","Clean"))</f>
        <v>Clean</v>
      </c>
    </row>
    <row r="63" customFormat="false" ht="15" hidden="false" customHeight="true" outlineLevel="0" collapsed="false">
      <c r="A63" s="3" t="s">
        <v>216</v>
      </c>
      <c r="B63" s="4" t="n">
        <v>45398</v>
      </c>
      <c r="C63" s="4" t="n">
        <v>45398</v>
      </c>
      <c r="D63" s="3" t="s">
        <v>217</v>
      </c>
      <c r="E63" s="3" t="str">
        <f aca="false">PROPER(TRIM(SUBSTITUTE(Raw_Text_Fields!B64,CHAR(160)," ")))</f>
        <v>Vikram Iyer</v>
      </c>
      <c r="F63" s="3" t="str">
        <f aca="false">PROPER(TRIM(SUBSTITUTE(Raw_Text_Fields!C64,CHAR(160)," ")))</f>
        <v>Home Office</v>
      </c>
      <c r="G63" s="3" t="str">
        <f aca="false">PROPER(TRIM(SUBSTITUTE(Raw_Text_Fields!D64,CHAR(160)," ")))</f>
        <v>East</v>
      </c>
      <c r="H63" s="3" t="str">
        <f aca="false">PROPER(TRIM(SUBSTITUTE(Raw_Text_Fields!E64,CHAR(160)," ")))</f>
        <v>Bihar</v>
      </c>
      <c r="I63" s="3" t="str">
        <f aca="false">PROPER(TRIM(SUBSTITUTE(Raw_Text_Fields!F64,CHAR(160)," ")))</f>
        <v>Patna</v>
      </c>
      <c r="J63" s="3" t="str">
        <f aca="false">PROPER(TRIM(SUBSTITUTE(Raw_Text_Fields!G64,CHAR(160)," ")))</f>
        <v>Furniture</v>
      </c>
      <c r="K63" s="3" t="str">
        <f aca="false">PROPER(TRIM(SUBSTITUTE(Raw_Text_Fields!H64,CHAR(160)," ")))</f>
        <v>Bookcases</v>
      </c>
      <c r="L63" s="3" t="s">
        <v>218</v>
      </c>
      <c r="M63" s="3" t="str">
        <f aca="false">PROPER(TRIM(SUBSTITUTE(Raw_Text_Fields!I64,CHAR(160)," ")))</f>
        <v>Standard Class</v>
      </c>
      <c r="N63" s="3" t="n">
        <v>1</v>
      </c>
      <c r="O63" s="5" t="n">
        <v>949.59</v>
      </c>
      <c r="P63" s="6" t="n">
        <v>0</v>
      </c>
      <c r="Q63" s="5" t="n">
        <v>949.59</v>
      </c>
      <c r="R63" s="5" t="n">
        <v>751.25</v>
      </c>
      <c r="S63" s="5" t="n">
        <v>198.34</v>
      </c>
      <c r="T63" s="3" t="str">
        <f aca="false">PROPER(TRIM(SUBSTITUTE(Raw_Text_Fields!J64,CHAR(160)," ")))</f>
        <v>Paid</v>
      </c>
      <c r="U63" s="3" t="str">
        <f aca="false">PROPER(TRIM(SUBSTITUTE(Raw_Text_Fields!K64,CHAR(160)," ")))</f>
        <v>Completed</v>
      </c>
      <c r="V63" s="7" t="n">
        <f aca="false">IF(OR(P63&lt;0,P63&gt;0.5),0,P63)</f>
        <v>0</v>
      </c>
      <c r="W63" s="8" t="n">
        <f aca="false">N63*O63*(1-V63)</f>
        <v>949.59</v>
      </c>
      <c r="X63" s="8" t="n">
        <f aca="false">W63-R63</f>
        <v>198.34</v>
      </c>
      <c r="Y63" s="7" t="n">
        <f aca="false">IFERROR(X63/W63,0)</f>
        <v>0.208869090870797</v>
      </c>
      <c r="Z63" s="9" t="n">
        <f aca="false">C63-B63</f>
        <v>0</v>
      </c>
      <c r="AA63" s="1" t="str">
        <f aca="false">IF(B63="","",TEXT(B63,"mmm"))</f>
        <v>Apr</v>
      </c>
      <c r="AB63" s="9" t="n">
        <f aca="false">IF(B63="","",YEAR(B63))</f>
        <v>2024</v>
      </c>
      <c r="AC63" s="3"/>
      <c r="AD63" s="3" t="str">
        <f aca="false">IF(LEFT(AC63&amp;IF(B63="","; Missing Order Date","")&amp;IF(C63="","; Missing Ship Date","")&amp;IF(P63&lt;0,"; Invalid Discount (Negative)","")&amp;IF(P63&gt;0.5,"; Invalid Discount (Too High)","")&amp;IF(Z63&lt;0,"; Invalid Shipping Record (Ship Before Order)","")&amp;IF(ABS(Q63-W63)&gt;1,"; Sales Mismatch","")&amp;IF(ABS(S63-X63)&gt;1,"; Profit Mismatch","")&amp;IF(COUNTIF($A$2:$A$913,A63)&gt;1,"; Duplicate Order ID Conflict",""),2)="; ",MID(AC63&amp;IF(B63="","; Missing Order Date","")&amp;IF(C63="","; Missing Ship Date","")&amp;IF(P63&lt;0,"; Invalid Discount (Negative)","")&amp;IF(P63&gt;0.5,"; Invalid Discount (Too High)","")&amp;IF(Z63&lt;0,"; Invalid Shipping Record (Ship Before Order)","")&amp;IF(ABS(Q63-W63)&gt;1,"; Sales Mismatch","")&amp;IF(ABS(S63-X63)&gt;1,"; Profit Mismatch","")&amp;IF(COUNTIF($A$2:$A$913,A63)&gt;1,"; Duplicate Order ID Conflict",""),3,500),AC63&amp;IF(B63="","; Missing Order Date","")&amp;IF(C63="","; Missing Ship Date","")&amp;IF(P63&lt;0,"; Invalid Discount (Negative)","")&amp;IF(P63&gt;0.5,"; Invalid Discount (Too High)","")&amp;IF(Z63&lt;0,"; Invalid Shipping Record (Ship Before Order)","")&amp;IF(ABS(Q63-W63)&gt;1,"; Sales Mismatch","")&amp;IF(ABS(S63-X63)&gt;1,"; Profit Mismatch","")&amp;IF(COUNTIF($A$2:$A$913,A63)&gt;1,"; Duplicate Order ID Conflict",""))</f>
        <v/>
      </c>
      <c r="AE63" s="10" t="str">
        <f aca="false">IF(OR(ISNUMBER(SEARCH("Invalid Discount",AD63)),ISNUMBER(SEARCH("Invalid Shipping Record",AD63)),ISNUMBER(SEARCH("Sales Mismatch",AD63)),ISNUMBER(SEARCH("Profit Mismatch",AD63)),ISNUMBER(SEARCH("Duplicate Order ID Conflict",AD63)),ISNUMBER(SEARCH("Missing Order Date",AD63)),ISNUMBER(SEARCH("Missing Ship Date",AD63))),"Invalid",IF(AD63&lt;&gt;"","Warning","Clean"))</f>
        <v>Clean</v>
      </c>
    </row>
    <row r="64" customFormat="false" ht="15" hidden="false" customHeight="true" outlineLevel="0" collapsed="false">
      <c r="A64" s="3" t="s">
        <v>219</v>
      </c>
      <c r="B64" s="4" t="n">
        <v>45595</v>
      </c>
      <c r="C64" s="4" t="n">
        <v>45598</v>
      </c>
      <c r="D64" s="3" t="s">
        <v>220</v>
      </c>
      <c r="E64" s="3" t="str">
        <f aca="false">PROPER(TRIM(SUBSTITUTE(Raw_Text_Fields!B65,CHAR(160)," ")))</f>
        <v>Sneha Kapoor</v>
      </c>
      <c r="F64" s="3" t="str">
        <f aca="false">PROPER(TRIM(SUBSTITUTE(Raw_Text_Fields!C65,CHAR(160)," ")))</f>
        <v>Home Office</v>
      </c>
      <c r="G64" s="3" t="str">
        <f aca="false">PROPER(TRIM(SUBSTITUTE(Raw_Text_Fields!D65,CHAR(160)," ")))</f>
        <v>North</v>
      </c>
      <c r="H64" s="3" t="str">
        <f aca="false">PROPER(TRIM(SUBSTITUTE(Raw_Text_Fields!E65,CHAR(160)," ")))</f>
        <v>Rajasthan</v>
      </c>
      <c r="I64" s="3" t="str">
        <f aca="false">PROPER(TRIM(SUBSTITUTE(Raw_Text_Fields!F65,CHAR(160)," ")))</f>
        <v>Jaipur</v>
      </c>
      <c r="J64" s="3" t="str">
        <f aca="false">PROPER(TRIM(SUBSTITUTE(Raw_Text_Fields!G65,CHAR(160)," ")))</f>
        <v>Technology</v>
      </c>
      <c r="K64" s="3" t="str">
        <f aca="false">PROPER(TRIM(SUBSTITUTE(Raw_Text_Fields!H65,CHAR(160)," ")))</f>
        <v>Phones</v>
      </c>
      <c r="L64" s="3" t="s">
        <v>221</v>
      </c>
      <c r="M64" s="3" t="str">
        <f aca="false">PROPER(TRIM(SUBSTITUTE(Raw_Text_Fields!I65,CHAR(160)," ")))</f>
        <v>Standard Class</v>
      </c>
      <c r="N64" s="3" t="n">
        <v>9</v>
      </c>
      <c r="O64" s="5" t="n">
        <v>3042.29</v>
      </c>
      <c r="P64" s="6" t="n">
        <v>0.2</v>
      </c>
      <c r="Q64" s="5" t="n">
        <v>21904.49</v>
      </c>
      <c r="R64" s="5" t="n">
        <v>13570.55</v>
      </c>
      <c r="S64" s="5" t="n">
        <v>8333.94</v>
      </c>
      <c r="T64" s="3" t="str">
        <f aca="false">PROPER(TRIM(SUBSTITUTE(Raw_Text_Fields!J65,CHAR(160)," ")))</f>
        <v>Paid</v>
      </c>
      <c r="U64" s="3" t="str">
        <f aca="false">PROPER(TRIM(SUBSTITUTE(Raw_Text_Fields!K65,CHAR(160)," ")))</f>
        <v>Completed</v>
      </c>
      <c r="V64" s="7" t="n">
        <f aca="false">IF(OR(P64&lt;0,P64&gt;0.5),0,P64)</f>
        <v>0.2</v>
      </c>
      <c r="W64" s="8" t="n">
        <f aca="false">N64*O64*(1-V64)</f>
        <v>21904.488</v>
      </c>
      <c r="X64" s="8" t="n">
        <f aca="false">W64-R64</f>
        <v>8333.938</v>
      </c>
      <c r="Y64" s="7" t="n">
        <f aca="false">IFERROR(X64/W64,0)</f>
        <v>0.380467144450032</v>
      </c>
      <c r="Z64" s="9" t="n">
        <f aca="false">C64-B64</f>
        <v>3</v>
      </c>
      <c r="AA64" s="1" t="str">
        <f aca="false">IF(B64="","",TEXT(B64,"mmm"))</f>
        <v>Oct</v>
      </c>
      <c r="AB64" s="9" t="n">
        <f aca="false">IF(B64="","",YEAR(B64))</f>
        <v>2024</v>
      </c>
      <c r="AC64" s="3"/>
      <c r="AD64" s="3" t="str">
        <f aca="false">IF(LEFT(AC64&amp;IF(B64="","; Missing Order Date","")&amp;IF(C64="","; Missing Ship Date","")&amp;IF(P64&lt;0,"; Invalid Discount (Negative)","")&amp;IF(P64&gt;0.5,"; Invalid Discount (Too High)","")&amp;IF(Z64&lt;0,"; Invalid Shipping Record (Ship Before Order)","")&amp;IF(ABS(Q64-W64)&gt;1,"; Sales Mismatch","")&amp;IF(ABS(S64-X64)&gt;1,"; Profit Mismatch","")&amp;IF(COUNTIF($A$2:$A$913,A64)&gt;1,"; Duplicate Order ID Conflict",""),2)="; ",MID(AC64&amp;IF(B64="","; Missing Order Date","")&amp;IF(C64="","; Missing Ship Date","")&amp;IF(P64&lt;0,"; Invalid Discount (Negative)","")&amp;IF(P64&gt;0.5,"; Invalid Discount (Too High)","")&amp;IF(Z64&lt;0,"; Invalid Shipping Record (Ship Before Order)","")&amp;IF(ABS(Q64-W64)&gt;1,"; Sales Mismatch","")&amp;IF(ABS(S64-X64)&gt;1,"; Profit Mismatch","")&amp;IF(COUNTIF($A$2:$A$913,A64)&gt;1,"; Duplicate Order ID Conflict",""),3,500),AC64&amp;IF(B64="","; Missing Order Date","")&amp;IF(C64="","; Missing Ship Date","")&amp;IF(P64&lt;0,"; Invalid Discount (Negative)","")&amp;IF(P64&gt;0.5,"; Invalid Discount (Too High)","")&amp;IF(Z64&lt;0,"; Invalid Shipping Record (Ship Before Order)","")&amp;IF(ABS(Q64-W64)&gt;1,"; Sales Mismatch","")&amp;IF(ABS(S64-X64)&gt;1,"; Profit Mismatch","")&amp;IF(COUNTIF($A$2:$A$913,A64)&gt;1,"; Duplicate Order ID Conflict",""))</f>
        <v/>
      </c>
      <c r="AE64" s="10" t="str">
        <f aca="false">IF(OR(ISNUMBER(SEARCH("Invalid Discount",AD64)),ISNUMBER(SEARCH("Invalid Shipping Record",AD64)),ISNUMBER(SEARCH("Sales Mismatch",AD64)),ISNUMBER(SEARCH("Profit Mismatch",AD64)),ISNUMBER(SEARCH("Duplicate Order ID Conflict",AD64)),ISNUMBER(SEARCH("Missing Order Date",AD64)),ISNUMBER(SEARCH("Missing Ship Date",AD64))),"Invalid",IF(AD64&lt;&gt;"","Warning","Clean"))</f>
        <v>Clean</v>
      </c>
    </row>
    <row r="65" customFormat="false" ht="15" hidden="false" customHeight="true" outlineLevel="0" collapsed="false">
      <c r="A65" s="3" t="s">
        <v>222</v>
      </c>
      <c r="B65" s="4" t="n">
        <v>45316</v>
      </c>
      <c r="C65" s="4" t="n">
        <v>45323</v>
      </c>
      <c r="D65" s="3" t="s">
        <v>223</v>
      </c>
      <c r="E65" s="3" t="str">
        <f aca="false">PROPER(TRIM(SUBSTITUTE(Raw_Text_Fields!B66,CHAR(160)," ")))</f>
        <v>Sneha Kapoor</v>
      </c>
      <c r="F65" s="3" t="str">
        <f aca="false">PROPER(TRIM(SUBSTITUTE(Raw_Text_Fields!C66,CHAR(160)," ")))</f>
        <v>Home Office</v>
      </c>
      <c r="G65" s="3" t="str">
        <f aca="false">PROPER(TRIM(SUBSTITUTE(Raw_Text_Fields!D66,CHAR(160)," ")))</f>
        <v>North</v>
      </c>
      <c r="H65" s="3" t="str">
        <f aca="false">PROPER(TRIM(SUBSTITUTE(Raw_Text_Fields!E66,CHAR(160)," ")))</f>
        <v>Haryana</v>
      </c>
      <c r="I65" s="3" t="str">
        <f aca="false">PROPER(TRIM(SUBSTITUTE(Raw_Text_Fields!F66,CHAR(160)," ")))</f>
        <v>Gurugram</v>
      </c>
      <c r="J65" s="3" t="str">
        <f aca="false">PROPER(TRIM(SUBSTITUTE(Raw_Text_Fields!G66,CHAR(160)," ")))</f>
        <v>Office Supplies</v>
      </c>
      <c r="K65" s="3" t="str">
        <f aca="false">PROPER(TRIM(SUBSTITUTE(Raw_Text_Fields!H66,CHAR(160)," ")))</f>
        <v>Binders</v>
      </c>
      <c r="L65" s="3" t="s">
        <v>224</v>
      </c>
      <c r="M65" s="3" t="str">
        <f aca="false">PROPER(TRIM(SUBSTITUTE(Raw_Text_Fields!I66,CHAR(160)," ")))</f>
        <v>Same Day</v>
      </c>
      <c r="N65" s="3" t="n">
        <v>2</v>
      </c>
      <c r="O65" s="5" t="n">
        <v>2832.77</v>
      </c>
      <c r="P65" s="6" t="n">
        <v>0.15</v>
      </c>
      <c r="Q65" s="5" t="n">
        <v>4815.71</v>
      </c>
      <c r="R65" s="5" t="n">
        <v>3027.75</v>
      </c>
      <c r="S65" s="5" t="n">
        <v>1917.47</v>
      </c>
      <c r="T65" s="3" t="str">
        <f aca="false">PROPER(TRIM(SUBSTITUTE(Raw_Text_Fields!J66,CHAR(160)," ")))</f>
        <v>Paid</v>
      </c>
      <c r="U65" s="3" t="str">
        <f aca="false">PROPER(TRIM(SUBSTITUTE(Raw_Text_Fields!K66,CHAR(160)," ")))</f>
        <v>Completed</v>
      </c>
      <c r="V65" s="7" t="n">
        <f aca="false">IF(OR(P65&lt;0,P65&gt;0.5),0,P65)</f>
        <v>0.15</v>
      </c>
      <c r="W65" s="8" t="n">
        <f aca="false">N65*O65*(1-V65)</f>
        <v>4815.709</v>
      </c>
      <c r="X65" s="8" t="n">
        <f aca="false">W65-R65</f>
        <v>1787.959</v>
      </c>
      <c r="Y65" s="7" t="n">
        <f aca="false">IFERROR(X65/W65,0)</f>
        <v>0.3712763790337</v>
      </c>
      <c r="Z65" s="9" t="n">
        <f aca="false">C65-B65</f>
        <v>7</v>
      </c>
      <c r="AA65" s="1" t="str">
        <f aca="false">IF(B65="","",TEXT(B65,"mmm"))</f>
        <v>Jan</v>
      </c>
      <c r="AB65" s="9" t="n">
        <f aca="false">IF(B65="","",YEAR(B65))</f>
        <v>2024</v>
      </c>
      <c r="AC65" s="3"/>
      <c r="AD65" s="3" t="str">
        <f aca="false">IF(LEFT(AC65&amp;IF(B65="","; Missing Order Date","")&amp;IF(C65="","; Missing Ship Date","")&amp;IF(P65&lt;0,"; Invalid Discount (Negative)","")&amp;IF(P65&gt;0.5,"; Invalid Discount (Too High)","")&amp;IF(Z65&lt;0,"; Invalid Shipping Record (Ship Before Order)","")&amp;IF(ABS(Q65-W65)&gt;1,"; Sales Mismatch","")&amp;IF(ABS(S65-X65)&gt;1,"; Profit Mismatch","")&amp;IF(COUNTIF($A$2:$A$913,A65)&gt;1,"; Duplicate Order ID Conflict",""),2)="; ",MID(AC65&amp;IF(B65="","; Missing Order Date","")&amp;IF(C65="","; Missing Ship Date","")&amp;IF(P65&lt;0,"; Invalid Discount (Negative)","")&amp;IF(P65&gt;0.5,"; Invalid Discount (Too High)","")&amp;IF(Z65&lt;0,"; Invalid Shipping Record (Ship Before Order)","")&amp;IF(ABS(Q65-W65)&gt;1,"; Sales Mismatch","")&amp;IF(ABS(S65-X65)&gt;1,"; Profit Mismatch","")&amp;IF(COUNTIF($A$2:$A$913,A65)&gt;1,"; Duplicate Order ID Conflict",""),3,500),AC65&amp;IF(B65="","; Missing Order Date","")&amp;IF(C65="","; Missing Ship Date","")&amp;IF(P65&lt;0,"; Invalid Discount (Negative)","")&amp;IF(P65&gt;0.5,"; Invalid Discount (Too High)","")&amp;IF(Z65&lt;0,"; Invalid Shipping Record (Ship Before Order)","")&amp;IF(ABS(Q65-W65)&gt;1,"; Sales Mismatch","")&amp;IF(ABS(S65-X65)&gt;1,"; Profit Mismatch","")&amp;IF(COUNTIF($A$2:$A$913,A65)&gt;1,"; Duplicate Order ID Conflict",""))</f>
        <v>Profit Mismatch</v>
      </c>
      <c r="AE65" s="10" t="str">
        <f aca="false">IF(OR(ISNUMBER(SEARCH("Invalid Discount",AD65)),ISNUMBER(SEARCH("Invalid Shipping Record",AD65)),ISNUMBER(SEARCH("Sales Mismatch",AD65)),ISNUMBER(SEARCH("Profit Mismatch",AD65)),ISNUMBER(SEARCH("Duplicate Order ID Conflict",AD65)),ISNUMBER(SEARCH("Missing Order Date",AD65)),ISNUMBER(SEARCH("Missing Ship Date",AD65))),"Invalid",IF(AD65&lt;&gt;"","Warning","Clean"))</f>
        <v>Invalid</v>
      </c>
    </row>
    <row r="66" customFormat="false" ht="15" hidden="false" customHeight="true" outlineLevel="0" collapsed="false">
      <c r="A66" s="3" t="s">
        <v>225</v>
      </c>
      <c r="B66" s="4" t="n">
        <v>45649</v>
      </c>
      <c r="C66" s="4" t="n">
        <v>45655</v>
      </c>
      <c r="D66" s="3" t="s">
        <v>226</v>
      </c>
      <c r="E66" s="3" t="str">
        <f aca="false">PROPER(TRIM(SUBSTITUTE(Raw_Text_Fields!B67,CHAR(160)," ")))</f>
        <v>Aarav Sharma</v>
      </c>
      <c r="F66" s="3" t="str">
        <f aca="false">PROPER(TRIM(SUBSTITUTE(Raw_Text_Fields!C67,CHAR(160)," ")))</f>
        <v>Corporate</v>
      </c>
      <c r="G66" s="3" t="str">
        <f aca="false">PROPER(TRIM(SUBSTITUTE(Raw_Text_Fields!D67,CHAR(160)," ")))</f>
        <v>East</v>
      </c>
      <c r="H66" s="3" t="str">
        <f aca="false">PROPER(TRIM(SUBSTITUTE(Raw_Text_Fields!E67,CHAR(160)," ")))</f>
        <v>Jharkhand</v>
      </c>
      <c r="I66" s="3" t="str">
        <f aca="false">PROPER(TRIM(SUBSTITUTE(Raw_Text_Fields!F67,CHAR(160)," ")))</f>
        <v>Ranchi</v>
      </c>
      <c r="J66" s="3" t="str">
        <f aca="false">PROPER(TRIM(SUBSTITUTE(Raw_Text_Fields!G67,CHAR(160)," ")))</f>
        <v>Office Supplies</v>
      </c>
      <c r="K66" s="3" t="str">
        <f aca="false">PROPER(TRIM(SUBSTITUTE(Raw_Text_Fields!H67,CHAR(160)," ")))</f>
        <v>Paper</v>
      </c>
      <c r="L66" s="3" t="s">
        <v>227</v>
      </c>
      <c r="M66" s="3" t="str">
        <f aca="false">PROPER(TRIM(SUBSTITUTE(Raw_Text_Fields!I67,CHAR(160)," ")))</f>
        <v>First Class</v>
      </c>
      <c r="N66" s="3" t="n">
        <v>7</v>
      </c>
      <c r="O66" s="5" t="n">
        <v>447.84</v>
      </c>
      <c r="P66" s="6" t="n">
        <v>0</v>
      </c>
      <c r="Q66" s="5" t="n">
        <v>3134.88</v>
      </c>
      <c r="R66" s="5" t="n">
        <v>2367.63</v>
      </c>
      <c r="S66" s="5" t="n">
        <v>767.25</v>
      </c>
      <c r="T66" s="3" t="str">
        <f aca="false">PROPER(TRIM(SUBSTITUTE(Raw_Text_Fields!J67,CHAR(160)," ")))</f>
        <v>Refunded</v>
      </c>
      <c r="U66" s="3" t="str">
        <f aca="false">PROPER(TRIM(SUBSTITUTE(Raw_Text_Fields!K67,CHAR(160)," ")))</f>
        <v>Returned</v>
      </c>
      <c r="V66" s="7" t="n">
        <f aca="false">IF(OR(P66&lt;0,P66&gt;0.5),0,P66)</f>
        <v>0</v>
      </c>
      <c r="W66" s="8" t="n">
        <f aca="false">N66*O66*(1-V66)</f>
        <v>3134.88</v>
      </c>
      <c r="X66" s="8" t="n">
        <f aca="false">W66-R66</f>
        <v>767.25</v>
      </c>
      <c r="Y66" s="7" t="n">
        <f aca="false">IFERROR(X66/W66,0)</f>
        <v>0.244746210381259</v>
      </c>
      <c r="Z66" s="9" t="n">
        <f aca="false">C66-B66</f>
        <v>6</v>
      </c>
      <c r="AA66" s="1" t="str">
        <f aca="false">IF(B66="","",TEXT(B66,"mmm"))</f>
        <v>Dec</v>
      </c>
      <c r="AB66" s="9" t="n">
        <f aca="false">IF(B66="","",YEAR(B66))</f>
        <v>2024</v>
      </c>
      <c r="AC66" s="3"/>
      <c r="AD66" s="3" t="str">
        <f aca="false">IF(LEFT(AC66&amp;IF(B66="","; Missing Order Date","")&amp;IF(C66="","; Missing Ship Date","")&amp;IF(P66&lt;0,"; Invalid Discount (Negative)","")&amp;IF(P66&gt;0.5,"; Invalid Discount (Too High)","")&amp;IF(Z66&lt;0,"; Invalid Shipping Record (Ship Before Order)","")&amp;IF(ABS(Q66-W66)&gt;1,"; Sales Mismatch","")&amp;IF(ABS(S66-X66)&gt;1,"; Profit Mismatch","")&amp;IF(COUNTIF($A$2:$A$913,A66)&gt;1,"; Duplicate Order ID Conflict",""),2)="; ",MID(AC66&amp;IF(B66="","; Missing Order Date","")&amp;IF(C66="","; Missing Ship Date","")&amp;IF(P66&lt;0,"; Invalid Discount (Negative)","")&amp;IF(P66&gt;0.5,"; Invalid Discount (Too High)","")&amp;IF(Z66&lt;0,"; Invalid Shipping Record (Ship Before Order)","")&amp;IF(ABS(Q66-W66)&gt;1,"; Sales Mismatch","")&amp;IF(ABS(S66-X66)&gt;1,"; Profit Mismatch","")&amp;IF(COUNTIF($A$2:$A$913,A66)&gt;1,"; Duplicate Order ID Conflict",""),3,500),AC66&amp;IF(B66="","; Missing Order Date","")&amp;IF(C66="","; Missing Ship Date","")&amp;IF(P66&lt;0,"; Invalid Discount (Negative)","")&amp;IF(P66&gt;0.5,"; Invalid Discount (Too High)","")&amp;IF(Z66&lt;0,"; Invalid Shipping Record (Ship Before Order)","")&amp;IF(ABS(Q66-W66)&gt;1,"; Sales Mismatch","")&amp;IF(ABS(S66-X66)&gt;1,"; Profit Mismatch","")&amp;IF(COUNTIF($A$2:$A$913,A66)&gt;1,"; Duplicate Order ID Conflict",""))</f>
        <v/>
      </c>
      <c r="AE66" s="10" t="str">
        <f aca="false">IF(OR(ISNUMBER(SEARCH("Invalid Discount",AD66)),ISNUMBER(SEARCH("Invalid Shipping Record",AD66)),ISNUMBER(SEARCH("Sales Mismatch",AD66)),ISNUMBER(SEARCH("Profit Mismatch",AD66)),ISNUMBER(SEARCH("Duplicate Order ID Conflict",AD66)),ISNUMBER(SEARCH("Missing Order Date",AD66)),ISNUMBER(SEARCH("Missing Ship Date",AD66))),"Invalid",IF(AD66&lt;&gt;"","Warning","Clean"))</f>
        <v>Clean</v>
      </c>
    </row>
    <row r="67" customFormat="false" ht="15" hidden="false" customHeight="true" outlineLevel="0" collapsed="false">
      <c r="A67" s="3" t="s">
        <v>228</v>
      </c>
      <c r="B67" s="4" t="n">
        <v>45404</v>
      </c>
      <c r="C67" s="4" t="n">
        <v>45409</v>
      </c>
      <c r="D67" s="3" t="s">
        <v>229</v>
      </c>
      <c r="E67" s="3" t="str">
        <f aca="false">PROPER(TRIM(SUBSTITUTE(Raw_Text_Fields!B68,CHAR(160)," ")))</f>
        <v>Mira Das</v>
      </c>
      <c r="F67" s="3" t="str">
        <f aca="false">PROPER(TRIM(SUBSTITUTE(Raw_Text_Fields!C68,CHAR(160)," ")))</f>
        <v>Home Office</v>
      </c>
      <c r="G67" s="3" t="str">
        <f aca="false">PROPER(TRIM(SUBSTITUTE(Raw_Text_Fields!D68,CHAR(160)," ")))</f>
        <v>West</v>
      </c>
      <c r="H67" s="3" t="str">
        <f aca="false">PROPER(TRIM(SUBSTITUTE(Raw_Text_Fields!E68,CHAR(160)," ")))</f>
        <v>Maharashtra</v>
      </c>
      <c r="I67" s="3" t="str">
        <f aca="false">PROPER(TRIM(SUBSTITUTE(Raw_Text_Fields!F68,CHAR(160)," ")))</f>
        <v>Mumbai</v>
      </c>
      <c r="J67" s="3" t="str">
        <f aca="false">PROPER(TRIM(SUBSTITUTE(Raw_Text_Fields!G68,CHAR(160)," ")))</f>
        <v>Office Supplies</v>
      </c>
      <c r="K67" s="3" t="str">
        <f aca="false">PROPER(TRIM(SUBSTITUTE(Raw_Text_Fields!H68,CHAR(160)," ")))</f>
        <v>Paper</v>
      </c>
      <c r="L67" s="3" t="s">
        <v>230</v>
      </c>
      <c r="M67" s="3" t="str">
        <f aca="false">PROPER(TRIM(SUBSTITUTE(Raw_Text_Fields!I68,CHAR(160)," ")))</f>
        <v>Second Class</v>
      </c>
      <c r="N67" s="3" t="n">
        <v>1</v>
      </c>
      <c r="O67" s="5" t="n">
        <v>4280.19</v>
      </c>
      <c r="P67" s="6" t="n">
        <v>0.05</v>
      </c>
      <c r="Q67" s="5" t="n">
        <v>4066.18</v>
      </c>
      <c r="R67" s="5" t="n">
        <v>2628.92</v>
      </c>
      <c r="S67" s="5" t="n">
        <v>1437.26</v>
      </c>
      <c r="T67" s="3" t="str">
        <f aca="false">PROPER(TRIM(SUBSTITUTE(Raw_Text_Fields!J68,CHAR(160)," ")))</f>
        <v>Paid</v>
      </c>
      <c r="U67" s="3" t="str">
        <f aca="false">PROPER(TRIM(SUBSTITUTE(Raw_Text_Fields!K68,CHAR(160)," ")))</f>
        <v>Completed</v>
      </c>
      <c r="V67" s="7" t="n">
        <f aca="false">IF(OR(P67&lt;0,P67&gt;0.5),0,P67)</f>
        <v>0.05</v>
      </c>
      <c r="W67" s="8" t="n">
        <f aca="false">N67*O67*(1-V67)</f>
        <v>4066.1805</v>
      </c>
      <c r="X67" s="8" t="n">
        <f aca="false">W67-R67</f>
        <v>1437.2605</v>
      </c>
      <c r="Y67" s="7" t="n">
        <f aca="false">IFERROR(X67/W67,0)</f>
        <v>0.353466969801267</v>
      </c>
      <c r="Z67" s="9" t="n">
        <f aca="false">C67-B67</f>
        <v>5</v>
      </c>
      <c r="AA67" s="1" t="str">
        <f aca="false">IF(B67="","",TEXT(B67,"mmm"))</f>
        <v>Apr</v>
      </c>
      <c r="AB67" s="9" t="n">
        <f aca="false">IF(B67="","",YEAR(B67))</f>
        <v>2024</v>
      </c>
      <c r="AC67" s="3"/>
      <c r="AD67" s="3" t="str">
        <f aca="false">IF(LEFT(AC67&amp;IF(B67="","; Missing Order Date","")&amp;IF(C67="","; Missing Ship Date","")&amp;IF(P67&lt;0,"; Invalid Discount (Negative)","")&amp;IF(P67&gt;0.5,"; Invalid Discount (Too High)","")&amp;IF(Z67&lt;0,"; Invalid Shipping Record (Ship Before Order)","")&amp;IF(ABS(Q67-W67)&gt;1,"; Sales Mismatch","")&amp;IF(ABS(S67-X67)&gt;1,"; Profit Mismatch","")&amp;IF(COUNTIF($A$2:$A$913,A67)&gt;1,"; Duplicate Order ID Conflict",""),2)="; ",MID(AC67&amp;IF(B67="","; Missing Order Date","")&amp;IF(C67="","; Missing Ship Date","")&amp;IF(P67&lt;0,"; Invalid Discount (Negative)","")&amp;IF(P67&gt;0.5,"; Invalid Discount (Too High)","")&amp;IF(Z67&lt;0,"; Invalid Shipping Record (Ship Before Order)","")&amp;IF(ABS(Q67-W67)&gt;1,"; Sales Mismatch","")&amp;IF(ABS(S67-X67)&gt;1,"; Profit Mismatch","")&amp;IF(COUNTIF($A$2:$A$913,A67)&gt;1,"; Duplicate Order ID Conflict",""),3,500),AC67&amp;IF(B67="","; Missing Order Date","")&amp;IF(C67="","; Missing Ship Date","")&amp;IF(P67&lt;0,"; Invalid Discount (Negative)","")&amp;IF(P67&gt;0.5,"; Invalid Discount (Too High)","")&amp;IF(Z67&lt;0,"; Invalid Shipping Record (Ship Before Order)","")&amp;IF(ABS(Q67-W67)&gt;1,"; Sales Mismatch","")&amp;IF(ABS(S67-X67)&gt;1,"; Profit Mismatch","")&amp;IF(COUNTIF($A$2:$A$913,A67)&gt;1,"; Duplicate Order ID Conflict",""))</f>
        <v/>
      </c>
      <c r="AE67" s="10" t="str">
        <f aca="false">IF(OR(ISNUMBER(SEARCH("Invalid Discount",AD67)),ISNUMBER(SEARCH("Invalid Shipping Record",AD67)),ISNUMBER(SEARCH("Sales Mismatch",AD67)),ISNUMBER(SEARCH("Profit Mismatch",AD67)),ISNUMBER(SEARCH("Duplicate Order ID Conflict",AD67)),ISNUMBER(SEARCH("Missing Order Date",AD67)),ISNUMBER(SEARCH("Missing Ship Date",AD67))),"Invalid",IF(AD67&lt;&gt;"","Warning","Clean"))</f>
        <v>Clean</v>
      </c>
    </row>
    <row r="68" customFormat="false" ht="15" hidden="false" customHeight="true" outlineLevel="0" collapsed="false">
      <c r="A68" s="3" t="s">
        <v>231</v>
      </c>
      <c r="B68" s="4" t="n">
        <v>45897</v>
      </c>
      <c r="C68" s="4" t="n">
        <v>45901</v>
      </c>
      <c r="D68" s="3" t="s">
        <v>232</v>
      </c>
      <c r="E68" s="3" t="str">
        <f aca="false">PROPER(TRIM(SUBSTITUTE(Raw_Text_Fields!B69,CHAR(160)," ")))</f>
        <v>Karan Malhotra</v>
      </c>
      <c r="F68" s="3" t="str">
        <f aca="false">PROPER(TRIM(SUBSTITUTE(Raw_Text_Fields!C69,CHAR(160)," ")))</f>
        <v>Small Business</v>
      </c>
      <c r="G68" s="3" t="str">
        <f aca="false">PROPER(TRIM(SUBSTITUTE(Raw_Text_Fields!D69,CHAR(160)," ")))</f>
        <v>South</v>
      </c>
      <c r="H68" s="3" t="str">
        <f aca="false">PROPER(TRIM(SUBSTITUTE(Raw_Text_Fields!E69,CHAR(160)," ")))</f>
        <v>Tamil Nadu</v>
      </c>
      <c r="I68" s="3" t="str">
        <f aca="false">PROPER(TRIM(SUBSTITUTE(Raw_Text_Fields!F69,CHAR(160)," ")))</f>
        <v>Chennai</v>
      </c>
      <c r="J68" s="3" t="str">
        <f aca="false">PROPER(TRIM(SUBSTITUTE(Raw_Text_Fields!G69,CHAR(160)," ")))</f>
        <v>Technology</v>
      </c>
      <c r="K68" s="3" t="str">
        <f aca="false">PROPER(TRIM(SUBSTITUTE(Raw_Text_Fields!H69,CHAR(160)," ")))</f>
        <v>Accessories</v>
      </c>
      <c r="L68" s="3" t="s">
        <v>233</v>
      </c>
      <c r="M68" s="3" t="str">
        <f aca="false">PROPER(TRIM(SUBSTITUTE(Raw_Text_Fields!I69,CHAR(160)," ")))</f>
        <v>Same Day</v>
      </c>
      <c r="N68" s="3" t="n">
        <v>7</v>
      </c>
      <c r="O68" s="5" t="n">
        <v>1057.46</v>
      </c>
      <c r="P68" s="6" t="n">
        <v>0.05</v>
      </c>
      <c r="Q68" s="5" t="n">
        <v>7032.11</v>
      </c>
      <c r="R68" s="5" t="n">
        <v>4610.34</v>
      </c>
      <c r="S68" s="5" t="n">
        <v>2421.77</v>
      </c>
      <c r="T68" s="3" t="str">
        <f aca="false">PROPER(TRIM(SUBSTITUTE(Raw_Text_Fields!J69,CHAR(160)," ")))</f>
        <v>Paid</v>
      </c>
      <c r="U68" s="3" t="str">
        <f aca="false">PROPER(TRIM(SUBSTITUTE(Raw_Text_Fields!K69,CHAR(160)," ")))</f>
        <v>Completed</v>
      </c>
      <c r="V68" s="7" t="n">
        <f aca="false">IF(OR(P68&lt;0,P68&gt;0.5),0,P68)</f>
        <v>0.05</v>
      </c>
      <c r="W68" s="8" t="n">
        <f aca="false">N68*O68*(1-V68)</f>
        <v>7032.109</v>
      </c>
      <c r="X68" s="8" t="n">
        <f aca="false">W68-R68</f>
        <v>2421.769</v>
      </c>
      <c r="Y68" s="7" t="n">
        <f aca="false">IFERROR(X68/W68,0)</f>
        <v>0.344387295475653</v>
      </c>
      <c r="Z68" s="9" t="n">
        <f aca="false">C68-B68</f>
        <v>4</v>
      </c>
      <c r="AA68" s="1" t="str">
        <f aca="false">IF(B68="","",TEXT(B68,"mmm"))</f>
        <v>Aug</v>
      </c>
      <c r="AB68" s="9" t="n">
        <f aca="false">IF(B68="","",YEAR(B68))</f>
        <v>2025</v>
      </c>
      <c r="AC68" s="3"/>
      <c r="AD68" s="3" t="str">
        <f aca="false">IF(LEFT(AC68&amp;IF(B68="","; Missing Order Date","")&amp;IF(C68="","; Missing Ship Date","")&amp;IF(P68&lt;0,"; Invalid Discount (Negative)","")&amp;IF(P68&gt;0.5,"; Invalid Discount (Too High)","")&amp;IF(Z68&lt;0,"; Invalid Shipping Record (Ship Before Order)","")&amp;IF(ABS(Q68-W68)&gt;1,"; Sales Mismatch","")&amp;IF(ABS(S68-X68)&gt;1,"; Profit Mismatch","")&amp;IF(COUNTIF($A$2:$A$913,A68)&gt;1,"; Duplicate Order ID Conflict",""),2)="; ",MID(AC68&amp;IF(B68="","; Missing Order Date","")&amp;IF(C68="","; Missing Ship Date","")&amp;IF(P68&lt;0,"; Invalid Discount (Negative)","")&amp;IF(P68&gt;0.5,"; Invalid Discount (Too High)","")&amp;IF(Z68&lt;0,"; Invalid Shipping Record (Ship Before Order)","")&amp;IF(ABS(Q68-W68)&gt;1,"; Sales Mismatch","")&amp;IF(ABS(S68-X68)&gt;1,"; Profit Mismatch","")&amp;IF(COUNTIF($A$2:$A$913,A68)&gt;1,"; Duplicate Order ID Conflict",""),3,500),AC68&amp;IF(B68="","; Missing Order Date","")&amp;IF(C68="","; Missing Ship Date","")&amp;IF(P68&lt;0,"; Invalid Discount (Negative)","")&amp;IF(P68&gt;0.5,"; Invalid Discount (Too High)","")&amp;IF(Z68&lt;0,"; Invalid Shipping Record (Ship Before Order)","")&amp;IF(ABS(Q68-W68)&gt;1,"; Sales Mismatch","")&amp;IF(ABS(S68-X68)&gt;1,"; Profit Mismatch","")&amp;IF(COUNTIF($A$2:$A$913,A68)&gt;1,"; Duplicate Order ID Conflict",""))</f>
        <v/>
      </c>
      <c r="AE68" s="10" t="str">
        <f aca="false">IF(OR(ISNUMBER(SEARCH("Invalid Discount",AD68)),ISNUMBER(SEARCH("Invalid Shipping Record",AD68)),ISNUMBER(SEARCH("Sales Mismatch",AD68)),ISNUMBER(SEARCH("Profit Mismatch",AD68)),ISNUMBER(SEARCH("Duplicate Order ID Conflict",AD68)),ISNUMBER(SEARCH("Missing Order Date",AD68)),ISNUMBER(SEARCH("Missing Ship Date",AD68))),"Invalid",IF(AD68&lt;&gt;"","Warning","Clean"))</f>
        <v>Clean</v>
      </c>
    </row>
    <row r="69" customFormat="false" ht="15" hidden="false" customHeight="true" outlineLevel="0" collapsed="false">
      <c r="A69" s="3" t="s">
        <v>234</v>
      </c>
      <c r="B69" s="4" t="n">
        <v>45691</v>
      </c>
      <c r="C69" s="4" t="n">
        <v>45695</v>
      </c>
      <c r="D69" s="3" t="s">
        <v>235</v>
      </c>
      <c r="E69" s="3" t="str">
        <f aca="false">PROPER(TRIM(SUBSTITUTE(Raw_Text_Fields!B70,CHAR(160)," ")))</f>
        <v>Kabir Singh</v>
      </c>
      <c r="F69" s="3" t="str">
        <f aca="false">PROPER(TRIM(SUBSTITUTE(Raw_Text_Fields!C70,CHAR(160)," ")))</f>
        <v>Consumer</v>
      </c>
      <c r="G69" s="3" t="str">
        <f aca="false">PROPER(TRIM(SUBSTITUTE(Raw_Text_Fields!D70,CHAR(160)," ")))</f>
        <v>North</v>
      </c>
      <c r="H69" s="3" t="str">
        <f aca="false">PROPER(TRIM(SUBSTITUTE(Raw_Text_Fields!E70,CHAR(160)," ")))</f>
        <v>Haryana</v>
      </c>
      <c r="I69" s="3" t="str">
        <f aca="false">PROPER(TRIM(SUBSTITUTE(Raw_Text_Fields!F70,CHAR(160)," ")))</f>
        <v>Gurugram</v>
      </c>
      <c r="J69" s="3" t="str">
        <f aca="false">PROPER(TRIM(SUBSTITUTE(Raw_Text_Fields!G70,CHAR(160)," ")))</f>
        <v>Office Supplies</v>
      </c>
      <c r="K69" s="3" t="str">
        <f aca="false">PROPER(TRIM(SUBSTITUTE(Raw_Text_Fields!H70,CHAR(160)," ")))</f>
        <v>Paper</v>
      </c>
      <c r="L69" s="3" t="s">
        <v>236</v>
      </c>
      <c r="M69" s="3" t="str">
        <f aca="false">PROPER(TRIM(SUBSTITUTE(Raw_Text_Fields!I70,CHAR(160)," ")))</f>
        <v>First Class</v>
      </c>
      <c r="N69" s="3" t="n">
        <v>7</v>
      </c>
      <c r="O69" s="5" t="n">
        <v>3609.34</v>
      </c>
      <c r="P69" s="6" t="n">
        <v>0.05</v>
      </c>
      <c r="Q69" s="5" t="n">
        <v>24002.11</v>
      </c>
      <c r="R69" s="5" t="n">
        <v>18707.57</v>
      </c>
      <c r="S69" s="5" t="n">
        <v>5294.54</v>
      </c>
      <c r="T69" s="3" t="str">
        <f aca="false">PROPER(TRIM(SUBSTITUTE(Raw_Text_Fields!J70,CHAR(160)," ")))</f>
        <v>Paid</v>
      </c>
      <c r="U69" s="3" t="str">
        <f aca="false">PROPER(TRIM(SUBSTITUTE(Raw_Text_Fields!K70,CHAR(160)," ")))</f>
        <v>Completed</v>
      </c>
      <c r="V69" s="7" t="n">
        <f aca="false">IF(OR(P69&lt;0,P69&gt;0.5),0,P69)</f>
        <v>0.05</v>
      </c>
      <c r="W69" s="8" t="n">
        <f aca="false">N69*O69*(1-V69)</f>
        <v>24002.111</v>
      </c>
      <c r="X69" s="8" t="n">
        <f aca="false">W69-R69</f>
        <v>5294.541</v>
      </c>
      <c r="Y69" s="7" t="n">
        <f aca="false">IFERROR(X69/W69,0)</f>
        <v>0.220586472581516</v>
      </c>
      <c r="Z69" s="9" t="n">
        <f aca="false">C69-B69</f>
        <v>4</v>
      </c>
      <c r="AA69" s="1" t="str">
        <f aca="false">IF(B69="","",TEXT(B69,"mmm"))</f>
        <v>Feb</v>
      </c>
      <c r="AB69" s="9" t="n">
        <f aca="false">IF(B69="","",YEAR(B69))</f>
        <v>2025</v>
      </c>
      <c r="AC69" s="3"/>
      <c r="AD69" s="3" t="str">
        <f aca="false">IF(LEFT(AC69&amp;IF(B69="","; Missing Order Date","")&amp;IF(C69="","; Missing Ship Date","")&amp;IF(P69&lt;0,"; Invalid Discount (Negative)","")&amp;IF(P69&gt;0.5,"; Invalid Discount (Too High)","")&amp;IF(Z69&lt;0,"; Invalid Shipping Record (Ship Before Order)","")&amp;IF(ABS(Q69-W69)&gt;1,"; Sales Mismatch","")&amp;IF(ABS(S69-X69)&gt;1,"; Profit Mismatch","")&amp;IF(COUNTIF($A$2:$A$913,A69)&gt;1,"; Duplicate Order ID Conflict",""),2)="; ",MID(AC69&amp;IF(B69="","; Missing Order Date","")&amp;IF(C69="","; Missing Ship Date","")&amp;IF(P69&lt;0,"; Invalid Discount (Negative)","")&amp;IF(P69&gt;0.5,"; Invalid Discount (Too High)","")&amp;IF(Z69&lt;0,"; Invalid Shipping Record (Ship Before Order)","")&amp;IF(ABS(Q69-W69)&gt;1,"; Sales Mismatch","")&amp;IF(ABS(S69-X69)&gt;1,"; Profit Mismatch","")&amp;IF(COUNTIF($A$2:$A$913,A69)&gt;1,"; Duplicate Order ID Conflict",""),3,500),AC69&amp;IF(B69="","; Missing Order Date","")&amp;IF(C69="","; Missing Ship Date","")&amp;IF(P69&lt;0,"; Invalid Discount (Negative)","")&amp;IF(P69&gt;0.5,"; Invalid Discount (Too High)","")&amp;IF(Z69&lt;0,"; Invalid Shipping Record (Ship Before Order)","")&amp;IF(ABS(Q69-W69)&gt;1,"; Sales Mismatch","")&amp;IF(ABS(S69-X69)&gt;1,"; Profit Mismatch","")&amp;IF(COUNTIF($A$2:$A$913,A69)&gt;1,"; Duplicate Order ID Conflict",""))</f>
        <v/>
      </c>
      <c r="AE69" s="10" t="str">
        <f aca="false">IF(OR(ISNUMBER(SEARCH("Invalid Discount",AD69)),ISNUMBER(SEARCH("Invalid Shipping Record",AD69)),ISNUMBER(SEARCH("Sales Mismatch",AD69)),ISNUMBER(SEARCH("Profit Mismatch",AD69)),ISNUMBER(SEARCH("Duplicate Order ID Conflict",AD69)),ISNUMBER(SEARCH("Missing Order Date",AD69)),ISNUMBER(SEARCH("Missing Ship Date",AD69))),"Invalid",IF(AD69&lt;&gt;"","Warning","Clean"))</f>
        <v>Clean</v>
      </c>
    </row>
    <row r="70" customFormat="false" ht="15" hidden="false" customHeight="true" outlineLevel="0" collapsed="false">
      <c r="A70" s="3" t="s">
        <v>237</v>
      </c>
      <c r="B70" s="4" t="n">
        <v>45606</v>
      </c>
      <c r="C70" s="4" t="n">
        <v>45609</v>
      </c>
      <c r="D70" s="3" t="s">
        <v>238</v>
      </c>
      <c r="E70" s="3" t="str">
        <f aca="false">PROPER(TRIM(SUBSTITUTE(Raw_Text_Fields!B71,CHAR(160)," ")))</f>
        <v>Isha Nair</v>
      </c>
      <c r="F70" s="3" t="str">
        <f aca="false">PROPER(TRIM(SUBSTITUTE(Raw_Text_Fields!C71,CHAR(160)," ")))</f>
        <v>Corporate</v>
      </c>
      <c r="G70" s="3" t="str">
        <f aca="false">PROPER(TRIM(SUBSTITUTE(Raw_Text_Fields!D71,CHAR(160)," ")))</f>
        <v>East</v>
      </c>
      <c r="H70" s="3" t="str">
        <f aca="false">PROPER(TRIM(SUBSTITUTE(Raw_Text_Fields!E71,CHAR(160)," ")))</f>
        <v>Jharkhand</v>
      </c>
      <c r="I70" s="3" t="str">
        <f aca="false">PROPER(TRIM(SUBSTITUTE(Raw_Text_Fields!F71,CHAR(160)," ")))</f>
        <v>Ranchi</v>
      </c>
      <c r="J70" s="3" t="str">
        <f aca="false">PROPER(TRIM(SUBSTITUTE(Raw_Text_Fields!G71,CHAR(160)," ")))</f>
        <v>Office Supplies</v>
      </c>
      <c r="K70" s="3" t="str">
        <f aca="false">PROPER(TRIM(SUBSTITUTE(Raw_Text_Fields!H71,CHAR(160)," ")))</f>
        <v>Storage</v>
      </c>
      <c r="L70" s="3" t="s">
        <v>239</v>
      </c>
      <c r="M70" s="3" t="str">
        <f aca="false">PROPER(TRIM(SUBSTITUTE(Raw_Text_Fields!I71,CHAR(160)," ")))</f>
        <v>Second Class</v>
      </c>
      <c r="N70" s="3" t="n">
        <v>9</v>
      </c>
      <c r="O70" s="5" t="n">
        <v>2211.12</v>
      </c>
      <c r="P70" s="6" t="n">
        <v>0</v>
      </c>
      <c r="Q70" s="5" t="n">
        <v>19900.08</v>
      </c>
      <c r="R70" s="5" t="n">
        <v>10962.66</v>
      </c>
      <c r="S70" s="5" t="n">
        <v>8937.42</v>
      </c>
      <c r="T70" s="3" t="str">
        <f aca="false">PROPER(TRIM(SUBSTITUTE(Raw_Text_Fields!J71,CHAR(160)," ")))</f>
        <v>Failed</v>
      </c>
      <c r="U70" s="3" t="str">
        <f aca="false">PROPER(TRIM(SUBSTITUTE(Raw_Text_Fields!K71,CHAR(160)," ")))</f>
        <v>Returned</v>
      </c>
      <c r="V70" s="7" t="n">
        <f aca="false">IF(OR(P70&lt;0,P70&gt;0.5),0,P70)</f>
        <v>0</v>
      </c>
      <c r="W70" s="8" t="n">
        <f aca="false">N70*O70*(1-V70)</f>
        <v>19900.08</v>
      </c>
      <c r="X70" s="8" t="n">
        <f aca="false">W70-R70</f>
        <v>8937.42</v>
      </c>
      <c r="Y70" s="7" t="n">
        <f aca="false">IFERROR(X70/W70,0)</f>
        <v>0.44911477742803</v>
      </c>
      <c r="Z70" s="9" t="n">
        <f aca="false">C70-B70</f>
        <v>3</v>
      </c>
      <c r="AA70" s="1" t="str">
        <f aca="false">IF(B70="","",TEXT(B70,"mmm"))</f>
        <v>Nov</v>
      </c>
      <c r="AB70" s="9" t="n">
        <f aca="false">IF(B70="","",YEAR(B70))</f>
        <v>2024</v>
      </c>
      <c r="AC70" s="3"/>
      <c r="AD70" s="3" t="str">
        <f aca="false">IF(LEFT(AC70&amp;IF(B70="","; Missing Order Date","")&amp;IF(C70="","; Missing Ship Date","")&amp;IF(P70&lt;0,"; Invalid Discount (Negative)","")&amp;IF(P70&gt;0.5,"; Invalid Discount (Too High)","")&amp;IF(Z70&lt;0,"; Invalid Shipping Record (Ship Before Order)","")&amp;IF(ABS(Q70-W70)&gt;1,"; Sales Mismatch","")&amp;IF(ABS(S70-X70)&gt;1,"; Profit Mismatch","")&amp;IF(COUNTIF($A$2:$A$913,A70)&gt;1,"; Duplicate Order ID Conflict",""),2)="; ",MID(AC70&amp;IF(B70="","; Missing Order Date","")&amp;IF(C70="","; Missing Ship Date","")&amp;IF(P70&lt;0,"; Invalid Discount (Negative)","")&amp;IF(P70&gt;0.5,"; Invalid Discount (Too High)","")&amp;IF(Z70&lt;0,"; Invalid Shipping Record (Ship Before Order)","")&amp;IF(ABS(Q70-W70)&gt;1,"; Sales Mismatch","")&amp;IF(ABS(S70-X70)&gt;1,"; Profit Mismatch","")&amp;IF(COUNTIF($A$2:$A$913,A70)&gt;1,"; Duplicate Order ID Conflict",""),3,500),AC70&amp;IF(B70="","; Missing Order Date","")&amp;IF(C70="","; Missing Ship Date","")&amp;IF(P70&lt;0,"; Invalid Discount (Negative)","")&amp;IF(P70&gt;0.5,"; Invalid Discount (Too High)","")&amp;IF(Z70&lt;0,"; Invalid Shipping Record (Ship Before Order)","")&amp;IF(ABS(Q70-W70)&gt;1,"; Sales Mismatch","")&amp;IF(ABS(S70-X70)&gt;1,"; Profit Mismatch","")&amp;IF(COUNTIF($A$2:$A$913,A70)&gt;1,"; Duplicate Order ID Conflict",""))</f>
        <v/>
      </c>
      <c r="AE70" s="10" t="str">
        <f aca="false">IF(OR(ISNUMBER(SEARCH("Invalid Discount",AD70)),ISNUMBER(SEARCH("Invalid Shipping Record",AD70)),ISNUMBER(SEARCH("Sales Mismatch",AD70)),ISNUMBER(SEARCH("Profit Mismatch",AD70)),ISNUMBER(SEARCH("Duplicate Order ID Conflict",AD70)),ISNUMBER(SEARCH("Missing Order Date",AD70)),ISNUMBER(SEARCH("Missing Ship Date",AD70))),"Invalid",IF(AD70&lt;&gt;"","Warning","Clean"))</f>
        <v>Clean</v>
      </c>
    </row>
    <row r="71" customFormat="false" ht="15" hidden="false" customHeight="true" outlineLevel="0" collapsed="false">
      <c r="A71" s="3" t="s">
        <v>240</v>
      </c>
      <c r="B71" s="4" t="n">
        <v>45391</v>
      </c>
      <c r="C71" s="4" t="n">
        <v>45396</v>
      </c>
      <c r="D71" s="3" t="s">
        <v>241</v>
      </c>
      <c r="E71" s="3" t="str">
        <f aca="false">PROPER(TRIM(SUBSTITUTE(Raw_Text_Fields!B72,CHAR(160)," ")))</f>
        <v>Neha Gupta</v>
      </c>
      <c r="F71" s="3" t="str">
        <f aca="false">PROPER(TRIM(SUBSTITUTE(Raw_Text_Fields!C72,CHAR(160)," ")))</f>
        <v>Small Business</v>
      </c>
      <c r="G71" s="3" t="str">
        <f aca="false">PROPER(TRIM(SUBSTITUTE(Raw_Text_Fields!D72,CHAR(160)," ")))</f>
        <v>West</v>
      </c>
      <c r="H71" s="3" t="str">
        <f aca="false">PROPER(TRIM(SUBSTITUTE(Raw_Text_Fields!E72,CHAR(160)," ")))</f>
        <v>Gujarat</v>
      </c>
      <c r="I71" s="3" t="str">
        <f aca="false">PROPER(TRIM(SUBSTITUTE(Raw_Text_Fields!F72,CHAR(160)," ")))</f>
        <v>Ahmedabad</v>
      </c>
      <c r="J71" s="3" t="str">
        <f aca="false">PROPER(TRIM(SUBSTITUTE(Raw_Text_Fields!G72,CHAR(160)," ")))</f>
        <v>Technology</v>
      </c>
      <c r="K71" s="3" t="str">
        <f aca="false">PROPER(TRIM(SUBSTITUTE(Raw_Text_Fields!H72,CHAR(160)," ")))</f>
        <v>Machines</v>
      </c>
      <c r="L71" s="3" t="s">
        <v>242</v>
      </c>
      <c r="M71" s="3" t="str">
        <f aca="false">PROPER(TRIM(SUBSTITUTE(Raw_Text_Fields!I72,CHAR(160)," ")))</f>
        <v>Same Day</v>
      </c>
      <c r="N71" s="3" t="n">
        <v>7</v>
      </c>
      <c r="O71" s="5" t="n">
        <v>3417.09</v>
      </c>
      <c r="P71" s="6" t="n">
        <v>0.1</v>
      </c>
      <c r="Q71" s="5" t="n">
        <v>21527.67</v>
      </c>
      <c r="R71" s="5" t="n">
        <v>18287.58</v>
      </c>
      <c r="S71" s="5" t="n">
        <v>3240.09</v>
      </c>
      <c r="T71" s="3" t="str">
        <f aca="false">PROPER(TRIM(SUBSTITUTE(Raw_Text_Fields!J72,CHAR(160)," ")))</f>
        <v>Refunded</v>
      </c>
      <c r="U71" s="3" t="str">
        <f aca="false">PROPER(TRIM(SUBSTITUTE(Raw_Text_Fields!K72,CHAR(160)," ")))</f>
        <v>Returned</v>
      </c>
      <c r="V71" s="7" t="n">
        <f aca="false">IF(OR(P71&lt;0,P71&gt;0.5),0,P71)</f>
        <v>0.1</v>
      </c>
      <c r="W71" s="8" t="n">
        <f aca="false">N71*O71*(1-V71)</f>
        <v>21527.667</v>
      </c>
      <c r="X71" s="8" t="n">
        <f aca="false">W71-R71</f>
        <v>3240.087</v>
      </c>
      <c r="Y71" s="7" t="n">
        <f aca="false">IFERROR(X71/W71,0)</f>
        <v>0.150508041582026</v>
      </c>
      <c r="Z71" s="9" t="n">
        <f aca="false">C71-B71</f>
        <v>5</v>
      </c>
      <c r="AA71" s="1" t="str">
        <f aca="false">IF(B71="","",TEXT(B71,"mmm"))</f>
        <v>Apr</v>
      </c>
      <c r="AB71" s="9" t="n">
        <f aca="false">IF(B71="","",YEAR(B71))</f>
        <v>2024</v>
      </c>
      <c r="AC71" s="3"/>
      <c r="AD71" s="3" t="str">
        <f aca="false">IF(LEFT(AC71&amp;IF(B71="","; Missing Order Date","")&amp;IF(C71="","; Missing Ship Date","")&amp;IF(P71&lt;0,"; Invalid Discount (Negative)","")&amp;IF(P71&gt;0.5,"; Invalid Discount (Too High)","")&amp;IF(Z71&lt;0,"; Invalid Shipping Record (Ship Before Order)","")&amp;IF(ABS(Q71-W71)&gt;1,"; Sales Mismatch","")&amp;IF(ABS(S71-X71)&gt;1,"; Profit Mismatch","")&amp;IF(COUNTIF($A$2:$A$913,A71)&gt;1,"; Duplicate Order ID Conflict",""),2)="; ",MID(AC71&amp;IF(B71="","; Missing Order Date","")&amp;IF(C71="","; Missing Ship Date","")&amp;IF(P71&lt;0,"; Invalid Discount (Negative)","")&amp;IF(P71&gt;0.5,"; Invalid Discount (Too High)","")&amp;IF(Z71&lt;0,"; Invalid Shipping Record (Ship Before Order)","")&amp;IF(ABS(Q71-W71)&gt;1,"; Sales Mismatch","")&amp;IF(ABS(S71-X71)&gt;1,"; Profit Mismatch","")&amp;IF(COUNTIF($A$2:$A$913,A71)&gt;1,"; Duplicate Order ID Conflict",""),3,500),AC71&amp;IF(B71="","; Missing Order Date","")&amp;IF(C71="","; Missing Ship Date","")&amp;IF(P71&lt;0,"; Invalid Discount (Negative)","")&amp;IF(P71&gt;0.5,"; Invalid Discount (Too High)","")&amp;IF(Z71&lt;0,"; Invalid Shipping Record (Ship Before Order)","")&amp;IF(ABS(Q71-W71)&gt;1,"; Sales Mismatch","")&amp;IF(ABS(S71-X71)&gt;1,"; Profit Mismatch","")&amp;IF(COUNTIF($A$2:$A$913,A71)&gt;1,"; Duplicate Order ID Conflict",""))</f>
        <v/>
      </c>
      <c r="AE71" s="10" t="str">
        <f aca="false">IF(OR(ISNUMBER(SEARCH("Invalid Discount",AD71)),ISNUMBER(SEARCH("Invalid Shipping Record",AD71)),ISNUMBER(SEARCH("Sales Mismatch",AD71)),ISNUMBER(SEARCH("Profit Mismatch",AD71)),ISNUMBER(SEARCH("Duplicate Order ID Conflict",AD71)),ISNUMBER(SEARCH("Missing Order Date",AD71)),ISNUMBER(SEARCH("Missing Ship Date",AD71))),"Invalid",IF(AD71&lt;&gt;"","Warning","Clean"))</f>
        <v>Clean</v>
      </c>
    </row>
    <row r="72" customFormat="false" ht="15" hidden="false" customHeight="true" outlineLevel="0" collapsed="false">
      <c r="A72" s="3" t="s">
        <v>243</v>
      </c>
      <c r="B72" s="4" t="n">
        <v>45891</v>
      </c>
      <c r="C72" s="4" t="n">
        <v>45896</v>
      </c>
      <c r="D72" s="3" t="s">
        <v>244</v>
      </c>
      <c r="E72" s="3" t="str">
        <f aca="false">PROPER(TRIM(SUBSTITUTE(Raw_Text_Fields!B73,CHAR(160)," ")))</f>
        <v>Karan Malhotra</v>
      </c>
      <c r="F72" s="3" t="str">
        <f aca="false">PROPER(TRIM(SUBSTITUTE(Raw_Text_Fields!C73,CHAR(160)," ")))</f>
        <v>Corporate</v>
      </c>
      <c r="G72" s="3" t="str">
        <f aca="false">PROPER(TRIM(SUBSTITUTE(Raw_Text_Fields!D73,CHAR(160)," ")))</f>
        <v>South</v>
      </c>
      <c r="H72" s="3" t="str">
        <f aca="false">PROPER(TRIM(SUBSTITUTE(Raw_Text_Fields!E73,CHAR(160)," ")))</f>
        <v>Andhra Pradesh</v>
      </c>
      <c r="I72" s="3" t="str">
        <f aca="false">PROPER(TRIM(SUBSTITUTE(Raw_Text_Fields!F73,CHAR(160)," ")))</f>
        <v>Vijayawada</v>
      </c>
      <c r="J72" s="3" t="str">
        <f aca="false">PROPER(TRIM(SUBSTITUTE(Raw_Text_Fields!G73,CHAR(160)," ")))</f>
        <v>Technology</v>
      </c>
      <c r="K72" s="3" t="str">
        <f aca="false">PROPER(TRIM(SUBSTITUTE(Raw_Text_Fields!H73,CHAR(160)," ")))</f>
        <v>Phones</v>
      </c>
      <c r="L72" s="3" t="s">
        <v>245</v>
      </c>
      <c r="M72" s="3" t="str">
        <f aca="false">PROPER(TRIM(SUBSTITUTE(Raw_Text_Fields!I73,CHAR(160)," ")))</f>
        <v>First Class</v>
      </c>
      <c r="N72" s="3" t="n">
        <v>2</v>
      </c>
      <c r="O72" s="5" t="n">
        <v>905.87</v>
      </c>
      <c r="P72" s="6" t="n">
        <v>0.15</v>
      </c>
      <c r="Q72" s="5" t="n">
        <v>1539.98</v>
      </c>
      <c r="R72" s="5" t="n">
        <v>1070.2</v>
      </c>
      <c r="S72" s="5" t="n">
        <v>469.78</v>
      </c>
      <c r="T72" s="3" t="str">
        <f aca="false">PROPER(TRIM(SUBSTITUTE(Raw_Text_Fields!J73,CHAR(160)," ")))</f>
        <v>Paid</v>
      </c>
      <c r="U72" s="3" t="str">
        <f aca="false">PROPER(TRIM(SUBSTITUTE(Raw_Text_Fields!K73,CHAR(160)," ")))</f>
        <v>Completed</v>
      </c>
      <c r="V72" s="7" t="n">
        <f aca="false">IF(OR(P72&lt;0,P72&gt;0.5),0,P72)</f>
        <v>0.15</v>
      </c>
      <c r="W72" s="8" t="n">
        <f aca="false">N72*O72*(1-V72)</f>
        <v>1539.979</v>
      </c>
      <c r="X72" s="8" t="n">
        <f aca="false">W72-R72</f>
        <v>469.779</v>
      </c>
      <c r="Y72" s="7" t="n">
        <f aca="false">IFERROR(X72/W72,0)</f>
        <v>0.305055458548461</v>
      </c>
      <c r="Z72" s="9" t="n">
        <f aca="false">C72-B72</f>
        <v>5</v>
      </c>
      <c r="AA72" s="1" t="str">
        <f aca="false">IF(B72="","",TEXT(B72,"mmm"))</f>
        <v>Aug</v>
      </c>
      <c r="AB72" s="9" t="n">
        <f aca="false">IF(B72="","",YEAR(B72))</f>
        <v>2025</v>
      </c>
      <c r="AC72" s="3"/>
      <c r="AD72" s="3" t="str">
        <f aca="false">IF(LEFT(AC72&amp;IF(B72="","; Missing Order Date","")&amp;IF(C72="","; Missing Ship Date","")&amp;IF(P72&lt;0,"; Invalid Discount (Negative)","")&amp;IF(P72&gt;0.5,"; Invalid Discount (Too High)","")&amp;IF(Z72&lt;0,"; Invalid Shipping Record (Ship Before Order)","")&amp;IF(ABS(Q72-W72)&gt;1,"; Sales Mismatch","")&amp;IF(ABS(S72-X72)&gt;1,"; Profit Mismatch","")&amp;IF(COUNTIF($A$2:$A$913,A72)&gt;1,"; Duplicate Order ID Conflict",""),2)="; ",MID(AC72&amp;IF(B72="","; Missing Order Date","")&amp;IF(C72="","; Missing Ship Date","")&amp;IF(P72&lt;0,"; Invalid Discount (Negative)","")&amp;IF(P72&gt;0.5,"; Invalid Discount (Too High)","")&amp;IF(Z72&lt;0,"; Invalid Shipping Record (Ship Before Order)","")&amp;IF(ABS(Q72-W72)&gt;1,"; Sales Mismatch","")&amp;IF(ABS(S72-X72)&gt;1,"; Profit Mismatch","")&amp;IF(COUNTIF($A$2:$A$913,A72)&gt;1,"; Duplicate Order ID Conflict",""),3,500),AC72&amp;IF(B72="","; Missing Order Date","")&amp;IF(C72="","; Missing Ship Date","")&amp;IF(P72&lt;0,"; Invalid Discount (Negative)","")&amp;IF(P72&gt;0.5,"; Invalid Discount (Too High)","")&amp;IF(Z72&lt;0,"; Invalid Shipping Record (Ship Before Order)","")&amp;IF(ABS(Q72-W72)&gt;1,"; Sales Mismatch","")&amp;IF(ABS(S72-X72)&gt;1,"; Profit Mismatch","")&amp;IF(COUNTIF($A$2:$A$913,A72)&gt;1,"; Duplicate Order ID Conflict",""))</f>
        <v/>
      </c>
      <c r="AE72" s="10" t="str">
        <f aca="false">IF(OR(ISNUMBER(SEARCH("Invalid Discount",AD72)),ISNUMBER(SEARCH("Invalid Shipping Record",AD72)),ISNUMBER(SEARCH("Sales Mismatch",AD72)),ISNUMBER(SEARCH("Profit Mismatch",AD72)),ISNUMBER(SEARCH("Duplicate Order ID Conflict",AD72)),ISNUMBER(SEARCH("Missing Order Date",AD72)),ISNUMBER(SEARCH("Missing Ship Date",AD72))),"Invalid",IF(AD72&lt;&gt;"","Warning","Clean"))</f>
        <v>Clean</v>
      </c>
    </row>
    <row r="73" customFormat="false" ht="15" hidden="false" customHeight="true" outlineLevel="0" collapsed="false">
      <c r="A73" s="3" t="s">
        <v>246</v>
      </c>
      <c r="B73" s="4" t="n">
        <v>45763</v>
      </c>
      <c r="C73" s="4" t="n">
        <v>45770</v>
      </c>
      <c r="D73" s="3" t="s">
        <v>247</v>
      </c>
      <c r="E73" s="3" t="str">
        <f aca="false">PROPER(TRIM(SUBSTITUTE(Raw_Text_Fields!B74,CHAR(160)," ")))</f>
        <v>Mira Das</v>
      </c>
      <c r="F73" s="3" t="str">
        <f aca="false">PROPER(TRIM(SUBSTITUTE(Raw_Text_Fields!C74,CHAR(160)," ")))</f>
        <v>Small Business</v>
      </c>
      <c r="G73" s="3" t="str">
        <f aca="false">PROPER(TRIM(SUBSTITUTE(Raw_Text_Fields!D74,CHAR(160)," ")))</f>
        <v>West</v>
      </c>
      <c r="H73" s="3" t="str">
        <f aca="false">PROPER(TRIM(SUBSTITUTE(Raw_Text_Fields!E74,CHAR(160)," ")))</f>
        <v>Goa</v>
      </c>
      <c r="I73" s="3" t="str">
        <f aca="false">PROPER(TRIM(SUBSTITUTE(Raw_Text_Fields!F74,CHAR(160)," ")))</f>
        <v>Panaji</v>
      </c>
      <c r="J73" s="3" t="str">
        <f aca="false">PROPER(TRIM(SUBSTITUTE(Raw_Text_Fields!G74,CHAR(160)," ")))</f>
        <v>Technology</v>
      </c>
      <c r="K73" s="3" t="str">
        <f aca="false">PROPER(TRIM(SUBSTITUTE(Raw_Text_Fields!H74,CHAR(160)," ")))</f>
        <v>Machines</v>
      </c>
      <c r="L73" s="3" t="s">
        <v>248</v>
      </c>
      <c r="M73" s="3" t="str">
        <f aca="false">PROPER(TRIM(SUBSTITUTE(Raw_Text_Fields!I74,CHAR(160)," ")))</f>
        <v>Standard Class</v>
      </c>
      <c r="N73" s="3" t="n">
        <v>6</v>
      </c>
      <c r="O73" s="5" t="n">
        <v>2027.32</v>
      </c>
      <c r="P73" s="6" t="n">
        <v>0.1</v>
      </c>
      <c r="Q73" s="5" t="n">
        <v>10947.53</v>
      </c>
      <c r="R73" s="5" t="n">
        <v>6447.36</v>
      </c>
      <c r="S73" s="5" t="n">
        <v>4500.17</v>
      </c>
      <c r="T73" s="3" t="str">
        <f aca="false">PROPER(TRIM(SUBSTITUTE(Raw_Text_Fields!J74,CHAR(160)," ")))</f>
        <v>Paid</v>
      </c>
      <c r="U73" s="3" t="str">
        <f aca="false">PROPER(TRIM(SUBSTITUTE(Raw_Text_Fields!K74,CHAR(160)," ")))</f>
        <v>Completed</v>
      </c>
      <c r="V73" s="7" t="n">
        <f aca="false">IF(OR(P73&lt;0,P73&gt;0.5),0,P73)</f>
        <v>0.1</v>
      </c>
      <c r="W73" s="8" t="n">
        <f aca="false">N73*O73*(1-V73)</f>
        <v>10947.528</v>
      </c>
      <c r="X73" s="8" t="n">
        <f aca="false">W73-R73</f>
        <v>4500.168</v>
      </c>
      <c r="Y73" s="7" t="n">
        <f aca="false">IFERROR(X73/W73,0)</f>
        <v>0.411067046368824</v>
      </c>
      <c r="Z73" s="9" t="n">
        <f aca="false">C73-B73</f>
        <v>7</v>
      </c>
      <c r="AA73" s="1" t="str">
        <f aca="false">IF(B73="","",TEXT(B73,"mmm"))</f>
        <v>Apr</v>
      </c>
      <c r="AB73" s="9" t="n">
        <f aca="false">IF(B73="","",YEAR(B73))</f>
        <v>2025</v>
      </c>
      <c r="AC73" s="3"/>
      <c r="AD73" s="3" t="str">
        <f aca="false">IF(LEFT(AC73&amp;IF(B73="","; Missing Order Date","")&amp;IF(C73="","; Missing Ship Date","")&amp;IF(P73&lt;0,"; Invalid Discount (Negative)","")&amp;IF(P73&gt;0.5,"; Invalid Discount (Too High)","")&amp;IF(Z73&lt;0,"; Invalid Shipping Record (Ship Before Order)","")&amp;IF(ABS(Q73-W73)&gt;1,"; Sales Mismatch","")&amp;IF(ABS(S73-X73)&gt;1,"; Profit Mismatch","")&amp;IF(COUNTIF($A$2:$A$913,A73)&gt;1,"; Duplicate Order ID Conflict",""),2)="; ",MID(AC73&amp;IF(B73="","; Missing Order Date","")&amp;IF(C73="","; Missing Ship Date","")&amp;IF(P73&lt;0,"; Invalid Discount (Negative)","")&amp;IF(P73&gt;0.5,"; Invalid Discount (Too High)","")&amp;IF(Z73&lt;0,"; Invalid Shipping Record (Ship Before Order)","")&amp;IF(ABS(Q73-W73)&gt;1,"; Sales Mismatch","")&amp;IF(ABS(S73-X73)&gt;1,"; Profit Mismatch","")&amp;IF(COUNTIF($A$2:$A$913,A73)&gt;1,"; Duplicate Order ID Conflict",""),3,500),AC73&amp;IF(B73="","; Missing Order Date","")&amp;IF(C73="","; Missing Ship Date","")&amp;IF(P73&lt;0,"; Invalid Discount (Negative)","")&amp;IF(P73&gt;0.5,"; Invalid Discount (Too High)","")&amp;IF(Z73&lt;0,"; Invalid Shipping Record (Ship Before Order)","")&amp;IF(ABS(Q73-W73)&gt;1,"; Sales Mismatch","")&amp;IF(ABS(S73-X73)&gt;1,"; Profit Mismatch","")&amp;IF(COUNTIF($A$2:$A$913,A73)&gt;1,"; Duplicate Order ID Conflict",""))</f>
        <v/>
      </c>
      <c r="AE73" s="10" t="str">
        <f aca="false">IF(OR(ISNUMBER(SEARCH("Invalid Discount",AD73)),ISNUMBER(SEARCH("Invalid Shipping Record",AD73)),ISNUMBER(SEARCH("Sales Mismatch",AD73)),ISNUMBER(SEARCH("Profit Mismatch",AD73)),ISNUMBER(SEARCH("Duplicate Order ID Conflict",AD73)),ISNUMBER(SEARCH("Missing Order Date",AD73)),ISNUMBER(SEARCH("Missing Ship Date",AD73))),"Invalid",IF(AD73&lt;&gt;"","Warning","Clean"))</f>
        <v>Clean</v>
      </c>
    </row>
    <row r="74" customFormat="false" ht="15" hidden="false" customHeight="true" outlineLevel="0" collapsed="false">
      <c r="A74" s="3" t="s">
        <v>249</v>
      </c>
      <c r="B74" s="4" t="n">
        <v>45333</v>
      </c>
      <c r="C74" s="4" t="n">
        <v>45329</v>
      </c>
      <c r="D74" s="3" t="s">
        <v>250</v>
      </c>
      <c r="E74" s="3" t="str">
        <f aca="false">PROPER(TRIM(SUBSTITUTE(Raw_Text_Fields!B75,CHAR(160)," ")))</f>
        <v>Karan Malhotra</v>
      </c>
      <c r="F74" s="3" t="str">
        <f aca="false">PROPER(TRIM(SUBSTITUTE(Raw_Text_Fields!C75,CHAR(160)," ")))</f>
        <v>Home Office</v>
      </c>
      <c r="G74" s="3" t="str">
        <f aca="false">PROPER(TRIM(SUBSTITUTE(Raw_Text_Fields!D75,CHAR(160)," ")))</f>
        <v>South</v>
      </c>
      <c r="H74" s="3" t="str">
        <f aca="false">PROPER(TRIM(SUBSTITUTE(Raw_Text_Fields!E75,CHAR(160)," ")))</f>
        <v>Tamil Nadu</v>
      </c>
      <c r="I74" s="3" t="str">
        <f aca="false">PROPER(TRIM(SUBSTITUTE(Raw_Text_Fields!F75,CHAR(160)," ")))</f>
        <v>Chennai</v>
      </c>
      <c r="J74" s="3" t="str">
        <f aca="false">PROPER(TRIM(SUBSTITUTE(Raw_Text_Fields!G75,CHAR(160)," ")))</f>
        <v>Furniture</v>
      </c>
      <c r="K74" s="3" t="str">
        <f aca="false">PROPER(TRIM(SUBSTITUTE(Raw_Text_Fields!H75,CHAR(160)," ")))</f>
        <v>Tables</v>
      </c>
      <c r="L74" s="3" t="s">
        <v>251</v>
      </c>
      <c r="M74" s="3" t="str">
        <f aca="false">PROPER(TRIM(SUBSTITUTE(Raw_Text_Fields!I75,CHAR(160)," ")))</f>
        <v>First Class</v>
      </c>
      <c r="N74" s="3" t="n">
        <v>7</v>
      </c>
      <c r="O74" s="5" t="n">
        <v>2287.47</v>
      </c>
      <c r="P74" s="6" t="n">
        <v>0.15</v>
      </c>
      <c r="Q74" s="5" t="n">
        <v>13610.45</v>
      </c>
      <c r="R74" s="5" t="n">
        <v>10039.05</v>
      </c>
      <c r="S74" s="5" t="n">
        <v>3571.4</v>
      </c>
      <c r="T74" s="3" t="str">
        <f aca="false">PROPER(TRIM(SUBSTITUTE(Raw_Text_Fields!J75,CHAR(160)," ")))</f>
        <v>Paid</v>
      </c>
      <c r="U74" s="3" t="str">
        <f aca="false">PROPER(TRIM(SUBSTITUTE(Raw_Text_Fields!K75,CHAR(160)," ")))</f>
        <v>Completed</v>
      </c>
      <c r="V74" s="7" t="n">
        <f aca="false">IF(OR(P74&lt;0,P74&gt;0.5),0,P74)</f>
        <v>0.15</v>
      </c>
      <c r="W74" s="8" t="n">
        <f aca="false">N74*O74*(1-V74)</f>
        <v>13610.4465</v>
      </c>
      <c r="X74" s="8" t="n">
        <f aca="false">W74-R74</f>
        <v>3571.3965</v>
      </c>
      <c r="Y74" s="7" t="n">
        <f aca="false">IFERROR(X74/W74,0)</f>
        <v>0.262401126957885</v>
      </c>
      <c r="Z74" s="9" t="n">
        <f aca="false">C74-B74</f>
        <v>-4</v>
      </c>
      <c r="AA74" s="1" t="str">
        <f aca="false">IF(B74="","",TEXT(B74,"mmm"))</f>
        <v>Feb</v>
      </c>
      <c r="AB74" s="9" t="n">
        <f aca="false">IF(B74="","",YEAR(B74))</f>
        <v>2024</v>
      </c>
      <c r="AC74" s="3"/>
      <c r="AD74" s="3" t="str">
        <f aca="false">IF(LEFT(AC74&amp;IF(B74="","; Missing Order Date","")&amp;IF(C74="","; Missing Ship Date","")&amp;IF(P74&lt;0,"; Invalid Discount (Negative)","")&amp;IF(P74&gt;0.5,"; Invalid Discount (Too High)","")&amp;IF(Z74&lt;0,"; Invalid Shipping Record (Ship Before Order)","")&amp;IF(ABS(Q74-W74)&gt;1,"; Sales Mismatch","")&amp;IF(ABS(S74-X74)&gt;1,"; Profit Mismatch","")&amp;IF(COUNTIF($A$2:$A$913,A74)&gt;1,"; Duplicate Order ID Conflict",""),2)="; ",MID(AC74&amp;IF(B74="","; Missing Order Date","")&amp;IF(C74="","; Missing Ship Date","")&amp;IF(P74&lt;0,"; Invalid Discount (Negative)","")&amp;IF(P74&gt;0.5,"; Invalid Discount (Too High)","")&amp;IF(Z74&lt;0,"; Invalid Shipping Record (Ship Before Order)","")&amp;IF(ABS(Q74-W74)&gt;1,"; Sales Mismatch","")&amp;IF(ABS(S74-X74)&gt;1,"; Profit Mismatch","")&amp;IF(COUNTIF($A$2:$A$913,A74)&gt;1,"; Duplicate Order ID Conflict",""),3,500),AC74&amp;IF(B74="","; Missing Order Date","")&amp;IF(C74="","; Missing Ship Date","")&amp;IF(P74&lt;0,"; Invalid Discount (Negative)","")&amp;IF(P74&gt;0.5,"; Invalid Discount (Too High)","")&amp;IF(Z74&lt;0,"; Invalid Shipping Record (Ship Before Order)","")&amp;IF(ABS(Q74-W74)&gt;1,"; Sales Mismatch","")&amp;IF(ABS(S74-X74)&gt;1,"; Profit Mismatch","")&amp;IF(COUNTIF($A$2:$A$913,A74)&gt;1,"; Duplicate Order ID Conflict",""))</f>
        <v>Invalid Shipping Record (Ship Before Order)</v>
      </c>
      <c r="AE74" s="10" t="str">
        <f aca="false">IF(OR(ISNUMBER(SEARCH("Invalid Discount",AD74)),ISNUMBER(SEARCH("Invalid Shipping Record",AD74)),ISNUMBER(SEARCH("Sales Mismatch",AD74)),ISNUMBER(SEARCH("Profit Mismatch",AD74)),ISNUMBER(SEARCH("Duplicate Order ID Conflict",AD74)),ISNUMBER(SEARCH("Missing Order Date",AD74)),ISNUMBER(SEARCH("Missing Ship Date",AD74))),"Invalid",IF(AD74&lt;&gt;"","Warning","Clean"))</f>
        <v>Invalid</v>
      </c>
    </row>
    <row r="75" customFormat="false" ht="15" hidden="false" customHeight="true" outlineLevel="0" collapsed="false">
      <c r="A75" s="3" t="s">
        <v>252</v>
      </c>
      <c r="B75" s="4" t="n">
        <v>45745</v>
      </c>
      <c r="C75" s="4" t="n">
        <v>45750</v>
      </c>
      <c r="D75" s="3" t="s">
        <v>253</v>
      </c>
      <c r="E75" s="3" t="str">
        <f aca="false">PROPER(TRIM(SUBSTITUTE(Raw_Text_Fields!B76,CHAR(160)," ")))</f>
        <v>Sneha Kapoor</v>
      </c>
      <c r="F75" s="3" t="str">
        <f aca="false">PROPER(TRIM(SUBSTITUTE(Raw_Text_Fields!C76,CHAR(160)," ")))</f>
        <v>Corporate</v>
      </c>
      <c r="G75" s="3" t="str">
        <f aca="false">PROPER(TRIM(SUBSTITUTE(Raw_Text_Fields!D76,CHAR(160)," ")))</f>
        <v>East</v>
      </c>
      <c r="H75" s="3" t="str">
        <f aca="false">PROPER(TRIM(SUBSTITUTE(Raw_Text_Fields!E76,CHAR(160)," ")))</f>
        <v>West Bengal</v>
      </c>
      <c r="I75" s="3" t="str">
        <f aca="false">PROPER(TRIM(SUBSTITUTE(Raw_Text_Fields!F76,CHAR(160)," ")))</f>
        <v>Kolkata</v>
      </c>
      <c r="J75" s="3" t="str">
        <f aca="false">PROPER(TRIM(SUBSTITUTE(Raw_Text_Fields!G76,CHAR(160)," ")))</f>
        <v>Furniture</v>
      </c>
      <c r="K75" s="3" t="str">
        <f aca="false">PROPER(TRIM(SUBSTITUTE(Raw_Text_Fields!H76,CHAR(160)," ")))</f>
        <v>Bookcases</v>
      </c>
      <c r="L75" s="3" t="s">
        <v>254</v>
      </c>
      <c r="M75" s="3" t="str">
        <f aca="false">PROPER(TRIM(SUBSTITUTE(Raw_Text_Fields!I76,CHAR(160)," ")))</f>
        <v>First Class</v>
      </c>
      <c r="N75" s="3" t="n">
        <v>5</v>
      </c>
      <c r="O75" s="5" t="n">
        <v>1425.74</v>
      </c>
      <c r="P75" s="6" t="n">
        <v>0</v>
      </c>
      <c r="Q75" s="5" t="n">
        <v>7128.7</v>
      </c>
      <c r="R75" s="5" t="n">
        <v>4382.15</v>
      </c>
      <c r="S75" s="5" t="n">
        <v>2746.55</v>
      </c>
      <c r="T75" s="3" t="str">
        <f aca="false">PROPER(TRIM(SUBSTITUTE(Raw_Text_Fields!J76,CHAR(160)," ")))</f>
        <v>Paid</v>
      </c>
      <c r="U75" s="3" t="str">
        <f aca="false">PROPER(TRIM(SUBSTITUTE(Raw_Text_Fields!K76,CHAR(160)," ")))</f>
        <v>Completed</v>
      </c>
      <c r="V75" s="7" t="n">
        <f aca="false">IF(OR(P75&lt;0,P75&gt;0.5),0,P75)</f>
        <v>0</v>
      </c>
      <c r="W75" s="8" t="n">
        <f aca="false">N75*O75*(1-V75)</f>
        <v>7128.7</v>
      </c>
      <c r="X75" s="8" t="n">
        <f aca="false">W75-R75</f>
        <v>2746.55</v>
      </c>
      <c r="Y75" s="7" t="n">
        <f aca="false">IFERROR(X75/W75,0)</f>
        <v>0.385280626201131</v>
      </c>
      <c r="Z75" s="9" t="n">
        <f aca="false">C75-B75</f>
        <v>5</v>
      </c>
      <c r="AA75" s="1" t="str">
        <f aca="false">IF(B75="","",TEXT(B75,"mmm"))</f>
        <v>Mar</v>
      </c>
      <c r="AB75" s="9" t="n">
        <f aca="false">IF(B75="","",YEAR(B75))</f>
        <v>2025</v>
      </c>
      <c r="AC75" s="3"/>
      <c r="AD75" s="3" t="str">
        <f aca="false">IF(LEFT(AC75&amp;IF(B75="","; Missing Order Date","")&amp;IF(C75="","; Missing Ship Date","")&amp;IF(P75&lt;0,"; Invalid Discount (Negative)","")&amp;IF(P75&gt;0.5,"; Invalid Discount (Too High)","")&amp;IF(Z75&lt;0,"; Invalid Shipping Record (Ship Before Order)","")&amp;IF(ABS(Q75-W75)&gt;1,"; Sales Mismatch","")&amp;IF(ABS(S75-X75)&gt;1,"; Profit Mismatch","")&amp;IF(COUNTIF($A$2:$A$913,A75)&gt;1,"; Duplicate Order ID Conflict",""),2)="; ",MID(AC75&amp;IF(B75="","; Missing Order Date","")&amp;IF(C75="","; Missing Ship Date","")&amp;IF(P75&lt;0,"; Invalid Discount (Negative)","")&amp;IF(P75&gt;0.5,"; Invalid Discount (Too High)","")&amp;IF(Z75&lt;0,"; Invalid Shipping Record (Ship Before Order)","")&amp;IF(ABS(Q75-W75)&gt;1,"; Sales Mismatch","")&amp;IF(ABS(S75-X75)&gt;1,"; Profit Mismatch","")&amp;IF(COUNTIF($A$2:$A$913,A75)&gt;1,"; Duplicate Order ID Conflict",""),3,500),AC75&amp;IF(B75="","; Missing Order Date","")&amp;IF(C75="","; Missing Ship Date","")&amp;IF(P75&lt;0,"; Invalid Discount (Negative)","")&amp;IF(P75&gt;0.5,"; Invalid Discount (Too High)","")&amp;IF(Z75&lt;0,"; Invalid Shipping Record (Ship Before Order)","")&amp;IF(ABS(Q75-W75)&gt;1,"; Sales Mismatch","")&amp;IF(ABS(S75-X75)&gt;1,"; Profit Mismatch","")&amp;IF(COUNTIF($A$2:$A$913,A75)&gt;1,"; Duplicate Order ID Conflict",""))</f>
        <v/>
      </c>
      <c r="AE75" s="10" t="str">
        <f aca="false">IF(OR(ISNUMBER(SEARCH("Invalid Discount",AD75)),ISNUMBER(SEARCH("Invalid Shipping Record",AD75)),ISNUMBER(SEARCH("Sales Mismatch",AD75)),ISNUMBER(SEARCH("Profit Mismatch",AD75)),ISNUMBER(SEARCH("Duplicate Order ID Conflict",AD75)),ISNUMBER(SEARCH("Missing Order Date",AD75)),ISNUMBER(SEARCH("Missing Ship Date",AD75))),"Invalid",IF(AD75&lt;&gt;"","Warning","Clean"))</f>
        <v>Clean</v>
      </c>
    </row>
    <row r="76" customFormat="false" ht="15" hidden="false" customHeight="true" outlineLevel="0" collapsed="false">
      <c r="A76" s="3" t="s">
        <v>255</v>
      </c>
      <c r="B76" s="4" t="n">
        <v>45715</v>
      </c>
      <c r="C76" s="4" t="n">
        <v>45717</v>
      </c>
      <c r="D76" s="3" t="s">
        <v>256</v>
      </c>
      <c r="E76" s="3" t="str">
        <f aca="false">PROPER(TRIM(SUBSTITUTE(Raw_Text_Fields!B77,CHAR(160)," ")))</f>
        <v>Vikram Iyer</v>
      </c>
      <c r="F76" s="3" t="str">
        <f aca="false">PROPER(TRIM(SUBSTITUTE(Raw_Text_Fields!C77,CHAR(160)," ")))</f>
        <v>Small Business</v>
      </c>
      <c r="G76" s="3" t="str">
        <f aca="false">PROPER(TRIM(SUBSTITUTE(Raw_Text_Fields!D77,CHAR(160)," ")))</f>
        <v>East</v>
      </c>
      <c r="H76" s="3" t="str">
        <f aca="false">PROPER(TRIM(SUBSTITUTE(Raw_Text_Fields!E77,CHAR(160)," ")))</f>
        <v>West Bengal</v>
      </c>
      <c r="I76" s="3" t="str">
        <f aca="false">PROPER(TRIM(SUBSTITUTE(Raw_Text_Fields!F77,CHAR(160)," ")))</f>
        <v>Kolkata</v>
      </c>
      <c r="J76" s="3" t="str">
        <f aca="false">PROPER(TRIM(SUBSTITUTE(Raw_Text_Fields!G77,CHAR(160)," ")))</f>
        <v>Furniture</v>
      </c>
      <c r="K76" s="3" t="str">
        <f aca="false">PROPER(TRIM(SUBSTITUTE(Raw_Text_Fields!H77,CHAR(160)," ")))</f>
        <v>Chairs</v>
      </c>
      <c r="L76" s="3" t="s">
        <v>257</v>
      </c>
      <c r="M76" s="3" t="str">
        <f aca="false">PROPER(TRIM(SUBSTITUTE(Raw_Text_Fields!I77,CHAR(160)," ")))</f>
        <v>Standard Class</v>
      </c>
      <c r="N76" s="3" t="n">
        <v>6</v>
      </c>
      <c r="O76" s="5" t="n">
        <v>551.64</v>
      </c>
      <c r="P76" s="6" t="n">
        <v>0</v>
      </c>
      <c r="Q76" s="5" t="n">
        <v>3309.84</v>
      </c>
      <c r="R76" s="5" t="n">
        <v>2671.08</v>
      </c>
      <c r="S76" s="5" t="n">
        <v>638.76</v>
      </c>
      <c r="T76" s="3" t="str">
        <f aca="false">PROPER(TRIM(SUBSTITUTE(Raw_Text_Fields!J77,CHAR(160)," ")))</f>
        <v>Paid</v>
      </c>
      <c r="U76" s="3" t="str">
        <f aca="false">PROPER(TRIM(SUBSTITUTE(Raw_Text_Fields!K77,CHAR(160)," ")))</f>
        <v>Completed</v>
      </c>
      <c r="V76" s="7" t="n">
        <f aca="false">IF(OR(P76&lt;0,P76&gt;0.5),0,P76)</f>
        <v>0</v>
      </c>
      <c r="W76" s="8" t="n">
        <f aca="false">N76*O76*(1-V76)</f>
        <v>3309.84</v>
      </c>
      <c r="X76" s="8" t="n">
        <f aca="false">W76-R76</f>
        <v>638.76</v>
      </c>
      <c r="Y76" s="7" t="n">
        <f aca="false">IFERROR(X76/W76,0)</f>
        <v>0.192988180697556</v>
      </c>
      <c r="Z76" s="9" t="n">
        <f aca="false">C76-B76</f>
        <v>2</v>
      </c>
      <c r="AA76" s="1" t="str">
        <f aca="false">IF(B76="","",TEXT(B76,"mmm"))</f>
        <v>Feb</v>
      </c>
      <c r="AB76" s="9" t="n">
        <f aca="false">IF(B76="","",YEAR(B76))</f>
        <v>2025</v>
      </c>
      <c r="AC76" s="3"/>
      <c r="AD76" s="3" t="str">
        <f aca="false">IF(LEFT(AC76&amp;IF(B76="","; Missing Order Date","")&amp;IF(C76="","; Missing Ship Date","")&amp;IF(P76&lt;0,"; Invalid Discount (Negative)","")&amp;IF(P76&gt;0.5,"; Invalid Discount (Too High)","")&amp;IF(Z76&lt;0,"; Invalid Shipping Record (Ship Before Order)","")&amp;IF(ABS(Q76-W76)&gt;1,"; Sales Mismatch","")&amp;IF(ABS(S76-X76)&gt;1,"; Profit Mismatch","")&amp;IF(COUNTIF($A$2:$A$913,A76)&gt;1,"; Duplicate Order ID Conflict",""),2)="; ",MID(AC76&amp;IF(B76="","; Missing Order Date","")&amp;IF(C76="","; Missing Ship Date","")&amp;IF(P76&lt;0,"; Invalid Discount (Negative)","")&amp;IF(P76&gt;0.5,"; Invalid Discount (Too High)","")&amp;IF(Z76&lt;0,"; Invalid Shipping Record (Ship Before Order)","")&amp;IF(ABS(Q76-W76)&gt;1,"; Sales Mismatch","")&amp;IF(ABS(S76-X76)&gt;1,"; Profit Mismatch","")&amp;IF(COUNTIF($A$2:$A$913,A76)&gt;1,"; Duplicate Order ID Conflict",""),3,500),AC76&amp;IF(B76="","; Missing Order Date","")&amp;IF(C76="","; Missing Ship Date","")&amp;IF(P76&lt;0,"; Invalid Discount (Negative)","")&amp;IF(P76&gt;0.5,"; Invalid Discount (Too High)","")&amp;IF(Z76&lt;0,"; Invalid Shipping Record (Ship Before Order)","")&amp;IF(ABS(Q76-W76)&gt;1,"; Sales Mismatch","")&amp;IF(ABS(S76-X76)&gt;1,"; Profit Mismatch","")&amp;IF(COUNTIF($A$2:$A$913,A76)&gt;1,"; Duplicate Order ID Conflict",""))</f>
        <v/>
      </c>
      <c r="AE76" s="10" t="str">
        <f aca="false">IF(OR(ISNUMBER(SEARCH("Invalid Discount",AD76)),ISNUMBER(SEARCH("Invalid Shipping Record",AD76)),ISNUMBER(SEARCH("Sales Mismatch",AD76)),ISNUMBER(SEARCH("Profit Mismatch",AD76)),ISNUMBER(SEARCH("Duplicate Order ID Conflict",AD76)),ISNUMBER(SEARCH("Missing Order Date",AD76)),ISNUMBER(SEARCH("Missing Ship Date",AD76))),"Invalid",IF(AD76&lt;&gt;"","Warning","Clean"))</f>
        <v>Clean</v>
      </c>
    </row>
    <row r="77" customFormat="false" ht="15" hidden="false" customHeight="true" outlineLevel="0" collapsed="false">
      <c r="A77" s="3" t="s">
        <v>258</v>
      </c>
      <c r="B77" s="4" t="n">
        <v>45891</v>
      </c>
      <c r="C77" s="4" t="n">
        <v>45896</v>
      </c>
      <c r="D77" s="3" t="s">
        <v>259</v>
      </c>
      <c r="E77" s="3" t="str">
        <f aca="false">PROPER(TRIM(SUBSTITUTE(Raw_Text_Fields!B78,CHAR(160)," ")))</f>
        <v>Priya Menon</v>
      </c>
      <c r="F77" s="3" t="str">
        <f aca="false">PROPER(TRIM(SUBSTITUTE(Raw_Text_Fields!C78,CHAR(160)," ")))</f>
        <v>Small Business</v>
      </c>
      <c r="G77" s="3" t="str">
        <f aca="false">PROPER(TRIM(SUBSTITUTE(Raw_Text_Fields!D78,CHAR(160)," ")))</f>
        <v>East</v>
      </c>
      <c r="H77" s="3" t="str">
        <f aca="false">PROPER(TRIM(SUBSTITUTE(Raw_Text_Fields!E78,CHAR(160)," ")))</f>
        <v>Odisha</v>
      </c>
      <c r="I77" s="3" t="str">
        <f aca="false">PROPER(TRIM(SUBSTITUTE(Raw_Text_Fields!F78,CHAR(160)," ")))</f>
        <v>Bhubaneswar</v>
      </c>
      <c r="J77" s="3" t="str">
        <f aca="false">PROPER(TRIM(SUBSTITUTE(Raw_Text_Fields!G78,CHAR(160)," ")))</f>
        <v>Office Supplies</v>
      </c>
      <c r="K77" s="3" t="str">
        <f aca="false">PROPER(TRIM(SUBSTITUTE(Raw_Text_Fields!H78,CHAR(160)," ")))</f>
        <v>Labels</v>
      </c>
      <c r="L77" s="3" t="s">
        <v>260</v>
      </c>
      <c r="M77" s="3" t="str">
        <f aca="false">PROPER(TRIM(SUBSTITUTE(Raw_Text_Fields!I78,CHAR(160)," ")))</f>
        <v>First Class</v>
      </c>
      <c r="N77" s="3" t="n">
        <v>3</v>
      </c>
      <c r="O77" s="5" t="n">
        <v>3294.82</v>
      </c>
      <c r="P77" s="6" t="n">
        <v>0.2</v>
      </c>
      <c r="Q77" s="5" t="n">
        <v>7907.57</v>
      </c>
      <c r="R77" s="5" t="n">
        <v>5391.18</v>
      </c>
      <c r="S77" s="5" t="n">
        <v>2516.39</v>
      </c>
      <c r="T77" s="3" t="str">
        <f aca="false">PROPER(TRIM(SUBSTITUTE(Raw_Text_Fields!J78,CHAR(160)," ")))</f>
        <v>Paid</v>
      </c>
      <c r="U77" s="3" t="str">
        <f aca="false">PROPER(TRIM(SUBSTITUTE(Raw_Text_Fields!K78,CHAR(160)," ")))</f>
        <v>Completed</v>
      </c>
      <c r="V77" s="7" t="n">
        <f aca="false">IF(OR(P77&lt;0,P77&gt;0.5),0,P77)</f>
        <v>0.2</v>
      </c>
      <c r="W77" s="8" t="n">
        <f aca="false">N77*O77*(1-V77)</f>
        <v>7907.568</v>
      </c>
      <c r="X77" s="8" t="n">
        <f aca="false">W77-R77</f>
        <v>2516.388</v>
      </c>
      <c r="Y77" s="7" t="n">
        <f aca="false">IFERROR(X77/W77,0)</f>
        <v>0.318225274825332</v>
      </c>
      <c r="Z77" s="9" t="n">
        <f aca="false">C77-B77</f>
        <v>5</v>
      </c>
      <c r="AA77" s="1" t="str">
        <f aca="false">IF(B77="","",TEXT(B77,"mmm"))</f>
        <v>Aug</v>
      </c>
      <c r="AB77" s="9" t="n">
        <f aca="false">IF(B77="","",YEAR(B77))</f>
        <v>2025</v>
      </c>
      <c r="AC77" s="3"/>
      <c r="AD77" s="3" t="str">
        <f aca="false">IF(LEFT(AC77&amp;IF(B77="","; Missing Order Date","")&amp;IF(C77="","; Missing Ship Date","")&amp;IF(P77&lt;0,"; Invalid Discount (Negative)","")&amp;IF(P77&gt;0.5,"; Invalid Discount (Too High)","")&amp;IF(Z77&lt;0,"; Invalid Shipping Record (Ship Before Order)","")&amp;IF(ABS(Q77-W77)&gt;1,"; Sales Mismatch","")&amp;IF(ABS(S77-X77)&gt;1,"; Profit Mismatch","")&amp;IF(COUNTIF($A$2:$A$913,A77)&gt;1,"; Duplicate Order ID Conflict",""),2)="; ",MID(AC77&amp;IF(B77="","; Missing Order Date","")&amp;IF(C77="","; Missing Ship Date","")&amp;IF(P77&lt;0,"; Invalid Discount (Negative)","")&amp;IF(P77&gt;0.5,"; Invalid Discount (Too High)","")&amp;IF(Z77&lt;0,"; Invalid Shipping Record (Ship Before Order)","")&amp;IF(ABS(Q77-W77)&gt;1,"; Sales Mismatch","")&amp;IF(ABS(S77-X77)&gt;1,"; Profit Mismatch","")&amp;IF(COUNTIF($A$2:$A$913,A77)&gt;1,"; Duplicate Order ID Conflict",""),3,500),AC77&amp;IF(B77="","; Missing Order Date","")&amp;IF(C77="","; Missing Ship Date","")&amp;IF(P77&lt;0,"; Invalid Discount (Negative)","")&amp;IF(P77&gt;0.5,"; Invalid Discount (Too High)","")&amp;IF(Z77&lt;0,"; Invalid Shipping Record (Ship Before Order)","")&amp;IF(ABS(Q77-W77)&gt;1,"; Sales Mismatch","")&amp;IF(ABS(S77-X77)&gt;1,"; Profit Mismatch","")&amp;IF(COUNTIF($A$2:$A$913,A77)&gt;1,"; Duplicate Order ID Conflict",""))</f>
        <v/>
      </c>
      <c r="AE77" s="10" t="str">
        <f aca="false">IF(OR(ISNUMBER(SEARCH("Invalid Discount",AD77)),ISNUMBER(SEARCH("Invalid Shipping Record",AD77)),ISNUMBER(SEARCH("Sales Mismatch",AD77)),ISNUMBER(SEARCH("Profit Mismatch",AD77)),ISNUMBER(SEARCH("Duplicate Order ID Conflict",AD77)),ISNUMBER(SEARCH("Missing Order Date",AD77)),ISNUMBER(SEARCH("Missing Ship Date",AD77))),"Invalid",IF(AD77&lt;&gt;"","Warning","Clean"))</f>
        <v>Clean</v>
      </c>
    </row>
    <row r="78" customFormat="false" ht="15" hidden="false" customHeight="true" outlineLevel="0" collapsed="false">
      <c r="A78" s="3" t="s">
        <v>261</v>
      </c>
      <c r="B78" s="4" t="n">
        <v>45599</v>
      </c>
      <c r="C78" s="4" t="n">
        <v>45607</v>
      </c>
      <c r="D78" s="3" t="s">
        <v>262</v>
      </c>
      <c r="E78" s="3" t="str">
        <f aca="false">PROPER(TRIM(SUBSTITUTE(Raw_Text_Fields!B79,CHAR(160)," ")))</f>
        <v>Ananya Rao</v>
      </c>
      <c r="F78" s="3" t="str">
        <f aca="false">PROPER(TRIM(SUBSTITUTE(Raw_Text_Fields!C79,CHAR(160)," ")))</f>
        <v>Corporate</v>
      </c>
      <c r="G78" s="3" t="str">
        <f aca="false">PROPER(TRIM(SUBSTITUTE(Raw_Text_Fields!D79,CHAR(160)," ")))</f>
        <v>East</v>
      </c>
      <c r="H78" s="3" t="str">
        <f aca="false">PROPER(TRIM(SUBSTITUTE(Raw_Text_Fields!E79,CHAR(160)," ")))</f>
        <v>Jharkhand</v>
      </c>
      <c r="I78" s="3" t="str">
        <f aca="false">PROPER(TRIM(SUBSTITUTE(Raw_Text_Fields!F79,CHAR(160)," ")))</f>
        <v>Ranchi</v>
      </c>
      <c r="J78" s="3" t="str">
        <f aca="false">PROPER(TRIM(SUBSTITUTE(Raw_Text_Fields!G79,CHAR(160)," ")))</f>
        <v>Office Supplies</v>
      </c>
      <c r="K78" s="3" t="str">
        <f aca="false">PROPER(TRIM(SUBSTITUTE(Raw_Text_Fields!H79,CHAR(160)," ")))</f>
        <v>Labels</v>
      </c>
      <c r="L78" s="3" t="s">
        <v>263</v>
      </c>
      <c r="M78" s="3" t="str">
        <f aca="false">PROPER(TRIM(SUBSTITUTE(Raw_Text_Fields!I79,CHAR(160)," ")))</f>
        <v>Second Class</v>
      </c>
      <c r="N78" s="3" t="n">
        <v>3</v>
      </c>
      <c r="O78" s="5" t="n">
        <v>3406.27</v>
      </c>
      <c r="P78" s="6" t="n">
        <v>0</v>
      </c>
      <c r="Q78" s="5" t="n">
        <v>10218.81</v>
      </c>
      <c r="R78" s="5" t="n">
        <v>7616.97</v>
      </c>
      <c r="S78" s="5" t="n">
        <v>2601.84</v>
      </c>
      <c r="T78" s="3" t="str">
        <f aca="false">PROPER(TRIM(SUBSTITUTE(Raw_Text_Fields!J79,CHAR(160)," ")))</f>
        <v>Paid</v>
      </c>
      <c r="U78" s="3" t="str">
        <f aca="false">PROPER(TRIM(SUBSTITUTE(Raw_Text_Fields!K79,CHAR(160)," ")))</f>
        <v>Completed</v>
      </c>
      <c r="V78" s="7" t="n">
        <f aca="false">IF(OR(P78&lt;0,P78&gt;0.5),0,P78)</f>
        <v>0</v>
      </c>
      <c r="W78" s="8" t="n">
        <f aca="false">N78*O78*(1-V78)</f>
        <v>10218.81</v>
      </c>
      <c r="X78" s="8" t="n">
        <f aca="false">W78-R78</f>
        <v>2601.84</v>
      </c>
      <c r="Y78" s="7" t="n">
        <f aca="false">IFERROR(X78/W78,0)</f>
        <v>0.254612816952267</v>
      </c>
      <c r="Z78" s="9" t="n">
        <f aca="false">C78-B78</f>
        <v>8</v>
      </c>
      <c r="AA78" s="1" t="str">
        <f aca="false">IF(B78="","",TEXT(B78,"mmm"))</f>
        <v>Nov</v>
      </c>
      <c r="AB78" s="9" t="n">
        <f aca="false">IF(B78="","",YEAR(B78))</f>
        <v>2024</v>
      </c>
      <c r="AC78" s="3"/>
      <c r="AD78" s="3" t="str">
        <f aca="false">IF(LEFT(AC78&amp;IF(B78="","; Missing Order Date","")&amp;IF(C78="","; Missing Ship Date","")&amp;IF(P78&lt;0,"; Invalid Discount (Negative)","")&amp;IF(P78&gt;0.5,"; Invalid Discount (Too High)","")&amp;IF(Z78&lt;0,"; Invalid Shipping Record (Ship Before Order)","")&amp;IF(ABS(Q78-W78)&gt;1,"; Sales Mismatch","")&amp;IF(ABS(S78-X78)&gt;1,"; Profit Mismatch","")&amp;IF(COUNTIF($A$2:$A$913,A78)&gt;1,"; Duplicate Order ID Conflict",""),2)="; ",MID(AC78&amp;IF(B78="","; Missing Order Date","")&amp;IF(C78="","; Missing Ship Date","")&amp;IF(P78&lt;0,"; Invalid Discount (Negative)","")&amp;IF(P78&gt;0.5,"; Invalid Discount (Too High)","")&amp;IF(Z78&lt;0,"; Invalid Shipping Record (Ship Before Order)","")&amp;IF(ABS(Q78-W78)&gt;1,"; Sales Mismatch","")&amp;IF(ABS(S78-X78)&gt;1,"; Profit Mismatch","")&amp;IF(COUNTIF($A$2:$A$913,A78)&gt;1,"; Duplicate Order ID Conflict",""),3,500),AC78&amp;IF(B78="","; Missing Order Date","")&amp;IF(C78="","; Missing Ship Date","")&amp;IF(P78&lt;0,"; Invalid Discount (Negative)","")&amp;IF(P78&gt;0.5,"; Invalid Discount (Too High)","")&amp;IF(Z78&lt;0,"; Invalid Shipping Record (Ship Before Order)","")&amp;IF(ABS(Q78-W78)&gt;1,"; Sales Mismatch","")&amp;IF(ABS(S78-X78)&gt;1,"; Profit Mismatch","")&amp;IF(COUNTIF($A$2:$A$913,A78)&gt;1,"; Duplicate Order ID Conflict",""))</f>
        <v/>
      </c>
      <c r="AE78" s="10" t="str">
        <f aca="false">IF(OR(ISNUMBER(SEARCH("Invalid Discount",AD78)),ISNUMBER(SEARCH("Invalid Shipping Record",AD78)),ISNUMBER(SEARCH("Sales Mismatch",AD78)),ISNUMBER(SEARCH("Profit Mismatch",AD78)),ISNUMBER(SEARCH("Duplicate Order ID Conflict",AD78)),ISNUMBER(SEARCH("Missing Order Date",AD78)),ISNUMBER(SEARCH("Missing Ship Date",AD78))),"Invalid",IF(AD78&lt;&gt;"","Warning","Clean"))</f>
        <v>Clean</v>
      </c>
    </row>
    <row r="79" customFormat="false" ht="15" hidden="false" customHeight="true" outlineLevel="0" collapsed="false">
      <c r="A79" s="3" t="s">
        <v>264</v>
      </c>
      <c r="B79" s="4" t="n">
        <v>45846</v>
      </c>
      <c r="C79" s="4" t="n">
        <v>45850</v>
      </c>
      <c r="D79" s="3" t="s">
        <v>265</v>
      </c>
      <c r="E79" s="3" t="str">
        <f aca="false">PROPER(TRIM(SUBSTITUTE(Raw_Text_Fields!B80,CHAR(160)," ")))</f>
        <v>Rohan Mehta</v>
      </c>
      <c r="F79" s="3" t="str">
        <f aca="false">PROPER(TRIM(SUBSTITUTE(Raw_Text_Fields!C80,CHAR(160)," ")))</f>
        <v>Home Office</v>
      </c>
      <c r="G79" s="3" t="str">
        <f aca="false">PROPER(TRIM(SUBSTITUTE(Raw_Text_Fields!D80,CHAR(160)," ")))</f>
        <v>North</v>
      </c>
      <c r="H79" s="3" t="str">
        <f aca="false">PROPER(TRIM(SUBSTITUTE(Raw_Text_Fields!E80,CHAR(160)," ")))</f>
        <v>Uttar Pradesh</v>
      </c>
      <c r="I79" s="3" t="str">
        <f aca="false">PROPER(TRIM(SUBSTITUTE(Raw_Text_Fields!F80,CHAR(160)," ")))</f>
        <v>Noida</v>
      </c>
      <c r="J79" s="3" t="str">
        <f aca="false">PROPER(TRIM(SUBSTITUTE(Raw_Text_Fields!G80,CHAR(160)," ")))</f>
        <v>Furniture</v>
      </c>
      <c r="K79" s="3" t="str">
        <f aca="false">PROPER(TRIM(SUBSTITUTE(Raw_Text_Fields!H80,CHAR(160)," ")))</f>
        <v>Furnishings</v>
      </c>
      <c r="L79" s="3" t="s">
        <v>266</v>
      </c>
      <c r="M79" s="3" t="str">
        <f aca="false">PROPER(TRIM(SUBSTITUTE(Raw_Text_Fields!I80,CHAR(160)," ")))</f>
        <v>Standard Class</v>
      </c>
      <c r="N79" s="3" t="n">
        <v>1</v>
      </c>
      <c r="O79" s="5" t="n">
        <v>2582.2</v>
      </c>
      <c r="P79" s="6" t="n">
        <v>0.15</v>
      </c>
      <c r="Q79" s="5" t="n">
        <v>2194.87</v>
      </c>
      <c r="R79" s="5" t="n">
        <v>1223.17</v>
      </c>
      <c r="S79" s="5" t="n">
        <v>971.7</v>
      </c>
      <c r="T79" s="3" t="str">
        <f aca="false">PROPER(TRIM(SUBSTITUTE(Raw_Text_Fields!J80,CHAR(160)," ")))</f>
        <v>Refunded</v>
      </c>
      <c r="U79" s="3" t="str">
        <f aca="false">PROPER(TRIM(SUBSTITUTE(Raw_Text_Fields!K80,CHAR(160)," ")))</f>
        <v>Cancelled</v>
      </c>
      <c r="V79" s="7" t="n">
        <f aca="false">IF(OR(P79&lt;0,P79&gt;0.5),0,P79)</f>
        <v>0.15</v>
      </c>
      <c r="W79" s="8" t="n">
        <f aca="false">N79*O79*(1-V79)</f>
        <v>2194.87</v>
      </c>
      <c r="X79" s="8" t="n">
        <f aca="false">W79-R79</f>
        <v>971.7</v>
      </c>
      <c r="Y79" s="7" t="n">
        <f aca="false">IFERROR(X79/W79,0)</f>
        <v>0.442714147079326</v>
      </c>
      <c r="Z79" s="9" t="n">
        <f aca="false">C79-B79</f>
        <v>4</v>
      </c>
      <c r="AA79" s="1" t="str">
        <f aca="false">IF(B79="","",TEXT(B79,"mmm"))</f>
        <v>Jul</v>
      </c>
      <c r="AB79" s="9" t="n">
        <f aca="false">IF(B79="","",YEAR(B79))</f>
        <v>2025</v>
      </c>
      <c r="AC79" s="3"/>
      <c r="AD79" s="3" t="str">
        <f aca="false">IF(LEFT(AC79&amp;IF(B79="","; Missing Order Date","")&amp;IF(C79="","; Missing Ship Date","")&amp;IF(P79&lt;0,"; Invalid Discount (Negative)","")&amp;IF(P79&gt;0.5,"; Invalid Discount (Too High)","")&amp;IF(Z79&lt;0,"; Invalid Shipping Record (Ship Before Order)","")&amp;IF(ABS(Q79-W79)&gt;1,"; Sales Mismatch","")&amp;IF(ABS(S79-X79)&gt;1,"; Profit Mismatch","")&amp;IF(COUNTIF($A$2:$A$913,A79)&gt;1,"; Duplicate Order ID Conflict",""),2)="; ",MID(AC79&amp;IF(B79="","; Missing Order Date","")&amp;IF(C79="","; Missing Ship Date","")&amp;IF(P79&lt;0,"; Invalid Discount (Negative)","")&amp;IF(P79&gt;0.5,"; Invalid Discount (Too High)","")&amp;IF(Z79&lt;0,"; Invalid Shipping Record (Ship Before Order)","")&amp;IF(ABS(Q79-W79)&gt;1,"; Sales Mismatch","")&amp;IF(ABS(S79-X79)&gt;1,"; Profit Mismatch","")&amp;IF(COUNTIF($A$2:$A$913,A79)&gt;1,"; Duplicate Order ID Conflict",""),3,500),AC79&amp;IF(B79="","; Missing Order Date","")&amp;IF(C79="","; Missing Ship Date","")&amp;IF(P79&lt;0,"; Invalid Discount (Negative)","")&amp;IF(P79&gt;0.5,"; Invalid Discount (Too High)","")&amp;IF(Z79&lt;0,"; Invalid Shipping Record (Ship Before Order)","")&amp;IF(ABS(Q79-W79)&gt;1,"; Sales Mismatch","")&amp;IF(ABS(S79-X79)&gt;1,"; Profit Mismatch","")&amp;IF(COUNTIF($A$2:$A$913,A79)&gt;1,"; Duplicate Order ID Conflict",""))</f>
        <v/>
      </c>
      <c r="AE79" s="10" t="str">
        <f aca="false">IF(OR(ISNUMBER(SEARCH("Invalid Discount",AD79)),ISNUMBER(SEARCH("Invalid Shipping Record",AD79)),ISNUMBER(SEARCH("Sales Mismatch",AD79)),ISNUMBER(SEARCH("Profit Mismatch",AD79)),ISNUMBER(SEARCH("Duplicate Order ID Conflict",AD79)),ISNUMBER(SEARCH("Missing Order Date",AD79)),ISNUMBER(SEARCH("Missing Ship Date",AD79))),"Invalid",IF(AD79&lt;&gt;"","Warning","Clean"))</f>
        <v>Clean</v>
      </c>
    </row>
    <row r="80" customFormat="false" ht="15" hidden="false" customHeight="true" outlineLevel="0" collapsed="false">
      <c r="A80" s="3" t="s">
        <v>267</v>
      </c>
      <c r="B80" s="4" t="n">
        <v>45854</v>
      </c>
      <c r="C80" s="4" t="n">
        <v>45859</v>
      </c>
      <c r="D80" s="3" t="s">
        <v>268</v>
      </c>
      <c r="E80" s="3" t="str">
        <f aca="false">PROPER(TRIM(SUBSTITUTE(Raw_Text_Fields!B81,CHAR(160)," ")))</f>
        <v>Sneha Kapoor</v>
      </c>
      <c r="F80" s="3" t="str">
        <f aca="false">PROPER(TRIM(SUBSTITUTE(Raw_Text_Fields!C81,CHAR(160)," ")))</f>
        <v>Corporate</v>
      </c>
      <c r="G80" s="3" t="str">
        <f aca="false">PROPER(TRIM(SUBSTITUTE(Raw_Text_Fields!D81,CHAR(160)," ")))</f>
        <v>East</v>
      </c>
      <c r="H80" s="3" t="str">
        <f aca="false">PROPER(TRIM(SUBSTITUTE(Raw_Text_Fields!E81,CHAR(160)," ")))</f>
        <v>West Bengal</v>
      </c>
      <c r="I80" s="3" t="str">
        <f aca="false">PROPER(TRIM(SUBSTITUTE(Raw_Text_Fields!F81,CHAR(160)," ")))</f>
        <v>Kolkata</v>
      </c>
      <c r="J80" s="3" t="str">
        <f aca="false">PROPER(TRIM(SUBSTITUTE(Raw_Text_Fields!G81,CHAR(160)," ")))</f>
        <v>Furniture</v>
      </c>
      <c r="K80" s="3" t="str">
        <f aca="false">PROPER(TRIM(SUBSTITUTE(Raw_Text_Fields!H81,CHAR(160)," ")))</f>
        <v>Tables</v>
      </c>
      <c r="L80" s="3" t="s">
        <v>269</v>
      </c>
      <c r="M80" s="3" t="str">
        <f aca="false">PROPER(TRIM(SUBSTITUTE(Raw_Text_Fields!I81,CHAR(160)," ")))</f>
        <v>First Class</v>
      </c>
      <c r="N80" s="3" t="n">
        <v>5</v>
      </c>
      <c r="O80" s="5" t="n">
        <v>2129.51</v>
      </c>
      <c r="P80" s="6" t="n">
        <v>0.15</v>
      </c>
      <c r="Q80" s="5" t="n">
        <v>9050.42</v>
      </c>
      <c r="R80" s="5" t="n">
        <v>6778.85</v>
      </c>
      <c r="S80" s="5" t="n">
        <v>2271.57</v>
      </c>
      <c r="T80" s="3" t="str">
        <f aca="false">PROPER(TRIM(SUBSTITUTE(Raw_Text_Fields!J81,CHAR(160)," ")))</f>
        <v>Paid</v>
      </c>
      <c r="U80" s="3" t="str">
        <f aca="false">PROPER(TRIM(SUBSTITUTE(Raw_Text_Fields!K81,CHAR(160)," ")))</f>
        <v>Completed</v>
      </c>
      <c r="V80" s="7" t="n">
        <f aca="false">IF(OR(P80&lt;0,P80&gt;0.5),0,P80)</f>
        <v>0.15</v>
      </c>
      <c r="W80" s="8" t="n">
        <f aca="false">N80*O80*(1-V80)</f>
        <v>9050.4175</v>
      </c>
      <c r="X80" s="8" t="n">
        <f aca="false">W80-R80</f>
        <v>2271.5675</v>
      </c>
      <c r="Y80" s="7" t="n">
        <f aca="false">IFERROR(X80/W80,0)</f>
        <v>0.250990354864845</v>
      </c>
      <c r="Z80" s="9" t="n">
        <f aca="false">C80-B80</f>
        <v>5</v>
      </c>
      <c r="AA80" s="1" t="str">
        <f aca="false">IF(B80="","",TEXT(B80,"mmm"))</f>
        <v>Jul</v>
      </c>
      <c r="AB80" s="9" t="n">
        <f aca="false">IF(B80="","",YEAR(B80))</f>
        <v>2025</v>
      </c>
      <c r="AC80" s="3"/>
      <c r="AD80" s="3" t="str">
        <f aca="false">IF(LEFT(AC80&amp;IF(B80="","; Missing Order Date","")&amp;IF(C80="","; Missing Ship Date","")&amp;IF(P80&lt;0,"; Invalid Discount (Negative)","")&amp;IF(P80&gt;0.5,"; Invalid Discount (Too High)","")&amp;IF(Z80&lt;0,"; Invalid Shipping Record (Ship Before Order)","")&amp;IF(ABS(Q80-W80)&gt;1,"; Sales Mismatch","")&amp;IF(ABS(S80-X80)&gt;1,"; Profit Mismatch","")&amp;IF(COUNTIF($A$2:$A$913,A80)&gt;1,"; Duplicate Order ID Conflict",""),2)="; ",MID(AC80&amp;IF(B80="","; Missing Order Date","")&amp;IF(C80="","; Missing Ship Date","")&amp;IF(P80&lt;0,"; Invalid Discount (Negative)","")&amp;IF(P80&gt;0.5,"; Invalid Discount (Too High)","")&amp;IF(Z80&lt;0,"; Invalid Shipping Record (Ship Before Order)","")&amp;IF(ABS(Q80-W80)&gt;1,"; Sales Mismatch","")&amp;IF(ABS(S80-X80)&gt;1,"; Profit Mismatch","")&amp;IF(COUNTIF($A$2:$A$913,A80)&gt;1,"; Duplicate Order ID Conflict",""),3,500),AC80&amp;IF(B80="","; Missing Order Date","")&amp;IF(C80="","; Missing Ship Date","")&amp;IF(P80&lt;0,"; Invalid Discount (Negative)","")&amp;IF(P80&gt;0.5,"; Invalid Discount (Too High)","")&amp;IF(Z80&lt;0,"; Invalid Shipping Record (Ship Before Order)","")&amp;IF(ABS(Q80-W80)&gt;1,"; Sales Mismatch","")&amp;IF(ABS(S80-X80)&gt;1,"; Profit Mismatch","")&amp;IF(COUNTIF($A$2:$A$913,A80)&gt;1,"; Duplicate Order ID Conflict",""))</f>
        <v/>
      </c>
      <c r="AE80" s="10" t="str">
        <f aca="false">IF(OR(ISNUMBER(SEARCH("Invalid Discount",AD80)),ISNUMBER(SEARCH("Invalid Shipping Record",AD80)),ISNUMBER(SEARCH("Sales Mismatch",AD80)),ISNUMBER(SEARCH("Profit Mismatch",AD80)),ISNUMBER(SEARCH("Duplicate Order ID Conflict",AD80)),ISNUMBER(SEARCH("Missing Order Date",AD80)),ISNUMBER(SEARCH("Missing Ship Date",AD80))),"Invalid",IF(AD80&lt;&gt;"","Warning","Clean"))</f>
        <v>Clean</v>
      </c>
    </row>
    <row r="81" customFormat="false" ht="15" hidden="false" customHeight="true" outlineLevel="0" collapsed="false">
      <c r="A81" s="3" t="s">
        <v>270</v>
      </c>
      <c r="B81" s="4" t="n">
        <v>45927</v>
      </c>
      <c r="C81" s="4" t="n">
        <v>45933</v>
      </c>
      <c r="D81" s="3" t="s">
        <v>271</v>
      </c>
      <c r="E81" s="3" t="str">
        <f aca="false">PROPER(TRIM(SUBSTITUTE(Raw_Text_Fields!B82,CHAR(160)," ")))</f>
        <v>Diya Patel</v>
      </c>
      <c r="F81" s="3" t="str">
        <f aca="false">PROPER(TRIM(SUBSTITUTE(Raw_Text_Fields!C82,CHAR(160)," ")))</f>
        <v>Home Office</v>
      </c>
      <c r="G81" s="3" t="str">
        <f aca="false">PROPER(TRIM(SUBSTITUTE(Raw_Text_Fields!D82,CHAR(160)," ")))</f>
        <v>South</v>
      </c>
      <c r="H81" s="3" t="str">
        <f aca="false">PROPER(TRIM(SUBSTITUTE(Raw_Text_Fields!E82,CHAR(160)," ")))</f>
        <v>Tamil Nadu</v>
      </c>
      <c r="I81" s="3" t="str">
        <f aca="false">PROPER(TRIM(SUBSTITUTE(Raw_Text_Fields!F82,CHAR(160)," ")))</f>
        <v>Chennai</v>
      </c>
      <c r="J81" s="3" t="str">
        <f aca="false">PROPER(TRIM(SUBSTITUTE(Raw_Text_Fields!G82,CHAR(160)," ")))</f>
        <v>Furniture</v>
      </c>
      <c r="K81" s="3" t="str">
        <f aca="false">PROPER(TRIM(SUBSTITUTE(Raw_Text_Fields!H82,CHAR(160)," ")))</f>
        <v>Chairs</v>
      </c>
      <c r="L81" s="3" t="s">
        <v>272</v>
      </c>
      <c r="M81" s="3" t="str">
        <f aca="false">PROPER(TRIM(SUBSTITUTE(Raw_Text_Fields!I82,CHAR(160)," ")))</f>
        <v>Same Day</v>
      </c>
      <c r="N81" s="3" t="n">
        <v>9</v>
      </c>
      <c r="O81" s="5" t="n">
        <v>4131.52</v>
      </c>
      <c r="P81" s="6" t="n">
        <v>0.1</v>
      </c>
      <c r="Q81" s="5" t="n">
        <v>33465.31</v>
      </c>
      <c r="R81" s="5" t="n">
        <v>24781.26</v>
      </c>
      <c r="S81" s="5" t="n">
        <v>8684.05</v>
      </c>
      <c r="T81" s="3" t="str">
        <f aca="false">PROPER(TRIM(SUBSTITUTE(Raw_Text_Fields!J82,CHAR(160)," ")))</f>
        <v>Paid</v>
      </c>
      <c r="U81" s="3" t="str">
        <f aca="false">PROPER(TRIM(SUBSTITUTE(Raw_Text_Fields!K82,CHAR(160)," ")))</f>
        <v>Completed</v>
      </c>
      <c r="V81" s="7" t="n">
        <f aca="false">IF(OR(P81&lt;0,P81&gt;0.5),0,P81)</f>
        <v>0.1</v>
      </c>
      <c r="W81" s="8" t="n">
        <f aca="false">N81*O81*(1-V81)</f>
        <v>33465.312</v>
      </c>
      <c r="X81" s="8" t="n">
        <f aca="false">W81-R81</f>
        <v>8684.05200000001</v>
      </c>
      <c r="Y81" s="7" t="n">
        <f aca="false">IFERROR(X81/W81,0)</f>
        <v>0.259494129324119</v>
      </c>
      <c r="Z81" s="9" t="n">
        <f aca="false">C81-B81</f>
        <v>6</v>
      </c>
      <c r="AA81" s="1" t="str">
        <f aca="false">IF(B81="","",TEXT(B81,"mmm"))</f>
        <v>Sep</v>
      </c>
      <c r="AB81" s="9" t="n">
        <f aca="false">IF(B81="","",YEAR(B81))</f>
        <v>2025</v>
      </c>
      <c r="AC81" s="3"/>
      <c r="AD81" s="3" t="str">
        <f aca="false">IF(LEFT(AC81&amp;IF(B81="","; Missing Order Date","")&amp;IF(C81="","; Missing Ship Date","")&amp;IF(P81&lt;0,"; Invalid Discount (Negative)","")&amp;IF(P81&gt;0.5,"; Invalid Discount (Too High)","")&amp;IF(Z81&lt;0,"; Invalid Shipping Record (Ship Before Order)","")&amp;IF(ABS(Q81-W81)&gt;1,"; Sales Mismatch","")&amp;IF(ABS(S81-X81)&gt;1,"; Profit Mismatch","")&amp;IF(COUNTIF($A$2:$A$913,A81)&gt;1,"; Duplicate Order ID Conflict",""),2)="; ",MID(AC81&amp;IF(B81="","; Missing Order Date","")&amp;IF(C81="","; Missing Ship Date","")&amp;IF(P81&lt;0,"; Invalid Discount (Negative)","")&amp;IF(P81&gt;0.5,"; Invalid Discount (Too High)","")&amp;IF(Z81&lt;0,"; Invalid Shipping Record (Ship Before Order)","")&amp;IF(ABS(Q81-W81)&gt;1,"; Sales Mismatch","")&amp;IF(ABS(S81-X81)&gt;1,"; Profit Mismatch","")&amp;IF(COUNTIF($A$2:$A$913,A81)&gt;1,"; Duplicate Order ID Conflict",""),3,500),AC81&amp;IF(B81="","; Missing Order Date","")&amp;IF(C81="","; Missing Ship Date","")&amp;IF(P81&lt;0,"; Invalid Discount (Negative)","")&amp;IF(P81&gt;0.5,"; Invalid Discount (Too High)","")&amp;IF(Z81&lt;0,"; Invalid Shipping Record (Ship Before Order)","")&amp;IF(ABS(Q81-W81)&gt;1,"; Sales Mismatch","")&amp;IF(ABS(S81-X81)&gt;1,"; Profit Mismatch","")&amp;IF(COUNTIF($A$2:$A$913,A81)&gt;1,"; Duplicate Order ID Conflict",""))</f>
        <v/>
      </c>
      <c r="AE81" s="10" t="str">
        <f aca="false">IF(OR(ISNUMBER(SEARCH("Invalid Discount",AD81)),ISNUMBER(SEARCH("Invalid Shipping Record",AD81)),ISNUMBER(SEARCH("Sales Mismatch",AD81)),ISNUMBER(SEARCH("Profit Mismatch",AD81)),ISNUMBER(SEARCH("Duplicate Order ID Conflict",AD81)),ISNUMBER(SEARCH("Missing Order Date",AD81)),ISNUMBER(SEARCH("Missing Ship Date",AD81))),"Invalid",IF(AD81&lt;&gt;"","Warning","Clean"))</f>
        <v>Clean</v>
      </c>
    </row>
    <row r="82" customFormat="false" ht="15" hidden="false" customHeight="true" outlineLevel="0" collapsed="false">
      <c r="A82" s="3" t="s">
        <v>273</v>
      </c>
      <c r="B82" s="4" t="n">
        <v>45514</v>
      </c>
      <c r="C82" s="4" t="n">
        <v>45518</v>
      </c>
      <c r="D82" s="3" t="s">
        <v>274</v>
      </c>
      <c r="E82" s="3" t="str">
        <f aca="false">PROPER(TRIM(SUBSTITUTE(Raw_Text_Fields!B83,CHAR(160)," ")))</f>
        <v>Aarav Sharma</v>
      </c>
      <c r="F82" s="3" t="str">
        <f aca="false">PROPER(TRIM(SUBSTITUTE(Raw_Text_Fields!C83,CHAR(160)," ")))</f>
        <v>Small Business</v>
      </c>
      <c r="G82" s="3" t="str">
        <f aca="false">PROPER(TRIM(SUBSTITUTE(Raw_Text_Fields!D83,CHAR(160)," ")))</f>
        <v>North</v>
      </c>
      <c r="H82" s="3" t="str">
        <f aca="false">PROPER(TRIM(SUBSTITUTE(Raw_Text_Fields!E83,CHAR(160)," ")))</f>
        <v>Delhi</v>
      </c>
      <c r="I82" s="3" t="str">
        <f aca="false">PROPER(TRIM(SUBSTITUTE(Raw_Text_Fields!F83,CHAR(160)," ")))</f>
        <v>New Delhi</v>
      </c>
      <c r="J82" s="3" t="str">
        <f aca="false">PROPER(TRIM(SUBSTITUTE(Raw_Text_Fields!G83,CHAR(160)," ")))</f>
        <v>Office Supplies</v>
      </c>
      <c r="K82" s="3" t="str">
        <f aca="false">PROPER(TRIM(SUBSTITUTE(Raw_Text_Fields!H83,CHAR(160)," ")))</f>
        <v>Storage</v>
      </c>
      <c r="L82" s="3" t="s">
        <v>275</v>
      </c>
      <c r="M82" s="3" t="str">
        <f aca="false">PROPER(TRIM(SUBSTITUTE(Raw_Text_Fields!I83,CHAR(160)," ")))</f>
        <v>Second Class</v>
      </c>
      <c r="N82" s="3" t="n">
        <v>4</v>
      </c>
      <c r="O82" s="5" t="n">
        <v>1182.32</v>
      </c>
      <c r="P82" s="6" t="n">
        <v>0.1</v>
      </c>
      <c r="Q82" s="5" t="n">
        <v>4256.35</v>
      </c>
      <c r="R82" s="5" t="n">
        <v>2495.33</v>
      </c>
      <c r="S82" s="5" t="n">
        <v>1761.02</v>
      </c>
      <c r="T82" s="3" t="str">
        <f aca="false">PROPER(TRIM(SUBSTITUTE(Raw_Text_Fields!J83,CHAR(160)," ")))</f>
        <v>Pending</v>
      </c>
      <c r="U82" s="3" t="str">
        <f aca="false">PROPER(TRIM(SUBSTITUTE(Raw_Text_Fields!K83,CHAR(160)," ")))</f>
        <v>Returned</v>
      </c>
      <c r="V82" s="7" t="n">
        <f aca="false">IF(OR(P82&lt;0,P82&gt;0.5),0,P82)</f>
        <v>0.1</v>
      </c>
      <c r="W82" s="8" t="n">
        <f aca="false">N82*O82*(1-V82)</f>
        <v>4256.352</v>
      </c>
      <c r="X82" s="8" t="n">
        <f aca="false">W82-R82</f>
        <v>1761.022</v>
      </c>
      <c r="Y82" s="7" t="n">
        <f aca="false">IFERROR(X82/W82,0)</f>
        <v>0.413739747088587</v>
      </c>
      <c r="Z82" s="9" t="n">
        <f aca="false">C82-B82</f>
        <v>4</v>
      </c>
      <c r="AA82" s="1" t="str">
        <f aca="false">IF(B82="","",TEXT(B82,"mmm"))</f>
        <v>Aug</v>
      </c>
      <c r="AB82" s="9" t="n">
        <f aca="false">IF(B82="","",YEAR(B82))</f>
        <v>2024</v>
      </c>
      <c r="AC82" s="3"/>
      <c r="AD82" s="3" t="str">
        <f aca="false">IF(LEFT(AC82&amp;IF(B82="","; Missing Order Date","")&amp;IF(C82="","; Missing Ship Date","")&amp;IF(P82&lt;0,"; Invalid Discount (Negative)","")&amp;IF(P82&gt;0.5,"; Invalid Discount (Too High)","")&amp;IF(Z82&lt;0,"; Invalid Shipping Record (Ship Before Order)","")&amp;IF(ABS(Q82-W82)&gt;1,"; Sales Mismatch","")&amp;IF(ABS(S82-X82)&gt;1,"; Profit Mismatch","")&amp;IF(COUNTIF($A$2:$A$913,A82)&gt;1,"; Duplicate Order ID Conflict",""),2)="; ",MID(AC82&amp;IF(B82="","; Missing Order Date","")&amp;IF(C82="","; Missing Ship Date","")&amp;IF(P82&lt;0,"; Invalid Discount (Negative)","")&amp;IF(P82&gt;0.5,"; Invalid Discount (Too High)","")&amp;IF(Z82&lt;0,"; Invalid Shipping Record (Ship Before Order)","")&amp;IF(ABS(Q82-W82)&gt;1,"; Sales Mismatch","")&amp;IF(ABS(S82-X82)&gt;1,"; Profit Mismatch","")&amp;IF(COUNTIF($A$2:$A$913,A82)&gt;1,"; Duplicate Order ID Conflict",""),3,500),AC82&amp;IF(B82="","; Missing Order Date","")&amp;IF(C82="","; Missing Ship Date","")&amp;IF(P82&lt;0,"; Invalid Discount (Negative)","")&amp;IF(P82&gt;0.5,"; Invalid Discount (Too High)","")&amp;IF(Z82&lt;0,"; Invalid Shipping Record (Ship Before Order)","")&amp;IF(ABS(Q82-W82)&gt;1,"; Sales Mismatch","")&amp;IF(ABS(S82-X82)&gt;1,"; Profit Mismatch","")&amp;IF(COUNTIF($A$2:$A$913,A82)&gt;1,"; Duplicate Order ID Conflict",""))</f>
        <v/>
      </c>
      <c r="AE82" s="10" t="str">
        <f aca="false">IF(OR(ISNUMBER(SEARCH("Invalid Discount",AD82)),ISNUMBER(SEARCH("Invalid Shipping Record",AD82)),ISNUMBER(SEARCH("Sales Mismatch",AD82)),ISNUMBER(SEARCH("Profit Mismatch",AD82)),ISNUMBER(SEARCH("Duplicate Order ID Conflict",AD82)),ISNUMBER(SEARCH("Missing Order Date",AD82)),ISNUMBER(SEARCH("Missing Ship Date",AD82))),"Invalid",IF(AD82&lt;&gt;"","Warning","Clean"))</f>
        <v>Clean</v>
      </c>
    </row>
    <row r="83" customFormat="false" ht="15" hidden="false" customHeight="true" outlineLevel="0" collapsed="false">
      <c r="A83" s="3" t="s">
        <v>276</v>
      </c>
      <c r="B83" s="4" t="n">
        <v>45732</v>
      </c>
      <c r="C83" s="4" t="n">
        <v>45733</v>
      </c>
      <c r="D83" s="3" t="s">
        <v>277</v>
      </c>
      <c r="E83" s="3" t="str">
        <f aca="false">PROPER(TRIM(SUBSTITUTE(Raw_Text_Fields!B84,CHAR(160)," ")))</f>
        <v>Karan Malhotra</v>
      </c>
      <c r="F83" s="3" t="str">
        <f aca="false">PROPER(TRIM(SUBSTITUTE(Raw_Text_Fields!C84,CHAR(160)," ")))</f>
        <v>Home Office</v>
      </c>
      <c r="G83" s="3" t="str">
        <f aca="false">PROPER(TRIM(SUBSTITUTE(Raw_Text_Fields!D84,CHAR(160)," ")))</f>
        <v>West</v>
      </c>
      <c r="H83" s="3" t="str">
        <f aca="false">PROPER(TRIM(SUBSTITUTE(Raw_Text_Fields!E84,CHAR(160)," ")))</f>
        <v>Goa</v>
      </c>
      <c r="I83" s="3" t="str">
        <f aca="false">PROPER(TRIM(SUBSTITUTE(Raw_Text_Fields!F84,CHAR(160)," ")))</f>
        <v>Panaji</v>
      </c>
      <c r="J83" s="3" t="str">
        <f aca="false">PROPER(TRIM(SUBSTITUTE(Raw_Text_Fields!G84,CHAR(160)," ")))</f>
        <v>Office Supplies</v>
      </c>
      <c r="K83" s="3" t="str">
        <f aca="false">PROPER(TRIM(SUBSTITUTE(Raw_Text_Fields!H84,CHAR(160)," ")))</f>
        <v>Labels</v>
      </c>
      <c r="L83" s="3" t="s">
        <v>278</v>
      </c>
      <c r="M83" s="3" t="str">
        <f aca="false">PROPER(TRIM(SUBSTITUTE(Raw_Text_Fields!I84,CHAR(160)," ")))</f>
        <v>Same Day</v>
      </c>
      <c r="N83" s="3" t="n">
        <v>3</v>
      </c>
      <c r="O83" s="5" t="n">
        <v>1841.91</v>
      </c>
      <c r="P83" s="6" t="n">
        <v>0</v>
      </c>
      <c r="Q83" s="5" t="n">
        <v>5525.73</v>
      </c>
      <c r="R83" s="5" t="n">
        <v>3093.42</v>
      </c>
      <c r="S83" s="5" t="n">
        <v>2432.31</v>
      </c>
      <c r="T83" s="3" t="str">
        <f aca="false">PROPER(TRIM(SUBSTITUTE(Raw_Text_Fields!J84,CHAR(160)," ")))</f>
        <v>Paid</v>
      </c>
      <c r="U83" s="3" t="str">
        <f aca="false">PROPER(TRIM(SUBSTITUTE(Raw_Text_Fields!K84,CHAR(160)," ")))</f>
        <v>Completed</v>
      </c>
      <c r="V83" s="7" t="n">
        <f aca="false">IF(OR(P83&lt;0,P83&gt;0.5),0,P83)</f>
        <v>0</v>
      </c>
      <c r="W83" s="8" t="n">
        <f aca="false">N83*O83*(1-V83)</f>
        <v>5525.73</v>
      </c>
      <c r="X83" s="8" t="n">
        <f aca="false">W83-R83</f>
        <v>2432.31</v>
      </c>
      <c r="Y83" s="7" t="n">
        <f aca="false">IFERROR(X83/W83,0)</f>
        <v>0.440178944682422</v>
      </c>
      <c r="Z83" s="9" t="n">
        <f aca="false">C83-B83</f>
        <v>1</v>
      </c>
      <c r="AA83" s="1" t="str">
        <f aca="false">IF(B83="","",TEXT(B83,"mmm"))</f>
        <v>Mar</v>
      </c>
      <c r="AB83" s="9" t="n">
        <f aca="false">IF(B83="","",YEAR(B83))</f>
        <v>2025</v>
      </c>
      <c r="AC83" s="3"/>
      <c r="AD83" s="3" t="str">
        <f aca="false">IF(LEFT(AC83&amp;IF(B83="","; Missing Order Date","")&amp;IF(C83="","; Missing Ship Date","")&amp;IF(P83&lt;0,"; Invalid Discount (Negative)","")&amp;IF(P83&gt;0.5,"; Invalid Discount (Too High)","")&amp;IF(Z83&lt;0,"; Invalid Shipping Record (Ship Before Order)","")&amp;IF(ABS(Q83-W83)&gt;1,"; Sales Mismatch","")&amp;IF(ABS(S83-X83)&gt;1,"; Profit Mismatch","")&amp;IF(COUNTIF($A$2:$A$913,A83)&gt;1,"; Duplicate Order ID Conflict",""),2)="; ",MID(AC83&amp;IF(B83="","; Missing Order Date","")&amp;IF(C83="","; Missing Ship Date","")&amp;IF(P83&lt;0,"; Invalid Discount (Negative)","")&amp;IF(P83&gt;0.5,"; Invalid Discount (Too High)","")&amp;IF(Z83&lt;0,"; Invalid Shipping Record (Ship Before Order)","")&amp;IF(ABS(Q83-W83)&gt;1,"; Sales Mismatch","")&amp;IF(ABS(S83-X83)&gt;1,"; Profit Mismatch","")&amp;IF(COUNTIF($A$2:$A$913,A83)&gt;1,"; Duplicate Order ID Conflict",""),3,500),AC83&amp;IF(B83="","; Missing Order Date","")&amp;IF(C83="","; Missing Ship Date","")&amp;IF(P83&lt;0,"; Invalid Discount (Negative)","")&amp;IF(P83&gt;0.5,"; Invalid Discount (Too High)","")&amp;IF(Z83&lt;0,"; Invalid Shipping Record (Ship Before Order)","")&amp;IF(ABS(Q83-W83)&gt;1,"; Sales Mismatch","")&amp;IF(ABS(S83-X83)&gt;1,"; Profit Mismatch","")&amp;IF(COUNTIF($A$2:$A$913,A83)&gt;1,"; Duplicate Order ID Conflict",""))</f>
        <v/>
      </c>
      <c r="AE83" s="10" t="str">
        <f aca="false">IF(OR(ISNUMBER(SEARCH("Invalid Discount",AD83)),ISNUMBER(SEARCH("Invalid Shipping Record",AD83)),ISNUMBER(SEARCH("Sales Mismatch",AD83)),ISNUMBER(SEARCH("Profit Mismatch",AD83)),ISNUMBER(SEARCH("Duplicate Order ID Conflict",AD83)),ISNUMBER(SEARCH("Missing Order Date",AD83)),ISNUMBER(SEARCH("Missing Ship Date",AD83))),"Invalid",IF(AD83&lt;&gt;"","Warning","Clean"))</f>
        <v>Clean</v>
      </c>
    </row>
    <row r="84" customFormat="false" ht="15" hidden="false" customHeight="true" outlineLevel="0" collapsed="false">
      <c r="A84" s="3" t="s">
        <v>279</v>
      </c>
      <c r="B84" s="4" t="n">
        <v>45507</v>
      </c>
      <c r="C84" s="4" t="n">
        <v>45508</v>
      </c>
      <c r="D84" s="3" t="s">
        <v>280</v>
      </c>
      <c r="E84" s="3" t="str">
        <f aca="false">PROPER(TRIM(SUBSTITUTE(Raw_Text_Fields!B85,CHAR(160)," ")))</f>
        <v>Arjun Bose</v>
      </c>
      <c r="F84" s="3" t="str">
        <f aca="false">PROPER(TRIM(SUBSTITUTE(Raw_Text_Fields!C85,CHAR(160)," ")))</f>
        <v>Consumer</v>
      </c>
      <c r="G84" s="3" t="str">
        <f aca="false">PROPER(TRIM(SUBSTITUTE(Raw_Text_Fields!D85,CHAR(160)," ")))</f>
        <v>North</v>
      </c>
      <c r="H84" s="3" t="str">
        <f aca="false">PROPER(TRIM(SUBSTITUTE(Raw_Text_Fields!E85,CHAR(160)," ")))</f>
        <v>Uttar Pradesh</v>
      </c>
      <c r="I84" s="3" t="str">
        <f aca="false">PROPER(TRIM(SUBSTITUTE(Raw_Text_Fields!F85,CHAR(160)," ")))</f>
        <v>Noida</v>
      </c>
      <c r="J84" s="3" t="str">
        <f aca="false">PROPER(TRIM(SUBSTITUTE(Raw_Text_Fields!G85,CHAR(160)," ")))</f>
        <v>Technology</v>
      </c>
      <c r="K84" s="3" t="str">
        <f aca="false">PROPER(TRIM(SUBSTITUTE(Raw_Text_Fields!H85,CHAR(160)," ")))</f>
        <v>Copiers</v>
      </c>
      <c r="L84" s="3" t="s">
        <v>281</v>
      </c>
      <c r="M84" s="3" t="str">
        <f aca="false">PROPER(TRIM(SUBSTITUTE(Raw_Text_Fields!I85,CHAR(160)," ")))</f>
        <v>Second Class</v>
      </c>
      <c r="N84" s="3" t="n">
        <v>6</v>
      </c>
      <c r="O84" s="5" t="n">
        <v>1001.73</v>
      </c>
      <c r="P84" s="6" t="n">
        <v>0</v>
      </c>
      <c r="Q84" s="5" t="n">
        <v>6010.38</v>
      </c>
      <c r="R84" s="5" t="n">
        <v>3762.85</v>
      </c>
      <c r="S84" s="5" t="n">
        <v>2247.53</v>
      </c>
      <c r="T84" s="3" t="str">
        <f aca="false">PROPER(TRIM(SUBSTITUTE(Raw_Text_Fields!J85,CHAR(160)," ")))</f>
        <v>Failed</v>
      </c>
      <c r="U84" s="3" t="str">
        <f aca="false">PROPER(TRIM(SUBSTITUTE(Raw_Text_Fields!K85,CHAR(160)," ")))</f>
        <v>Returned</v>
      </c>
      <c r="V84" s="7" t="n">
        <f aca="false">IF(OR(P84&lt;0,P84&gt;0.5),0,P84)</f>
        <v>0</v>
      </c>
      <c r="W84" s="8" t="n">
        <f aca="false">N84*O84*(1-V84)</f>
        <v>6010.38</v>
      </c>
      <c r="X84" s="8" t="n">
        <f aca="false">W84-R84</f>
        <v>2247.53</v>
      </c>
      <c r="Y84" s="7" t="n">
        <f aca="false">IFERROR(X84/W84,0)</f>
        <v>0.373941414685927</v>
      </c>
      <c r="Z84" s="9" t="n">
        <f aca="false">C84-B84</f>
        <v>1</v>
      </c>
      <c r="AA84" s="1" t="str">
        <f aca="false">IF(B84="","",TEXT(B84,"mmm"))</f>
        <v>Aug</v>
      </c>
      <c r="AB84" s="9" t="n">
        <f aca="false">IF(B84="","",YEAR(B84))</f>
        <v>2024</v>
      </c>
      <c r="AC84" s="3"/>
      <c r="AD84" s="3" t="str">
        <f aca="false">IF(LEFT(AC84&amp;IF(B84="","; Missing Order Date","")&amp;IF(C84="","; Missing Ship Date","")&amp;IF(P84&lt;0,"; Invalid Discount (Negative)","")&amp;IF(P84&gt;0.5,"; Invalid Discount (Too High)","")&amp;IF(Z84&lt;0,"; Invalid Shipping Record (Ship Before Order)","")&amp;IF(ABS(Q84-W84)&gt;1,"; Sales Mismatch","")&amp;IF(ABS(S84-X84)&gt;1,"; Profit Mismatch","")&amp;IF(COUNTIF($A$2:$A$913,A84)&gt;1,"; Duplicate Order ID Conflict",""),2)="; ",MID(AC84&amp;IF(B84="","; Missing Order Date","")&amp;IF(C84="","; Missing Ship Date","")&amp;IF(P84&lt;0,"; Invalid Discount (Negative)","")&amp;IF(P84&gt;0.5,"; Invalid Discount (Too High)","")&amp;IF(Z84&lt;0,"; Invalid Shipping Record (Ship Before Order)","")&amp;IF(ABS(Q84-W84)&gt;1,"; Sales Mismatch","")&amp;IF(ABS(S84-X84)&gt;1,"; Profit Mismatch","")&amp;IF(COUNTIF($A$2:$A$913,A84)&gt;1,"; Duplicate Order ID Conflict",""),3,500),AC84&amp;IF(B84="","; Missing Order Date","")&amp;IF(C84="","; Missing Ship Date","")&amp;IF(P84&lt;0,"; Invalid Discount (Negative)","")&amp;IF(P84&gt;0.5,"; Invalid Discount (Too High)","")&amp;IF(Z84&lt;0,"; Invalid Shipping Record (Ship Before Order)","")&amp;IF(ABS(Q84-W84)&gt;1,"; Sales Mismatch","")&amp;IF(ABS(S84-X84)&gt;1,"; Profit Mismatch","")&amp;IF(COUNTIF($A$2:$A$913,A84)&gt;1,"; Duplicate Order ID Conflict",""))</f>
        <v/>
      </c>
      <c r="AE84" s="10" t="str">
        <f aca="false">IF(OR(ISNUMBER(SEARCH("Invalid Discount",AD84)),ISNUMBER(SEARCH("Invalid Shipping Record",AD84)),ISNUMBER(SEARCH("Sales Mismatch",AD84)),ISNUMBER(SEARCH("Profit Mismatch",AD84)),ISNUMBER(SEARCH("Duplicate Order ID Conflict",AD84)),ISNUMBER(SEARCH("Missing Order Date",AD84)),ISNUMBER(SEARCH("Missing Ship Date",AD84))),"Invalid",IF(AD84&lt;&gt;"","Warning","Clean"))</f>
        <v>Clean</v>
      </c>
    </row>
    <row r="85" customFormat="false" ht="15" hidden="false" customHeight="true" outlineLevel="0" collapsed="false">
      <c r="A85" s="3" t="s">
        <v>282</v>
      </c>
      <c r="B85" s="4" t="n">
        <v>45591</v>
      </c>
      <c r="C85" s="4" t="n">
        <v>45594</v>
      </c>
      <c r="D85" s="3" t="s">
        <v>283</v>
      </c>
      <c r="E85" s="3" t="str">
        <f aca="false">PROPER(TRIM(SUBSTITUTE(Raw_Text_Fields!B86,CHAR(160)," ")))</f>
        <v>Aditi Sen</v>
      </c>
      <c r="F85" s="3" t="str">
        <f aca="false">PROPER(TRIM(SUBSTITUTE(Raw_Text_Fields!C86,CHAR(160)," ")))</f>
        <v>Home Office</v>
      </c>
      <c r="G85" s="3" t="str">
        <f aca="false">PROPER(TRIM(SUBSTITUTE(Raw_Text_Fields!D86,CHAR(160)," ")))</f>
        <v>West</v>
      </c>
      <c r="H85" s="3" t="str">
        <f aca="false">PROPER(TRIM(SUBSTITUTE(Raw_Text_Fields!E86,CHAR(160)," ")))</f>
        <v>Maharashtra</v>
      </c>
      <c r="I85" s="3" t="str">
        <f aca="false">PROPER(TRIM(SUBSTITUTE(Raw_Text_Fields!F86,CHAR(160)," ")))</f>
        <v>Mumbai</v>
      </c>
      <c r="J85" s="3" t="str">
        <f aca="false">PROPER(TRIM(SUBSTITUTE(Raw_Text_Fields!G86,CHAR(160)," ")))</f>
        <v>Furniture</v>
      </c>
      <c r="K85" s="3" t="str">
        <f aca="false">PROPER(TRIM(SUBSTITUTE(Raw_Text_Fields!H86,CHAR(160)," ")))</f>
        <v>Tables</v>
      </c>
      <c r="L85" s="3" t="s">
        <v>284</v>
      </c>
      <c r="M85" s="3" t="str">
        <f aca="false">PROPER(TRIM(SUBSTITUTE(Raw_Text_Fields!I86,CHAR(160)," ")))</f>
        <v>Second Class</v>
      </c>
      <c r="N85" s="3" t="n">
        <v>9</v>
      </c>
      <c r="O85" s="5" t="n">
        <v>131.74</v>
      </c>
      <c r="P85" s="6" t="n">
        <v>0.2</v>
      </c>
      <c r="Q85" s="5" t="n">
        <v>948.53</v>
      </c>
      <c r="R85" s="5" t="n">
        <v>674.62</v>
      </c>
      <c r="S85" s="5" t="n">
        <v>273.91</v>
      </c>
      <c r="T85" s="3" t="str">
        <f aca="false">PROPER(TRIM(SUBSTITUTE(Raw_Text_Fields!J86,CHAR(160)," ")))</f>
        <v>Paid</v>
      </c>
      <c r="U85" s="3" t="str">
        <f aca="false">PROPER(TRIM(SUBSTITUTE(Raw_Text_Fields!K86,CHAR(160)," ")))</f>
        <v>Completed</v>
      </c>
      <c r="V85" s="7" t="n">
        <f aca="false">IF(OR(P85&lt;0,P85&gt;0.5),0,P85)</f>
        <v>0.2</v>
      </c>
      <c r="W85" s="8" t="n">
        <f aca="false">N85*O85*(1-V85)</f>
        <v>948.528</v>
      </c>
      <c r="X85" s="8" t="n">
        <f aca="false">W85-R85</f>
        <v>273.908</v>
      </c>
      <c r="Y85" s="7" t="n">
        <f aca="false">IFERROR(X85/W85,0)</f>
        <v>0.288771654605874</v>
      </c>
      <c r="Z85" s="9" t="n">
        <f aca="false">C85-B85</f>
        <v>3</v>
      </c>
      <c r="AA85" s="1" t="str">
        <f aca="false">IF(B85="","",TEXT(B85,"mmm"))</f>
        <v>Oct</v>
      </c>
      <c r="AB85" s="9" t="n">
        <f aca="false">IF(B85="","",YEAR(B85))</f>
        <v>2024</v>
      </c>
      <c r="AC85" s="3"/>
      <c r="AD85" s="3" t="str">
        <f aca="false">IF(LEFT(AC85&amp;IF(B85="","; Missing Order Date","")&amp;IF(C85="","; Missing Ship Date","")&amp;IF(P85&lt;0,"; Invalid Discount (Negative)","")&amp;IF(P85&gt;0.5,"; Invalid Discount (Too High)","")&amp;IF(Z85&lt;0,"; Invalid Shipping Record (Ship Before Order)","")&amp;IF(ABS(Q85-W85)&gt;1,"; Sales Mismatch","")&amp;IF(ABS(S85-X85)&gt;1,"; Profit Mismatch","")&amp;IF(COUNTIF($A$2:$A$913,A85)&gt;1,"; Duplicate Order ID Conflict",""),2)="; ",MID(AC85&amp;IF(B85="","; Missing Order Date","")&amp;IF(C85="","; Missing Ship Date","")&amp;IF(P85&lt;0,"; Invalid Discount (Negative)","")&amp;IF(P85&gt;0.5,"; Invalid Discount (Too High)","")&amp;IF(Z85&lt;0,"; Invalid Shipping Record (Ship Before Order)","")&amp;IF(ABS(Q85-W85)&gt;1,"; Sales Mismatch","")&amp;IF(ABS(S85-X85)&gt;1,"; Profit Mismatch","")&amp;IF(COUNTIF($A$2:$A$913,A85)&gt;1,"; Duplicate Order ID Conflict",""),3,500),AC85&amp;IF(B85="","; Missing Order Date","")&amp;IF(C85="","; Missing Ship Date","")&amp;IF(P85&lt;0,"; Invalid Discount (Negative)","")&amp;IF(P85&gt;0.5,"; Invalid Discount (Too High)","")&amp;IF(Z85&lt;0,"; Invalid Shipping Record (Ship Before Order)","")&amp;IF(ABS(Q85-W85)&gt;1,"; Sales Mismatch","")&amp;IF(ABS(S85-X85)&gt;1,"; Profit Mismatch","")&amp;IF(COUNTIF($A$2:$A$913,A85)&gt;1,"; Duplicate Order ID Conflict",""))</f>
        <v/>
      </c>
      <c r="AE85" s="10" t="str">
        <f aca="false">IF(OR(ISNUMBER(SEARCH("Invalid Discount",AD85)),ISNUMBER(SEARCH("Invalid Shipping Record",AD85)),ISNUMBER(SEARCH("Sales Mismatch",AD85)),ISNUMBER(SEARCH("Profit Mismatch",AD85)),ISNUMBER(SEARCH("Duplicate Order ID Conflict",AD85)),ISNUMBER(SEARCH("Missing Order Date",AD85)),ISNUMBER(SEARCH("Missing Ship Date",AD85))),"Invalid",IF(AD85&lt;&gt;"","Warning","Clean"))</f>
        <v>Clean</v>
      </c>
    </row>
    <row r="86" customFormat="false" ht="15" hidden="false" customHeight="true" outlineLevel="0" collapsed="false">
      <c r="A86" s="3" t="s">
        <v>285</v>
      </c>
      <c r="B86" s="4" t="n">
        <v>45566</v>
      </c>
      <c r="C86" s="4" t="n">
        <v>45568</v>
      </c>
      <c r="D86" s="3" t="s">
        <v>286</v>
      </c>
      <c r="E86" s="3" t="str">
        <f aca="false">PROPER(TRIM(SUBSTITUTE(Raw_Text_Fields!B87,CHAR(160)," ")))</f>
        <v>Rohan Mehta</v>
      </c>
      <c r="F86" s="3" t="str">
        <f aca="false">PROPER(TRIM(SUBSTITUTE(Raw_Text_Fields!C87,CHAR(160)," ")))</f>
        <v>Corporate</v>
      </c>
      <c r="G86" s="3" t="str">
        <f aca="false">PROPER(TRIM(SUBSTITUTE(Raw_Text_Fields!D87,CHAR(160)," ")))</f>
        <v>South</v>
      </c>
      <c r="H86" s="3" t="str">
        <f aca="false">PROPER(TRIM(SUBSTITUTE(Raw_Text_Fields!E87,CHAR(160)," ")))</f>
        <v>Tamil Nadu</v>
      </c>
      <c r="I86" s="3" t="str">
        <f aca="false">PROPER(TRIM(SUBSTITUTE(Raw_Text_Fields!F87,CHAR(160)," ")))</f>
        <v>Chennai</v>
      </c>
      <c r="J86" s="3" t="str">
        <f aca="false">PROPER(TRIM(SUBSTITUTE(Raw_Text_Fields!G87,CHAR(160)," ")))</f>
        <v>Technology</v>
      </c>
      <c r="K86" s="3" t="str">
        <f aca="false">PROPER(TRIM(SUBSTITUTE(Raw_Text_Fields!H87,CHAR(160)," ")))</f>
        <v>Phones</v>
      </c>
      <c r="L86" s="3" t="s">
        <v>287</v>
      </c>
      <c r="M86" s="3" t="str">
        <f aca="false">PROPER(TRIM(SUBSTITUTE(Raw_Text_Fields!I87,CHAR(160)," ")))</f>
        <v>Second Class</v>
      </c>
      <c r="N86" s="3" t="n">
        <v>6</v>
      </c>
      <c r="O86" s="5" t="n">
        <v>570.28</v>
      </c>
      <c r="P86" s="6" t="n">
        <v>0.2</v>
      </c>
      <c r="Q86" s="5" t="n">
        <v>2737.34</v>
      </c>
      <c r="R86" s="5" t="n">
        <v>2085.44</v>
      </c>
      <c r="S86" s="5" t="n">
        <v>651.9</v>
      </c>
      <c r="T86" s="3" t="str">
        <f aca="false">PROPER(TRIM(SUBSTITUTE(Raw_Text_Fields!J87,CHAR(160)," ")))</f>
        <v>Paid</v>
      </c>
      <c r="U86" s="3" t="str">
        <f aca="false">PROPER(TRIM(SUBSTITUTE(Raw_Text_Fields!K87,CHAR(160)," ")))</f>
        <v>Completed</v>
      </c>
      <c r="V86" s="7" t="n">
        <f aca="false">IF(OR(P86&lt;0,P86&gt;0.5),0,P86)</f>
        <v>0.2</v>
      </c>
      <c r="W86" s="8" t="n">
        <f aca="false">N86*O86*(1-V86)</f>
        <v>2737.344</v>
      </c>
      <c r="X86" s="8" t="n">
        <f aca="false">W86-R86</f>
        <v>651.904</v>
      </c>
      <c r="Y86" s="7" t="n">
        <f aca="false">IFERROR(X86/W86,0)</f>
        <v>0.238152018891305</v>
      </c>
      <c r="Z86" s="9" t="n">
        <f aca="false">C86-B86</f>
        <v>2</v>
      </c>
      <c r="AA86" s="1" t="str">
        <f aca="false">IF(B86="","",TEXT(B86,"mmm"))</f>
        <v>Oct</v>
      </c>
      <c r="AB86" s="9" t="n">
        <f aca="false">IF(B86="","",YEAR(B86))</f>
        <v>2024</v>
      </c>
      <c r="AC86" s="3"/>
      <c r="AD86" s="3" t="str">
        <f aca="false">IF(LEFT(AC86&amp;IF(B86="","; Missing Order Date","")&amp;IF(C86="","; Missing Ship Date","")&amp;IF(P86&lt;0,"; Invalid Discount (Negative)","")&amp;IF(P86&gt;0.5,"; Invalid Discount (Too High)","")&amp;IF(Z86&lt;0,"; Invalid Shipping Record (Ship Before Order)","")&amp;IF(ABS(Q86-W86)&gt;1,"; Sales Mismatch","")&amp;IF(ABS(S86-X86)&gt;1,"; Profit Mismatch","")&amp;IF(COUNTIF($A$2:$A$913,A86)&gt;1,"; Duplicate Order ID Conflict",""),2)="; ",MID(AC86&amp;IF(B86="","; Missing Order Date","")&amp;IF(C86="","; Missing Ship Date","")&amp;IF(P86&lt;0,"; Invalid Discount (Negative)","")&amp;IF(P86&gt;0.5,"; Invalid Discount (Too High)","")&amp;IF(Z86&lt;0,"; Invalid Shipping Record (Ship Before Order)","")&amp;IF(ABS(Q86-W86)&gt;1,"; Sales Mismatch","")&amp;IF(ABS(S86-X86)&gt;1,"; Profit Mismatch","")&amp;IF(COUNTIF($A$2:$A$913,A86)&gt;1,"; Duplicate Order ID Conflict",""),3,500),AC86&amp;IF(B86="","; Missing Order Date","")&amp;IF(C86="","; Missing Ship Date","")&amp;IF(P86&lt;0,"; Invalid Discount (Negative)","")&amp;IF(P86&gt;0.5,"; Invalid Discount (Too High)","")&amp;IF(Z86&lt;0,"; Invalid Shipping Record (Ship Before Order)","")&amp;IF(ABS(Q86-W86)&gt;1,"; Sales Mismatch","")&amp;IF(ABS(S86-X86)&gt;1,"; Profit Mismatch","")&amp;IF(COUNTIF($A$2:$A$913,A86)&gt;1,"; Duplicate Order ID Conflict",""))</f>
        <v/>
      </c>
      <c r="AE86" s="10" t="str">
        <f aca="false">IF(OR(ISNUMBER(SEARCH("Invalid Discount",AD86)),ISNUMBER(SEARCH("Invalid Shipping Record",AD86)),ISNUMBER(SEARCH("Sales Mismatch",AD86)),ISNUMBER(SEARCH("Profit Mismatch",AD86)),ISNUMBER(SEARCH("Duplicate Order ID Conflict",AD86)),ISNUMBER(SEARCH("Missing Order Date",AD86)),ISNUMBER(SEARCH("Missing Ship Date",AD86))),"Invalid",IF(AD86&lt;&gt;"","Warning","Clean"))</f>
        <v>Clean</v>
      </c>
    </row>
    <row r="87" customFormat="false" ht="15" hidden="false" customHeight="true" outlineLevel="0" collapsed="false">
      <c r="A87" s="3" t="s">
        <v>288</v>
      </c>
      <c r="B87" s="4" t="n">
        <v>45503</v>
      </c>
      <c r="C87" s="4" t="n">
        <v>45509</v>
      </c>
      <c r="D87" s="3" t="s">
        <v>289</v>
      </c>
      <c r="E87" s="3" t="str">
        <f aca="false">PROPER(TRIM(SUBSTITUTE(Raw_Text_Fields!B88,CHAR(160)," ")))</f>
        <v>Kabir Singh</v>
      </c>
      <c r="F87" s="3" t="str">
        <f aca="false">PROPER(TRIM(SUBSTITUTE(Raw_Text_Fields!C88,CHAR(160)," ")))</f>
        <v>Corporate</v>
      </c>
      <c r="G87" s="3" t="str">
        <f aca="false">PROPER(TRIM(SUBSTITUTE(Raw_Text_Fields!D88,CHAR(160)," ")))</f>
        <v>North</v>
      </c>
      <c r="H87" s="3" t="str">
        <f aca="false">PROPER(TRIM(SUBSTITUTE(Raw_Text_Fields!E88,CHAR(160)," ")))</f>
        <v>Delhi</v>
      </c>
      <c r="I87" s="3" t="str">
        <f aca="false">PROPER(TRIM(SUBSTITUTE(Raw_Text_Fields!F88,CHAR(160)," ")))</f>
        <v>New Delhi</v>
      </c>
      <c r="J87" s="3" t="str">
        <f aca="false">PROPER(TRIM(SUBSTITUTE(Raw_Text_Fields!G88,CHAR(160)," ")))</f>
        <v>Office Supplies</v>
      </c>
      <c r="K87" s="3" t="str">
        <f aca="false">PROPER(TRIM(SUBSTITUTE(Raw_Text_Fields!H88,CHAR(160)," ")))</f>
        <v>Binders</v>
      </c>
      <c r="L87" s="3" t="s">
        <v>290</v>
      </c>
      <c r="M87" s="3" t="str">
        <f aca="false">PROPER(TRIM(SUBSTITUTE(Raw_Text_Fields!I88,CHAR(160)," ")))</f>
        <v>Standard Class</v>
      </c>
      <c r="N87" s="3" t="n">
        <v>1</v>
      </c>
      <c r="O87" s="5" t="n">
        <v>608.64</v>
      </c>
      <c r="P87" s="6" t="n">
        <v>0</v>
      </c>
      <c r="Q87" s="5" t="n">
        <v>608.64</v>
      </c>
      <c r="R87" s="5" t="n">
        <v>343.99</v>
      </c>
      <c r="S87" s="5" t="n">
        <v>264.65</v>
      </c>
      <c r="T87" s="3" t="str">
        <f aca="false">PROPER(TRIM(SUBSTITUTE(Raw_Text_Fields!J88,CHAR(160)," ")))</f>
        <v>Paid</v>
      </c>
      <c r="U87" s="3" t="str">
        <f aca="false">PROPER(TRIM(SUBSTITUTE(Raw_Text_Fields!K88,CHAR(160)," ")))</f>
        <v>Cancelled</v>
      </c>
      <c r="V87" s="7" t="n">
        <f aca="false">IF(OR(P87&lt;0,P87&gt;0.5),0,P87)</f>
        <v>0</v>
      </c>
      <c r="W87" s="8" t="n">
        <f aca="false">N87*O87*(1-V87)</f>
        <v>608.64</v>
      </c>
      <c r="X87" s="8" t="n">
        <f aca="false">W87-R87</f>
        <v>264.65</v>
      </c>
      <c r="Y87" s="7" t="n">
        <f aca="false">IFERROR(X87/W87,0)</f>
        <v>0.434821898002103</v>
      </c>
      <c r="Z87" s="9" t="n">
        <f aca="false">C87-B87</f>
        <v>6</v>
      </c>
      <c r="AA87" s="1" t="str">
        <f aca="false">IF(B87="","",TEXT(B87,"mmm"))</f>
        <v>Jul</v>
      </c>
      <c r="AB87" s="9" t="n">
        <f aca="false">IF(B87="","",YEAR(B87))</f>
        <v>2024</v>
      </c>
      <c r="AC87" s="3"/>
      <c r="AD87" s="3" t="str">
        <f aca="false">IF(LEFT(AC87&amp;IF(B87="","; Missing Order Date","")&amp;IF(C87="","; Missing Ship Date","")&amp;IF(P87&lt;0,"; Invalid Discount (Negative)","")&amp;IF(P87&gt;0.5,"; Invalid Discount (Too High)","")&amp;IF(Z87&lt;0,"; Invalid Shipping Record (Ship Before Order)","")&amp;IF(ABS(Q87-W87)&gt;1,"; Sales Mismatch","")&amp;IF(ABS(S87-X87)&gt;1,"; Profit Mismatch","")&amp;IF(COUNTIF($A$2:$A$913,A87)&gt;1,"; Duplicate Order ID Conflict",""),2)="; ",MID(AC87&amp;IF(B87="","; Missing Order Date","")&amp;IF(C87="","; Missing Ship Date","")&amp;IF(P87&lt;0,"; Invalid Discount (Negative)","")&amp;IF(P87&gt;0.5,"; Invalid Discount (Too High)","")&amp;IF(Z87&lt;0,"; Invalid Shipping Record (Ship Before Order)","")&amp;IF(ABS(Q87-W87)&gt;1,"; Sales Mismatch","")&amp;IF(ABS(S87-X87)&gt;1,"; Profit Mismatch","")&amp;IF(COUNTIF($A$2:$A$913,A87)&gt;1,"; Duplicate Order ID Conflict",""),3,500),AC87&amp;IF(B87="","; Missing Order Date","")&amp;IF(C87="","; Missing Ship Date","")&amp;IF(P87&lt;0,"; Invalid Discount (Negative)","")&amp;IF(P87&gt;0.5,"; Invalid Discount (Too High)","")&amp;IF(Z87&lt;0,"; Invalid Shipping Record (Ship Before Order)","")&amp;IF(ABS(Q87-W87)&gt;1,"; Sales Mismatch","")&amp;IF(ABS(S87-X87)&gt;1,"; Profit Mismatch","")&amp;IF(COUNTIF($A$2:$A$913,A87)&gt;1,"; Duplicate Order ID Conflict",""))</f>
        <v/>
      </c>
      <c r="AE87" s="10" t="str">
        <f aca="false">IF(OR(ISNUMBER(SEARCH("Invalid Discount",AD87)),ISNUMBER(SEARCH("Invalid Shipping Record",AD87)),ISNUMBER(SEARCH("Sales Mismatch",AD87)),ISNUMBER(SEARCH("Profit Mismatch",AD87)),ISNUMBER(SEARCH("Duplicate Order ID Conflict",AD87)),ISNUMBER(SEARCH("Missing Order Date",AD87)),ISNUMBER(SEARCH("Missing Ship Date",AD87))),"Invalid",IF(AD87&lt;&gt;"","Warning","Clean"))</f>
        <v>Clean</v>
      </c>
    </row>
    <row r="88" customFormat="false" ht="15" hidden="false" customHeight="true" outlineLevel="0" collapsed="false">
      <c r="A88" s="3" t="s">
        <v>291</v>
      </c>
      <c r="B88" s="4" t="n">
        <v>45474</v>
      </c>
      <c r="C88" s="4" t="n">
        <v>45474</v>
      </c>
      <c r="D88" s="3" t="s">
        <v>292</v>
      </c>
      <c r="E88" s="3" t="str">
        <f aca="false">PROPER(TRIM(SUBSTITUTE(Raw_Text_Fields!B89,CHAR(160)," ")))</f>
        <v>Ananya Rao</v>
      </c>
      <c r="F88" s="3" t="str">
        <f aca="false">PROPER(TRIM(SUBSTITUTE(Raw_Text_Fields!C89,CHAR(160)," ")))</f>
        <v>Small Business</v>
      </c>
      <c r="G88" s="3" t="str">
        <f aca="false">PROPER(TRIM(SUBSTITUTE(Raw_Text_Fields!D89,CHAR(160)," ")))</f>
        <v>North</v>
      </c>
      <c r="H88" s="3" t="str">
        <f aca="false">PROPER(TRIM(SUBSTITUTE(Raw_Text_Fields!E89,CHAR(160)," ")))</f>
        <v>Delhi</v>
      </c>
      <c r="I88" s="3" t="str">
        <f aca="false">PROPER(TRIM(SUBSTITUTE(Raw_Text_Fields!F89,CHAR(160)," ")))</f>
        <v>New Delhi</v>
      </c>
      <c r="J88" s="3" t="str">
        <f aca="false">PROPER(TRIM(SUBSTITUTE(Raw_Text_Fields!G89,CHAR(160)," ")))</f>
        <v>Technology</v>
      </c>
      <c r="K88" s="3" t="str">
        <f aca="false">PROPER(TRIM(SUBSTITUTE(Raw_Text_Fields!H89,CHAR(160)," ")))</f>
        <v>Copiers</v>
      </c>
      <c r="L88" s="3" t="s">
        <v>293</v>
      </c>
      <c r="M88" s="3" t="str">
        <f aca="false">PROPER(TRIM(SUBSTITUTE(Raw_Text_Fields!I89,CHAR(160)," ")))</f>
        <v>Second Class</v>
      </c>
      <c r="N88" s="3" t="n">
        <v>3</v>
      </c>
      <c r="O88" s="5" t="n">
        <v>885.28</v>
      </c>
      <c r="P88" s="6" t="n">
        <v>0.1</v>
      </c>
      <c r="Q88" s="5" t="n">
        <v>2390.26</v>
      </c>
      <c r="R88" s="5" t="n">
        <v>1495.94</v>
      </c>
      <c r="S88" s="5" t="n">
        <v>894.32</v>
      </c>
      <c r="T88" s="3" t="str">
        <f aca="false">PROPER(TRIM(SUBSTITUTE(Raw_Text_Fields!J89,CHAR(160)," ")))</f>
        <v>Refunded</v>
      </c>
      <c r="U88" s="3" t="str">
        <f aca="false">PROPER(TRIM(SUBSTITUTE(Raw_Text_Fields!K89,CHAR(160)," ")))</f>
        <v>Cancelled</v>
      </c>
      <c r="V88" s="7" t="n">
        <f aca="false">IF(OR(P88&lt;0,P88&gt;0.5),0,P88)</f>
        <v>0.1</v>
      </c>
      <c r="W88" s="8" t="n">
        <f aca="false">N88*O88*(1-V88)</f>
        <v>2390.256</v>
      </c>
      <c r="X88" s="8" t="n">
        <f aca="false">W88-R88</f>
        <v>894.316</v>
      </c>
      <c r="Y88" s="7" t="n">
        <f aca="false">IFERROR(X88/W88,0)</f>
        <v>0.374150718584118</v>
      </c>
      <c r="Z88" s="9" t="n">
        <f aca="false">C88-B88</f>
        <v>0</v>
      </c>
      <c r="AA88" s="1" t="str">
        <f aca="false">IF(B88="","",TEXT(B88,"mmm"))</f>
        <v>Jul</v>
      </c>
      <c r="AB88" s="9" t="n">
        <f aca="false">IF(B88="","",YEAR(B88))</f>
        <v>2024</v>
      </c>
      <c r="AC88" s="3"/>
      <c r="AD88" s="3" t="str">
        <f aca="false">IF(LEFT(AC88&amp;IF(B88="","; Missing Order Date","")&amp;IF(C88="","; Missing Ship Date","")&amp;IF(P88&lt;0,"; Invalid Discount (Negative)","")&amp;IF(P88&gt;0.5,"; Invalid Discount (Too High)","")&amp;IF(Z88&lt;0,"; Invalid Shipping Record (Ship Before Order)","")&amp;IF(ABS(Q88-W88)&gt;1,"; Sales Mismatch","")&amp;IF(ABS(S88-X88)&gt;1,"; Profit Mismatch","")&amp;IF(COUNTIF($A$2:$A$913,A88)&gt;1,"; Duplicate Order ID Conflict",""),2)="; ",MID(AC88&amp;IF(B88="","; Missing Order Date","")&amp;IF(C88="","; Missing Ship Date","")&amp;IF(P88&lt;0,"; Invalid Discount (Negative)","")&amp;IF(P88&gt;0.5,"; Invalid Discount (Too High)","")&amp;IF(Z88&lt;0,"; Invalid Shipping Record (Ship Before Order)","")&amp;IF(ABS(Q88-W88)&gt;1,"; Sales Mismatch","")&amp;IF(ABS(S88-X88)&gt;1,"; Profit Mismatch","")&amp;IF(COUNTIF($A$2:$A$913,A88)&gt;1,"; Duplicate Order ID Conflict",""),3,500),AC88&amp;IF(B88="","; Missing Order Date","")&amp;IF(C88="","; Missing Ship Date","")&amp;IF(P88&lt;0,"; Invalid Discount (Negative)","")&amp;IF(P88&gt;0.5,"; Invalid Discount (Too High)","")&amp;IF(Z88&lt;0,"; Invalid Shipping Record (Ship Before Order)","")&amp;IF(ABS(Q88-W88)&gt;1,"; Sales Mismatch","")&amp;IF(ABS(S88-X88)&gt;1,"; Profit Mismatch","")&amp;IF(COUNTIF($A$2:$A$913,A88)&gt;1,"; Duplicate Order ID Conflict",""))</f>
        <v/>
      </c>
      <c r="AE88" s="10" t="str">
        <f aca="false">IF(OR(ISNUMBER(SEARCH("Invalid Discount",AD88)),ISNUMBER(SEARCH("Invalid Shipping Record",AD88)),ISNUMBER(SEARCH("Sales Mismatch",AD88)),ISNUMBER(SEARCH("Profit Mismatch",AD88)),ISNUMBER(SEARCH("Duplicate Order ID Conflict",AD88)),ISNUMBER(SEARCH("Missing Order Date",AD88)),ISNUMBER(SEARCH("Missing Ship Date",AD88))),"Invalid",IF(AD88&lt;&gt;"","Warning","Clean"))</f>
        <v>Clean</v>
      </c>
    </row>
    <row r="89" customFormat="false" ht="15" hidden="false" customHeight="true" outlineLevel="0" collapsed="false">
      <c r="A89" s="3" t="s">
        <v>294</v>
      </c>
      <c r="B89" s="4" t="n">
        <v>45506</v>
      </c>
      <c r="C89" s="4" t="n">
        <v>45507</v>
      </c>
      <c r="D89" s="3" t="s">
        <v>295</v>
      </c>
      <c r="E89" s="3" t="str">
        <f aca="false">PROPER(TRIM(SUBSTITUTE(Raw_Text_Fields!B90,CHAR(160)," ")))</f>
        <v>Vikram Iyer</v>
      </c>
      <c r="F89" s="3" t="str">
        <f aca="false">PROPER(TRIM(SUBSTITUTE(Raw_Text_Fields!C90,CHAR(160)," ")))</f>
        <v>Consumer</v>
      </c>
      <c r="G89" s="3" t="str">
        <f aca="false">PROPER(TRIM(SUBSTITUTE(Raw_Text_Fields!D90,CHAR(160)," ")))</f>
        <v>East</v>
      </c>
      <c r="H89" s="3" t="str">
        <f aca="false">PROPER(TRIM(SUBSTITUTE(Raw_Text_Fields!E90,CHAR(160)," ")))</f>
        <v>Assam</v>
      </c>
      <c r="I89" s="3" t="str">
        <f aca="false">PROPER(TRIM(SUBSTITUTE(Raw_Text_Fields!F90,CHAR(160)," ")))</f>
        <v>Guwahati</v>
      </c>
      <c r="J89" s="3" t="str">
        <f aca="false">PROPER(TRIM(SUBSTITUTE(Raw_Text_Fields!G90,CHAR(160)," ")))</f>
        <v>Office Supplies</v>
      </c>
      <c r="K89" s="3" t="str">
        <f aca="false">PROPER(TRIM(SUBSTITUTE(Raw_Text_Fields!H90,CHAR(160)," ")))</f>
        <v>Binders</v>
      </c>
      <c r="L89" s="3" t="s">
        <v>296</v>
      </c>
      <c r="M89" s="3" t="str">
        <f aca="false">PROPER(TRIM(SUBSTITUTE(Raw_Text_Fields!I90,CHAR(160)," ")))</f>
        <v>Standard Class</v>
      </c>
      <c r="N89" s="3" t="n">
        <v>7</v>
      </c>
      <c r="O89" s="5" t="n">
        <v>3345.22</v>
      </c>
      <c r="P89" s="6" t="n">
        <v>0</v>
      </c>
      <c r="Q89" s="5" t="n">
        <v>23416.54</v>
      </c>
      <c r="R89" s="5" t="n">
        <v>15490.89</v>
      </c>
      <c r="S89" s="5" t="n">
        <v>7925.65</v>
      </c>
      <c r="T89" s="3" t="str">
        <f aca="false">PROPER(TRIM(SUBSTITUTE(Raw_Text_Fields!J90,CHAR(160)," ")))</f>
        <v>Paid</v>
      </c>
      <c r="U89" s="3" t="str">
        <f aca="false">PROPER(TRIM(SUBSTITUTE(Raw_Text_Fields!K90,CHAR(160)," ")))</f>
        <v>Completed</v>
      </c>
      <c r="V89" s="7" t="n">
        <f aca="false">IF(OR(P89&lt;0,P89&gt;0.5),0,P89)</f>
        <v>0</v>
      </c>
      <c r="W89" s="8" t="n">
        <f aca="false">N89*O89*(1-V89)</f>
        <v>23416.54</v>
      </c>
      <c r="X89" s="8" t="n">
        <f aca="false">W89-R89</f>
        <v>7925.65</v>
      </c>
      <c r="Y89" s="7" t="n">
        <f aca="false">IFERROR(X89/W89,0)</f>
        <v>0.338463752544142</v>
      </c>
      <c r="Z89" s="9" t="n">
        <f aca="false">C89-B89</f>
        <v>1</v>
      </c>
      <c r="AA89" s="1" t="str">
        <f aca="false">IF(B89="","",TEXT(B89,"mmm"))</f>
        <v>Aug</v>
      </c>
      <c r="AB89" s="9" t="n">
        <f aca="false">IF(B89="","",YEAR(B89))</f>
        <v>2024</v>
      </c>
      <c r="AC89" s="3"/>
      <c r="AD89" s="3" t="str">
        <f aca="false">IF(LEFT(AC89&amp;IF(B89="","; Missing Order Date","")&amp;IF(C89="","; Missing Ship Date","")&amp;IF(P89&lt;0,"; Invalid Discount (Negative)","")&amp;IF(P89&gt;0.5,"; Invalid Discount (Too High)","")&amp;IF(Z89&lt;0,"; Invalid Shipping Record (Ship Before Order)","")&amp;IF(ABS(Q89-W89)&gt;1,"; Sales Mismatch","")&amp;IF(ABS(S89-X89)&gt;1,"; Profit Mismatch","")&amp;IF(COUNTIF($A$2:$A$913,A89)&gt;1,"; Duplicate Order ID Conflict",""),2)="; ",MID(AC89&amp;IF(B89="","; Missing Order Date","")&amp;IF(C89="","; Missing Ship Date","")&amp;IF(P89&lt;0,"; Invalid Discount (Negative)","")&amp;IF(P89&gt;0.5,"; Invalid Discount (Too High)","")&amp;IF(Z89&lt;0,"; Invalid Shipping Record (Ship Before Order)","")&amp;IF(ABS(Q89-W89)&gt;1,"; Sales Mismatch","")&amp;IF(ABS(S89-X89)&gt;1,"; Profit Mismatch","")&amp;IF(COUNTIF($A$2:$A$913,A89)&gt;1,"; Duplicate Order ID Conflict",""),3,500),AC89&amp;IF(B89="","; Missing Order Date","")&amp;IF(C89="","; Missing Ship Date","")&amp;IF(P89&lt;0,"; Invalid Discount (Negative)","")&amp;IF(P89&gt;0.5,"; Invalid Discount (Too High)","")&amp;IF(Z89&lt;0,"; Invalid Shipping Record (Ship Before Order)","")&amp;IF(ABS(Q89-W89)&gt;1,"; Sales Mismatch","")&amp;IF(ABS(S89-X89)&gt;1,"; Profit Mismatch","")&amp;IF(COUNTIF($A$2:$A$913,A89)&gt;1,"; Duplicate Order ID Conflict",""))</f>
        <v/>
      </c>
      <c r="AE89" s="10" t="str">
        <f aca="false">IF(OR(ISNUMBER(SEARCH("Invalid Discount",AD89)),ISNUMBER(SEARCH("Invalid Shipping Record",AD89)),ISNUMBER(SEARCH("Sales Mismatch",AD89)),ISNUMBER(SEARCH("Profit Mismatch",AD89)),ISNUMBER(SEARCH("Duplicate Order ID Conflict",AD89)),ISNUMBER(SEARCH("Missing Order Date",AD89)),ISNUMBER(SEARCH("Missing Ship Date",AD89))),"Invalid",IF(AD89&lt;&gt;"","Warning","Clean"))</f>
        <v>Clean</v>
      </c>
    </row>
    <row r="90" customFormat="false" ht="15" hidden="false" customHeight="true" outlineLevel="0" collapsed="false">
      <c r="A90" s="3" t="s">
        <v>297</v>
      </c>
      <c r="B90" s="4" t="n">
        <v>45375</v>
      </c>
      <c r="C90" s="4" t="n">
        <v>45378</v>
      </c>
      <c r="D90" s="3" t="s">
        <v>298</v>
      </c>
      <c r="E90" s="3" t="str">
        <f aca="false">PROPER(TRIM(SUBSTITUTE(Raw_Text_Fields!B91,CHAR(160)," ")))</f>
        <v>Rohan Mehta</v>
      </c>
      <c r="F90" s="3" t="str">
        <f aca="false">PROPER(TRIM(SUBSTITUTE(Raw_Text_Fields!C91,CHAR(160)," ")))</f>
        <v>Small Business</v>
      </c>
      <c r="G90" s="3" t="str">
        <f aca="false">PROPER(TRIM(SUBSTITUTE(Raw_Text_Fields!D91,CHAR(160)," ")))</f>
        <v>West</v>
      </c>
      <c r="H90" s="3" t="str">
        <f aca="false">PROPER(TRIM(SUBSTITUTE(Raw_Text_Fields!E91,CHAR(160)," ")))</f>
        <v>Maharashtra</v>
      </c>
      <c r="I90" s="3" t="str">
        <f aca="false">PROPER(TRIM(SUBSTITUTE(Raw_Text_Fields!F91,CHAR(160)," ")))</f>
        <v>Mumbai</v>
      </c>
      <c r="J90" s="3" t="str">
        <f aca="false">PROPER(TRIM(SUBSTITUTE(Raw_Text_Fields!G91,CHAR(160)," ")))</f>
        <v>Furniture</v>
      </c>
      <c r="K90" s="3" t="str">
        <f aca="false">PROPER(TRIM(SUBSTITUTE(Raw_Text_Fields!H91,CHAR(160)," ")))</f>
        <v>Bookcases</v>
      </c>
      <c r="L90" s="3" t="s">
        <v>299</v>
      </c>
      <c r="M90" s="3" t="str">
        <f aca="false">PROPER(TRIM(SUBSTITUTE(Raw_Text_Fields!I91,CHAR(160)," ")))</f>
        <v>Standard Class</v>
      </c>
      <c r="N90" s="3" t="n">
        <v>2</v>
      </c>
      <c r="O90" s="5" t="n">
        <v>3284.75</v>
      </c>
      <c r="P90" s="6" t="n">
        <v>0.05</v>
      </c>
      <c r="Q90" s="5" t="n">
        <v>6241.02</v>
      </c>
      <c r="R90" s="5" t="n">
        <v>5345.88</v>
      </c>
      <c r="S90" s="5" t="n">
        <v>895.14</v>
      </c>
      <c r="T90" s="3" t="str">
        <f aca="false">PROPER(TRIM(SUBSTITUTE(Raw_Text_Fields!J91,CHAR(160)," ")))</f>
        <v>Paid</v>
      </c>
      <c r="U90" s="3" t="str">
        <f aca="false">PROPER(TRIM(SUBSTITUTE(Raw_Text_Fields!K91,CHAR(160)," ")))</f>
        <v>Completed</v>
      </c>
      <c r="V90" s="7" t="n">
        <f aca="false">IF(OR(P90&lt;0,P90&gt;0.5),0,P90)</f>
        <v>0.05</v>
      </c>
      <c r="W90" s="8" t="n">
        <f aca="false">N90*O90*(1-V90)</f>
        <v>6241.025</v>
      </c>
      <c r="X90" s="8" t="n">
        <f aca="false">W90-R90</f>
        <v>895.145</v>
      </c>
      <c r="Y90" s="7" t="n">
        <f aca="false">IFERROR(X90/W90,0)</f>
        <v>0.143429164279906</v>
      </c>
      <c r="Z90" s="9" t="n">
        <f aca="false">C90-B90</f>
        <v>3</v>
      </c>
      <c r="AA90" s="1" t="str">
        <f aca="false">IF(B90="","",TEXT(B90,"mmm"))</f>
        <v>Mar</v>
      </c>
      <c r="AB90" s="9" t="n">
        <f aca="false">IF(B90="","",YEAR(B90))</f>
        <v>2024</v>
      </c>
      <c r="AC90" s="3"/>
      <c r="AD90" s="3" t="str">
        <f aca="false">IF(LEFT(AC90&amp;IF(B90="","; Missing Order Date","")&amp;IF(C90="","; Missing Ship Date","")&amp;IF(P90&lt;0,"; Invalid Discount (Negative)","")&amp;IF(P90&gt;0.5,"; Invalid Discount (Too High)","")&amp;IF(Z90&lt;0,"; Invalid Shipping Record (Ship Before Order)","")&amp;IF(ABS(Q90-W90)&gt;1,"; Sales Mismatch","")&amp;IF(ABS(S90-X90)&gt;1,"; Profit Mismatch","")&amp;IF(COUNTIF($A$2:$A$913,A90)&gt;1,"; Duplicate Order ID Conflict",""),2)="; ",MID(AC90&amp;IF(B90="","; Missing Order Date","")&amp;IF(C90="","; Missing Ship Date","")&amp;IF(P90&lt;0,"; Invalid Discount (Negative)","")&amp;IF(P90&gt;0.5,"; Invalid Discount (Too High)","")&amp;IF(Z90&lt;0,"; Invalid Shipping Record (Ship Before Order)","")&amp;IF(ABS(Q90-W90)&gt;1,"; Sales Mismatch","")&amp;IF(ABS(S90-X90)&gt;1,"; Profit Mismatch","")&amp;IF(COUNTIF($A$2:$A$913,A90)&gt;1,"; Duplicate Order ID Conflict",""),3,500),AC90&amp;IF(B90="","; Missing Order Date","")&amp;IF(C90="","; Missing Ship Date","")&amp;IF(P90&lt;0,"; Invalid Discount (Negative)","")&amp;IF(P90&gt;0.5,"; Invalid Discount (Too High)","")&amp;IF(Z90&lt;0,"; Invalid Shipping Record (Ship Before Order)","")&amp;IF(ABS(Q90-W90)&gt;1,"; Sales Mismatch","")&amp;IF(ABS(S90-X90)&gt;1,"; Profit Mismatch","")&amp;IF(COUNTIF($A$2:$A$913,A90)&gt;1,"; Duplicate Order ID Conflict",""))</f>
        <v/>
      </c>
      <c r="AE90" s="10" t="str">
        <f aca="false">IF(OR(ISNUMBER(SEARCH("Invalid Discount",AD90)),ISNUMBER(SEARCH("Invalid Shipping Record",AD90)),ISNUMBER(SEARCH("Sales Mismatch",AD90)),ISNUMBER(SEARCH("Profit Mismatch",AD90)),ISNUMBER(SEARCH("Duplicate Order ID Conflict",AD90)),ISNUMBER(SEARCH("Missing Order Date",AD90)),ISNUMBER(SEARCH("Missing Ship Date",AD90))),"Invalid",IF(AD90&lt;&gt;"","Warning","Clean"))</f>
        <v>Clean</v>
      </c>
    </row>
    <row r="91" customFormat="false" ht="15" hidden="false" customHeight="true" outlineLevel="0" collapsed="false">
      <c r="A91" s="3" t="s">
        <v>300</v>
      </c>
      <c r="B91" s="4" t="n">
        <v>45540</v>
      </c>
      <c r="C91" s="4" t="n">
        <v>45540</v>
      </c>
      <c r="D91" s="3" t="s">
        <v>301</v>
      </c>
      <c r="E91" s="3" t="str">
        <f aca="false">PROPER(TRIM(SUBSTITUTE(Raw_Text_Fields!B92,CHAR(160)," ")))</f>
        <v>Kabir Singh</v>
      </c>
      <c r="F91" s="3" t="str">
        <f aca="false">PROPER(TRIM(SUBSTITUTE(Raw_Text_Fields!C92,CHAR(160)," ")))</f>
        <v>Consumer</v>
      </c>
      <c r="G91" s="3" t="str">
        <f aca="false">PROPER(TRIM(SUBSTITUTE(Raw_Text_Fields!D92,CHAR(160)," ")))</f>
        <v>South</v>
      </c>
      <c r="H91" s="3" t="str">
        <f aca="false">PROPER(TRIM(SUBSTITUTE(Raw_Text_Fields!E92,CHAR(160)," ")))</f>
        <v>Andhra Pradesh</v>
      </c>
      <c r="I91" s="3" t="str">
        <f aca="false">PROPER(TRIM(SUBSTITUTE(Raw_Text_Fields!F92,CHAR(160)," ")))</f>
        <v>Vijayawada</v>
      </c>
      <c r="J91" s="3" t="str">
        <f aca="false">PROPER(TRIM(SUBSTITUTE(Raw_Text_Fields!G92,CHAR(160)," ")))</f>
        <v>Furniture</v>
      </c>
      <c r="K91" s="3" t="str">
        <f aca="false">PROPER(TRIM(SUBSTITUTE(Raw_Text_Fields!H92,CHAR(160)," ")))</f>
        <v>Bookcases</v>
      </c>
      <c r="L91" s="3" t="s">
        <v>302</v>
      </c>
      <c r="M91" s="3" t="str">
        <f aca="false">PROPER(TRIM(SUBSTITUTE(Raw_Text_Fields!I92,CHAR(160)," ")))</f>
        <v>Standard Class</v>
      </c>
      <c r="N91" s="3" t="n">
        <v>7</v>
      </c>
      <c r="O91" s="5" t="n">
        <v>3761.09</v>
      </c>
      <c r="P91" s="6" t="n">
        <v>0.2</v>
      </c>
      <c r="Q91" s="5" t="n">
        <v>21062.1</v>
      </c>
      <c r="R91" s="5" t="n">
        <v>12057.13</v>
      </c>
      <c r="S91" s="5" t="n">
        <v>9004.97</v>
      </c>
      <c r="T91" s="3" t="str">
        <f aca="false">PROPER(TRIM(SUBSTITUTE(Raw_Text_Fields!J92,CHAR(160)," ")))</f>
        <v>Pending</v>
      </c>
      <c r="U91" s="3" t="str">
        <f aca="false">PROPER(TRIM(SUBSTITUTE(Raw_Text_Fields!K92,CHAR(160)," ")))</f>
        <v>Cancelled</v>
      </c>
      <c r="V91" s="7" t="n">
        <f aca="false">IF(OR(P91&lt;0,P91&gt;0.5),0,P91)</f>
        <v>0.2</v>
      </c>
      <c r="W91" s="8" t="n">
        <f aca="false">N91*O91*(1-V91)</f>
        <v>21062.104</v>
      </c>
      <c r="X91" s="8" t="n">
        <f aca="false">W91-R91</f>
        <v>9004.974</v>
      </c>
      <c r="Y91" s="7" t="n">
        <f aca="false">IFERROR(X91/W91,0)</f>
        <v>0.427543895899479</v>
      </c>
      <c r="Z91" s="9" t="n">
        <f aca="false">C91-B91</f>
        <v>0</v>
      </c>
      <c r="AA91" s="1" t="str">
        <f aca="false">IF(B91="","",TEXT(B91,"mmm"))</f>
        <v>Sep</v>
      </c>
      <c r="AB91" s="9" t="n">
        <f aca="false">IF(B91="","",YEAR(B91))</f>
        <v>2024</v>
      </c>
      <c r="AC91" s="3"/>
      <c r="AD91" s="3" t="str">
        <f aca="false">IF(LEFT(AC91&amp;IF(B91="","; Missing Order Date","")&amp;IF(C91="","; Missing Ship Date","")&amp;IF(P91&lt;0,"; Invalid Discount (Negative)","")&amp;IF(P91&gt;0.5,"; Invalid Discount (Too High)","")&amp;IF(Z91&lt;0,"; Invalid Shipping Record (Ship Before Order)","")&amp;IF(ABS(Q91-W91)&gt;1,"; Sales Mismatch","")&amp;IF(ABS(S91-X91)&gt;1,"; Profit Mismatch","")&amp;IF(COUNTIF($A$2:$A$913,A91)&gt;1,"; Duplicate Order ID Conflict",""),2)="; ",MID(AC91&amp;IF(B91="","; Missing Order Date","")&amp;IF(C91="","; Missing Ship Date","")&amp;IF(P91&lt;0,"; Invalid Discount (Negative)","")&amp;IF(P91&gt;0.5,"; Invalid Discount (Too High)","")&amp;IF(Z91&lt;0,"; Invalid Shipping Record (Ship Before Order)","")&amp;IF(ABS(Q91-W91)&gt;1,"; Sales Mismatch","")&amp;IF(ABS(S91-X91)&gt;1,"; Profit Mismatch","")&amp;IF(COUNTIF($A$2:$A$913,A91)&gt;1,"; Duplicate Order ID Conflict",""),3,500),AC91&amp;IF(B91="","; Missing Order Date","")&amp;IF(C91="","; Missing Ship Date","")&amp;IF(P91&lt;0,"; Invalid Discount (Negative)","")&amp;IF(P91&gt;0.5,"; Invalid Discount (Too High)","")&amp;IF(Z91&lt;0,"; Invalid Shipping Record (Ship Before Order)","")&amp;IF(ABS(Q91-W91)&gt;1,"; Sales Mismatch","")&amp;IF(ABS(S91-X91)&gt;1,"; Profit Mismatch","")&amp;IF(COUNTIF($A$2:$A$913,A91)&gt;1,"; Duplicate Order ID Conflict",""))</f>
        <v/>
      </c>
      <c r="AE91" s="10" t="str">
        <f aca="false">IF(OR(ISNUMBER(SEARCH("Invalid Discount",AD91)),ISNUMBER(SEARCH("Invalid Shipping Record",AD91)),ISNUMBER(SEARCH("Sales Mismatch",AD91)),ISNUMBER(SEARCH("Profit Mismatch",AD91)),ISNUMBER(SEARCH("Duplicate Order ID Conflict",AD91)),ISNUMBER(SEARCH("Missing Order Date",AD91)),ISNUMBER(SEARCH("Missing Ship Date",AD91))),"Invalid",IF(AD91&lt;&gt;"","Warning","Clean"))</f>
        <v>Clean</v>
      </c>
    </row>
    <row r="92" customFormat="false" ht="15" hidden="false" customHeight="true" outlineLevel="0" collapsed="false">
      <c r="A92" s="3" t="s">
        <v>303</v>
      </c>
      <c r="B92" s="4" t="n">
        <v>45893</v>
      </c>
      <c r="C92" s="4" t="n">
        <v>45898</v>
      </c>
      <c r="D92" s="3" t="s">
        <v>304</v>
      </c>
      <c r="E92" s="3" t="str">
        <f aca="false">PROPER(TRIM(SUBSTITUTE(Raw_Text_Fields!B93,CHAR(160)," ")))</f>
        <v>Aarav Sharma</v>
      </c>
      <c r="F92" s="3" t="str">
        <f aca="false">PROPER(TRIM(SUBSTITUTE(Raw_Text_Fields!C93,CHAR(160)," ")))</f>
        <v>Small Business</v>
      </c>
      <c r="G92" s="3" t="str">
        <f aca="false">PROPER(TRIM(SUBSTITUTE(Raw_Text_Fields!D93,CHAR(160)," ")))</f>
        <v>East</v>
      </c>
      <c r="H92" s="3" t="str">
        <f aca="false">PROPER(TRIM(SUBSTITUTE(Raw_Text_Fields!E93,CHAR(160)," ")))</f>
        <v>Bihar</v>
      </c>
      <c r="I92" s="3" t="str">
        <f aca="false">PROPER(TRIM(SUBSTITUTE(Raw_Text_Fields!F93,CHAR(160)," ")))</f>
        <v>Patna</v>
      </c>
      <c r="J92" s="3" t="str">
        <f aca="false">PROPER(TRIM(SUBSTITUTE(Raw_Text_Fields!G93,CHAR(160)," ")))</f>
        <v>Technology</v>
      </c>
      <c r="K92" s="3" t="str">
        <f aca="false">PROPER(TRIM(SUBSTITUTE(Raw_Text_Fields!H93,CHAR(160)," ")))</f>
        <v>Copiers</v>
      </c>
      <c r="L92" s="3" t="s">
        <v>305</v>
      </c>
      <c r="M92" s="3" t="str">
        <f aca="false">PROPER(TRIM(SUBSTITUTE(Raw_Text_Fields!I93,CHAR(160)," ")))</f>
        <v>First Class</v>
      </c>
      <c r="N92" s="3" t="n">
        <v>3</v>
      </c>
      <c r="O92" s="5" t="n">
        <v>3703.96</v>
      </c>
      <c r="P92" s="6" t="n">
        <v>0.15</v>
      </c>
      <c r="Q92" s="5" t="n">
        <v>9445.1</v>
      </c>
      <c r="R92" s="5" t="n">
        <v>5586.28</v>
      </c>
      <c r="S92" s="5" t="n">
        <v>3858.82</v>
      </c>
      <c r="T92" s="3" t="str">
        <f aca="false">PROPER(TRIM(SUBSTITUTE(Raw_Text_Fields!J93,CHAR(160)," ")))</f>
        <v>Paid</v>
      </c>
      <c r="U92" s="3" t="str">
        <f aca="false">PROPER(TRIM(SUBSTITUTE(Raw_Text_Fields!K93,CHAR(160)," ")))</f>
        <v>Completed</v>
      </c>
      <c r="V92" s="7" t="n">
        <f aca="false">IF(OR(P92&lt;0,P92&gt;0.5),0,P92)</f>
        <v>0.15</v>
      </c>
      <c r="W92" s="8" t="n">
        <f aca="false">N92*O92*(1-V92)</f>
        <v>9445.098</v>
      </c>
      <c r="X92" s="8" t="n">
        <f aca="false">W92-R92</f>
        <v>3858.818</v>
      </c>
      <c r="Y92" s="7" t="n">
        <f aca="false">IFERROR(X92/W92,0)</f>
        <v>0.4085524575817</v>
      </c>
      <c r="Z92" s="9" t="n">
        <f aca="false">C92-B92</f>
        <v>5</v>
      </c>
      <c r="AA92" s="1" t="str">
        <f aca="false">IF(B92="","",TEXT(B92,"mmm"))</f>
        <v>Aug</v>
      </c>
      <c r="AB92" s="9" t="n">
        <f aca="false">IF(B92="","",YEAR(B92))</f>
        <v>2025</v>
      </c>
      <c r="AC92" s="3"/>
      <c r="AD92" s="3" t="str">
        <f aca="false">IF(LEFT(AC92&amp;IF(B92="","; Missing Order Date","")&amp;IF(C92="","; Missing Ship Date","")&amp;IF(P92&lt;0,"; Invalid Discount (Negative)","")&amp;IF(P92&gt;0.5,"; Invalid Discount (Too High)","")&amp;IF(Z92&lt;0,"; Invalid Shipping Record (Ship Before Order)","")&amp;IF(ABS(Q92-W92)&gt;1,"; Sales Mismatch","")&amp;IF(ABS(S92-X92)&gt;1,"; Profit Mismatch","")&amp;IF(COUNTIF($A$2:$A$913,A92)&gt;1,"; Duplicate Order ID Conflict",""),2)="; ",MID(AC92&amp;IF(B92="","; Missing Order Date","")&amp;IF(C92="","; Missing Ship Date","")&amp;IF(P92&lt;0,"; Invalid Discount (Negative)","")&amp;IF(P92&gt;0.5,"; Invalid Discount (Too High)","")&amp;IF(Z92&lt;0,"; Invalid Shipping Record (Ship Before Order)","")&amp;IF(ABS(Q92-W92)&gt;1,"; Sales Mismatch","")&amp;IF(ABS(S92-X92)&gt;1,"; Profit Mismatch","")&amp;IF(COUNTIF($A$2:$A$913,A92)&gt;1,"; Duplicate Order ID Conflict",""),3,500),AC92&amp;IF(B92="","; Missing Order Date","")&amp;IF(C92="","; Missing Ship Date","")&amp;IF(P92&lt;0,"; Invalid Discount (Negative)","")&amp;IF(P92&gt;0.5,"; Invalid Discount (Too High)","")&amp;IF(Z92&lt;0,"; Invalid Shipping Record (Ship Before Order)","")&amp;IF(ABS(Q92-W92)&gt;1,"; Sales Mismatch","")&amp;IF(ABS(S92-X92)&gt;1,"; Profit Mismatch","")&amp;IF(COUNTIF($A$2:$A$913,A92)&gt;1,"; Duplicate Order ID Conflict",""))</f>
        <v>Duplicate Order ID Conflict</v>
      </c>
      <c r="AE92" s="10" t="str">
        <f aca="false">IF(OR(ISNUMBER(SEARCH("Invalid Discount",AD92)),ISNUMBER(SEARCH("Invalid Shipping Record",AD92)),ISNUMBER(SEARCH("Sales Mismatch",AD92)),ISNUMBER(SEARCH("Profit Mismatch",AD92)),ISNUMBER(SEARCH("Duplicate Order ID Conflict",AD92)),ISNUMBER(SEARCH("Missing Order Date",AD92)),ISNUMBER(SEARCH("Missing Ship Date",AD92))),"Invalid",IF(AD92&lt;&gt;"","Warning","Clean"))</f>
        <v>Invalid</v>
      </c>
    </row>
    <row r="93" customFormat="false" ht="15" hidden="false" customHeight="true" outlineLevel="0" collapsed="false">
      <c r="A93" s="3" t="s">
        <v>306</v>
      </c>
      <c r="B93" s="4" t="n">
        <v>45718</v>
      </c>
      <c r="C93" s="4" t="n">
        <v>45724</v>
      </c>
      <c r="D93" s="3" t="s">
        <v>307</v>
      </c>
      <c r="E93" s="3" t="str">
        <f aca="false">PROPER(TRIM(SUBSTITUTE(Raw_Text_Fields!B94,CHAR(160)," ")))</f>
        <v>Sneha Kapoor</v>
      </c>
      <c r="F93" s="3" t="str">
        <f aca="false">PROPER(TRIM(SUBSTITUTE(Raw_Text_Fields!C94,CHAR(160)," ")))</f>
        <v>Corporate</v>
      </c>
      <c r="G93" s="3" t="str">
        <f aca="false">PROPER(TRIM(SUBSTITUTE(Raw_Text_Fields!D94,CHAR(160)," ")))</f>
        <v>West</v>
      </c>
      <c r="H93" s="3" t="str">
        <f aca="false">PROPER(TRIM(SUBSTITUTE(Raw_Text_Fields!E94,CHAR(160)," ")))</f>
        <v>Madhya Pradesh</v>
      </c>
      <c r="I93" s="3" t="str">
        <f aca="false">PROPER(TRIM(SUBSTITUTE(Raw_Text_Fields!F94,CHAR(160)," ")))</f>
        <v>Indore</v>
      </c>
      <c r="J93" s="3" t="str">
        <f aca="false">PROPER(TRIM(SUBSTITUTE(Raw_Text_Fields!G94,CHAR(160)," ")))</f>
        <v>Technology</v>
      </c>
      <c r="K93" s="3" t="str">
        <f aca="false">PROPER(TRIM(SUBSTITUTE(Raw_Text_Fields!H94,CHAR(160)," ")))</f>
        <v>Copiers</v>
      </c>
      <c r="L93" s="3" t="s">
        <v>308</v>
      </c>
      <c r="M93" s="3" t="str">
        <f aca="false">PROPER(TRIM(SUBSTITUTE(Raw_Text_Fields!I94,CHAR(160)," ")))</f>
        <v>Second Class</v>
      </c>
      <c r="N93" s="3" t="n">
        <v>9</v>
      </c>
      <c r="O93" s="5" t="n">
        <v>269.68</v>
      </c>
      <c r="P93" s="6" t="n">
        <v>0</v>
      </c>
      <c r="Q93" s="5" t="n">
        <v>2427.12</v>
      </c>
      <c r="R93" s="5" t="n">
        <v>1538.35</v>
      </c>
      <c r="S93" s="5" t="n">
        <v>804.53</v>
      </c>
      <c r="T93" s="3" t="str">
        <f aca="false">PROPER(TRIM(SUBSTITUTE(Raw_Text_Fields!J94,CHAR(160)," ")))</f>
        <v>Paid</v>
      </c>
      <c r="U93" s="3" t="str">
        <f aca="false">PROPER(TRIM(SUBSTITUTE(Raw_Text_Fields!K94,CHAR(160)," ")))</f>
        <v>Completed</v>
      </c>
      <c r="V93" s="7" t="n">
        <f aca="false">IF(OR(P93&lt;0,P93&gt;0.5),0,P93)</f>
        <v>0</v>
      </c>
      <c r="W93" s="8" t="n">
        <f aca="false">N93*O93*(1-V93)</f>
        <v>2427.12</v>
      </c>
      <c r="X93" s="8" t="n">
        <f aca="false">W93-R93</f>
        <v>888.77</v>
      </c>
      <c r="Y93" s="7" t="n">
        <f aca="false">IFERROR(X93/W93,0)</f>
        <v>0.366182965819572</v>
      </c>
      <c r="Z93" s="9" t="n">
        <f aca="false">C93-B93</f>
        <v>6</v>
      </c>
      <c r="AA93" s="1" t="str">
        <f aca="false">IF(B93="","",TEXT(B93,"mmm"))</f>
        <v>Mar</v>
      </c>
      <c r="AB93" s="9" t="n">
        <f aca="false">IF(B93="","",YEAR(B93))</f>
        <v>2025</v>
      </c>
      <c r="AC93" s="3"/>
      <c r="AD93" s="3" t="str">
        <f aca="false">IF(LEFT(AC93&amp;IF(B93="","; Missing Order Date","")&amp;IF(C93="","; Missing Ship Date","")&amp;IF(P93&lt;0,"; Invalid Discount (Negative)","")&amp;IF(P93&gt;0.5,"; Invalid Discount (Too High)","")&amp;IF(Z93&lt;0,"; Invalid Shipping Record (Ship Before Order)","")&amp;IF(ABS(Q93-W93)&gt;1,"; Sales Mismatch","")&amp;IF(ABS(S93-X93)&gt;1,"; Profit Mismatch","")&amp;IF(COUNTIF($A$2:$A$913,A93)&gt;1,"; Duplicate Order ID Conflict",""),2)="; ",MID(AC93&amp;IF(B93="","; Missing Order Date","")&amp;IF(C93="","; Missing Ship Date","")&amp;IF(P93&lt;0,"; Invalid Discount (Negative)","")&amp;IF(P93&gt;0.5,"; Invalid Discount (Too High)","")&amp;IF(Z93&lt;0,"; Invalid Shipping Record (Ship Before Order)","")&amp;IF(ABS(Q93-W93)&gt;1,"; Sales Mismatch","")&amp;IF(ABS(S93-X93)&gt;1,"; Profit Mismatch","")&amp;IF(COUNTIF($A$2:$A$913,A93)&gt;1,"; Duplicate Order ID Conflict",""),3,500),AC93&amp;IF(B93="","; Missing Order Date","")&amp;IF(C93="","; Missing Ship Date","")&amp;IF(P93&lt;0,"; Invalid Discount (Negative)","")&amp;IF(P93&gt;0.5,"; Invalid Discount (Too High)","")&amp;IF(Z93&lt;0,"; Invalid Shipping Record (Ship Before Order)","")&amp;IF(ABS(Q93-W93)&gt;1,"; Sales Mismatch","")&amp;IF(ABS(S93-X93)&gt;1,"; Profit Mismatch","")&amp;IF(COUNTIF($A$2:$A$913,A93)&gt;1,"; Duplicate Order ID Conflict",""))</f>
        <v>Profit Mismatch</v>
      </c>
      <c r="AE93" s="10" t="str">
        <f aca="false">IF(OR(ISNUMBER(SEARCH("Invalid Discount",AD93)),ISNUMBER(SEARCH("Invalid Shipping Record",AD93)),ISNUMBER(SEARCH("Sales Mismatch",AD93)),ISNUMBER(SEARCH("Profit Mismatch",AD93)),ISNUMBER(SEARCH("Duplicate Order ID Conflict",AD93)),ISNUMBER(SEARCH("Missing Order Date",AD93)),ISNUMBER(SEARCH("Missing Ship Date",AD93))),"Invalid",IF(AD93&lt;&gt;"","Warning","Clean"))</f>
        <v>Invalid</v>
      </c>
    </row>
    <row r="94" customFormat="false" ht="15" hidden="false" customHeight="true" outlineLevel="0" collapsed="false">
      <c r="A94" s="3" t="s">
        <v>309</v>
      </c>
      <c r="B94" s="4" t="n">
        <v>45680</v>
      </c>
      <c r="C94" s="4" t="n">
        <v>45683</v>
      </c>
      <c r="D94" s="3" t="s">
        <v>310</v>
      </c>
      <c r="E94" s="3" t="str">
        <f aca="false">PROPER(TRIM(SUBSTITUTE(Raw_Text_Fields!B95,CHAR(160)," ")))</f>
        <v>Aarav Sharma</v>
      </c>
      <c r="F94" s="3" t="str">
        <f aca="false">PROPER(TRIM(SUBSTITUTE(Raw_Text_Fields!C95,CHAR(160)," ")))</f>
        <v>Consumer</v>
      </c>
      <c r="G94" s="3" t="str">
        <f aca="false">PROPER(TRIM(SUBSTITUTE(Raw_Text_Fields!D95,CHAR(160)," ")))</f>
        <v>West</v>
      </c>
      <c r="H94" s="3" t="str">
        <f aca="false">PROPER(TRIM(SUBSTITUTE(Raw_Text_Fields!E95,CHAR(160)," ")))</f>
        <v>Madhya Pradesh</v>
      </c>
      <c r="I94" s="3" t="str">
        <f aca="false">PROPER(TRIM(SUBSTITUTE(Raw_Text_Fields!F95,CHAR(160)," ")))</f>
        <v>Indore</v>
      </c>
      <c r="J94" s="3" t="str">
        <f aca="false">PROPER(TRIM(SUBSTITUTE(Raw_Text_Fields!G95,CHAR(160)," ")))</f>
        <v>Office Supplies</v>
      </c>
      <c r="K94" s="3" t="str">
        <f aca="false">PROPER(TRIM(SUBSTITUTE(Raw_Text_Fields!H95,CHAR(160)," ")))</f>
        <v>Paper</v>
      </c>
      <c r="L94" s="3" t="s">
        <v>311</v>
      </c>
      <c r="M94" s="3" t="str">
        <f aca="false">PROPER(TRIM(SUBSTITUTE(Raw_Text_Fields!I95,CHAR(160)," ")))</f>
        <v>Standard Class</v>
      </c>
      <c r="N94" s="3" t="n">
        <v>9</v>
      </c>
      <c r="O94" s="5" t="n">
        <v>4458.26</v>
      </c>
      <c r="P94" s="6" t="n">
        <v>0.1</v>
      </c>
      <c r="Q94" s="5" t="n">
        <v>36111.91</v>
      </c>
      <c r="R94" s="5" t="n">
        <v>29194.5</v>
      </c>
      <c r="S94" s="5" t="n">
        <v>6917.41</v>
      </c>
      <c r="T94" s="3" t="str">
        <f aca="false">PROPER(TRIM(SUBSTITUTE(Raw_Text_Fields!J95,CHAR(160)," ")))</f>
        <v>Paid</v>
      </c>
      <c r="U94" s="3" t="str">
        <f aca="false">PROPER(TRIM(SUBSTITUTE(Raw_Text_Fields!K95,CHAR(160)," ")))</f>
        <v>Completed</v>
      </c>
      <c r="V94" s="7" t="n">
        <f aca="false">IF(OR(P94&lt;0,P94&gt;0.5),0,P94)</f>
        <v>0.1</v>
      </c>
      <c r="W94" s="8" t="n">
        <f aca="false">N94*O94*(1-V94)</f>
        <v>36111.906</v>
      </c>
      <c r="X94" s="8" t="n">
        <f aca="false">W94-R94</f>
        <v>6917.406</v>
      </c>
      <c r="Y94" s="7" t="n">
        <f aca="false">IFERROR(X94/W94,0)</f>
        <v>0.191554718823205</v>
      </c>
      <c r="Z94" s="9" t="n">
        <f aca="false">C94-B94</f>
        <v>3</v>
      </c>
      <c r="AA94" s="1" t="str">
        <f aca="false">IF(B94="","",TEXT(B94,"mmm"))</f>
        <v>Jan</v>
      </c>
      <c r="AB94" s="9" t="n">
        <f aca="false">IF(B94="","",YEAR(B94))</f>
        <v>2025</v>
      </c>
      <c r="AC94" s="3"/>
      <c r="AD94" s="3" t="str">
        <f aca="false">IF(LEFT(AC94&amp;IF(B94="","; Missing Order Date","")&amp;IF(C94="","; Missing Ship Date","")&amp;IF(P94&lt;0,"; Invalid Discount (Negative)","")&amp;IF(P94&gt;0.5,"; Invalid Discount (Too High)","")&amp;IF(Z94&lt;0,"; Invalid Shipping Record (Ship Before Order)","")&amp;IF(ABS(Q94-W94)&gt;1,"; Sales Mismatch","")&amp;IF(ABS(S94-X94)&gt;1,"; Profit Mismatch","")&amp;IF(COUNTIF($A$2:$A$913,A94)&gt;1,"; Duplicate Order ID Conflict",""),2)="; ",MID(AC94&amp;IF(B94="","; Missing Order Date","")&amp;IF(C94="","; Missing Ship Date","")&amp;IF(P94&lt;0,"; Invalid Discount (Negative)","")&amp;IF(P94&gt;0.5,"; Invalid Discount (Too High)","")&amp;IF(Z94&lt;0,"; Invalid Shipping Record (Ship Before Order)","")&amp;IF(ABS(Q94-W94)&gt;1,"; Sales Mismatch","")&amp;IF(ABS(S94-X94)&gt;1,"; Profit Mismatch","")&amp;IF(COUNTIF($A$2:$A$913,A94)&gt;1,"; Duplicate Order ID Conflict",""),3,500),AC94&amp;IF(B94="","; Missing Order Date","")&amp;IF(C94="","; Missing Ship Date","")&amp;IF(P94&lt;0,"; Invalid Discount (Negative)","")&amp;IF(P94&gt;0.5,"; Invalid Discount (Too High)","")&amp;IF(Z94&lt;0,"; Invalid Shipping Record (Ship Before Order)","")&amp;IF(ABS(Q94-W94)&gt;1,"; Sales Mismatch","")&amp;IF(ABS(S94-X94)&gt;1,"; Profit Mismatch","")&amp;IF(COUNTIF($A$2:$A$913,A94)&gt;1,"; Duplicate Order ID Conflict",""))</f>
        <v/>
      </c>
      <c r="AE94" s="10" t="str">
        <f aca="false">IF(OR(ISNUMBER(SEARCH("Invalid Discount",AD94)),ISNUMBER(SEARCH("Invalid Shipping Record",AD94)),ISNUMBER(SEARCH("Sales Mismatch",AD94)),ISNUMBER(SEARCH("Profit Mismatch",AD94)),ISNUMBER(SEARCH("Duplicate Order ID Conflict",AD94)),ISNUMBER(SEARCH("Missing Order Date",AD94)),ISNUMBER(SEARCH("Missing Ship Date",AD94))),"Invalid",IF(AD94&lt;&gt;"","Warning","Clean"))</f>
        <v>Clean</v>
      </c>
    </row>
    <row r="95" customFormat="false" ht="15" hidden="false" customHeight="true" outlineLevel="0" collapsed="false">
      <c r="A95" s="3" t="s">
        <v>312</v>
      </c>
      <c r="B95" s="4" t="n">
        <v>45298</v>
      </c>
      <c r="C95" s="4" t="n">
        <v>45304</v>
      </c>
      <c r="D95" s="3" t="s">
        <v>313</v>
      </c>
      <c r="E95" s="3" t="str">
        <f aca="false">PROPER(TRIM(SUBSTITUTE(Raw_Text_Fields!B96,CHAR(160)," ")))</f>
        <v>Rohan Mehta</v>
      </c>
      <c r="F95" s="3" t="str">
        <f aca="false">PROPER(TRIM(SUBSTITUTE(Raw_Text_Fields!C96,CHAR(160)," ")))</f>
        <v>Corporate</v>
      </c>
      <c r="G95" s="3" t="str">
        <f aca="false">PROPER(TRIM(SUBSTITUTE(Raw_Text_Fields!D96,CHAR(160)," ")))</f>
        <v>North</v>
      </c>
      <c r="H95" s="3" t="str">
        <f aca="false">PROPER(TRIM(SUBSTITUTE(Raw_Text_Fields!E96,CHAR(160)," ")))</f>
        <v>Uttar Pradesh</v>
      </c>
      <c r="I95" s="3" t="str">
        <f aca="false">PROPER(TRIM(SUBSTITUTE(Raw_Text_Fields!F96,CHAR(160)," ")))</f>
        <v>Noida</v>
      </c>
      <c r="J95" s="3" t="str">
        <f aca="false">PROPER(TRIM(SUBSTITUTE(Raw_Text_Fields!G96,CHAR(160)," ")))</f>
        <v>Office Supplies</v>
      </c>
      <c r="K95" s="3" t="str">
        <f aca="false">PROPER(TRIM(SUBSTITUTE(Raw_Text_Fields!H96,CHAR(160)," ")))</f>
        <v>Binders</v>
      </c>
      <c r="L95" s="3" t="s">
        <v>314</v>
      </c>
      <c r="M95" s="3" t="str">
        <f aca="false">PROPER(TRIM(SUBSTITUTE(Raw_Text_Fields!I96,CHAR(160)," ")))</f>
        <v>Standard Class</v>
      </c>
      <c r="N95" s="3" t="n">
        <v>7</v>
      </c>
      <c r="O95" s="5" t="n">
        <v>2788.97</v>
      </c>
      <c r="P95" s="6" t="n">
        <v>-0.09</v>
      </c>
      <c r="Q95" s="5" t="n">
        <v>19522.79</v>
      </c>
      <c r="R95" s="5" t="n">
        <v>12455.78</v>
      </c>
      <c r="S95" s="5" t="n">
        <v>7067.01</v>
      </c>
      <c r="T95" s="3" t="str">
        <f aca="false">PROPER(TRIM(SUBSTITUTE(Raw_Text_Fields!J96,CHAR(160)," ")))</f>
        <v>Paid</v>
      </c>
      <c r="U95" s="3" t="str">
        <f aca="false">PROPER(TRIM(SUBSTITUTE(Raw_Text_Fields!K96,CHAR(160)," ")))</f>
        <v>Completed</v>
      </c>
      <c r="V95" s="7" t="n">
        <f aca="false">IF(OR(P95&lt;0,P95&gt;0.5),0,P95)</f>
        <v>0</v>
      </c>
      <c r="W95" s="8" t="n">
        <f aca="false">N95*O95*(1-V95)</f>
        <v>19522.79</v>
      </c>
      <c r="X95" s="8" t="n">
        <f aca="false">W95-R95</f>
        <v>7067.01</v>
      </c>
      <c r="Y95" s="7" t="n">
        <f aca="false">IFERROR(X95/W95,0)</f>
        <v>0.361987707699565</v>
      </c>
      <c r="Z95" s="9" t="n">
        <f aca="false">C95-B95</f>
        <v>6</v>
      </c>
      <c r="AA95" s="1" t="str">
        <f aca="false">IF(B95="","",TEXT(B95,"mmm"))</f>
        <v>Jan</v>
      </c>
      <c r="AB95" s="9" t="n">
        <f aca="false">IF(B95="","",YEAR(B95))</f>
        <v>2024</v>
      </c>
      <c r="AC95" s="3"/>
      <c r="AD95" s="3" t="str">
        <f aca="false">IF(LEFT(AC95&amp;IF(B95="","; Missing Order Date","")&amp;IF(C95="","; Missing Ship Date","")&amp;IF(P95&lt;0,"; Invalid Discount (Negative)","")&amp;IF(P95&gt;0.5,"; Invalid Discount (Too High)","")&amp;IF(Z95&lt;0,"; Invalid Shipping Record (Ship Before Order)","")&amp;IF(ABS(Q95-W95)&gt;1,"; Sales Mismatch","")&amp;IF(ABS(S95-X95)&gt;1,"; Profit Mismatch","")&amp;IF(COUNTIF($A$2:$A$913,A95)&gt;1,"; Duplicate Order ID Conflict",""),2)="; ",MID(AC95&amp;IF(B95="","; Missing Order Date","")&amp;IF(C95="","; Missing Ship Date","")&amp;IF(P95&lt;0,"; Invalid Discount (Negative)","")&amp;IF(P95&gt;0.5,"; Invalid Discount (Too High)","")&amp;IF(Z95&lt;0,"; Invalid Shipping Record (Ship Before Order)","")&amp;IF(ABS(Q95-W95)&gt;1,"; Sales Mismatch","")&amp;IF(ABS(S95-X95)&gt;1,"; Profit Mismatch","")&amp;IF(COUNTIF($A$2:$A$913,A95)&gt;1,"; Duplicate Order ID Conflict",""),3,500),AC95&amp;IF(B95="","; Missing Order Date","")&amp;IF(C95="","; Missing Ship Date","")&amp;IF(P95&lt;0,"; Invalid Discount (Negative)","")&amp;IF(P95&gt;0.5,"; Invalid Discount (Too High)","")&amp;IF(Z95&lt;0,"; Invalid Shipping Record (Ship Before Order)","")&amp;IF(ABS(Q95-W95)&gt;1,"; Sales Mismatch","")&amp;IF(ABS(S95-X95)&gt;1,"; Profit Mismatch","")&amp;IF(COUNTIF($A$2:$A$913,A95)&gt;1,"; Duplicate Order ID Conflict",""))</f>
        <v>Invalid Discount (Negative)</v>
      </c>
      <c r="AE95" s="10" t="str">
        <f aca="false">IF(OR(ISNUMBER(SEARCH("Invalid Discount",AD95)),ISNUMBER(SEARCH("Invalid Shipping Record",AD95)),ISNUMBER(SEARCH("Sales Mismatch",AD95)),ISNUMBER(SEARCH("Profit Mismatch",AD95)),ISNUMBER(SEARCH("Duplicate Order ID Conflict",AD95)),ISNUMBER(SEARCH("Missing Order Date",AD95)),ISNUMBER(SEARCH("Missing Ship Date",AD95))),"Invalid",IF(AD95&lt;&gt;"","Warning","Clean"))</f>
        <v>Invalid</v>
      </c>
    </row>
    <row r="96" customFormat="false" ht="15" hidden="false" customHeight="true" outlineLevel="0" collapsed="false">
      <c r="A96" s="3" t="s">
        <v>315</v>
      </c>
      <c r="B96" s="4" t="n">
        <v>45541</v>
      </c>
      <c r="C96" s="4" t="n">
        <v>45544</v>
      </c>
      <c r="D96" s="3" t="s">
        <v>316</v>
      </c>
      <c r="E96" s="3" t="str">
        <f aca="false">PROPER(TRIM(SUBSTITUTE(Raw_Text_Fields!B97,CHAR(160)," ")))</f>
        <v>Diya Patel</v>
      </c>
      <c r="F96" s="3" t="str">
        <f aca="false">PROPER(TRIM(SUBSTITUTE(Raw_Text_Fields!C97,CHAR(160)," ")))</f>
        <v>Consumer</v>
      </c>
      <c r="G96" s="3" t="str">
        <f aca="false">PROPER(TRIM(SUBSTITUTE(Raw_Text_Fields!D97,CHAR(160)," ")))</f>
        <v>North</v>
      </c>
      <c r="H96" s="3" t="str">
        <f aca="false">PROPER(TRIM(SUBSTITUTE(Raw_Text_Fields!E97,CHAR(160)," ")))</f>
        <v>Haryana</v>
      </c>
      <c r="I96" s="3" t="str">
        <f aca="false">PROPER(TRIM(SUBSTITUTE(Raw_Text_Fields!F97,CHAR(160)," ")))</f>
        <v>Gurugram</v>
      </c>
      <c r="J96" s="3" t="str">
        <f aca="false">PROPER(TRIM(SUBSTITUTE(Raw_Text_Fields!G97,CHAR(160)," ")))</f>
        <v>Technology</v>
      </c>
      <c r="K96" s="3" t="str">
        <f aca="false">PROPER(TRIM(SUBSTITUTE(Raw_Text_Fields!H97,CHAR(160)," ")))</f>
        <v>Phones</v>
      </c>
      <c r="L96" s="3" t="s">
        <v>317</v>
      </c>
      <c r="M96" s="3" t="str">
        <f aca="false">PROPER(TRIM(SUBSTITUTE(Raw_Text_Fields!I97,CHAR(160)," ")))</f>
        <v>Second Class</v>
      </c>
      <c r="N96" s="3" t="n">
        <v>7</v>
      </c>
      <c r="O96" s="5" t="n">
        <v>3781.53</v>
      </c>
      <c r="P96" s="6" t="n">
        <v>0</v>
      </c>
      <c r="Q96" s="5" t="n">
        <v>26470.71</v>
      </c>
      <c r="R96" s="5" t="n">
        <v>21367.6</v>
      </c>
      <c r="S96" s="5" t="n">
        <v>5103.11</v>
      </c>
      <c r="T96" s="3" t="str">
        <f aca="false">PROPER(TRIM(SUBSTITUTE(Raw_Text_Fields!J97,CHAR(160)," ")))</f>
        <v>Pending</v>
      </c>
      <c r="U96" s="3" t="str">
        <f aca="false">PROPER(TRIM(SUBSTITUTE(Raw_Text_Fields!K97,CHAR(160)," ")))</f>
        <v>Cancelled</v>
      </c>
      <c r="V96" s="7" t="n">
        <f aca="false">IF(OR(P96&lt;0,P96&gt;0.5),0,P96)</f>
        <v>0</v>
      </c>
      <c r="W96" s="8" t="n">
        <f aca="false">N96*O96*(1-V96)</f>
        <v>26470.71</v>
      </c>
      <c r="X96" s="8" t="n">
        <f aca="false">W96-R96</f>
        <v>5103.11</v>
      </c>
      <c r="Y96" s="7" t="n">
        <f aca="false">IFERROR(X96/W96,0)</f>
        <v>0.192783268752519</v>
      </c>
      <c r="Z96" s="9" t="n">
        <f aca="false">C96-B96</f>
        <v>3</v>
      </c>
      <c r="AA96" s="1" t="str">
        <f aca="false">IF(B96="","",TEXT(B96,"mmm"))</f>
        <v>Sep</v>
      </c>
      <c r="AB96" s="9" t="n">
        <f aca="false">IF(B96="","",YEAR(B96))</f>
        <v>2024</v>
      </c>
      <c r="AC96" s="3"/>
      <c r="AD96" s="3" t="str">
        <f aca="false">IF(LEFT(AC96&amp;IF(B96="","; Missing Order Date","")&amp;IF(C96="","; Missing Ship Date","")&amp;IF(P96&lt;0,"; Invalid Discount (Negative)","")&amp;IF(P96&gt;0.5,"; Invalid Discount (Too High)","")&amp;IF(Z96&lt;0,"; Invalid Shipping Record (Ship Before Order)","")&amp;IF(ABS(Q96-W96)&gt;1,"; Sales Mismatch","")&amp;IF(ABS(S96-X96)&gt;1,"; Profit Mismatch","")&amp;IF(COUNTIF($A$2:$A$913,A96)&gt;1,"; Duplicate Order ID Conflict",""),2)="; ",MID(AC96&amp;IF(B96="","; Missing Order Date","")&amp;IF(C96="","; Missing Ship Date","")&amp;IF(P96&lt;0,"; Invalid Discount (Negative)","")&amp;IF(P96&gt;0.5,"; Invalid Discount (Too High)","")&amp;IF(Z96&lt;0,"; Invalid Shipping Record (Ship Before Order)","")&amp;IF(ABS(Q96-W96)&gt;1,"; Sales Mismatch","")&amp;IF(ABS(S96-X96)&gt;1,"; Profit Mismatch","")&amp;IF(COUNTIF($A$2:$A$913,A96)&gt;1,"; Duplicate Order ID Conflict",""),3,500),AC96&amp;IF(B96="","; Missing Order Date","")&amp;IF(C96="","; Missing Ship Date","")&amp;IF(P96&lt;0,"; Invalid Discount (Negative)","")&amp;IF(P96&gt;0.5,"; Invalid Discount (Too High)","")&amp;IF(Z96&lt;0,"; Invalid Shipping Record (Ship Before Order)","")&amp;IF(ABS(Q96-W96)&gt;1,"; Sales Mismatch","")&amp;IF(ABS(S96-X96)&gt;1,"; Profit Mismatch","")&amp;IF(COUNTIF($A$2:$A$913,A96)&gt;1,"; Duplicate Order ID Conflict",""))</f>
        <v/>
      </c>
      <c r="AE96" s="10" t="str">
        <f aca="false">IF(OR(ISNUMBER(SEARCH("Invalid Discount",AD96)),ISNUMBER(SEARCH("Invalid Shipping Record",AD96)),ISNUMBER(SEARCH("Sales Mismatch",AD96)),ISNUMBER(SEARCH("Profit Mismatch",AD96)),ISNUMBER(SEARCH("Duplicate Order ID Conflict",AD96)),ISNUMBER(SEARCH("Missing Order Date",AD96)),ISNUMBER(SEARCH("Missing Ship Date",AD96))),"Invalid",IF(AD96&lt;&gt;"","Warning","Clean"))</f>
        <v>Clean</v>
      </c>
    </row>
    <row r="97" customFormat="false" ht="15" hidden="false" customHeight="true" outlineLevel="0" collapsed="false">
      <c r="A97" s="3" t="s">
        <v>318</v>
      </c>
      <c r="B97" s="4" t="n">
        <v>45905</v>
      </c>
      <c r="C97" s="4" t="n">
        <v>45910</v>
      </c>
      <c r="D97" s="3" t="s">
        <v>319</v>
      </c>
      <c r="E97" s="3" t="str">
        <f aca="false">PROPER(TRIM(SUBSTITUTE(Raw_Text_Fields!B98,CHAR(160)," ")))</f>
        <v>Sneha Kapoor</v>
      </c>
      <c r="F97" s="3" t="str">
        <f aca="false">PROPER(TRIM(SUBSTITUTE(Raw_Text_Fields!C98,CHAR(160)," ")))</f>
        <v>Corporate</v>
      </c>
      <c r="G97" s="3" t="str">
        <f aca="false">PROPER(TRIM(SUBSTITUTE(Raw_Text_Fields!D98,CHAR(160)," ")))</f>
        <v>West</v>
      </c>
      <c r="H97" s="3" t="str">
        <f aca="false">PROPER(TRIM(SUBSTITUTE(Raw_Text_Fields!E98,CHAR(160)," ")))</f>
        <v>Goa</v>
      </c>
      <c r="I97" s="3" t="str">
        <f aca="false">PROPER(TRIM(SUBSTITUTE(Raw_Text_Fields!F98,CHAR(160)," ")))</f>
        <v>Panaji</v>
      </c>
      <c r="J97" s="3" t="str">
        <f aca="false">PROPER(TRIM(SUBSTITUTE(Raw_Text_Fields!G98,CHAR(160)," ")))</f>
        <v>Furniture</v>
      </c>
      <c r="K97" s="3" t="str">
        <f aca="false">PROPER(TRIM(SUBSTITUTE(Raw_Text_Fields!H98,CHAR(160)," ")))</f>
        <v>Bookcases</v>
      </c>
      <c r="L97" s="3" t="s">
        <v>320</v>
      </c>
      <c r="M97" s="3" t="str">
        <f aca="false">PROPER(TRIM(SUBSTITUTE(Raw_Text_Fields!I98,CHAR(160)," ")))</f>
        <v>Same Day</v>
      </c>
      <c r="N97" s="3" t="n">
        <v>6</v>
      </c>
      <c r="O97" s="5" t="n">
        <v>1754.13</v>
      </c>
      <c r="P97" s="6" t="n">
        <v>0</v>
      </c>
      <c r="Q97" s="5" t="n">
        <v>10524.78</v>
      </c>
      <c r="R97" s="5" t="n">
        <v>8841.05</v>
      </c>
      <c r="S97" s="5" t="n">
        <v>1683.73</v>
      </c>
      <c r="T97" s="3" t="str">
        <f aca="false">PROPER(TRIM(SUBSTITUTE(Raw_Text_Fields!J98,CHAR(160)," ")))</f>
        <v>Paid</v>
      </c>
      <c r="U97" s="3" t="str">
        <f aca="false">PROPER(TRIM(SUBSTITUTE(Raw_Text_Fields!K98,CHAR(160)," ")))</f>
        <v>Completed</v>
      </c>
      <c r="V97" s="7" t="n">
        <f aca="false">IF(OR(P97&lt;0,P97&gt;0.5),0,P97)</f>
        <v>0</v>
      </c>
      <c r="W97" s="8" t="n">
        <f aca="false">N97*O97*(1-V97)</f>
        <v>10524.78</v>
      </c>
      <c r="X97" s="8" t="n">
        <f aca="false">W97-R97</f>
        <v>1683.73</v>
      </c>
      <c r="Y97" s="7" t="n">
        <f aca="false">IFERROR(X97/W97,0)</f>
        <v>0.15997769074508</v>
      </c>
      <c r="Z97" s="9" t="n">
        <f aca="false">C97-B97</f>
        <v>5</v>
      </c>
      <c r="AA97" s="1" t="str">
        <f aca="false">IF(B97="","",TEXT(B97,"mmm"))</f>
        <v>Sep</v>
      </c>
      <c r="AB97" s="9" t="n">
        <f aca="false">IF(B97="","",YEAR(B97))</f>
        <v>2025</v>
      </c>
      <c r="AC97" s="3"/>
      <c r="AD97" s="3" t="str">
        <f aca="false">IF(LEFT(AC97&amp;IF(B97="","; Missing Order Date","")&amp;IF(C97="","; Missing Ship Date","")&amp;IF(P97&lt;0,"; Invalid Discount (Negative)","")&amp;IF(P97&gt;0.5,"; Invalid Discount (Too High)","")&amp;IF(Z97&lt;0,"; Invalid Shipping Record (Ship Before Order)","")&amp;IF(ABS(Q97-W97)&gt;1,"; Sales Mismatch","")&amp;IF(ABS(S97-X97)&gt;1,"; Profit Mismatch","")&amp;IF(COUNTIF($A$2:$A$913,A97)&gt;1,"; Duplicate Order ID Conflict",""),2)="; ",MID(AC97&amp;IF(B97="","; Missing Order Date","")&amp;IF(C97="","; Missing Ship Date","")&amp;IF(P97&lt;0,"; Invalid Discount (Negative)","")&amp;IF(P97&gt;0.5,"; Invalid Discount (Too High)","")&amp;IF(Z97&lt;0,"; Invalid Shipping Record (Ship Before Order)","")&amp;IF(ABS(Q97-W97)&gt;1,"; Sales Mismatch","")&amp;IF(ABS(S97-X97)&gt;1,"; Profit Mismatch","")&amp;IF(COUNTIF($A$2:$A$913,A97)&gt;1,"; Duplicate Order ID Conflict",""),3,500),AC97&amp;IF(B97="","; Missing Order Date","")&amp;IF(C97="","; Missing Ship Date","")&amp;IF(P97&lt;0,"; Invalid Discount (Negative)","")&amp;IF(P97&gt;0.5,"; Invalid Discount (Too High)","")&amp;IF(Z97&lt;0,"; Invalid Shipping Record (Ship Before Order)","")&amp;IF(ABS(Q97-W97)&gt;1,"; Sales Mismatch","")&amp;IF(ABS(S97-X97)&gt;1,"; Profit Mismatch","")&amp;IF(COUNTIF($A$2:$A$913,A97)&gt;1,"; Duplicate Order ID Conflict",""))</f>
        <v/>
      </c>
      <c r="AE97" s="10" t="str">
        <f aca="false">IF(OR(ISNUMBER(SEARCH("Invalid Discount",AD97)),ISNUMBER(SEARCH("Invalid Shipping Record",AD97)),ISNUMBER(SEARCH("Sales Mismatch",AD97)),ISNUMBER(SEARCH("Profit Mismatch",AD97)),ISNUMBER(SEARCH("Duplicate Order ID Conflict",AD97)),ISNUMBER(SEARCH("Missing Order Date",AD97)),ISNUMBER(SEARCH("Missing Ship Date",AD97))),"Invalid",IF(AD97&lt;&gt;"","Warning","Clean"))</f>
        <v>Clean</v>
      </c>
    </row>
    <row r="98" customFormat="false" ht="15" hidden="false" customHeight="true" outlineLevel="0" collapsed="false">
      <c r="A98" s="3" t="s">
        <v>321</v>
      </c>
      <c r="B98" s="4" t="n">
        <v>45448</v>
      </c>
      <c r="C98" s="4" t="n">
        <v>45450</v>
      </c>
      <c r="D98" s="3" t="s">
        <v>322</v>
      </c>
      <c r="E98" s="3" t="str">
        <f aca="false">PROPER(TRIM(SUBSTITUTE(Raw_Text_Fields!B99,CHAR(160)," ")))</f>
        <v>Rahul Verma</v>
      </c>
      <c r="F98" s="3" t="str">
        <f aca="false">PROPER(TRIM(SUBSTITUTE(Raw_Text_Fields!C99,CHAR(160)," ")))</f>
        <v>Home Office</v>
      </c>
      <c r="G98" s="3" t="str">
        <f aca="false">PROPER(TRIM(SUBSTITUTE(Raw_Text_Fields!D99,CHAR(160)," ")))</f>
        <v>East</v>
      </c>
      <c r="H98" s="3" t="str">
        <f aca="false">PROPER(TRIM(SUBSTITUTE(Raw_Text_Fields!E99,CHAR(160)," ")))</f>
        <v>Odisha</v>
      </c>
      <c r="I98" s="3" t="str">
        <f aca="false">PROPER(TRIM(SUBSTITUTE(Raw_Text_Fields!F99,CHAR(160)," ")))</f>
        <v>Bhubaneswar</v>
      </c>
      <c r="J98" s="3" t="str">
        <f aca="false">PROPER(TRIM(SUBSTITUTE(Raw_Text_Fields!G99,CHAR(160)," ")))</f>
        <v>Technology</v>
      </c>
      <c r="K98" s="3" t="str">
        <f aca="false">PROPER(TRIM(SUBSTITUTE(Raw_Text_Fields!H99,CHAR(160)," ")))</f>
        <v>Copiers</v>
      </c>
      <c r="L98" s="3" t="s">
        <v>323</v>
      </c>
      <c r="M98" s="3" t="str">
        <f aca="false">PROPER(TRIM(SUBSTITUTE(Raw_Text_Fields!I99,CHAR(160)," ")))</f>
        <v>Second Class</v>
      </c>
      <c r="N98" s="3" t="n">
        <v>2</v>
      </c>
      <c r="O98" s="5" t="n">
        <v>2259.24</v>
      </c>
      <c r="P98" s="6" t="n">
        <v>0.15</v>
      </c>
      <c r="Q98" s="5" t="n">
        <v>3840.71</v>
      </c>
      <c r="R98" s="5" t="n">
        <v>2516.29</v>
      </c>
      <c r="S98" s="5" t="n">
        <v>1324.42</v>
      </c>
      <c r="T98" s="3" t="str">
        <f aca="false">PROPER(TRIM(SUBSTITUTE(Raw_Text_Fields!J99,CHAR(160)," ")))</f>
        <v>Paid</v>
      </c>
      <c r="U98" s="3" t="str">
        <f aca="false">PROPER(TRIM(SUBSTITUTE(Raw_Text_Fields!K99,CHAR(160)," ")))</f>
        <v>Completed</v>
      </c>
      <c r="V98" s="7" t="n">
        <f aca="false">IF(OR(P98&lt;0,P98&gt;0.5),0,P98)</f>
        <v>0.15</v>
      </c>
      <c r="W98" s="8" t="n">
        <f aca="false">N98*O98*(1-V98)</f>
        <v>3840.708</v>
      </c>
      <c r="X98" s="8" t="n">
        <f aca="false">W98-R98</f>
        <v>1324.418</v>
      </c>
      <c r="Y98" s="7" t="n">
        <f aca="false">IFERROR(X98/W98,0)</f>
        <v>0.34483694152224</v>
      </c>
      <c r="Z98" s="9" t="n">
        <f aca="false">C98-B98</f>
        <v>2</v>
      </c>
      <c r="AA98" s="1" t="str">
        <f aca="false">IF(B98="","",TEXT(B98,"mmm"))</f>
        <v>Jun</v>
      </c>
      <c r="AB98" s="9" t="n">
        <f aca="false">IF(B98="","",YEAR(B98))</f>
        <v>2024</v>
      </c>
      <c r="AC98" s="3"/>
      <c r="AD98" s="3" t="str">
        <f aca="false">IF(LEFT(AC98&amp;IF(B98="","; Missing Order Date","")&amp;IF(C98="","; Missing Ship Date","")&amp;IF(P98&lt;0,"; Invalid Discount (Negative)","")&amp;IF(P98&gt;0.5,"; Invalid Discount (Too High)","")&amp;IF(Z98&lt;0,"; Invalid Shipping Record (Ship Before Order)","")&amp;IF(ABS(Q98-W98)&gt;1,"; Sales Mismatch","")&amp;IF(ABS(S98-X98)&gt;1,"; Profit Mismatch","")&amp;IF(COUNTIF($A$2:$A$913,A98)&gt;1,"; Duplicate Order ID Conflict",""),2)="; ",MID(AC98&amp;IF(B98="","; Missing Order Date","")&amp;IF(C98="","; Missing Ship Date","")&amp;IF(P98&lt;0,"; Invalid Discount (Negative)","")&amp;IF(P98&gt;0.5,"; Invalid Discount (Too High)","")&amp;IF(Z98&lt;0,"; Invalid Shipping Record (Ship Before Order)","")&amp;IF(ABS(Q98-W98)&gt;1,"; Sales Mismatch","")&amp;IF(ABS(S98-X98)&gt;1,"; Profit Mismatch","")&amp;IF(COUNTIF($A$2:$A$913,A98)&gt;1,"; Duplicate Order ID Conflict",""),3,500),AC98&amp;IF(B98="","; Missing Order Date","")&amp;IF(C98="","; Missing Ship Date","")&amp;IF(P98&lt;0,"; Invalid Discount (Negative)","")&amp;IF(P98&gt;0.5,"; Invalid Discount (Too High)","")&amp;IF(Z98&lt;0,"; Invalid Shipping Record (Ship Before Order)","")&amp;IF(ABS(Q98-W98)&gt;1,"; Sales Mismatch","")&amp;IF(ABS(S98-X98)&gt;1,"; Profit Mismatch","")&amp;IF(COUNTIF($A$2:$A$913,A98)&gt;1,"; Duplicate Order ID Conflict",""))</f>
        <v/>
      </c>
      <c r="AE98" s="10" t="str">
        <f aca="false">IF(OR(ISNUMBER(SEARCH("Invalid Discount",AD98)),ISNUMBER(SEARCH("Invalid Shipping Record",AD98)),ISNUMBER(SEARCH("Sales Mismatch",AD98)),ISNUMBER(SEARCH("Profit Mismatch",AD98)),ISNUMBER(SEARCH("Duplicate Order ID Conflict",AD98)),ISNUMBER(SEARCH("Missing Order Date",AD98)),ISNUMBER(SEARCH("Missing Ship Date",AD98))),"Invalid",IF(AD98&lt;&gt;"","Warning","Clean"))</f>
        <v>Clean</v>
      </c>
    </row>
    <row r="99" customFormat="false" ht="15" hidden="false" customHeight="true" outlineLevel="0" collapsed="false">
      <c r="A99" s="3" t="s">
        <v>324</v>
      </c>
      <c r="B99" s="4" t="n">
        <v>45877</v>
      </c>
      <c r="C99" s="4" t="n">
        <v>45880</v>
      </c>
      <c r="D99" s="3" t="s">
        <v>325</v>
      </c>
      <c r="E99" s="3" t="str">
        <f aca="false">PROPER(TRIM(SUBSTITUTE(Raw_Text_Fields!B100,CHAR(160)," ")))</f>
        <v>Diya Patel</v>
      </c>
      <c r="F99" s="3" t="str">
        <f aca="false">PROPER(TRIM(SUBSTITUTE(Raw_Text_Fields!C100,CHAR(160)," ")))</f>
        <v>Small Business</v>
      </c>
      <c r="G99" s="3" t="str">
        <f aca="false">PROPER(TRIM(SUBSTITUTE(Raw_Text_Fields!D100,CHAR(160)," ")))</f>
        <v>West</v>
      </c>
      <c r="H99" s="3" t="str">
        <f aca="false">PROPER(TRIM(SUBSTITUTE(Raw_Text_Fields!E100,CHAR(160)," ")))</f>
        <v>Gujarat</v>
      </c>
      <c r="I99" s="3" t="str">
        <f aca="false">PROPER(TRIM(SUBSTITUTE(Raw_Text_Fields!F100,CHAR(160)," ")))</f>
        <v>Ahmedabad</v>
      </c>
      <c r="J99" s="3" t="str">
        <f aca="false">PROPER(TRIM(SUBSTITUTE(Raw_Text_Fields!G100,CHAR(160)," ")))</f>
        <v>Office Supplies</v>
      </c>
      <c r="K99" s="3" t="str">
        <f aca="false">PROPER(TRIM(SUBSTITUTE(Raw_Text_Fields!H100,CHAR(160)," ")))</f>
        <v>Storage</v>
      </c>
      <c r="L99" s="3" t="s">
        <v>326</v>
      </c>
      <c r="M99" s="3" t="str">
        <f aca="false">PROPER(TRIM(SUBSTITUTE(Raw_Text_Fields!I100,CHAR(160)," ")))</f>
        <v>Same Day</v>
      </c>
      <c r="N99" s="3" t="n">
        <v>5</v>
      </c>
      <c r="O99" s="5" t="n">
        <v>3602.36</v>
      </c>
      <c r="P99" s="6" t="n">
        <v>0.2</v>
      </c>
      <c r="Q99" s="5" t="n">
        <v>14409.44</v>
      </c>
      <c r="R99" s="5" t="n">
        <v>8809.97</v>
      </c>
      <c r="S99" s="5" t="n">
        <v>5599.47</v>
      </c>
      <c r="T99" s="3" t="str">
        <f aca="false">PROPER(TRIM(SUBSTITUTE(Raw_Text_Fields!J100,CHAR(160)," ")))</f>
        <v>Pending</v>
      </c>
      <c r="U99" s="3" t="str">
        <f aca="false">PROPER(TRIM(SUBSTITUTE(Raw_Text_Fields!K100,CHAR(160)," ")))</f>
        <v>Returned</v>
      </c>
      <c r="V99" s="7" t="n">
        <f aca="false">IF(OR(P99&lt;0,P99&gt;0.5),0,P99)</f>
        <v>0.2</v>
      </c>
      <c r="W99" s="8" t="n">
        <f aca="false">N99*O99*(1-V99)</f>
        <v>14409.44</v>
      </c>
      <c r="X99" s="8" t="n">
        <f aca="false">W99-R99</f>
        <v>5599.47</v>
      </c>
      <c r="Y99" s="7" t="n">
        <f aca="false">IFERROR(X99/W99,0)</f>
        <v>0.38859733619072</v>
      </c>
      <c r="Z99" s="9" t="n">
        <f aca="false">C99-B99</f>
        <v>3</v>
      </c>
      <c r="AA99" s="1" t="str">
        <f aca="false">IF(B99="","",TEXT(B99,"mmm"))</f>
        <v>Aug</v>
      </c>
      <c r="AB99" s="9" t="n">
        <f aca="false">IF(B99="","",YEAR(B99))</f>
        <v>2025</v>
      </c>
      <c r="AC99" s="3"/>
      <c r="AD99" s="3" t="str">
        <f aca="false">IF(LEFT(AC99&amp;IF(B99="","; Missing Order Date","")&amp;IF(C99="","; Missing Ship Date","")&amp;IF(P99&lt;0,"; Invalid Discount (Negative)","")&amp;IF(P99&gt;0.5,"; Invalid Discount (Too High)","")&amp;IF(Z99&lt;0,"; Invalid Shipping Record (Ship Before Order)","")&amp;IF(ABS(Q99-W99)&gt;1,"; Sales Mismatch","")&amp;IF(ABS(S99-X99)&gt;1,"; Profit Mismatch","")&amp;IF(COUNTIF($A$2:$A$913,A99)&gt;1,"; Duplicate Order ID Conflict",""),2)="; ",MID(AC99&amp;IF(B99="","; Missing Order Date","")&amp;IF(C99="","; Missing Ship Date","")&amp;IF(P99&lt;0,"; Invalid Discount (Negative)","")&amp;IF(P99&gt;0.5,"; Invalid Discount (Too High)","")&amp;IF(Z99&lt;0,"; Invalid Shipping Record (Ship Before Order)","")&amp;IF(ABS(Q99-W99)&gt;1,"; Sales Mismatch","")&amp;IF(ABS(S99-X99)&gt;1,"; Profit Mismatch","")&amp;IF(COUNTIF($A$2:$A$913,A99)&gt;1,"; Duplicate Order ID Conflict",""),3,500),AC99&amp;IF(B99="","; Missing Order Date","")&amp;IF(C99="","; Missing Ship Date","")&amp;IF(P99&lt;0,"; Invalid Discount (Negative)","")&amp;IF(P99&gt;0.5,"; Invalid Discount (Too High)","")&amp;IF(Z99&lt;0,"; Invalid Shipping Record (Ship Before Order)","")&amp;IF(ABS(Q99-W99)&gt;1,"; Sales Mismatch","")&amp;IF(ABS(S99-X99)&gt;1,"; Profit Mismatch","")&amp;IF(COUNTIF($A$2:$A$913,A99)&gt;1,"; Duplicate Order ID Conflict",""))</f>
        <v/>
      </c>
      <c r="AE99" s="10" t="str">
        <f aca="false">IF(OR(ISNUMBER(SEARCH("Invalid Discount",AD99)),ISNUMBER(SEARCH("Invalid Shipping Record",AD99)),ISNUMBER(SEARCH("Sales Mismatch",AD99)),ISNUMBER(SEARCH("Profit Mismatch",AD99)),ISNUMBER(SEARCH("Duplicate Order ID Conflict",AD99)),ISNUMBER(SEARCH("Missing Order Date",AD99)),ISNUMBER(SEARCH("Missing Ship Date",AD99))),"Invalid",IF(AD99&lt;&gt;"","Warning","Clean"))</f>
        <v>Clean</v>
      </c>
    </row>
    <row r="100" customFormat="false" ht="15" hidden="false" customHeight="true" outlineLevel="0" collapsed="false">
      <c r="A100" s="3" t="s">
        <v>327</v>
      </c>
      <c r="B100" s="4" t="n">
        <v>45317</v>
      </c>
      <c r="C100" s="4" t="n">
        <v>45323</v>
      </c>
      <c r="D100" s="3" t="s">
        <v>328</v>
      </c>
      <c r="E100" s="3" t="str">
        <f aca="false">PROPER(TRIM(SUBSTITUTE(Raw_Text_Fields!B101,CHAR(160)," ")))</f>
        <v>Rohan Mehta</v>
      </c>
      <c r="F100" s="3" t="str">
        <f aca="false">PROPER(TRIM(SUBSTITUTE(Raw_Text_Fields!C101,CHAR(160)," ")))</f>
        <v>Home Office</v>
      </c>
      <c r="G100" s="3" t="str">
        <f aca="false">PROPER(TRIM(SUBSTITUTE(Raw_Text_Fields!D101,CHAR(160)," ")))</f>
        <v>South</v>
      </c>
      <c r="H100" s="3" t="str">
        <f aca="false">PROPER(TRIM(SUBSTITUTE(Raw_Text_Fields!E101,CHAR(160)," ")))</f>
        <v>Kerala</v>
      </c>
      <c r="I100" s="3" t="str">
        <f aca="false">PROPER(TRIM(SUBSTITUTE(Raw_Text_Fields!F101,CHAR(160)," ")))</f>
        <v>Kochi</v>
      </c>
      <c r="J100" s="3" t="str">
        <f aca="false">PROPER(TRIM(SUBSTITUTE(Raw_Text_Fields!G101,CHAR(160)," ")))</f>
        <v>Technology</v>
      </c>
      <c r="K100" s="3" t="str">
        <f aca="false">PROPER(TRIM(SUBSTITUTE(Raw_Text_Fields!H101,CHAR(160)," ")))</f>
        <v>Copiers</v>
      </c>
      <c r="L100" s="3" t="s">
        <v>329</v>
      </c>
      <c r="M100" s="3" t="str">
        <f aca="false">PROPER(TRIM(SUBSTITUTE(Raw_Text_Fields!I101,CHAR(160)," ")))</f>
        <v>Unknown</v>
      </c>
      <c r="N100" s="3" t="n">
        <v>8</v>
      </c>
      <c r="O100" s="5" t="n">
        <v>2108.93</v>
      </c>
      <c r="P100" s="6" t="n">
        <v>0.1</v>
      </c>
      <c r="Q100" s="5" t="n">
        <v>15184.3</v>
      </c>
      <c r="R100" s="5" t="n">
        <v>11270.74</v>
      </c>
      <c r="S100" s="5" t="n">
        <v>3913.56</v>
      </c>
      <c r="T100" s="3" t="str">
        <f aca="false">PROPER(TRIM(SUBSTITUTE(Raw_Text_Fields!J101,CHAR(160)," ")))</f>
        <v>Paid</v>
      </c>
      <c r="U100" s="3" t="str">
        <f aca="false">PROPER(TRIM(SUBSTITUTE(Raw_Text_Fields!K101,CHAR(160)," ")))</f>
        <v>Completed</v>
      </c>
      <c r="V100" s="7" t="n">
        <f aca="false">IF(OR(P100&lt;0,P100&gt;0.5),0,P100)</f>
        <v>0.1</v>
      </c>
      <c r="W100" s="8" t="n">
        <f aca="false">N100*O100*(1-V100)</f>
        <v>15184.296</v>
      </c>
      <c r="X100" s="8" t="n">
        <f aca="false">W100-R100</f>
        <v>3913.556</v>
      </c>
      <c r="Y100" s="7" t="n">
        <f aca="false">IFERROR(X100/W100,0)</f>
        <v>0.257737072564971</v>
      </c>
      <c r="Z100" s="9" t="n">
        <f aca="false">C100-B100</f>
        <v>6</v>
      </c>
      <c r="AA100" s="1" t="str">
        <f aca="false">IF(B100="","",TEXT(B100,"mmm"))</f>
        <v>Jan</v>
      </c>
      <c r="AB100" s="9" t="n">
        <f aca="false">IF(B100="","",YEAR(B100))</f>
        <v>2024</v>
      </c>
      <c r="AC100" s="3" t="s">
        <v>137</v>
      </c>
      <c r="AD100" s="3" t="str">
        <f aca="false">IF(LEFT(AC100&amp;IF(B100="","; Missing Order Date","")&amp;IF(C100="","; Missing Ship Date","")&amp;IF(P100&lt;0,"; Invalid Discount (Negative)","")&amp;IF(P100&gt;0.5,"; Invalid Discount (Too High)","")&amp;IF(Z100&lt;0,"; Invalid Shipping Record (Ship Before Order)","")&amp;IF(ABS(Q100-W100)&gt;1,"; Sales Mismatch","")&amp;IF(ABS(S100-X100)&gt;1,"; Profit Mismatch","")&amp;IF(COUNTIF($A$2:$A$913,A100)&gt;1,"; Duplicate Order ID Conflict",""),2)="; ",MID(AC100&amp;IF(B100="","; Missing Order Date","")&amp;IF(C100="","; Missing Ship Date","")&amp;IF(P100&lt;0,"; Invalid Discount (Negative)","")&amp;IF(P100&gt;0.5,"; Invalid Discount (Too High)","")&amp;IF(Z100&lt;0,"; Invalid Shipping Record (Ship Before Order)","")&amp;IF(ABS(Q100-W100)&gt;1,"; Sales Mismatch","")&amp;IF(ABS(S100-X100)&gt;1,"; Profit Mismatch","")&amp;IF(COUNTIF($A$2:$A$913,A100)&gt;1,"; Duplicate Order ID Conflict",""),3,500),AC100&amp;IF(B100="","; Missing Order Date","")&amp;IF(C100="","; Missing Ship Date","")&amp;IF(P100&lt;0,"; Invalid Discount (Negative)","")&amp;IF(P100&gt;0.5,"; Invalid Discount (Too High)","")&amp;IF(Z100&lt;0,"; Invalid Shipping Record (Ship Before Order)","")&amp;IF(ABS(Q100-W100)&gt;1,"; Sales Mismatch","")&amp;IF(ABS(S100-X100)&gt;1,"; Profit Mismatch","")&amp;IF(COUNTIF($A$2:$A$913,A100)&gt;1,"; Duplicate Order ID Conflict",""))</f>
        <v>Missing Ship Mode (filled Unknown)</v>
      </c>
      <c r="AE100" s="10" t="str">
        <f aca="false">IF(OR(ISNUMBER(SEARCH("Invalid Discount",AD100)),ISNUMBER(SEARCH("Invalid Shipping Record",AD100)),ISNUMBER(SEARCH("Sales Mismatch",AD100)),ISNUMBER(SEARCH("Profit Mismatch",AD100)),ISNUMBER(SEARCH("Duplicate Order ID Conflict",AD100)),ISNUMBER(SEARCH("Missing Order Date",AD100)),ISNUMBER(SEARCH("Missing Ship Date",AD100))),"Invalid",IF(AD100&lt;&gt;"","Warning","Clean"))</f>
        <v>Warning</v>
      </c>
    </row>
    <row r="101" customFormat="false" ht="15" hidden="false" customHeight="true" outlineLevel="0" collapsed="false">
      <c r="A101" s="3" t="s">
        <v>330</v>
      </c>
      <c r="B101" s="4" t="n">
        <v>45668</v>
      </c>
      <c r="C101" s="4" t="n">
        <v>45668</v>
      </c>
      <c r="D101" s="3" t="s">
        <v>331</v>
      </c>
      <c r="E101" s="3" t="str">
        <f aca="false">PROPER(TRIM(SUBSTITUTE(Raw_Text_Fields!B102,CHAR(160)," ")))</f>
        <v>Aditi Sen</v>
      </c>
      <c r="F101" s="3" t="str">
        <f aca="false">PROPER(TRIM(SUBSTITUTE(Raw_Text_Fields!C102,CHAR(160)," ")))</f>
        <v>Small Business</v>
      </c>
      <c r="G101" s="3" t="str">
        <f aca="false">PROPER(TRIM(SUBSTITUTE(Raw_Text_Fields!D102,CHAR(160)," ")))</f>
        <v>West</v>
      </c>
      <c r="H101" s="3" t="str">
        <f aca="false">PROPER(TRIM(SUBSTITUTE(Raw_Text_Fields!E102,CHAR(160)," ")))</f>
        <v>Rajasthan</v>
      </c>
      <c r="I101" s="3" t="str">
        <f aca="false">PROPER(TRIM(SUBSTITUTE(Raw_Text_Fields!F102,CHAR(160)," ")))</f>
        <v>Udaipur</v>
      </c>
      <c r="J101" s="3" t="str">
        <f aca="false">PROPER(TRIM(SUBSTITUTE(Raw_Text_Fields!G102,CHAR(160)," ")))</f>
        <v>Technology</v>
      </c>
      <c r="K101" s="3" t="str">
        <f aca="false">PROPER(TRIM(SUBSTITUTE(Raw_Text_Fields!H102,CHAR(160)," ")))</f>
        <v>Accessories</v>
      </c>
      <c r="L101" s="3" t="s">
        <v>332</v>
      </c>
      <c r="M101" s="3" t="str">
        <f aca="false">PROPER(TRIM(SUBSTITUTE(Raw_Text_Fields!I102,CHAR(160)," ")))</f>
        <v>Same Day</v>
      </c>
      <c r="N101" s="3" t="n">
        <v>3</v>
      </c>
      <c r="O101" s="5" t="n">
        <v>2165.29</v>
      </c>
      <c r="P101" s="6" t="n">
        <v>0</v>
      </c>
      <c r="Q101" s="5" t="n">
        <v>6495.87</v>
      </c>
      <c r="R101" s="5" t="n">
        <v>4700.89</v>
      </c>
      <c r="S101" s="5" t="n">
        <v>1794.98</v>
      </c>
      <c r="T101" s="3" t="str">
        <f aca="false">PROPER(TRIM(SUBSTITUTE(Raw_Text_Fields!J102,CHAR(160)," ")))</f>
        <v>Paid</v>
      </c>
      <c r="U101" s="3" t="str">
        <f aca="false">PROPER(TRIM(SUBSTITUTE(Raw_Text_Fields!K102,CHAR(160)," ")))</f>
        <v>Completed</v>
      </c>
      <c r="V101" s="7" t="n">
        <f aca="false">IF(OR(P101&lt;0,P101&gt;0.5),0,P101)</f>
        <v>0</v>
      </c>
      <c r="W101" s="8" t="n">
        <f aca="false">N101*O101*(1-V101)</f>
        <v>6495.87</v>
      </c>
      <c r="X101" s="8" t="n">
        <f aca="false">W101-R101</f>
        <v>1794.98</v>
      </c>
      <c r="Y101" s="7" t="n">
        <f aca="false">IFERROR(X101/W101,0)</f>
        <v>0.27632634273777</v>
      </c>
      <c r="Z101" s="9" t="n">
        <f aca="false">C101-B101</f>
        <v>0</v>
      </c>
      <c r="AA101" s="1" t="str">
        <f aca="false">IF(B101="","",TEXT(B101,"mmm"))</f>
        <v>Jan</v>
      </c>
      <c r="AB101" s="9" t="n">
        <f aca="false">IF(B101="","",YEAR(B101))</f>
        <v>2025</v>
      </c>
      <c r="AC101" s="3"/>
      <c r="AD101" s="3" t="str">
        <f aca="false">IF(LEFT(AC101&amp;IF(B101="","; Missing Order Date","")&amp;IF(C101="","; Missing Ship Date","")&amp;IF(P101&lt;0,"; Invalid Discount (Negative)","")&amp;IF(P101&gt;0.5,"; Invalid Discount (Too High)","")&amp;IF(Z101&lt;0,"; Invalid Shipping Record (Ship Before Order)","")&amp;IF(ABS(Q101-W101)&gt;1,"; Sales Mismatch","")&amp;IF(ABS(S101-X101)&gt;1,"; Profit Mismatch","")&amp;IF(COUNTIF($A$2:$A$913,A101)&gt;1,"; Duplicate Order ID Conflict",""),2)="; ",MID(AC101&amp;IF(B101="","; Missing Order Date","")&amp;IF(C101="","; Missing Ship Date","")&amp;IF(P101&lt;0,"; Invalid Discount (Negative)","")&amp;IF(P101&gt;0.5,"; Invalid Discount (Too High)","")&amp;IF(Z101&lt;0,"; Invalid Shipping Record (Ship Before Order)","")&amp;IF(ABS(Q101-W101)&gt;1,"; Sales Mismatch","")&amp;IF(ABS(S101-X101)&gt;1,"; Profit Mismatch","")&amp;IF(COUNTIF($A$2:$A$913,A101)&gt;1,"; Duplicate Order ID Conflict",""),3,500),AC101&amp;IF(B101="","; Missing Order Date","")&amp;IF(C101="","; Missing Ship Date","")&amp;IF(P101&lt;0,"; Invalid Discount (Negative)","")&amp;IF(P101&gt;0.5,"; Invalid Discount (Too High)","")&amp;IF(Z101&lt;0,"; Invalid Shipping Record (Ship Before Order)","")&amp;IF(ABS(Q101-W101)&gt;1,"; Sales Mismatch","")&amp;IF(ABS(S101-X101)&gt;1,"; Profit Mismatch","")&amp;IF(COUNTIF($A$2:$A$913,A101)&gt;1,"; Duplicate Order ID Conflict",""))</f>
        <v/>
      </c>
      <c r="AE101" s="10" t="str">
        <f aca="false">IF(OR(ISNUMBER(SEARCH("Invalid Discount",AD101)),ISNUMBER(SEARCH("Invalid Shipping Record",AD101)),ISNUMBER(SEARCH("Sales Mismatch",AD101)),ISNUMBER(SEARCH("Profit Mismatch",AD101)),ISNUMBER(SEARCH("Duplicate Order ID Conflict",AD101)),ISNUMBER(SEARCH("Missing Order Date",AD101)),ISNUMBER(SEARCH("Missing Ship Date",AD101))),"Invalid",IF(AD101&lt;&gt;"","Warning","Clean"))</f>
        <v>Clean</v>
      </c>
    </row>
    <row r="102" customFormat="false" ht="15" hidden="false" customHeight="true" outlineLevel="0" collapsed="false">
      <c r="A102" s="3" t="s">
        <v>333</v>
      </c>
      <c r="B102" s="4" t="n">
        <v>45912</v>
      </c>
      <c r="C102" s="4" t="n">
        <v>45918</v>
      </c>
      <c r="D102" s="3" t="s">
        <v>334</v>
      </c>
      <c r="E102" s="3" t="str">
        <f aca="false">PROPER(TRIM(SUBSTITUTE(Raw_Text_Fields!B103,CHAR(160)," ")))</f>
        <v>Aarav Sharma</v>
      </c>
      <c r="F102" s="3" t="str">
        <f aca="false">PROPER(TRIM(SUBSTITUTE(Raw_Text_Fields!C103,CHAR(160)," ")))</f>
        <v>Home Office</v>
      </c>
      <c r="G102" s="3" t="str">
        <f aca="false">PROPER(TRIM(SUBSTITUTE(Raw_Text_Fields!D103,CHAR(160)," ")))</f>
        <v>South</v>
      </c>
      <c r="H102" s="3" t="str">
        <f aca="false">PROPER(TRIM(SUBSTITUTE(Raw_Text_Fields!E103,CHAR(160)," ")))</f>
        <v>Kerala</v>
      </c>
      <c r="I102" s="3" t="str">
        <f aca="false">PROPER(TRIM(SUBSTITUTE(Raw_Text_Fields!F103,CHAR(160)," ")))</f>
        <v>Kochi</v>
      </c>
      <c r="J102" s="3" t="str">
        <f aca="false">PROPER(TRIM(SUBSTITUTE(Raw_Text_Fields!G103,CHAR(160)," ")))</f>
        <v>Office Supplies</v>
      </c>
      <c r="K102" s="3" t="str">
        <f aca="false">PROPER(TRIM(SUBSTITUTE(Raw_Text_Fields!H103,CHAR(160)," ")))</f>
        <v>Storage</v>
      </c>
      <c r="L102" s="3" t="s">
        <v>335</v>
      </c>
      <c r="M102" s="3" t="str">
        <f aca="false">PROPER(TRIM(SUBSTITUTE(Raw_Text_Fields!I103,CHAR(160)," ")))</f>
        <v>Standard Class</v>
      </c>
      <c r="N102" s="3" t="n">
        <v>6</v>
      </c>
      <c r="O102" s="5" t="n">
        <v>1673.8</v>
      </c>
      <c r="P102" s="6" t="n">
        <v>0.05</v>
      </c>
      <c r="Q102" s="5" t="n">
        <v>9540.66</v>
      </c>
      <c r="R102" s="5" t="n">
        <v>5561.49</v>
      </c>
      <c r="S102" s="5" t="n">
        <v>3979.17</v>
      </c>
      <c r="T102" s="3" t="str">
        <f aca="false">PROPER(TRIM(SUBSTITUTE(Raw_Text_Fields!J103,CHAR(160)," ")))</f>
        <v>Paid</v>
      </c>
      <c r="U102" s="3" t="str">
        <f aca="false">PROPER(TRIM(SUBSTITUTE(Raw_Text_Fields!K103,CHAR(160)," ")))</f>
        <v>Completed</v>
      </c>
      <c r="V102" s="7" t="n">
        <f aca="false">IF(OR(P102&lt;0,P102&gt;0.5),0,P102)</f>
        <v>0.05</v>
      </c>
      <c r="W102" s="8" t="n">
        <f aca="false">N102*O102*(1-V102)</f>
        <v>9540.66</v>
      </c>
      <c r="X102" s="8" t="n">
        <f aca="false">W102-R102</f>
        <v>3979.17</v>
      </c>
      <c r="Y102" s="7" t="n">
        <f aca="false">IFERROR(X102/W102,0)</f>
        <v>0.417074919345202</v>
      </c>
      <c r="Z102" s="9" t="n">
        <f aca="false">C102-B102</f>
        <v>6</v>
      </c>
      <c r="AA102" s="1" t="str">
        <f aca="false">IF(B102="","",TEXT(B102,"mmm"))</f>
        <v>Sep</v>
      </c>
      <c r="AB102" s="9" t="n">
        <f aca="false">IF(B102="","",YEAR(B102))</f>
        <v>2025</v>
      </c>
      <c r="AC102" s="3"/>
      <c r="AD102" s="3" t="str">
        <f aca="false">IF(LEFT(AC102&amp;IF(B102="","; Missing Order Date","")&amp;IF(C102="","; Missing Ship Date","")&amp;IF(P102&lt;0,"; Invalid Discount (Negative)","")&amp;IF(P102&gt;0.5,"; Invalid Discount (Too High)","")&amp;IF(Z102&lt;0,"; Invalid Shipping Record (Ship Before Order)","")&amp;IF(ABS(Q102-W102)&gt;1,"; Sales Mismatch","")&amp;IF(ABS(S102-X102)&gt;1,"; Profit Mismatch","")&amp;IF(COUNTIF($A$2:$A$913,A102)&gt;1,"; Duplicate Order ID Conflict",""),2)="; ",MID(AC102&amp;IF(B102="","; Missing Order Date","")&amp;IF(C102="","; Missing Ship Date","")&amp;IF(P102&lt;0,"; Invalid Discount (Negative)","")&amp;IF(P102&gt;0.5,"; Invalid Discount (Too High)","")&amp;IF(Z102&lt;0,"; Invalid Shipping Record (Ship Before Order)","")&amp;IF(ABS(Q102-W102)&gt;1,"; Sales Mismatch","")&amp;IF(ABS(S102-X102)&gt;1,"; Profit Mismatch","")&amp;IF(COUNTIF($A$2:$A$913,A102)&gt;1,"; Duplicate Order ID Conflict",""),3,500),AC102&amp;IF(B102="","; Missing Order Date","")&amp;IF(C102="","; Missing Ship Date","")&amp;IF(P102&lt;0,"; Invalid Discount (Negative)","")&amp;IF(P102&gt;0.5,"; Invalid Discount (Too High)","")&amp;IF(Z102&lt;0,"; Invalid Shipping Record (Ship Before Order)","")&amp;IF(ABS(Q102-W102)&gt;1,"; Sales Mismatch","")&amp;IF(ABS(S102-X102)&gt;1,"; Profit Mismatch","")&amp;IF(COUNTIF($A$2:$A$913,A102)&gt;1,"; Duplicate Order ID Conflict",""))</f>
        <v/>
      </c>
      <c r="AE102" s="10" t="str">
        <f aca="false">IF(OR(ISNUMBER(SEARCH("Invalid Discount",AD102)),ISNUMBER(SEARCH("Invalid Shipping Record",AD102)),ISNUMBER(SEARCH("Sales Mismatch",AD102)),ISNUMBER(SEARCH("Profit Mismatch",AD102)),ISNUMBER(SEARCH("Duplicate Order ID Conflict",AD102)),ISNUMBER(SEARCH("Missing Order Date",AD102)),ISNUMBER(SEARCH("Missing Ship Date",AD102))),"Invalid",IF(AD102&lt;&gt;"","Warning","Clean"))</f>
        <v>Clean</v>
      </c>
    </row>
    <row r="103" customFormat="false" ht="15" hidden="false" customHeight="true" outlineLevel="0" collapsed="false">
      <c r="A103" s="3" t="s">
        <v>336</v>
      </c>
      <c r="B103" s="4" t="n">
        <v>45465</v>
      </c>
      <c r="C103" s="4" t="n">
        <v>45469</v>
      </c>
      <c r="D103" s="3" t="s">
        <v>337</v>
      </c>
      <c r="E103" s="3" t="str">
        <f aca="false">PROPER(TRIM(SUBSTITUTE(Raw_Text_Fields!B104,CHAR(160)," ")))</f>
        <v>Rohan Mehta</v>
      </c>
      <c r="F103" s="3" t="str">
        <f aca="false">PROPER(TRIM(SUBSTITUTE(Raw_Text_Fields!C104,CHAR(160)," ")))</f>
        <v>Home Office</v>
      </c>
      <c r="G103" s="3" t="str">
        <f aca="false">PROPER(TRIM(SUBSTITUTE(Raw_Text_Fields!D104,CHAR(160)," ")))</f>
        <v>East</v>
      </c>
      <c r="H103" s="3" t="str">
        <f aca="false">PROPER(TRIM(SUBSTITUTE(Raw_Text_Fields!E104,CHAR(160)," ")))</f>
        <v>Bihar</v>
      </c>
      <c r="I103" s="3" t="str">
        <f aca="false">PROPER(TRIM(SUBSTITUTE(Raw_Text_Fields!F104,CHAR(160)," ")))</f>
        <v>Patna</v>
      </c>
      <c r="J103" s="3" t="str">
        <f aca="false">PROPER(TRIM(SUBSTITUTE(Raw_Text_Fields!G104,CHAR(160)," ")))</f>
        <v>Furniture</v>
      </c>
      <c r="K103" s="3" t="str">
        <f aca="false">PROPER(TRIM(SUBSTITUTE(Raw_Text_Fields!H104,CHAR(160)," ")))</f>
        <v>Furnishings</v>
      </c>
      <c r="L103" s="3" t="s">
        <v>338</v>
      </c>
      <c r="M103" s="3" t="str">
        <f aca="false">PROPER(TRIM(SUBSTITUTE(Raw_Text_Fields!I104,CHAR(160)," ")))</f>
        <v>First Class</v>
      </c>
      <c r="N103" s="3" t="n">
        <v>5</v>
      </c>
      <c r="O103" s="5" t="n">
        <v>4396.52</v>
      </c>
      <c r="P103" s="6" t="n">
        <v>0.25</v>
      </c>
      <c r="Q103" s="5" t="n">
        <v>16486.95</v>
      </c>
      <c r="R103" s="5" t="n">
        <v>12054.14</v>
      </c>
      <c r="S103" s="5" t="n">
        <v>4432.81</v>
      </c>
      <c r="T103" s="3" t="str">
        <f aca="false">PROPER(TRIM(SUBSTITUTE(Raw_Text_Fields!J104,CHAR(160)," ")))</f>
        <v>Paid</v>
      </c>
      <c r="U103" s="3" t="str">
        <f aca="false">PROPER(TRIM(SUBSTITUTE(Raw_Text_Fields!K104,CHAR(160)," ")))</f>
        <v>Completed</v>
      </c>
      <c r="V103" s="7" t="n">
        <f aca="false">IF(OR(P103&lt;0,P103&gt;0.5),0,P103)</f>
        <v>0.25</v>
      </c>
      <c r="W103" s="8" t="n">
        <f aca="false">N103*O103*(1-V103)</f>
        <v>16486.95</v>
      </c>
      <c r="X103" s="8" t="n">
        <f aca="false">W103-R103</f>
        <v>4432.81</v>
      </c>
      <c r="Y103" s="7" t="n">
        <f aca="false">IFERROR(X103/W103,0)</f>
        <v>0.268867801503614</v>
      </c>
      <c r="Z103" s="9" t="n">
        <f aca="false">C103-B103</f>
        <v>4</v>
      </c>
      <c r="AA103" s="1" t="str">
        <f aca="false">IF(B103="","",TEXT(B103,"mmm"))</f>
        <v>Jun</v>
      </c>
      <c r="AB103" s="9" t="n">
        <f aca="false">IF(B103="","",YEAR(B103))</f>
        <v>2024</v>
      </c>
      <c r="AC103" s="3"/>
      <c r="AD103" s="3" t="str">
        <f aca="false">IF(LEFT(AC103&amp;IF(B103="","; Missing Order Date","")&amp;IF(C103="","; Missing Ship Date","")&amp;IF(P103&lt;0,"; Invalid Discount (Negative)","")&amp;IF(P103&gt;0.5,"; Invalid Discount (Too High)","")&amp;IF(Z103&lt;0,"; Invalid Shipping Record (Ship Before Order)","")&amp;IF(ABS(Q103-W103)&gt;1,"; Sales Mismatch","")&amp;IF(ABS(S103-X103)&gt;1,"; Profit Mismatch","")&amp;IF(COUNTIF($A$2:$A$913,A103)&gt;1,"; Duplicate Order ID Conflict",""),2)="; ",MID(AC103&amp;IF(B103="","; Missing Order Date","")&amp;IF(C103="","; Missing Ship Date","")&amp;IF(P103&lt;0,"; Invalid Discount (Negative)","")&amp;IF(P103&gt;0.5,"; Invalid Discount (Too High)","")&amp;IF(Z103&lt;0,"; Invalid Shipping Record (Ship Before Order)","")&amp;IF(ABS(Q103-W103)&gt;1,"; Sales Mismatch","")&amp;IF(ABS(S103-X103)&gt;1,"; Profit Mismatch","")&amp;IF(COUNTIF($A$2:$A$913,A103)&gt;1,"; Duplicate Order ID Conflict",""),3,500),AC103&amp;IF(B103="","; Missing Order Date","")&amp;IF(C103="","; Missing Ship Date","")&amp;IF(P103&lt;0,"; Invalid Discount (Negative)","")&amp;IF(P103&gt;0.5,"; Invalid Discount (Too High)","")&amp;IF(Z103&lt;0,"; Invalid Shipping Record (Ship Before Order)","")&amp;IF(ABS(Q103-W103)&gt;1,"; Sales Mismatch","")&amp;IF(ABS(S103-X103)&gt;1,"; Profit Mismatch","")&amp;IF(COUNTIF($A$2:$A$913,A103)&gt;1,"; Duplicate Order ID Conflict",""))</f>
        <v/>
      </c>
      <c r="AE103" s="10" t="str">
        <f aca="false">IF(OR(ISNUMBER(SEARCH("Invalid Discount",AD103)),ISNUMBER(SEARCH("Invalid Shipping Record",AD103)),ISNUMBER(SEARCH("Sales Mismatch",AD103)),ISNUMBER(SEARCH("Profit Mismatch",AD103)),ISNUMBER(SEARCH("Duplicate Order ID Conflict",AD103)),ISNUMBER(SEARCH("Missing Order Date",AD103)),ISNUMBER(SEARCH("Missing Ship Date",AD103))),"Invalid",IF(AD103&lt;&gt;"","Warning","Clean"))</f>
        <v>Clean</v>
      </c>
    </row>
    <row r="104" customFormat="false" ht="15" hidden="false" customHeight="true" outlineLevel="0" collapsed="false">
      <c r="A104" s="3" t="s">
        <v>339</v>
      </c>
      <c r="B104" s="4" t="n">
        <v>45850</v>
      </c>
      <c r="C104" s="4" t="n">
        <v>45854</v>
      </c>
      <c r="D104" s="3" t="s">
        <v>340</v>
      </c>
      <c r="E104" s="3" t="str">
        <f aca="false">PROPER(TRIM(SUBSTITUTE(Raw_Text_Fields!B105,CHAR(160)," ")))</f>
        <v>Vikram Iyer</v>
      </c>
      <c r="F104" s="3" t="str">
        <f aca="false">PROPER(TRIM(SUBSTITUTE(Raw_Text_Fields!C105,CHAR(160)," ")))</f>
        <v>Consumer</v>
      </c>
      <c r="G104" s="3" t="str">
        <f aca="false">PROPER(TRIM(SUBSTITUTE(Raw_Text_Fields!D105,CHAR(160)," ")))</f>
        <v>South</v>
      </c>
      <c r="H104" s="3" t="str">
        <f aca="false">PROPER(TRIM(SUBSTITUTE(Raw_Text_Fields!E105,CHAR(160)," ")))</f>
        <v>Karnataka</v>
      </c>
      <c r="I104" s="3" t="str">
        <f aca="false">PROPER(TRIM(SUBSTITUTE(Raw_Text_Fields!F105,CHAR(160)," ")))</f>
        <v>Bengaluru</v>
      </c>
      <c r="J104" s="3" t="str">
        <f aca="false">PROPER(TRIM(SUBSTITUTE(Raw_Text_Fields!G105,CHAR(160)," ")))</f>
        <v>Furniture</v>
      </c>
      <c r="K104" s="3" t="str">
        <f aca="false">PROPER(TRIM(SUBSTITUTE(Raw_Text_Fields!H105,CHAR(160)," ")))</f>
        <v>Chairs</v>
      </c>
      <c r="L104" s="3" t="s">
        <v>341</v>
      </c>
      <c r="M104" s="3" t="str">
        <f aca="false">PROPER(TRIM(SUBSTITUTE(Raw_Text_Fields!I105,CHAR(160)," ")))</f>
        <v>First Class</v>
      </c>
      <c r="N104" s="3" t="n">
        <v>4</v>
      </c>
      <c r="O104" s="5" t="n">
        <v>2865.71</v>
      </c>
      <c r="P104" s="6" t="n">
        <v>0</v>
      </c>
      <c r="Q104" s="5" t="n">
        <v>11462.84</v>
      </c>
      <c r="R104" s="5" t="n">
        <v>8979.78</v>
      </c>
      <c r="S104" s="5" t="n">
        <v>2483.06</v>
      </c>
      <c r="T104" s="3" t="str">
        <f aca="false">PROPER(TRIM(SUBSTITUTE(Raw_Text_Fields!J105,CHAR(160)," ")))</f>
        <v>Refunded</v>
      </c>
      <c r="U104" s="3" t="str">
        <f aca="false">PROPER(TRIM(SUBSTITUTE(Raw_Text_Fields!K105,CHAR(160)," ")))</f>
        <v>Cancelled</v>
      </c>
      <c r="V104" s="7" t="n">
        <f aca="false">IF(OR(P104&lt;0,P104&gt;0.5),0,P104)</f>
        <v>0</v>
      </c>
      <c r="W104" s="8" t="n">
        <f aca="false">N104*O104*(1-V104)</f>
        <v>11462.84</v>
      </c>
      <c r="X104" s="8" t="n">
        <f aca="false">W104-R104</f>
        <v>2483.06</v>
      </c>
      <c r="Y104" s="7" t="n">
        <f aca="false">IFERROR(X104/W104,0)</f>
        <v>0.216618220266531</v>
      </c>
      <c r="Z104" s="9" t="n">
        <f aca="false">C104-B104</f>
        <v>4</v>
      </c>
      <c r="AA104" s="1" t="str">
        <f aca="false">IF(B104="","",TEXT(B104,"mmm"))</f>
        <v>Jul</v>
      </c>
      <c r="AB104" s="9" t="n">
        <f aca="false">IF(B104="","",YEAR(B104))</f>
        <v>2025</v>
      </c>
      <c r="AC104" s="3"/>
      <c r="AD104" s="3" t="str">
        <f aca="false">IF(LEFT(AC104&amp;IF(B104="","; Missing Order Date","")&amp;IF(C104="","; Missing Ship Date","")&amp;IF(P104&lt;0,"; Invalid Discount (Negative)","")&amp;IF(P104&gt;0.5,"; Invalid Discount (Too High)","")&amp;IF(Z104&lt;0,"; Invalid Shipping Record (Ship Before Order)","")&amp;IF(ABS(Q104-W104)&gt;1,"; Sales Mismatch","")&amp;IF(ABS(S104-X104)&gt;1,"; Profit Mismatch","")&amp;IF(COUNTIF($A$2:$A$913,A104)&gt;1,"; Duplicate Order ID Conflict",""),2)="; ",MID(AC104&amp;IF(B104="","; Missing Order Date","")&amp;IF(C104="","; Missing Ship Date","")&amp;IF(P104&lt;0,"; Invalid Discount (Negative)","")&amp;IF(P104&gt;0.5,"; Invalid Discount (Too High)","")&amp;IF(Z104&lt;0,"; Invalid Shipping Record (Ship Before Order)","")&amp;IF(ABS(Q104-W104)&gt;1,"; Sales Mismatch","")&amp;IF(ABS(S104-X104)&gt;1,"; Profit Mismatch","")&amp;IF(COUNTIF($A$2:$A$913,A104)&gt;1,"; Duplicate Order ID Conflict",""),3,500),AC104&amp;IF(B104="","; Missing Order Date","")&amp;IF(C104="","; Missing Ship Date","")&amp;IF(P104&lt;0,"; Invalid Discount (Negative)","")&amp;IF(P104&gt;0.5,"; Invalid Discount (Too High)","")&amp;IF(Z104&lt;0,"; Invalid Shipping Record (Ship Before Order)","")&amp;IF(ABS(Q104-W104)&gt;1,"; Sales Mismatch","")&amp;IF(ABS(S104-X104)&gt;1,"; Profit Mismatch","")&amp;IF(COUNTIF($A$2:$A$913,A104)&gt;1,"; Duplicate Order ID Conflict",""))</f>
        <v/>
      </c>
      <c r="AE104" s="10" t="str">
        <f aca="false">IF(OR(ISNUMBER(SEARCH("Invalid Discount",AD104)),ISNUMBER(SEARCH("Invalid Shipping Record",AD104)),ISNUMBER(SEARCH("Sales Mismatch",AD104)),ISNUMBER(SEARCH("Profit Mismatch",AD104)),ISNUMBER(SEARCH("Duplicate Order ID Conflict",AD104)),ISNUMBER(SEARCH("Missing Order Date",AD104)),ISNUMBER(SEARCH("Missing Ship Date",AD104))),"Invalid",IF(AD104&lt;&gt;"","Warning","Clean"))</f>
        <v>Clean</v>
      </c>
    </row>
    <row r="105" customFormat="false" ht="15" hidden="false" customHeight="true" outlineLevel="0" collapsed="false">
      <c r="A105" s="3" t="s">
        <v>342</v>
      </c>
      <c r="B105" s="4" t="n">
        <v>45779</v>
      </c>
      <c r="C105" s="4" t="n">
        <v>45787</v>
      </c>
      <c r="D105" s="3" t="s">
        <v>343</v>
      </c>
      <c r="E105" s="3" t="str">
        <f aca="false">PROPER(TRIM(SUBSTITUTE(Raw_Text_Fields!B106,CHAR(160)," ")))</f>
        <v>Kabir Singh</v>
      </c>
      <c r="F105" s="3" t="str">
        <f aca="false">PROPER(TRIM(SUBSTITUTE(Raw_Text_Fields!C106,CHAR(160)," ")))</f>
        <v>Corporate</v>
      </c>
      <c r="G105" s="3" t="str">
        <f aca="false">PROPER(TRIM(SUBSTITUTE(Raw_Text_Fields!D106,CHAR(160)," ")))</f>
        <v>West</v>
      </c>
      <c r="H105" s="3" t="str">
        <f aca="false">PROPER(TRIM(SUBSTITUTE(Raw_Text_Fields!E106,CHAR(160)," ")))</f>
        <v>Maharashtra</v>
      </c>
      <c r="I105" s="3" t="str">
        <f aca="false">PROPER(TRIM(SUBSTITUTE(Raw_Text_Fields!F106,CHAR(160)," ")))</f>
        <v>Mumbai</v>
      </c>
      <c r="J105" s="3" t="str">
        <f aca="false">PROPER(TRIM(SUBSTITUTE(Raw_Text_Fields!G106,CHAR(160)," ")))</f>
        <v>Furniture</v>
      </c>
      <c r="K105" s="3" t="str">
        <f aca="false">PROPER(TRIM(SUBSTITUTE(Raw_Text_Fields!H106,CHAR(160)," ")))</f>
        <v>Tables</v>
      </c>
      <c r="L105" s="3" t="s">
        <v>344</v>
      </c>
      <c r="M105" s="3" t="str">
        <f aca="false">PROPER(TRIM(SUBSTITUTE(Raw_Text_Fields!I106,CHAR(160)," ")))</f>
        <v>First Class</v>
      </c>
      <c r="N105" s="3" t="n">
        <v>4</v>
      </c>
      <c r="O105" s="5" t="n">
        <v>2440.34</v>
      </c>
      <c r="P105" s="6" t="n">
        <v>0.2</v>
      </c>
      <c r="Q105" s="5" t="n">
        <v>7809.09</v>
      </c>
      <c r="R105" s="5" t="n">
        <v>6657.75</v>
      </c>
      <c r="S105" s="5" t="n">
        <v>1151.34</v>
      </c>
      <c r="T105" s="3" t="str">
        <f aca="false">PROPER(TRIM(SUBSTITUTE(Raw_Text_Fields!J106,CHAR(160)," ")))</f>
        <v>Paid</v>
      </c>
      <c r="U105" s="3" t="str">
        <f aca="false">PROPER(TRIM(SUBSTITUTE(Raw_Text_Fields!K106,CHAR(160)," ")))</f>
        <v>Completed</v>
      </c>
      <c r="V105" s="7" t="n">
        <f aca="false">IF(OR(P105&lt;0,P105&gt;0.5),0,P105)</f>
        <v>0.2</v>
      </c>
      <c r="W105" s="8" t="n">
        <f aca="false">N105*O105*(1-V105)</f>
        <v>7809.088</v>
      </c>
      <c r="X105" s="8" t="n">
        <f aca="false">W105-R105</f>
        <v>1151.338</v>
      </c>
      <c r="Y105" s="7" t="n">
        <f aca="false">IFERROR(X105/W105,0)</f>
        <v>0.147435654457985</v>
      </c>
      <c r="Z105" s="9" t="n">
        <f aca="false">C105-B105</f>
        <v>8</v>
      </c>
      <c r="AA105" s="1" t="str">
        <f aca="false">IF(B105="","",TEXT(B105,"mmm"))</f>
        <v>May</v>
      </c>
      <c r="AB105" s="9" t="n">
        <f aca="false">IF(B105="","",YEAR(B105))</f>
        <v>2025</v>
      </c>
      <c r="AC105" s="3"/>
      <c r="AD105" s="3" t="str">
        <f aca="false">IF(LEFT(AC105&amp;IF(B105="","; Missing Order Date","")&amp;IF(C105="","; Missing Ship Date","")&amp;IF(P105&lt;0,"; Invalid Discount (Negative)","")&amp;IF(P105&gt;0.5,"; Invalid Discount (Too High)","")&amp;IF(Z105&lt;0,"; Invalid Shipping Record (Ship Before Order)","")&amp;IF(ABS(Q105-W105)&gt;1,"; Sales Mismatch","")&amp;IF(ABS(S105-X105)&gt;1,"; Profit Mismatch","")&amp;IF(COUNTIF($A$2:$A$913,A105)&gt;1,"; Duplicate Order ID Conflict",""),2)="; ",MID(AC105&amp;IF(B105="","; Missing Order Date","")&amp;IF(C105="","; Missing Ship Date","")&amp;IF(P105&lt;0,"; Invalid Discount (Negative)","")&amp;IF(P105&gt;0.5,"; Invalid Discount (Too High)","")&amp;IF(Z105&lt;0,"; Invalid Shipping Record (Ship Before Order)","")&amp;IF(ABS(Q105-W105)&gt;1,"; Sales Mismatch","")&amp;IF(ABS(S105-X105)&gt;1,"; Profit Mismatch","")&amp;IF(COUNTIF($A$2:$A$913,A105)&gt;1,"; Duplicate Order ID Conflict",""),3,500),AC105&amp;IF(B105="","; Missing Order Date","")&amp;IF(C105="","; Missing Ship Date","")&amp;IF(P105&lt;0,"; Invalid Discount (Negative)","")&amp;IF(P105&gt;0.5,"; Invalid Discount (Too High)","")&amp;IF(Z105&lt;0,"; Invalid Shipping Record (Ship Before Order)","")&amp;IF(ABS(Q105-W105)&gt;1,"; Sales Mismatch","")&amp;IF(ABS(S105-X105)&gt;1,"; Profit Mismatch","")&amp;IF(COUNTIF($A$2:$A$913,A105)&gt;1,"; Duplicate Order ID Conflict",""))</f>
        <v/>
      </c>
      <c r="AE105" s="10" t="str">
        <f aca="false">IF(OR(ISNUMBER(SEARCH("Invalid Discount",AD105)),ISNUMBER(SEARCH("Invalid Shipping Record",AD105)),ISNUMBER(SEARCH("Sales Mismatch",AD105)),ISNUMBER(SEARCH("Profit Mismatch",AD105)),ISNUMBER(SEARCH("Duplicate Order ID Conflict",AD105)),ISNUMBER(SEARCH("Missing Order Date",AD105)),ISNUMBER(SEARCH("Missing Ship Date",AD105))),"Invalid",IF(AD105&lt;&gt;"","Warning","Clean"))</f>
        <v>Clean</v>
      </c>
    </row>
    <row r="106" customFormat="false" ht="15" hidden="false" customHeight="true" outlineLevel="0" collapsed="false">
      <c r="A106" s="3" t="s">
        <v>345</v>
      </c>
      <c r="B106" s="4" t="n">
        <v>45689</v>
      </c>
      <c r="C106" s="4" t="n">
        <v>45696</v>
      </c>
      <c r="D106" s="3" t="s">
        <v>346</v>
      </c>
      <c r="E106" s="3" t="str">
        <f aca="false">PROPER(TRIM(SUBSTITUTE(Raw_Text_Fields!B107,CHAR(160)," ")))</f>
        <v>Ananya Rao</v>
      </c>
      <c r="F106" s="3" t="str">
        <f aca="false">PROPER(TRIM(SUBSTITUTE(Raw_Text_Fields!C107,CHAR(160)," ")))</f>
        <v>Consumer</v>
      </c>
      <c r="G106" s="3" t="str">
        <f aca="false">PROPER(TRIM(SUBSTITUTE(Raw_Text_Fields!D107,CHAR(160)," ")))</f>
        <v>South</v>
      </c>
      <c r="H106" s="3" t="str">
        <f aca="false">PROPER(TRIM(SUBSTITUTE(Raw_Text_Fields!E107,CHAR(160)," ")))</f>
        <v>Karnataka</v>
      </c>
      <c r="I106" s="3" t="str">
        <f aca="false">PROPER(TRIM(SUBSTITUTE(Raw_Text_Fields!F107,CHAR(160)," ")))</f>
        <v>Bengaluru</v>
      </c>
      <c r="J106" s="3" t="str">
        <f aca="false">PROPER(TRIM(SUBSTITUTE(Raw_Text_Fields!G107,CHAR(160)," ")))</f>
        <v>Office Supplies</v>
      </c>
      <c r="K106" s="3" t="str">
        <f aca="false">PROPER(TRIM(SUBSTITUTE(Raw_Text_Fields!H107,CHAR(160)," ")))</f>
        <v>Labels</v>
      </c>
      <c r="L106" s="3" t="s">
        <v>347</v>
      </c>
      <c r="M106" s="3" t="str">
        <f aca="false">PROPER(TRIM(SUBSTITUTE(Raw_Text_Fields!I107,CHAR(160)," ")))</f>
        <v>Same Day</v>
      </c>
      <c r="N106" s="3" t="n">
        <v>5</v>
      </c>
      <c r="O106" s="5" t="n">
        <v>2112.54</v>
      </c>
      <c r="P106" s="6" t="n">
        <v>0.25</v>
      </c>
      <c r="Q106" s="5" t="n">
        <v>8260.46</v>
      </c>
      <c r="R106" s="5" t="n">
        <v>5619.95</v>
      </c>
      <c r="S106" s="5" t="n">
        <v>2302.08</v>
      </c>
      <c r="T106" s="3" t="str">
        <f aca="false">PROPER(TRIM(SUBSTITUTE(Raw_Text_Fields!J107,CHAR(160)," ")))</f>
        <v>Paid</v>
      </c>
      <c r="U106" s="3" t="str">
        <f aca="false">PROPER(TRIM(SUBSTITUTE(Raw_Text_Fields!K107,CHAR(160)," ")))</f>
        <v>Cancelled</v>
      </c>
      <c r="V106" s="7" t="n">
        <f aca="false">IF(OR(P106&lt;0,P106&gt;0.5),0,P106)</f>
        <v>0.25</v>
      </c>
      <c r="W106" s="8" t="n">
        <f aca="false">N106*O106*(1-V106)</f>
        <v>7922.025</v>
      </c>
      <c r="X106" s="8" t="n">
        <f aca="false">W106-R106</f>
        <v>2302.075</v>
      </c>
      <c r="Y106" s="7" t="n">
        <f aca="false">IFERROR(X106/W106,0)</f>
        <v>0.290591736330042</v>
      </c>
      <c r="Z106" s="9" t="n">
        <f aca="false">C106-B106</f>
        <v>7</v>
      </c>
      <c r="AA106" s="1" t="str">
        <f aca="false">IF(B106="","",TEXT(B106,"mmm"))</f>
        <v>Feb</v>
      </c>
      <c r="AB106" s="9" t="n">
        <f aca="false">IF(B106="","",YEAR(B106))</f>
        <v>2025</v>
      </c>
      <c r="AC106" s="3"/>
      <c r="AD106" s="3" t="str">
        <f aca="false">IF(LEFT(AC106&amp;IF(B106="","; Missing Order Date","")&amp;IF(C106="","; Missing Ship Date","")&amp;IF(P106&lt;0,"; Invalid Discount (Negative)","")&amp;IF(P106&gt;0.5,"; Invalid Discount (Too High)","")&amp;IF(Z106&lt;0,"; Invalid Shipping Record (Ship Before Order)","")&amp;IF(ABS(Q106-W106)&gt;1,"; Sales Mismatch","")&amp;IF(ABS(S106-X106)&gt;1,"; Profit Mismatch","")&amp;IF(COUNTIF($A$2:$A$913,A106)&gt;1,"; Duplicate Order ID Conflict",""),2)="; ",MID(AC106&amp;IF(B106="","; Missing Order Date","")&amp;IF(C106="","; Missing Ship Date","")&amp;IF(P106&lt;0,"; Invalid Discount (Negative)","")&amp;IF(P106&gt;0.5,"; Invalid Discount (Too High)","")&amp;IF(Z106&lt;0,"; Invalid Shipping Record (Ship Before Order)","")&amp;IF(ABS(Q106-W106)&gt;1,"; Sales Mismatch","")&amp;IF(ABS(S106-X106)&gt;1,"; Profit Mismatch","")&amp;IF(COUNTIF($A$2:$A$913,A106)&gt;1,"; Duplicate Order ID Conflict",""),3,500),AC106&amp;IF(B106="","; Missing Order Date","")&amp;IF(C106="","; Missing Ship Date","")&amp;IF(P106&lt;0,"; Invalid Discount (Negative)","")&amp;IF(P106&gt;0.5,"; Invalid Discount (Too High)","")&amp;IF(Z106&lt;0,"; Invalid Shipping Record (Ship Before Order)","")&amp;IF(ABS(Q106-W106)&gt;1,"; Sales Mismatch","")&amp;IF(ABS(S106-X106)&gt;1,"; Profit Mismatch","")&amp;IF(COUNTIF($A$2:$A$913,A106)&gt;1,"; Duplicate Order ID Conflict",""))</f>
        <v>Sales Mismatch</v>
      </c>
      <c r="AE106" s="10" t="str">
        <f aca="false">IF(OR(ISNUMBER(SEARCH("Invalid Discount",AD106)),ISNUMBER(SEARCH("Invalid Shipping Record",AD106)),ISNUMBER(SEARCH("Sales Mismatch",AD106)),ISNUMBER(SEARCH("Profit Mismatch",AD106)),ISNUMBER(SEARCH("Duplicate Order ID Conflict",AD106)),ISNUMBER(SEARCH("Missing Order Date",AD106)),ISNUMBER(SEARCH("Missing Ship Date",AD106))),"Invalid",IF(AD106&lt;&gt;"","Warning","Clean"))</f>
        <v>Invalid</v>
      </c>
    </row>
    <row r="107" customFormat="false" ht="15" hidden="false" customHeight="true" outlineLevel="0" collapsed="false">
      <c r="A107" s="3" t="s">
        <v>348</v>
      </c>
      <c r="B107" s="4" t="n">
        <v>45467</v>
      </c>
      <c r="C107" s="4" t="n">
        <v>45472</v>
      </c>
      <c r="D107" s="3" t="s">
        <v>349</v>
      </c>
      <c r="E107" s="3" t="str">
        <f aca="false">PROPER(TRIM(SUBSTITUTE(Raw_Text_Fields!B108,CHAR(160)," ")))</f>
        <v>Mira Das</v>
      </c>
      <c r="F107" s="3" t="str">
        <f aca="false">PROPER(TRIM(SUBSTITUTE(Raw_Text_Fields!C108,CHAR(160)," ")))</f>
        <v>Home Office</v>
      </c>
      <c r="G107" s="3" t="str">
        <f aca="false">PROPER(TRIM(SUBSTITUTE(Raw_Text_Fields!D108,CHAR(160)," ")))</f>
        <v>East</v>
      </c>
      <c r="H107" s="3" t="str">
        <f aca="false">PROPER(TRIM(SUBSTITUTE(Raw_Text_Fields!E108,CHAR(160)," ")))</f>
        <v>West Bengal</v>
      </c>
      <c r="I107" s="3" t="str">
        <f aca="false">PROPER(TRIM(SUBSTITUTE(Raw_Text_Fields!F108,CHAR(160)," ")))</f>
        <v>Kolkata</v>
      </c>
      <c r="J107" s="3" t="str">
        <f aca="false">PROPER(TRIM(SUBSTITUTE(Raw_Text_Fields!G108,CHAR(160)," ")))</f>
        <v>Furniture</v>
      </c>
      <c r="K107" s="3" t="str">
        <f aca="false">PROPER(TRIM(SUBSTITUTE(Raw_Text_Fields!H108,CHAR(160)," ")))</f>
        <v>Tables</v>
      </c>
      <c r="L107" s="3" t="s">
        <v>350</v>
      </c>
      <c r="M107" s="3" t="str">
        <f aca="false">PROPER(TRIM(SUBSTITUTE(Raw_Text_Fields!I108,CHAR(160)," ")))</f>
        <v>Second Class</v>
      </c>
      <c r="N107" s="3" t="n">
        <v>2</v>
      </c>
      <c r="O107" s="5" t="n">
        <v>685</v>
      </c>
      <c r="P107" s="6" t="n">
        <v>0.1</v>
      </c>
      <c r="Q107" s="5" t="n">
        <v>1233</v>
      </c>
      <c r="R107" s="5" t="n">
        <v>1006.9</v>
      </c>
      <c r="S107" s="5" t="n">
        <v>226.1</v>
      </c>
      <c r="T107" s="3" t="str">
        <f aca="false">PROPER(TRIM(SUBSTITUTE(Raw_Text_Fields!J108,CHAR(160)," ")))</f>
        <v>Paid</v>
      </c>
      <c r="U107" s="3" t="str">
        <f aca="false">PROPER(TRIM(SUBSTITUTE(Raw_Text_Fields!K108,CHAR(160)," ")))</f>
        <v>Completed</v>
      </c>
      <c r="V107" s="7" t="n">
        <f aca="false">IF(OR(P107&lt;0,P107&gt;0.5),0,P107)</f>
        <v>0.1</v>
      </c>
      <c r="W107" s="8" t="n">
        <f aca="false">N107*O107*(1-V107)</f>
        <v>1233</v>
      </c>
      <c r="X107" s="8" t="n">
        <f aca="false">W107-R107</f>
        <v>226.1</v>
      </c>
      <c r="Y107" s="7" t="n">
        <f aca="false">IFERROR(X107/W107,0)</f>
        <v>0.183373884833739</v>
      </c>
      <c r="Z107" s="9" t="n">
        <f aca="false">C107-B107</f>
        <v>5</v>
      </c>
      <c r="AA107" s="1" t="str">
        <f aca="false">IF(B107="","",TEXT(B107,"mmm"))</f>
        <v>Jun</v>
      </c>
      <c r="AB107" s="9" t="n">
        <f aca="false">IF(B107="","",YEAR(B107))</f>
        <v>2024</v>
      </c>
      <c r="AC107" s="3"/>
      <c r="AD107" s="3" t="str">
        <f aca="false">IF(LEFT(AC107&amp;IF(B107="","; Missing Order Date","")&amp;IF(C107="","; Missing Ship Date","")&amp;IF(P107&lt;0,"; Invalid Discount (Negative)","")&amp;IF(P107&gt;0.5,"; Invalid Discount (Too High)","")&amp;IF(Z107&lt;0,"; Invalid Shipping Record (Ship Before Order)","")&amp;IF(ABS(Q107-W107)&gt;1,"; Sales Mismatch","")&amp;IF(ABS(S107-X107)&gt;1,"; Profit Mismatch","")&amp;IF(COUNTIF($A$2:$A$913,A107)&gt;1,"; Duplicate Order ID Conflict",""),2)="; ",MID(AC107&amp;IF(B107="","; Missing Order Date","")&amp;IF(C107="","; Missing Ship Date","")&amp;IF(P107&lt;0,"; Invalid Discount (Negative)","")&amp;IF(P107&gt;0.5,"; Invalid Discount (Too High)","")&amp;IF(Z107&lt;0,"; Invalid Shipping Record (Ship Before Order)","")&amp;IF(ABS(Q107-W107)&gt;1,"; Sales Mismatch","")&amp;IF(ABS(S107-X107)&gt;1,"; Profit Mismatch","")&amp;IF(COUNTIF($A$2:$A$913,A107)&gt;1,"; Duplicate Order ID Conflict",""),3,500),AC107&amp;IF(B107="","; Missing Order Date","")&amp;IF(C107="","; Missing Ship Date","")&amp;IF(P107&lt;0,"; Invalid Discount (Negative)","")&amp;IF(P107&gt;0.5,"; Invalid Discount (Too High)","")&amp;IF(Z107&lt;0,"; Invalid Shipping Record (Ship Before Order)","")&amp;IF(ABS(Q107-W107)&gt;1,"; Sales Mismatch","")&amp;IF(ABS(S107-X107)&gt;1,"; Profit Mismatch","")&amp;IF(COUNTIF($A$2:$A$913,A107)&gt;1,"; Duplicate Order ID Conflict",""))</f>
        <v/>
      </c>
      <c r="AE107" s="10" t="str">
        <f aca="false">IF(OR(ISNUMBER(SEARCH("Invalid Discount",AD107)),ISNUMBER(SEARCH("Invalid Shipping Record",AD107)),ISNUMBER(SEARCH("Sales Mismatch",AD107)),ISNUMBER(SEARCH("Profit Mismatch",AD107)),ISNUMBER(SEARCH("Duplicate Order ID Conflict",AD107)),ISNUMBER(SEARCH("Missing Order Date",AD107)),ISNUMBER(SEARCH("Missing Ship Date",AD107))),"Invalid",IF(AD107&lt;&gt;"","Warning","Clean"))</f>
        <v>Clean</v>
      </c>
    </row>
    <row r="108" customFormat="false" ht="15" hidden="false" customHeight="true" outlineLevel="0" collapsed="false">
      <c r="A108" s="3" t="s">
        <v>351</v>
      </c>
      <c r="B108" s="4" t="n">
        <v>45342</v>
      </c>
      <c r="C108" s="4" t="n">
        <v>45350</v>
      </c>
      <c r="D108" s="3" t="s">
        <v>352</v>
      </c>
      <c r="E108" s="3" t="str">
        <f aca="false">PROPER(TRIM(SUBSTITUTE(Raw_Text_Fields!B109,CHAR(160)," ")))</f>
        <v>Arjun Bose</v>
      </c>
      <c r="F108" s="3" t="str">
        <f aca="false">PROPER(TRIM(SUBSTITUTE(Raw_Text_Fields!C109,CHAR(160)," ")))</f>
        <v>Home Office</v>
      </c>
      <c r="G108" s="3" t="str">
        <f aca="false">PROPER(TRIM(SUBSTITUTE(Raw_Text_Fields!D109,CHAR(160)," ")))</f>
        <v>East</v>
      </c>
      <c r="H108" s="3" t="str">
        <f aca="false">PROPER(TRIM(SUBSTITUTE(Raw_Text_Fields!E109,CHAR(160)," ")))</f>
        <v>West Bengal</v>
      </c>
      <c r="I108" s="3" t="str">
        <f aca="false">PROPER(TRIM(SUBSTITUTE(Raw_Text_Fields!F109,CHAR(160)," ")))</f>
        <v>Kolkata</v>
      </c>
      <c r="J108" s="3" t="str">
        <f aca="false">PROPER(TRIM(SUBSTITUTE(Raw_Text_Fields!G109,CHAR(160)," ")))</f>
        <v>Office Supplies</v>
      </c>
      <c r="K108" s="3" t="str">
        <f aca="false">PROPER(TRIM(SUBSTITUTE(Raw_Text_Fields!H109,CHAR(160)," ")))</f>
        <v>Paper</v>
      </c>
      <c r="L108" s="3" t="s">
        <v>353</v>
      </c>
      <c r="M108" s="3" t="str">
        <f aca="false">PROPER(TRIM(SUBSTITUTE(Raw_Text_Fields!I109,CHAR(160)," ")))</f>
        <v>Standard Class</v>
      </c>
      <c r="N108" s="3" t="n">
        <v>2</v>
      </c>
      <c r="O108" s="5" t="n">
        <v>4004.04</v>
      </c>
      <c r="P108" s="6" t="n">
        <v>0</v>
      </c>
      <c r="Q108" s="5" t="n">
        <v>7207.27</v>
      </c>
      <c r="R108" s="5" t="n">
        <v>5709.39</v>
      </c>
      <c r="S108" s="5" t="n">
        <v>1497.88</v>
      </c>
      <c r="T108" s="3" t="str">
        <f aca="false">PROPER(TRIM(SUBSTITUTE(Raw_Text_Fields!J109,CHAR(160)," ")))</f>
        <v>Paid</v>
      </c>
      <c r="U108" s="3" t="str">
        <f aca="false">PROPER(TRIM(SUBSTITUTE(Raw_Text_Fields!K109,CHAR(160)," ")))</f>
        <v>Cancelled</v>
      </c>
      <c r="V108" s="7" t="n">
        <f aca="false">IF(OR(P108&lt;0,P108&gt;0.5),0,P108)</f>
        <v>0</v>
      </c>
      <c r="W108" s="8" t="n">
        <f aca="false">N108*O108*(1-V108)</f>
        <v>8008.08</v>
      </c>
      <c r="X108" s="8" t="n">
        <f aca="false">W108-R108</f>
        <v>2298.69</v>
      </c>
      <c r="Y108" s="7" t="n">
        <f aca="false">IFERROR(X108/W108,0)</f>
        <v>0.287046333203464</v>
      </c>
      <c r="Z108" s="9" t="n">
        <f aca="false">C108-B108</f>
        <v>8</v>
      </c>
      <c r="AA108" s="1" t="str">
        <f aca="false">IF(B108="","",TEXT(B108,"mmm"))</f>
        <v>Feb</v>
      </c>
      <c r="AB108" s="9" t="n">
        <f aca="false">IF(B108="","",YEAR(B108))</f>
        <v>2024</v>
      </c>
      <c r="AC108" s="3" t="s">
        <v>130</v>
      </c>
      <c r="AD108" s="3" t="str">
        <f aca="false">IF(LEFT(AC108&amp;IF(B108="","; Missing Order Date","")&amp;IF(C108="","; Missing Ship Date","")&amp;IF(P108&lt;0,"; Invalid Discount (Negative)","")&amp;IF(P108&gt;0.5,"; Invalid Discount (Too High)","")&amp;IF(Z108&lt;0,"; Invalid Shipping Record (Ship Before Order)","")&amp;IF(ABS(Q108-W108)&gt;1,"; Sales Mismatch","")&amp;IF(ABS(S108-X108)&gt;1,"; Profit Mismatch","")&amp;IF(COUNTIF($A$2:$A$913,A108)&gt;1,"; Duplicate Order ID Conflict",""),2)="; ",MID(AC108&amp;IF(B108="","; Missing Order Date","")&amp;IF(C108="","; Missing Ship Date","")&amp;IF(P108&lt;0,"; Invalid Discount (Negative)","")&amp;IF(P108&gt;0.5,"; Invalid Discount (Too High)","")&amp;IF(Z108&lt;0,"; Invalid Shipping Record (Ship Before Order)","")&amp;IF(ABS(Q108-W108)&gt;1,"; Sales Mismatch","")&amp;IF(ABS(S108-X108)&gt;1,"; Profit Mismatch","")&amp;IF(COUNTIF($A$2:$A$913,A108)&gt;1,"; Duplicate Order ID Conflict",""),3,500),AC108&amp;IF(B108="","; Missing Order Date","")&amp;IF(C108="","; Missing Ship Date","")&amp;IF(P108&lt;0,"; Invalid Discount (Negative)","")&amp;IF(P108&gt;0.5,"; Invalid Discount (Too High)","")&amp;IF(Z108&lt;0,"; Invalid Shipping Record (Ship Before Order)","")&amp;IF(ABS(Q108-W108)&gt;1,"; Sales Mismatch","")&amp;IF(ABS(S108-X108)&gt;1,"; Profit Mismatch","")&amp;IF(COUNTIF($A$2:$A$913,A108)&gt;1,"; Duplicate Order ID Conflict",""))</f>
        <v>Missing Discount (defaulted 0); Sales Mismatch; Profit Mismatch</v>
      </c>
      <c r="AE108" s="10" t="str">
        <f aca="false">IF(OR(ISNUMBER(SEARCH("Invalid Discount",AD108)),ISNUMBER(SEARCH("Invalid Shipping Record",AD108)),ISNUMBER(SEARCH("Sales Mismatch",AD108)),ISNUMBER(SEARCH("Profit Mismatch",AD108)),ISNUMBER(SEARCH("Duplicate Order ID Conflict",AD108)),ISNUMBER(SEARCH("Missing Order Date",AD108)),ISNUMBER(SEARCH("Missing Ship Date",AD108))),"Invalid",IF(AD108&lt;&gt;"","Warning","Clean"))</f>
        <v>Invalid</v>
      </c>
    </row>
    <row r="109" customFormat="false" ht="15" hidden="false" customHeight="true" outlineLevel="0" collapsed="false">
      <c r="A109" s="3" t="s">
        <v>354</v>
      </c>
      <c r="B109" s="4" t="n">
        <v>45594</v>
      </c>
      <c r="C109" s="4" t="n">
        <v>45600</v>
      </c>
      <c r="D109" s="3" t="s">
        <v>355</v>
      </c>
      <c r="E109" s="3" t="str">
        <f aca="false">PROPER(TRIM(SUBSTITUTE(Raw_Text_Fields!B110,CHAR(160)," ")))</f>
        <v>Rohan Mehta</v>
      </c>
      <c r="F109" s="3" t="str">
        <f aca="false">PROPER(TRIM(SUBSTITUTE(Raw_Text_Fields!C110,CHAR(160)," ")))</f>
        <v>Home Office</v>
      </c>
      <c r="G109" s="3" t="str">
        <f aca="false">PROPER(TRIM(SUBSTITUTE(Raw_Text_Fields!D110,CHAR(160)," ")))</f>
        <v>East</v>
      </c>
      <c r="H109" s="3" t="str">
        <f aca="false">PROPER(TRIM(SUBSTITUTE(Raw_Text_Fields!E110,CHAR(160)," ")))</f>
        <v>West Bengal</v>
      </c>
      <c r="I109" s="3" t="str">
        <f aca="false">PROPER(TRIM(SUBSTITUTE(Raw_Text_Fields!F110,CHAR(160)," ")))</f>
        <v>Kolkata</v>
      </c>
      <c r="J109" s="3" t="str">
        <f aca="false">PROPER(TRIM(SUBSTITUTE(Raw_Text_Fields!G110,CHAR(160)," ")))</f>
        <v>Furniture</v>
      </c>
      <c r="K109" s="3" t="str">
        <f aca="false">PROPER(TRIM(SUBSTITUTE(Raw_Text_Fields!H110,CHAR(160)," ")))</f>
        <v>Furnishings</v>
      </c>
      <c r="L109" s="3" t="s">
        <v>356</v>
      </c>
      <c r="M109" s="3" t="str">
        <f aca="false">PROPER(TRIM(SUBSTITUTE(Raw_Text_Fields!I110,CHAR(160)," ")))</f>
        <v>First Class</v>
      </c>
      <c r="N109" s="3" t="n">
        <v>3</v>
      </c>
      <c r="O109" s="5" t="n">
        <v>4302.89</v>
      </c>
      <c r="P109" s="6" t="n">
        <v>0.05</v>
      </c>
      <c r="Q109" s="5" t="n">
        <v>12263.24</v>
      </c>
      <c r="R109" s="5" t="n">
        <v>8925.57</v>
      </c>
      <c r="S109" s="5" t="n">
        <v>3337.67</v>
      </c>
      <c r="T109" s="3" t="str">
        <f aca="false">PROPER(TRIM(SUBSTITUTE(Raw_Text_Fields!J110,CHAR(160)," ")))</f>
        <v>Paid</v>
      </c>
      <c r="U109" s="3" t="str">
        <f aca="false">PROPER(TRIM(SUBSTITUTE(Raw_Text_Fields!K110,CHAR(160)," ")))</f>
        <v>Completed</v>
      </c>
      <c r="V109" s="7" t="n">
        <f aca="false">IF(OR(P109&lt;0,P109&gt;0.5),0,P109)</f>
        <v>0.05</v>
      </c>
      <c r="W109" s="8" t="n">
        <f aca="false">N109*O109*(1-V109)</f>
        <v>12263.2365</v>
      </c>
      <c r="X109" s="8" t="n">
        <f aca="false">W109-R109</f>
        <v>3337.6665</v>
      </c>
      <c r="Y109" s="7" t="n">
        <f aca="false">IFERROR(X109/W109,0)</f>
        <v>0.272168485048788</v>
      </c>
      <c r="Z109" s="9" t="n">
        <f aca="false">C109-B109</f>
        <v>6</v>
      </c>
      <c r="AA109" s="1" t="str">
        <f aca="false">IF(B109="","",TEXT(B109,"mmm"))</f>
        <v>Oct</v>
      </c>
      <c r="AB109" s="9" t="n">
        <f aca="false">IF(B109="","",YEAR(B109))</f>
        <v>2024</v>
      </c>
      <c r="AC109" s="3"/>
      <c r="AD109" s="3" t="str">
        <f aca="false">IF(LEFT(AC109&amp;IF(B109="","; Missing Order Date","")&amp;IF(C109="","; Missing Ship Date","")&amp;IF(P109&lt;0,"; Invalid Discount (Negative)","")&amp;IF(P109&gt;0.5,"; Invalid Discount (Too High)","")&amp;IF(Z109&lt;0,"; Invalid Shipping Record (Ship Before Order)","")&amp;IF(ABS(Q109-W109)&gt;1,"; Sales Mismatch","")&amp;IF(ABS(S109-X109)&gt;1,"; Profit Mismatch","")&amp;IF(COUNTIF($A$2:$A$913,A109)&gt;1,"; Duplicate Order ID Conflict",""),2)="; ",MID(AC109&amp;IF(B109="","; Missing Order Date","")&amp;IF(C109="","; Missing Ship Date","")&amp;IF(P109&lt;0,"; Invalid Discount (Negative)","")&amp;IF(P109&gt;0.5,"; Invalid Discount (Too High)","")&amp;IF(Z109&lt;0,"; Invalid Shipping Record (Ship Before Order)","")&amp;IF(ABS(Q109-W109)&gt;1,"; Sales Mismatch","")&amp;IF(ABS(S109-X109)&gt;1,"; Profit Mismatch","")&amp;IF(COUNTIF($A$2:$A$913,A109)&gt;1,"; Duplicate Order ID Conflict",""),3,500),AC109&amp;IF(B109="","; Missing Order Date","")&amp;IF(C109="","; Missing Ship Date","")&amp;IF(P109&lt;0,"; Invalid Discount (Negative)","")&amp;IF(P109&gt;0.5,"; Invalid Discount (Too High)","")&amp;IF(Z109&lt;0,"; Invalid Shipping Record (Ship Before Order)","")&amp;IF(ABS(Q109-W109)&gt;1,"; Sales Mismatch","")&amp;IF(ABS(S109-X109)&gt;1,"; Profit Mismatch","")&amp;IF(COUNTIF($A$2:$A$913,A109)&gt;1,"; Duplicate Order ID Conflict",""))</f>
        <v/>
      </c>
      <c r="AE109" s="10" t="str">
        <f aca="false">IF(OR(ISNUMBER(SEARCH("Invalid Discount",AD109)),ISNUMBER(SEARCH("Invalid Shipping Record",AD109)),ISNUMBER(SEARCH("Sales Mismatch",AD109)),ISNUMBER(SEARCH("Profit Mismatch",AD109)),ISNUMBER(SEARCH("Duplicate Order ID Conflict",AD109)),ISNUMBER(SEARCH("Missing Order Date",AD109)),ISNUMBER(SEARCH("Missing Ship Date",AD109))),"Invalid",IF(AD109&lt;&gt;"","Warning","Clean"))</f>
        <v>Clean</v>
      </c>
    </row>
    <row r="110" customFormat="false" ht="15" hidden="false" customHeight="true" outlineLevel="0" collapsed="false">
      <c r="A110" s="3" t="s">
        <v>357</v>
      </c>
      <c r="B110" s="4" t="n">
        <v>45519</v>
      </c>
      <c r="C110" s="4" t="n">
        <v>45527</v>
      </c>
      <c r="D110" s="3" t="s">
        <v>358</v>
      </c>
      <c r="E110" s="3" t="str">
        <f aca="false">PROPER(TRIM(SUBSTITUTE(Raw_Text_Fields!B111,CHAR(160)," ")))</f>
        <v>Aditi Sen</v>
      </c>
      <c r="F110" s="3" t="str">
        <f aca="false">PROPER(TRIM(SUBSTITUTE(Raw_Text_Fields!C111,CHAR(160)," ")))</f>
        <v>Small Business</v>
      </c>
      <c r="G110" s="3" t="str">
        <f aca="false">PROPER(TRIM(SUBSTITUTE(Raw_Text_Fields!D111,CHAR(160)," ")))</f>
        <v>East</v>
      </c>
      <c r="H110" s="3" t="str">
        <f aca="false">PROPER(TRIM(SUBSTITUTE(Raw_Text_Fields!E111,CHAR(160)," ")))</f>
        <v>Odisha</v>
      </c>
      <c r="I110" s="3" t="str">
        <f aca="false">PROPER(TRIM(SUBSTITUTE(Raw_Text_Fields!F111,CHAR(160)," ")))</f>
        <v>Bhubaneswar</v>
      </c>
      <c r="J110" s="3" t="str">
        <f aca="false">PROPER(TRIM(SUBSTITUTE(Raw_Text_Fields!G111,CHAR(160)," ")))</f>
        <v>Furniture</v>
      </c>
      <c r="K110" s="3" t="str">
        <f aca="false">PROPER(TRIM(SUBSTITUTE(Raw_Text_Fields!H111,CHAR(160)," ")))</f>
        <v>Bookcases</v>
      </c>
      <c r="L110" s="3" t="s">
        <v>359</v>
      </c>
      <c r="M110" s="3" t="str">
        <f aca="false">PROPER(TRIM(SUBSTITUTE(Raw_Text_Fields!I111,CHAR(160)," ")))</f>
        <v>Same Day</v>
      </c>
      <c r="N110" s="3" t="n">
        <v>2</v>
      </c>
      <c r="O110" s="5" t="n">
        <v>537.54</v>
      </c>
      <c r="P110" s="6" t="n">
        <v>0.25</v>
      </c>
      <c r="Q110" s="5" t="n">
        <v>806.31</v>
      </c>
      <c r="R110" s="5" t="n">
        <v>498.5</v>
      </c>
      <c r="S110" s="5" t="n">
        <v>307.81</v>
      </c>
      <c r="T110" s="3" t="str">
        <f aca="false">PROPER(TRIM(SUBSTITUTE(Raw_Text_Fields!J111,CHAR(160)," ")))</f>
        <v>Paid</v>
      </c>
      <c r="U110" s="3" t="str">
        <f aca="false">PROPER(TRIM(SUBSTITUTE(Raw_Text_Fields!K111,CHAR(160)," ")))</f>
        <v>Completed</v>
      </c>
      <c r="V110" s="7" t="n">
        <f aca="false">IF(OR(P110&lt;0,P110&gt;0.5),0,P110)</f>
        <v>0.25</v>
      </c>
      <c r="W110" s="8" t="n">
        <f aca="false">N110*O110*(1-V110)</f>
        <v>806.31</v>
      </c>
      <c r="X110" s="8" t="n">
        <f aca="false">W110-R110</f>
        <v>307.81</v>
      </c>
      <c r="Y110" s="7" t="n">
        <f aca="false">IFERROR(X110/W110,0)</f>
        <v>0.381751435552083</v>
      </c>
      <c r="Z110" s="9" t="n">
        <f aca="false">C110-B110</f>
        <v>8</v>
      </c>
      <c r="AA110" s="1" t="str">
        <f aca="false">IF(B110="","",TEXT(B110,"mmm"))</f>
        <v>Aug</v>
      </c>
      <c r="AB110" s="9" t="n">
        <f aca="false">IF(B110="","",YEAR(B110))</f>
        <v>2024</v>
      </c>
      <c r="AC110" s="3"/>
      <c r="AD110" s="3" t="str">
        <f aca="false">IF(LEFT(AC110&amp;IF(B110="","; Missing Order Date","")&amp;IF(C110="","; Missing Ship Date","")&amp;IF(P110&lt;0,"; Invalid Discount (Negative)","")&amp;IF(P110&gt;0.5,"; Invalid Discount (Too High)","")&amp;IF(Z110&lt;0,"; Invalid Shipping Record (Ship Before Order)","")&amp;IF(ABS(Q110-W110)&gt;1,"; Sales Mismatch","")&amp;IF(ABS(S110-X110)&gt;1,"; Profit Mismatch","")&amp;IF(COUNTIF($A$2:$A$913,A110)&gt;1,"; Duplicate Order ID Conflict",""),2)="; ",MID(AC110&amp;IF(B110="","; Missing Order Date","")&amp;IF(C110="","; Missing Ship Date","")&amp;IF(P110&lt;0,"; Invalid Discount (Negative)","")&amp;IF(P110&gt;0.5,"; Invalid Discount (Too High)","")&amp;IF(Z110&lt;0,"; Invalid Shipping Record (Ship Before Order)","")&amp;IF(ABS(Q110-W110)&gt;1,"; Sales Mismatch","")&amp;IF(ABS(S110-X110)&gt;1,"; Profit Mismatch","")&amp;IF(COUNTIF($A$2:$A$913,A110)&gt;1,"; Duplicate Order ID Conflict",""),3,500),AC110&amp;IF(B110="","; Missing Order Date","")&amp;IF(C110="","; Missing Ship Date","")&amp;IF(P110&lt;0,"; Invalid Discount (Negative)","")&amp;IF(P110&gt;0.5,"; Invalid Discount (Too High)","")&amp;IF(Z110&lt;0,"; Invalid Shipping Record (Ship Before Order)","")&amp;IF(ABS(Q110-W110)&gt;1,"; Sales Mismatch","")&amp;IF(ABS(S110-X110)&gt;1,"; Profit Mismatch","")&amp;IF(COUNTIF($A$2:$A$913,A110)&gt;1,"; Duplicate Order ID Conflict",""))</f>
        <v/>
      </c>
      <c r="AE110" s="10" t="str">
        <f aca="false">IF(OR(ISNUMBER(SEARCH("Invalid Discount",AD110)),ISNUMBER(SEARCH("Invalid Shipping Record",AD110)),ISNUMBER(SEARCH("Sales Mismatch",AD110)),ISNUMBER(SEARCH("Profit Mismatch",AD110)),ISNUMBER(SEARCH("Duplicate Order ID Conflict",AD110)),ISNUMBER(SEARCH("Missing Order Date",AD110)),ISNUMBER(SEARCH("Missing Ship Date",AD110))),"Invalid",IF(AD110&lt;&gt;"","Warning","Clean"))</f>
        <v>Clean</v>
      </c>
    </row>
    <row r="111" customFormat="false" ht="15" hidden="false" customHeight="true" outlineLevel="0" collapsed="false">
      <c r="A111" s="3" t="s">
        <v>360</v>
      </c>
      <c r="B111" s="4" t="n">
        <v>45892</v>
      </c>
      <c r="C111" s="4" t="n">
        <v>45896</v>
      </c>
      <c r="D111" s="3" t="s">
        <v>361</v>
      </c>
      <c r="E111" s="3" t="str">
        <f aca="false">PROPER(TRIM(SUBSTITUTE(Raw_Text_Fields!B112,CHAR(160)," ")))</f>
        <v>Sneha Kapoor</v>
      </c>
      <c r="F111" s="3" t="str">
        <f aca="false">PROPER(TRIM(SUBSTITUTE(Raw_Text_Fields!C112,CHAR(160)," ")))</f>
        <v>Consumer</v>
      </c>
      <c r="G111" s="3" t="str">
        <f aca="false">PROPER(TRIM(SUBSTITUTE(Raw_Text_Fields!D112,CHAR(160)," ")))</f>
        <v>North</v>
      </c>
      <c r="H111" s="3" t="str">
        <f aca="false">PROPER(TRIM(SUBSTITUTE(Raw_Text_Fields!E112,CHAR(160)," ")))</f>
        <v>Delhi</v>
      </c>
      <c r="I111" s="3" t="str">
        <f aca="false">PROPER(TRIM(SUBSTITUTE(Raw_Text_Fields!F112,CHAR(160)," ")))</f>
        <v>New Delhi</v>
      </c>
      <c r="J111" s="3" t="str">
        <f aca="false">PROPER(TRIM(SUBSTITUTE(Raw_Text_Fields!G112,CHAR(160)," ")))</f>
        <v>Office Supplies</v>
      </c>
      <c r="K111" s="3" t="str">
        <f aca="false">PROPER(TRIM(SUBSTITUTE(Raw_Text_Fields!H112,CHAR(160)," ")))</f>
        <v>Binders</v>
      </c>
      <c r="L111" s="3" t="s">
        <v>362</v>
      </c>
      <c r="M111" s="3" t="str">
        <f aca="false">PROPER(TRIM(SUBSTITUTE(Raw_Text_Fields!I112,CHAR(160)," ")))</f>
        <v>Second Class</v>
      </c>
      <c r="N111" s="3" t="n">
        <v>1</v>
      </c>
      <c r="O111" s="5" t="n">
        <v>2788.62</v>
      </c>
      <c r="P111" s="6" t="n">
        <v>0.25</v>
      </c>
      <c r="Q111" s="5" t="n">
        <v>2091.47</v>
      </c>
      <c r="R111" s="5" t="n">
        <v>1317.22</v>
      </c>
      <c r="S111" s="5" t="n">
        <v>774.25</v>
      </c>
      <c r="T111" s="3" t="str">
        <f aca="false">PROPER(TRIM(SUBSTITUTE(Raw_Text_Fields!J112,CHAR(160)," ")))</f>
        <v>Paid</v>
      </c>
      <c r="U111" s="3" t="str">
        <f aca="false">PROPER(TRIM(SUBSTITUTE(Raw_Text_Fields!K112,CHAR(160)," ")))</f>
        <v>Completed</v>
      </c>
      <c r="V111" s="7" t="n">
        <f aca="false">IF(OR(P111&lt;0,P111&gt;0.5),0,P111)</f>
        <v>0.25</v>
      </c>
      <c r="W111" s="8" t="n">
        <f aca="false">N111*O111*(1-V111)</f>
        <v>2091.465</v>
      </c>
      <c r="X111" s="8" t="n">
        <f aca="false">W111-R111</f>
        <v>774.245</v>
      </c>
      <c r="Y111" s="7" t="n">
        <f aca="false">IFERROR(X111/W111,0)</f>
        <v>0.370192663993899</v>
      </c>
      <c r="Z111" s="9" t="n">
        <f aca="false">C111-B111</f>
        <v>4</v>
      </c>
      <c r="AA111" s="1" t="str">
        <f aca="false">IF(B111="","",TEXT(B111,"mmm"))</f>
        <v>Aug</v>
      </c>
      <c r="AB111" s="9" t="n">
        <f aca="false">IF(B111="","",YEAR(B111))</f>
        <v>2025</v>
      </c>
      <c r="AC111" s="3"/>
      <c r="AD111" s="3" t="str">
        <f aca="false">IF(LEFT(AC111&amp;IF(B111="","; Missing Order Date","")&amp;IF(C111="","; Missing Ship Date","")&amp;IF(P111&lt;0,"; Invalid Discount (Negative)","")&amp;IF(P111&gt;0.5,"; Invalid Discount (Too High)","")&amp;IF(Z111&lt;0,"; Invalid Shipping Record (Ship Before Order)","")&amp;IF(ABS(Q111-W111)&gt;1,"; Sales Mismatch","")&amp;IF(ABS(S111-X111)&gt;1,"; Profit Mismatch","")&amp;IF(COUNTIF($A$2:$A$913,A111)&gt;1,"; Duplicate Order ID Conflict",""),2)="; ",MID(AC111&amp;IF(B111="","; Missing Order Date","")&amp;IF(C111="","; Missing Ship Date","")&amp;IF(P111&lt;0,"; Invalid Discount (Negative)","")&amp;IF(P111&gt;0.5,"; Invalid Discount (Too High)","")&amp;IF(Z111&lt;0,"; Invalid Shipping Record (Ship Before Order)","")&amp;IF(ABS(Q111-W111)&gt;1,"; Sales Mismatch","")&amp;IF(ABS(S111-X111)&gt;1,"; Profit Mismatch","")&amp;IF(COUNTIF($A$2:$A$913,A111)&gt;1,"; Duplicate Order ID Conflict",""),3,500),AC111&amp;IF(B111="","; Missing Order Date","")&amp;IF(C111="","; Missing Ship Date","")&amp;IF(P111&lt;0,"; Invalid Discount (Negative)","")&amp;IF(P111&gt;0.5,"; Invalid Discount (Too High)","")&amp;IF(Z111&lt;0,"; Invalid Shipping Record (Ship Before Order)","")&amp;IF(ABS(Q111-W111)&gt;1,"; Sales Mismatch","")&amp;IF(ABS(S111-X111)&gt;1,"; Profit Mismatch","")&amp;IF(COUNTIF($A$2:$A$913,A111)&gt;1,"; Duplicate Order ID Conflict",""))</f>
        <v/>
      </c>
      <c r="AE111" s="10" t="str">
        <f aca="false">IF(OR(ISNUMBER(SEARCH("Invalid Discount",AD111)),ISNUMBER(SEARCH("Invalid Shipping Record",AD111)),ISNUMBER(SEARCH("Sales Mismatch",AD111)),ISNUMBER(SEARCH("Profit Mismatch",AD111)),ISNUMBER(SEARCH("Duplicate Order ID Conflict",AD111)),ISNUMBER(SEARCH("Missing Order Date",AD111)),ISNUMBER(SEARCH("Missing Ship Date",AD111))),"Invalid",IF(AD111&lt;&gt;"","Warning","Clean"))</f>
        <v>Clean</v>
      </c>
    </row>
    <row r="112" customFormat="false" ht="15" hidden="false" customHeight="true" outlineLevel="0" collapsed="false">
      <c r="A112" s="3" t="s">
        <v>363</v>
      </c>
      <c r="B112" s="4" t="n">
        <v>45583</v>
      </c>
      <c r="C112" s="4" t="n">
        <v>45589</v>
      </c>
      <c r="D112" s="3" t="s">
        <v>364</v>
      </c>
      <c r="E112" s="3" t="str">
        <f aca="false">PROPER(TRIM(SUBSTITUTE(Raw_Text_Fields!B113,CHAR(160)," ")))</f>
        <v>Vikram Iyer</v>
      </c>
      <c r="F112" s="3" t="str">
        <f aca="false">PROPER(TRIM(SUBSTITUTE(Raw_Text_Fields!C113,CHAR(160)," ")))</f>
        <v>Corporate</v>
      </c>
      <c r="G112" s="3" t="str">
        <f aca="false">PROPER(TRIM(SUBSTITUTE(Raw_Text_Fields!D113,CHAR(160)," ")))</f>
        <v>South</v>
      </c>
      <c r="H112" s="3" t="str">
        <f aca="false">PROPER(TRIM(SUBSTITUTE(Raw_Text_Fields!E113,CHAR(160)," ")))</f>
        <v>Kerala</v>
      </c>
      <c r="I112" s="3" t="str">
        <f aca="false">PROPER(TRIM(SUBSTITUTE(Raw_Text_Fields!F113,CHAR(160)," ")))</f>
        <v>Kochi</v>
      </c>
      <c r="J112" s="3" t="str">
        <f aca="false">PROPER(TRIM(SUBSTITUTE(Raw_Text_Fields!G113,CHAR(160)," ")))</f>
        <v>Office Supplies</v>
      </c>
      <c r="K112" s="3" t="str">
        <f aca="false">PROPER(TRIM(SUBSTITUTE(Raw_Text_Fields!H113,CHAR(160)," ")))</f>
        <v>Labels</v>
      </c>
      <c r="L112" s="3" t="s">
        <v>365</v>
      </c>
      <c r="M112" s="3" t="str">
        <f aca="false">PROPER(TRIM(SUBSTITUTE(Raw_Text_Fields!I113,CHAR(160)," ")))</f>
        <v>First Class</v>
      </c>
      <c r="N112" s="3" t="n">
        <v>2</v>
      </c>
      <c r="O112" s="5" t="n">
        <v>2250.47</v>
      </c>
      <c r="P112" s="6" t="n">
        <v>0</v>
      </c>
      <c r="Q112" s="5" t="n">
        <v>4500.94</v>
      </c>
      <c r="R112" s="5" t="n">
        <v>2607.73</v>
      </c>
      <c r="S112" s="5" t="n">
        <v>1893.21</v>
      </c>
      <c r="T112" s="3" t="str">
        <f aca="false">PROPER(TRIM(SUBSTITUTE(Raw_Text_Fields!J113,CHAR(160)," ")))</f>
        <v>Refunded</v>
      </c>
      <c r="U112" s="3" t="str">
        <f aca="false">PROPER(TRIM(SUBSTITUTE(Raw_Text_Fields!K113,CHAR(160)," ")))</f>
        <v>Cancelled</v>
      </c>
      <c r="V112" s="7" t="n">
        <f aca="false">IF(OR(P112&lt;0,P112&gt;0.5),0,P112)</f>
        <v>0</v>
      </c>
      <c r="W112" s="8" t="n">
        <f aca="false">N112*O112*(1-V112)</f>
        <v>4500.94</v>
      </c>
      <c r="X112" s="8" t="n">
        <f aca="false">W112-R112</f>
        <v>1893.21</v>
      </c>
      <c r="Y112" s="7" t="n">
        <f aca="false">IFERROR(X112/W112,0)</f>
        <v>0.420625469346403</v>
      </c>
      <c r="Z112" s="9" t="n">
        <f aca="false">C112-B112</f>
        <v>6</v>
      </c>
      <c r="AA112" s="1" t="str">
        <f aca="false">IF(B112="","",TEXT(B112,"mmm"))</f>
        <v>Oct</v>
      </c>
      <c r="AB112" s="9" t="n">
        <f aca="false">IF(B112="","",YEAR(B112))</f>
        <v>2024</v>
      </c>
      <c r="AC112" s="3"/>
      <c r="AD112" s="3" t="str">
        <f aca="false">IF(LEFT(AC112&amp;IF(B112="","; Missing Order Date","")&amp;IF(C112="","; Missing Ship Date","")&amp;IF(P112&lt;0,"; Invalid Discount (Negative)","")&amp;IF(P112&gt;0.5,"; Invalid Discount (Too High)","")&amp;IF(Z112&lt;0,"; Invalid Shipping Record (Ship Before Order)","")&amp;IF(ABS(Q112-W112)&gt;1,"; Sales Mismatch","")&amp;IF(ABS(S112-X112)&gt;1,"; Profit Mismatch","")&amp;IF(COUNTIF($A$2:$A$913,A112)&gt;1,"; Duplicate Order ID Conflict",""),2)="; ",MID(AC112&amp;IF(B112="","; Missing Order Date","")&amp;IF(C112="","; Missing Ship Date","")&amp;IF(P112&lt;0,"; Invalid Discount (Negative)","")&amp;IF(P112&gt;0.5,"; Invalid Discount (Too High)","")&amp;IF(Z112&lt;0,"; Invalid Shipping Record (Ship Before Order)","")&amp;IF(ABS(Q112-W112)&gt;1,"; Sales Mismatch","")&amp;IF(ABS(S112-X112)&gt;1,"; Profit Mismatch","")&amp;IF(COUNTIF($A$2:$A$913,A112)&gt;1,"; Duplicate Order ID Conflict",""),3,500),AC112&amp;IF(B112="","; Missing Order Date","")&amp;IF(C112="","; Missing Ship Date","")&amp;IF(P112&lt;0,"; Invalid Discount (Negative)","")&amp;IF(P112&gt;0.5,"; Invalid Discount (Too High)","")&amp;IF(Z112&lt;0,"; Invalid Shipping Record (Ship Before Order)","")&amp;IF(ABS(Q112-W112)&gt;1,"; Sales Mismatch","")&amp;IF(ABS(S112-X112)&gt;1,"; Profit Mismatch","")&amp;IF(COUNTIF($A$2:$A$913,A112)&gt;1,"; Duplicate Order ID Conflict",""))</f>
        <v/>
      </c>
      <c r="AE112" s="10" t="str">
        <f aca="false">IF(OR(ISNUMBER(SEARCH("Invalid Discount",AD112)),ISNUMBER(SEARCH("Invalid Shipping Record",AD112)),ISNUMBER(SEARCH("Sales Mismatch",AD112)),ISNUMBER(SEARCH("Profit Mismatch",AD112)),ISNUMBER(SEARCH("Duplicate Order ID Conflict",AD112)),ISNUMBER(SEARCH("Missing Order Date",AD112)),ISNUMBER(SEARCH("Missing Ship Date",AD112))),"Invalid",IF(AD112&lt;&gt;"","Warning","Clean"))</f>
        <v>Clean</v>
      </c>
    </row>
    <row r="113" customFormat="false" ht="15" hidden="false" customHeight="true" outlineLevel="0" collapsed="false">
      <c r="A113" s="3" t="s">
        <v>366</v>
      </c>
      <c r="B113" s="4" t="n">
        <v>45835</v>
      </c>
      <c r="C113" s="4" t="n">
        <v>45838</v>
      </c>
      <c r="D113" s="3" t="s">
        <v>367</v>
      </c>
      <c r="E113" s="3" t="str">
        <f aca="false">PROPER(TRIM(SUBSTITUTE(Raw_Text_Fields!B114,CHAR(160)," ")))</f>
        <v>Neha Gupta</v>
      </c>
      <c r="F113" s="3" t="str">
        <f aca="false">PROPER(TRIM(SUBSTITUTE(Raw_Text_Fields!C114,CHAR(160)," ")))</f>
        <v>Corporate</v>
      </c>
      <c r="G113" s="3" t="str">
        <f aca="false">PROPER(TRIM(SUBSTITUTE(Raw_Text_Fields!D114,CHAR(160)," ")))</f>
        <v>East</v>
      </c>
      <c r="H113" s="3" t="str">
        <f aca="false">PROPER(TRIM(SUBSTITUTE(Raw_Text_Fields!E114,CHAR(160)," ")))</f>
        <v>Bihar</v>
      </c>
      <c r="I113" s="3" t="str">
        <f aca="false">PROPER(TRIM(SUBSTITUTE(Raw_Text_Fields!F114,CHAR(160)," ")))</f>
        <v>Patna</v>
      </c>
      <c r="J113" s="3" t="str">
        <f aca="false">PROPER(TRIM(SUBSTITUTE(Raw_Text_Fields!G114,CHAR(160)," ")))</f>
        <v>Technology</v>
      </c>
      <c r="K113" s="3" t="str">
        <f aca="false">PROPER(TRIM(SUBSTITUTE(Raw_Text_Fields!H114,CHAR(160)," ")))</f>
        <v>Accessories</v>
      </c>
      <c r="L113" s="3" t="s">
        <v>368</v>
      </c>
      <c r="M113" s="3" t="str">
        <f aca="false">PROPER(TRIM(SUBSTITUTE(Raw_Text_Fields!I114,CHAR(160)," ")))</f>
        <v>First Class</v>
      </c>
      <c r="N113" s="3" t="n">
        <v>1</v>
      </c>
      <c r="O113" s="5" t="n">
        <v>1708.44</v>
      </c>
      <c r="P113" s="6" t="n">
        <v>0.05</v>
      </c>
      <c r="Q113" s="5" t="n">
        <v>1623.02</v>
      </c>
      <c r="R113" s="5" t="n">
        <v>1077.46</v>
      </c>
      <c r="S113" s="5" t="n">
        <v>545.56</v>
      </c>
      <c r="T113" s="3" t="str">
        <f aca="false">PROPER(TRIM(SUBSTITUTE(Raw_Text_Fields!J114,CHAR(160)," ")))</f>
        <v>Pending</v>
      </c>
      <c r="U113" s="3" t="str">
        <f aca="false">PROPER(TRIM(SUBSTITUTE(Raw_Text_Fields!K114,CHAR(160)," ")))</f>
        <v>Cancelled</v>
      </c>
      <c r="V113" s="7" t="n">
        <f aca="false">IF(OR(P113&lt;0,P113&gt;0.5),0,P113)</f>
        <v>0.05</v>
      </c>
      <c r="W113" s="8" t="n">
        <f aca="false">N113*O113*(1-V113)</f>
        <v>1623.018</v>
      </c>
      <c r="X113" s="8" t="n">
        <f aca="false">W113-R113</f>
        <v>545.558</v>
      </c>
      <c r="Y113" s="7" t="n">
        <f aca="false">IFERROR(X113/W113,0)</f>
        <v>0.336137984914523</v>
      </c>
      <c r="Z113" s="9" t="n">
        <f aca="false">C113-B113</f>
        <v>3</v>
      </c>
      <c r="AA113" s="1" t="str">
        <f aca="false">IF(B113="","",TEXT(B113,"mmm"))</f>
        <v>Jun</v>
      </c>
      <c r="AB113" s="9" t="n">
        <f aca="false">IF(B113="","",YEAR(B113))</f>
        <v>2025</v>
      </c>
      <c r="AC113" s="3"/>
      <c r="AD113" s="3" t="str">
        <f aca="false">IF(LEFT(AC113&amp;IF(B113="","; Missing Order Date","")&amp;IF(C113="","; Missing Ship Date","")&amp;IF(P113&lt;0,"; Invalid Discount (Negative)","")&amp;IF(P113&gt;0.5,"; Invalid Discount (Too High)","")&amp;IF(Z113&lt;0,"; Invalid Shipping Record (Ship Before Order)","")&amp;IF(ABS(Q113-W113)&gt;1,"; Sales Mismatch","")&amp;IF(ABS(S113-X113)&gt;1,"; Profit Mismatch","")&amp;IF(COUNTIF($A$2:$A$913,A113)&gt;1,"; Duplicate Order ID Conflict",""),2)="; ",MID(AC113&amp;IF(B113="","; Missing Order Date","")&amp;IF(C113="","; Missing Ship Date","")&amp;IF(P113&lt;0,"; Invalid Discount (Negative)","")&amp;IF(P113&gt;0.5,"; Invalid Discount (Too High)","")&amp;IF(Z113&lt;0,"; Invalid Shipping Record (Ship Before Order)","")&amp;IF(ABS(Q113-W113)&gt;1,"; Sales Mismatch","")&amp;IF(ABS(S113-X113)&gt;1,"; Profit Mismatch","")&amp;IF(COUNTIF($A$2:$A$913,A113)&gt;1,"; Duplicate Order ID Conflict",""),3,500),AC113&amp;IF(B113="","; Missing Order Date","")&amp;IF(C113="","; Missing Ship Date","")&amp;IF(P113&lt;0,"; Invalid Discount (Negative)","")&amp;IF(P113&gt;0.5,"; Invalid Discount (Too High)","")&amp;IF(Z113&lt;0,"; Invalid Shipping Record (Ship Before Order)","")&amp;IF(ABS(Q113-W113)&gt;1,"; Sales Mismatch","")&amp;IF(ABS(S113-X113)&gt;1,"; Profit Mismatch","")&amp;IF(COUNTIF($A$2:$A$913,A113)&gt;1,"; Duplicate Order ID Conflict",""))</f>
        <v/>
      </c>
      <c r="AE113" s="10" t="str">
        <f aca="false">IF(OR(ISNUMBER(SEARCH("Invalid Discount",AD113)),ISNUMBER(SEARCH("Invalid Shipping Record",AD113)),ISNUMBER(SEARCH("Sales Mismatch",AD113)),ISNUMBER(SEARCH("Profit Mismatch",AD113)),ISNUMBER(SEARCH("Duplicate Order ID Conflict",AD113)),ISNUMBER(SEARCH("Missing Order Date",AD113)),ISNUMBER(SEARCH("Missing Ship Date",AD113))),"Invalid",IF(AD113&lt;&gt;"","Warning","Clean"))</f>
        <v>Clean</v>
      </c>
    </row>
    <row r="114" customFormat="false" ht="15" hidden="false" customHeight="true" outlineLevel="0" collapsed="false">
      <c r="A114" s="3" t="s">
        <v>369</v>
      </c>
      <c r="B114" s="4" t="n">
        <v>45301</v>
      </c>
      <c r="C114" s="4" t="n">
        <v>45305</v>
      </c>
      <c r="D114" s="3" t="s">
        <v>370</v>
      </c>
      <c r="E114" s="3" t="str">
        <f aca="false">PROPER(TRIM(SUBSTITUTE(Raw_Text_Fields!B115,CHAR(160)," ")))</f>
        <v>Sneha Kapoor</v>
      </c>
      <c r="F114" s="3" t="str">
        <f aca="false">PROPER(TRIM(SUBSTITUTE(Raw_Text_Fields!C115,CHAR(160)," ")))</f>
        <v>Consumer</v>
      </c>
      <c r="G114" s="3" t="str">
        <f aca="false">PROPER(TRIM(SUBSTITUTE(Raw_Text_Fields!D115,CHAR(160)," ")))</f>
        <v>Unknown</v>
      </c>
      <c r="H114" s="3" t="str">
        <f aca="false">PROPER(TRIM(SUBSTITUTE(Raw_Text_Fields!E115,CHAR(160)," ")))</f>
        <v>Gujarat</v>
      </c>
      <c r="I114" s="3" t="str">
        <f aca="false">PROPER(TRIM(SUBSTITUTE(Raw_Text_Fields!F115,CHAR(160)," ")))</f>
        <v>Ahmedabad</v>
      </c>
      <c r="J114" s="3" t="str">
        <f aca="false">PROPER(TRIM(SUBSTITUTE(Raw_Text_Fields!G115,CHAR(160)," ")))</f>
        <v>Technology</v>
      </c>
      <c r="K114" s="3" t="str">
        <f aca="false">PROPER(TRIM(SUBSTITUTE(Raw_Text_Fields!H115,CHAR(160)," ")))</f>
        <v>Accessories</v>
      </c>
      <c r="L114" s="3" t="s">
        <v>371</v>
      </c>
      <c r="M114" s="3" t="str">
        <f aca="false">PROPER(TRIM(SUBSTITUTE(Raw_Text_Fields!I115,CHAR(160)," ")))</f>
        <v>Standard Class</v>
      </c>
      <c r="N114" s="3" t="n">
        <v>3</v>
      </c>
      <c r="O114" s="5" t="n">
        <v>3829.48</v>
      </c>
      <c r="P114" s="6" t="n">
        <v>0.05</v>
      </c>
      <c r="Q114" s="5" t="n">
        <v>10914.02</v>
      </c>
      <c r="R114" s="5" t="n">
        <v>6548.74</v>
      </c>
      <c r="S114" s="5" t="n">
        <v>4365.28</v>
      </c>
      <c r="T114" s="3" t="str">
        <f aca="false">PROPER(TRIM(SUBSTITUTE(Raw_Text_Fields!J115,CHAR(160)," ")))</f>
        <v>Paid</v>
      </c>
      <c r="U114" s="3" t="str">
        <f aca="false">PROPER(TRIM(SUBSTITUTE(Raw_Text_Fields!K115,CHAR(160)," ")))</f>
        <v>Completed</v>
      </c>
      <c r="V114" s="7" t="n">
        <f aca="false">IF(OR(P114&lt;0,P114&gt;0.5),0,P114)</f>
        <v>0.05</v>
      </c>
      <c r="W114" s="8" t="n">
        <f aca="false">N114*O114*(1-V114)</f>
        <v>10914.018</v>
      </c>
      <c r="X114" s="8" t="n">
        <f aca="false">W114-R114</f>
        <v>4365.278</v>
      </c>
      <c r="Y114" s="7" t="n">
        <f aca="false">IFERROR(X114/W114,0)</f>
        <v>0.399969836956472</v>
      </c>
      <c r="Z114" s="9" t="n">
        <f aca="false">C114-B114</f>
        <v>4</v>
      </c>
      <c r="AA114" s="1" t="str">
        <f aca="false">IF(B114="","",TEXT(B114,"mmm"))</f>
        <v>Jan</v>
      </c>
      <c r="AB114" s="9" t="n">
        <f aca="false">IF(B114="","",YEAR(B114))</f>
        <v>2024</v>
      </c>
      <c r="AC114" s="3" t="s">
        <v>372</v>
      </c>
      <c r="AD114" s="3" t="str">
        <f aca="false">IF(LEFT(AC114&amp;IF(B114="","; Missing Order Date","")&amp;IF(C114="","; Missing Ship Date","")&amp;IF(P114&lt;0,"; Invalid Discount (Negative)","")&amp;IF(P114&gt;0.5,"; Invalid Discount (Too High)","")&amp;IF(Z114&lt;0,"; Invalid Shipping Record (Ship Before Order)","")&amp;IF(ABS(Q114-W114)&gt;1,"; Sales Mismatch","")&amp;IF(ABS(S114-X114)&gt;1,"; Profit Mismatch","")&amp;IF(COUNTIF($A$2:$A$913,A114)&gt;1,"; Duplicate Order ID Conflict",""),2)="; ",MID(AC114&amp;IF(B114="","; Missing Order Date","")&amp;IF(C114="","; Missing Ship Date","")&amp;IF(P114&lt;0,"; Invalid Discount (Negative)","")&amp;IF(P114&gt;0.5,"; Invalid Discount (Too High)","")&amp;IF(Z114&lt;0,"; Invalid Shipping Record (Ship Before Order)","")&amp;IF(ABS(Q114-W114)&gt;1,"; Sales Mismatch","")&amp;IF(ABS(S114-X114)&gt;1,"; Profit Mismatch","")&amp;IF(COUNTIF($A$2:$A$913,A114)&gt;1,"; Duplicate Order ID Conflict",""),3,500),AC114&amp;IF(B114="","; Missing Order Date","")&amp;IF(C114="","; Missing Ship Date","")&amp;IF(P114&lt;0,"; Invalid Discount (Negative)","")&amp;IF(P114&gt;0.5,"; Invalid Discount (Too High)","")&amp;IF(Z114&lt;0,"; Invalid Shipping Record (Ship Before Order)","")&amp;IF(ABS(Q114-W114)&gt;1,"; Sales Mismatch","")&amp;IF(ABS(S114-X114)&gt;1,"; Profit Mismatch","")&amp;IF(COUNTIF($A$2:$A$913,A114)&gt;1,"; Duplicate Order ID Conflict",""))</f>
        <v>Missing Region (filled Unknown)</v>
      </c>
      <c r="AE114" s="10" t="str">
        <f aca="false">IF(OR(ISNUMBER(SEARCH("Invalid Discount",AD114)),ISNUMBER(SEARCH("Invalid Shipping Record",AD114)),ISNUMBER(SEARCH("Sales Mismatch",AD114)),ISNUMBER(SEARCH("Profit Mismatch",AD114)),ISNUMBER(SEARCH("Duplicate Order ID Conflict",AD114)),ISNUMBER(SEARCH("Missing Order Date",AD114)),ISNUMBER(SEARCH("Missing Ship Date",AD114))),"Invalid",IF(AD114&lt;&gt;"","Warning","Clean"))</f>
        <v>Warning</v>
      </c>
    </row>
    <row r="115" customFormat="false" ht="15" hidden="false" customHeight="true" outlineLevel="0" collapsed="false">
      <c r="A115" s="3" t="s">
        <v>373</v>
      </c>
      <c r="B115" s="4" t="n">
        <v>45334</v>
      </c>
      <c r="C115" s="4" t="n">
        <v>45334</v>
      </c>
      <c r="D115" s="3" t="s">
        <v>283</v>
      </c>
      <c r="E115" s="3" t="str">
        <f aca="false">PROPER(TRIM(SUBSTITUTE(Raw_Text_Fields!B116,CHAR(160)," ")))</f>
        <v>Isha Nair</v>
      </c>
      <c r="F115" s="3" t="str">
        <f aca="false">PROPER(TRIM(SUBSTITUTE(Raw_Text_Fields!C116,CHAR(160)," ")))</f>
        <v>Home Office</v>
      </c>
      <c r="G115" s="3" t="str">
        <f aca="false">PROPER(TRIM(SUBSTITUTE(Raw_Text_Fields!D116,CHAR(160)," ")))</f>
        <v>South</v>
      </c>
      <c r="H115" s="3" t="str">
        <f aca="false">PROPER(TRIM(SUBSTITUTE(Raw_Text_Fields!E116,CHAR(160)," ")))</f>
        <v>Tamil Nadu</v>
      </c>
      <c r="I115" s="3" t="str">
        <f aca="false">PROPER(TRIM(SUBSTITUTE(Raw_Text_Fields!F116,CHAR(160)," ")))</f>
        <v>Chennai</v>
      </c>
      <c r="J115" s="3" t="str">
        <f aca="false">PROPER(TRIM(SUBSTITUTE(Raw_Text_Fields!G116,CHAR(160)," ")))</f>
        <v>Furniture</v>
      </c>
      <c r="K115" s="3" t="str">
        <f aca="false">PROPER(TRIM(SUBSTITUTE(Raw_Text_Fields!H116,CHAR(160)," ")))</f>
        <v>Tables</v>
      </c>
      <c r="L115" s="3" t="s">
        <v>374</v>
      </c>
      <c r="M115" s="3" t="str">
        <f aca="false">PROPER(TRIM(SUBSTITUTE(Raw_Text_Fields!I116,CHAR(160)," ")))</f>
        <v>Standard Class</v>
      </c>
      <c r="N115" s="3" t="n">
        <v>3</v>
      </c>
      <c r="O115" s="5" t="n">
        <v>1089.15</v>
      </c>
      <c r="P115" s="6" t="n">
        <v>0.25</v>
      </c>
      <c r="Q115" s="5" t="n">
        <v>2450.59</v>
      </c>
      <c r="R115" s="5" t="n">
        <v>1639.89</v>
      </c>
      <c r="S115" s="5" t="n">
        <v>810.7</v>
      </c>
      <c r="T115" s="3" t="str">
        <f aca="false">PROPER(TRIM(SUBSTITUTE(Raw_Text_Fields!J116,CHAR(160)," ")))</f>
        <v>Paid</v>
      </c>
      <c r="U115" s="3" t="str">
        <f aca="false">PROPER(TRIM(SUBSTITUTE(Raw_Text_Fields!K116,CHAR(160)," ")))</f>
        <v>Completed</v>
      </c>
      <c r="V115" s="7" t="n">
        <f aca="false">IF(OR(P115&lt;0,P115&gt;0.5),0,P115)</f>
        <v>0.25</v>
      </c>
      <c r="W115" s="8" t="n">
        <f aca="false">N115*O115*(1-V115)</f>
        <v>2450.5875</v>
      </c>
      <c r="X115" s="8" t="n">
        <f aca="false">W115-R115</f>
        <v>810.6975</v>
      </c>
      <c r="Y115" s="7" t="n">
        <f aca="false">IFERROR(X115/W115,0)</f>
        <v>0.330817610062893</v>
      </c>
      <c r="Z115" s="9" t="n">
        <f aca="false">C115-B115</f>
        <v>0</v>
      </c>
      <c r="AA115" s="1" t="str">
        <f aca="false">IF(B115="","",TEXT(B115,"mmm"))</f>
        <v>Feb</v>
      </c>
      <c r="AB115" s="9" t="n">
        <f aca="false">IF(B115="","",YEAR(B115))</f>
        <v>2024</v>
      </c>
      <c r="AC115" s="3"/>
      <c r="AD115" s="3" t="str">
        <f aca="false">IF(LEFT(AC115&amp;IF(B115="","; Missing Order Date","")&amp;IF(C115="","; Missing Ship Date","")&amp;IF(P115&lt;0,"; Invalid Discount (Negative)","")&amp;IF(P115&gt;0.5,"; Invalid Discount (Too High)","")&amp;IF(Z115&lt;0,"; Invalid Shipping Record (Ship Before Order)","")&amp;IF(ABS(Q115-W115)&gt;1,"; Sales Mismatch","")&amp;IF(ABS(S115-X115)&gt;1,"; Profit Mismatch","")&amp;IF(COUNTIF($A$2:$A$913,A115)&gt;1,"; Duplicate Order ID Conflict",""),2)="; ",MID(AC115&amp;IF(B115="","; Missing Order Date","")&amp;IF(C115="","; Missing Ship Date","")&amp;IF(P115&lt;0,"; Invalid Discount (Negative)","")&amp;IF(P115&gt;0.5,"; Invalid Discount (Too High)","")&amp;IF(Z115&lt;0,"; Invalid Shipping Record (Ship Before Order)","")&amp;IF(ABS(Q115-W115)&gt;1,"; Sales Mismatch","")&amp;IF(ABS(S115-X115)&gt;1,"; Profit Mismatch","")&amp;IF(COUNTIF($A$2:$A$913,A115)&gt;1,"; Duplicate Order ID Conflict",""),3,500),AC115&amp;IF(B115="","; Missing Order Date","")&amp;IF(C115="","; Missing Ship Date","")&amp;IF(P115&lt;0,"; Invalid Discount (Negative)","")&amp;IF(P115&gt;0.5,"; Invalid Discount (Too High)","")&amp;IF(Z115&lt;0,"; Invalid Shipping Record (Ship Before Order)","")&amp;IF(ABS(Q115-W115)&gt;1,"; Sales Mismatch","")&amp;IF(ABS(S115-X115)&gt;1,"; Profit Mismatch","")&amp;IF(COUNTIF($A$2:$A$913,A115)&gt;1,"; Duplicate Order ID Conflict",""))</f>
        <v/>
      </c>
      <c r="AE115" s="10" t="str">
        <f aca="false">IF(OR(ISNUMBER(SEARCH("Invalid Discount",AD115)),ISNUMBER(SEARCH("Invalid Shipping Record",AD115)),ISNUMBER(SEARCH("Sales Mismatch",AD115)),ISNUMBER(SEARCH("Profit Mismatch",AD115)),ISNUMBER(SEARCH("Duplicate Order ID Conflict",AD115)),ISNUMBER(SEARCH("Missing Order Date",AD115)),ISNUMBER(SEARCH("Missing Ship Date",AD115))),"Invalid",IF(AD115&lt;&gt;"","Warning","Clean"))</f>
        <v>Clean</v>
      </c>
    </row>
    <row r="116" customFormat="false" ht="15" hidden="false" customHeight="true" outlineLevel="0" collapsed="false">
      <c r="A116" s="3" t="s">
        <v>375</v>
      </c>
      <c r="B116" s="4" t="n">
        <v>45560</v>
      </c>
      <c r="C116" s="4" t="n">
        <v>45565</v>
      </c>
      <c r="D116" s="3" t="s">
        <v>376</v>
      </c>
      <c r="E116" s="3" t="str">
        <f aca="false">PROPER(TRIM(SUBSTITUTE(Raw_Text_Fields!B117,CHAR(160)," ")))</f>
        <v>Neha Gupta</v>
      </c>
      <c r="F116" s="3" t="str">
        <f aca="false">PROPER(TRIM(SUBSTITUTE(Raw_Text_Fields!C117,CHAR(160)," ")))</f>
        <v>Small Business</v>
      </c>
      <c r="G116" s="3" t="str">
        <f aca="false">PROPER(TRIM(SUBSTITUTE(Raw_Text_Fields!D117,CHAR(160)," ")))</f>
        <v>North</v>
      </c>
      <c r="H116" s="3" t="str">
        <f aca="false">PROPER(TRIM(SUBSTITUTE(Raw_Text_Fields!E117,CHAR(160)," ")))</f>
        <v>Rajasthan</v>
      </c>
      <c r="I116" s="3" t="str">
        <f aca="false">PROPER(TRIM(SUBSTITUTE(Raw_Text_Fields!F117,CHAR(160)," ")))</f>
        <v>Jaipur</v>
      </c>
      <c r="J116" s="3" t="str">
        <f aca="false">PROPER(TRIM(SUBSTITUTE(Raw_Text_Fields!G117,CHAR(160)," ")))</f>
        <v>Technology</v>
      </c>
      <c r="K116" s="3" t="str">
        <f aca="false">PROPER(TRIM(SUBSTITUTE(Raw_Text_Fields!H117,CHAR(160)," ")))</f>
        <v>Accessories</v>
      </c>
      <c r="L116" s="3" t="s">
        <v>377</v>
      </c>
      <c r="M116" s="3" t="str">
        <f aca="false">PROPER(TRIM(SUBSTITUTE(Raw_Text_Fields!I117,CHAR(160)," ")))</f>
        <v>Second Class</v>
      </c>
      <c r="N116" s="3" t="n">
        <v>1</v>
      </c>
      <c r="O116" s="5" t="n">
        <v>4388.4</v>
      </c>
      <c r="P116" s="6" t="n">
        <v>0.1</v>
      </c>
      <c r="Q116" s="5" t="n">
        <v>3949.56</v>
      </c>
      <c r="R116" s="5" t="n">
        <v>3186.73</v>
      </c>
      <c r="S116" s="5" t="n">
        <v>762.83</v>
      </c>
      <c r="T116" s="3" t="str">
        <f aca="false">PROPER(TRIM(SUBSTITUTE(Raw_Text_Fields!J117,CHAR(160)," ")))</f>
        <v>Pending</v>
      </c>
      <c r="U116" s="3" t="str">
        <f aca="false">PROPER(TRIM(SUBSTITUTE(Raw_Text_Fields!K117,CHAR(160)," ")))</f>
        <v>Cancelled</v>
      </c>
      <c r="V116" s="7" t="n">
        <f aca="false">IF(OR(P116&lt;0,P116&gt;0.5),0,P116)</f>
        <v>0.1</v>
      </c>
      <c r="W116" s="8" t="n">
        <f aca="false">N116*O116*(1-V116)</f>
        <v>3949.56</v>
      </c>
      <c r="X116" s="8" t="n">
        <f aca="false">W116-R116</f>
        <v>762.83</v>
      </c>
      <c r="Y116" s="7" t="n">
        <f aca="false">IFERROR(X116/W116,0)</f>
        <v>0.193143033654382</v>
      </c>
      <c r="Z116" s="9" t="n">
        <f aca="false">C116-B116</f>
        <v>5</v>
      </c>
      <c r="AA116" s="1" t="str">
        <f aca="false">IF(B116="","",TEXT(B116,"mmm"))</f>
        <v>Sep</v>
      </c>
      <c r="AB116" s="9" t="n">
        <f aca="false">IF(B116="","",YEAR(B116))</f>
        <v>2024</v>
      </c>
      <c r="AC116" s="3"/>
      <c r="AD116" s="3" t="str">
        <f aca="false">IF(LEFT(AC116&amp;IF(B116="","; Missing Order Date","")&amp;IF(C116="","; Missing Ship Date","")&amp;IF(P116&lt;0,"; Invalid Discount (Negative)","")&amp;IF(P116&gt;0.5,"; Invalid Discount (Too High)","")&amp;IF(Z116&lt;0,"; Invalid Shipping Record (Ship Before Order)","")&amp;IF(ABS(Q116-W116)&gt;1,"; Sales Mismatch","")&amp;IF(ABS(S116-X116)&gt;1,"; Profit Mismatch","")&amp;IF(COUNTIF($A$2:$A$913,A116)&gt;1,"; Duplicate Order ID Conflict",""),2)="; ",MID(AC116&amp;IF(B116="","; Missing Order Date","")&amp;IF(C116="","; Missing Ship Date","")&amp;IF(P116&lt;0,"; Invalid Discount (Negative)","")&amp;IF(P116&gt;0.5,"; Invalid Discount (Too High)","")&amp;IF(Z116&lt;0,"; Invalid Shipping Record (Ship Before Order)","")&amp;IF(ABS(Q116-W116)&gt;1,"; Sales Mismatch","")&amp;IF(ABS(S116-X116)&gt;1,"; Profit Mismatch","")&amp;IF(COUNTIF($A$2:$A$913,A116)&gt;1,"; Duplicate Order ID Conflict",""),3,500),AC116&amp;IF(B116="","; Missing Order Date","")&amp;IF(C116="","; Missing Ship Date","")&amp;IF(P116&lt;0,"; Invalid Discount (Negative)","")&amp;IF(P116&gt;0.5,"; Invalid Discount (Too High)","")&amp;IF(Z116&lt;0,"; Invalid Shipping Record (Ship Before Order)","")&amp;IF(ABS(Q116-W116)&gt;1,"; Sales Mismatch","")&amp;IF(ABS(S116-X116)&gt;1,"; Profit Mismatch","")&amp;IF(COUNTIF($A$2:$A$913,A116)&gt;1,"; Duplicate Order ID Conflict",""))</f>
        <v/>
      </c>
      <c r="AE116" s="10" t="str">
        <f aca="false">IF(OR(ISNUMBER(SEARCH("Invalid Discount",AD116)),ISNUMBER(SEARCH("Invalid Shipping Record",AD116)),ISNUMBER(SEARCH("Sales Mismatch",AD116)),ISNUMBER(SEARCH("Profit Mismatch",AD116)),ISNUMBER(SEARCH("Duplicate Order ID Conflict",AD116)),ISNUMBER(SEARCH("Missing Order Date",AD116)),ISNUMBER(SEARCH("Missing Ship Date",AD116))),"Invalid",IF(AD116&lt;&gt;"","Warning","Clean"))</f>
        <v>Clean</v>
      </c>
    </row>
    <row r="117" customFormat="false" ht="15" hidden="false" customHeight="true" outlineLevel="0" collapsed="false">
      <c r="A117" s="3" t="s">
        <v>378</v>
      </c>
      <c r="B117" s="4" t="n">
        <v>45653</v>
      </c>
      <c r="C117" s="4" t="n">
        <v>45658</v>
      </c>
      <c r="D117" s="3" t="s">
        <v>379</v>
      </c>
      <c r="E117" s="3" t="str">
        <f aca="false">PROPER(TRIM(SUBSTITUTE(Raw_Text_Fields!B118,CHAR(160)," ")))</f>
        <v>Kabir Singh</v>
      </c>
      <c r="F117" s="3" t="str">
        <f aca="false">PROPER(TRIM(SUBSTITUTE(Raw_Text_Fields!C118,CHAR(160)," ")))</f>
        <v>Corporate</v>
      </c>
      <c r="G117" s="3" t="str">
        <f aca="false">PROPER(TRIM(SUBSTITUTE(Raw_Text_Fields!D118,CHAR(160)," ")))</f>
        <v>South</v>
      </c>
      <c r="H117" s="3" t="str">
        <f aca="false">PROPER(TRIM(SUBSTITUTE(Raw_Text_Fields!E118,CHAR(160)," ")))</f>
        <v>Tamil Nadu</v>
      </c>
      <c r="I117" s="3" t="str">
        <f aca="false">PROPER(TRIM(SUBSTITUTE(Raw_Text_Fields!F118,CHAR(160)," ")))</f>
        <v>Chennai</v>
      </c>
      <c r="J117" s="3" t="str">
        <f aca="false">PROPER(TRIM(SUBSTITUTE(Raw_Text_Fields!G118,CHAR(160)," ")))</f>
        <v>Office Supplies</v>
      </c>
      <c r="K117" s="3" t="str">
        <f aca="false">PROPER(TRIM(SUBSTITUTE(Raw_Text_Fields!H118,CHAR(160)," ")))</f>
        <v>Binders</v>
      </c>
      <c r="L117" s="3" t="s">
        <v>380</v>
      </c>
      <c r="M117" s="3" t="str">
        <f aca="false">PROPER(TRIM(SUBSTITUTE(Raw_Text_Fields!I118,CHAR(160)," ")))</f>
        <v>Same Day</v>
      </c>
      <c r="N117" s="3" t="n">
        <v>2</v>
      </c>
      <c r="O117" s="5" t="n">
        <v>446.34</v>
      </c>
      <c r="P117" s="6" t="n">
        <v>0.15</v>
      </c>
      <c r="Q117" s="5" t="n">
        <v>758.78</v>
      </c>
      <c r="R117" s="5" t="n">
        <v>490.74</v>
      </c>
      <c r="S117" s="5" t="n">
        <v>268.04</v>
      </c>
      <c r="T117" s="3" t="str">
        <f aca="false">PROPER(TRIM(SUBSTITUTE(Raw_Text_Fields!J118,CHAR(160)," ")))</f>
        <v>Paid</v>
      </c>
      <c r="U117" s="3" t="str">
        <f aca="false">PROPER(TRIM(SUBSTITUTE(Raw_Text_Fields!K118,CHAR(160)," ")))</f>
        <v>Cancelled</v>
      </c>
      <c r="V117" s="7" t="n">
        <f aca="false">IF(OR(P117&lt;0,P117&gt;0.5),0,P117)</f>
        <v>0.15</v>
      </c>
      <c r="W117" s="8" t="n">
        <f aca="false">N117*O117*(1-V117)</f>
        <v>758.778</v>
      </c>
      <c r="X117" s="8" t="n">
        <f aca="false">W117-R117</f>
        <v>268.038</v>
      </c>
      <c r="Y117" s="7" t="n">
        <f aca="false">IFERROR(X117/W117,0)</f>
        <v>0.353249567067047</v>
      </c>
      <c r="Z117" s="9" t="n">
        <f aca="false">C117-B117</f>
        <v>5</v>
      </c>
      <c r="AA117" s="1" t="str">
        <f aca="false">IF(B117="","",TEXT(B117,"mmm"))</f>
        <v>Dec</v>
      </c>
      <c r="AB117" s="9" t="n">
        <f aca="false">IF(B117="","",YEAR(B117))</f>
        <v>2024</v>
      </c>
      <c r="AC117" s="3"/>
      <c r="AD117" s="3" t="str">
        <f aca="false">IF(LEFT(AC117&amp;IF(B117="","; Missing Order Date","")&amp;IF(C117="","; Missing Ship Date","")&amp;IF(P117&lt;0,"; Invalid Discount (Negative)","")&amp;IF(P117&gt;0.5,"; Invalid Discount (Too High)","")&amp;IF(Z117&lt;0,"; Invalid Shipping Record (Ship Before Order)","")&amp;IF(ABS(Q117-W117)&gt;1,"; Sales Mismatch","")&amp;IF(ABS(S117-X117)&gt;1,"; Profit Mismatch","")&amp;IF(COUNTIF($A$2:$A$913,A117)&gt;1,"; Duplicate Order ID Conflict",""),2)="; ",MID(AC117&amp;IF(B117="","; Missing Order Date","")&amp;IF(C117="","; Missing Ship Date","")&amp;IF(P117&lt;0,"; Invalid Discount (Negative)","")&amp;IF(P117&gt;0.5,"; Invalid Discount (Too High)","")&amp;IF(Z117&lt;0,"; Invalid Shipping Record (Ship Before Order)","")&amp;IF(ABS(Q117-W117)&gt;1,"; Sales Mismatch","")&amp;IF(ABS(S117-X117)&gt;1,"; Profit Mismatch","")&amp;IF(COUNTIF($A$2:$A$913,A117)&gt;1,"; Duplicate Order ID Conflict",""),3,500),AC117&amp;IF(B117="","; Missing Order Date","")&amp;IF(C117="","; Missing Ship Date","")&amp;IF(P117&lt;0,"; Invalid Discount (Negative)","")&amp;IF(P117&gt;0.5,"; Invalid Discount (Too High)","")&amp;IF(Z117&lt;0,"; Invalid Shipping Record (Ship Before Order)","")&amp;IF(ABS(Q117-W117)&gt;1,"; Sales Mismatch","")&amp;IF(ABS(S117-X117)&gt;1,"; Profit Mismatch","")&amp;IF(COUNTIF($A$2:$A$913,A117)&gt;1,"; Duplicate Order ID Conflict",""))</f>
        <v/>
      </c>
      <c r="AE117" s="10" t="str">
        <f aca="false">IF(OR(ISNUMBER(SEARCH("Invalid Discount",AD117)),ISNUMBER(SEARCH("Invalid Shipping Record",AD117)),ISNUMBER(SEARCH("Sales Mismatch",AD117)),ISNUMBER(SEARCH("Profit Mismatch",AD117)),ISNUMBER(SEARCH("Duplicate Order ID Conflict",AD117)),ISNUMBER(SEARCH("Missing Order Date",AD117)),ISNUMBER(SEARCH("Missing Ship Date",AD117))),"Invalid",IF(AD117&lt;&gt;"","Warning","Clean"))</f>
        <v>Clean</v>
      </c>
    </row>
    <row r="118" customFormat="false" ht="15" hidden="false" customHeight="true" outlineLevel="0" collapsed="false">
      <c r="A118" s="3" t="s">
        <v>381</v>
      </c>
      <c r="B118" s="4" t="n">
        <v>45703</v>
      </c>
      <c r="C118" s="4" t="n">
        <v>45707</v>
      </c>
      <c r="D118" s="3" t="s">
        <v>382</v>
      </c>
      <c r="E118" s="3" t="str">
        <f aca="false">PROPER(TRIM(SUBSTITUTE(Raw_Text_Fields!B119,CHAR(160)," ")))</f>
        <v>Ananya Rao</v>
      </c>
      <c r="F118" s="3" t="str">
        <f aca="false">PROPER(TRIM(SUBSTITUTE(Raw_Text_Fields!C119,CHAR(160)," ")))</f>
        <v>Small Business</v>
      </c>
      <c r="G118" s="3" t="str">
        <f aca="false">PROPER(TRIM(SUBSTITUTE(Raw_Text_Fields!D119,CHAR(160)," ")))</f>
        <v>Unknown</v>
      </c>
      <c r="H118" s="3" t="str">
        <f aca="false">PROPER(TRIM(SUBSTITUTE(Raw_Text_Fields!E119,CHAR(160)," ")))</f>
        <v>Madhya Pradesh</v>
      </c>
      <c r="I118" s="3" t="str">
        <f aca="false">PROPER(TRIM(SUBSTITUTE(Raw_Text_Fields!F119,CHAR(160)," ")))</f>
        <v>Indore</v>
      </c>
      <c r="J118" s="3" t="str">
        <f aca="false">PROPER(TRIM(SUBSTITUTE(Raw_Text_Fields!G119,CHAR(160)," ")))</f>
        <v>Office Supplies</v>
      </c>
      <c r="K118" s="3" t="str">
        <f aca="false">PROPER(TRIM(SUBSTITUTE(Raw_Text_Fields!H119,CHAR(160)," ")))</f>
        <v>Binders</v>
      </c>
      <c r="L118" s="3" t="s">
        <v>383</v>
      </c>
      <c r="M118" s="3" t="str">
        <f aca="false">PROPER(TRIM(SUBSTITUTE(Raw_Text_Fields!I119,CHAR(160)," ")))</f>
        <v>First Class</v>
      </c>
      <c r="N118" s="3" t="n">
        <v>9</v>
      </c>
      <c r="O118" s="5" t="n">
        <v>531.99</v>
      </c>
      <c r="P118" s="6" t="n">
        <v>0.25</v>
      </c>
      <c r="Q118" s="5" t="n">
        <v>3590.93</v>
      </c>
      <c r="R118" s="5" t="n">
        <v>3061.39</v>
      </c>
      <c r="S118" s="5" t="n">
        <v>529.54</v>
      </c>
      <c r="T118" s="3" t="str">
        <f aca="false">PROPER(TRIM(SUBSTITUTE(Raw_Text_Fields!J119,CHAR(160)," ")))</f>
        <v>Failed</v>
      </c>
      <c r="U118" s="3" t="str">
        <f aca="false">PROPER(TRIM(SUBSTITUTE(Raw_Text_Fields!K119,CHAR(160)," ")))</f>
        <v>Cancelled</v>
      </c>
      <c r="V118" s="7" t="n">
        <f aca="false">IF(OR(P118&lt;0,P118&gt;0.5),0,P118)</f>
        <v>0.25</v>
      </c>
      <c r="W118" s="8" t="n">
        <f aca="false">N118*O118*(1-V118)</f>
        <v>3590.9325</v>
      </c>
      <c r="X118" s="8" t="n">
        <f aca="false">W118-R118</f>
        <v>529.5425</v>
      </c>
      <c r="Y118" s="7" t="n">
        <f aca="false">IFERROR(X118/W118,0)</f>
        <v>0.147466570312864</v>
      </c>
      <c r="Z118" s="9" t="n">
        <f aca="false">C118-B118</f>
        <v>4</v>
      </c>
      <c r="AA118" s="1" t="str">
        <f aca="false">IF(B118="","",TEXT(B118,"mmm"))</f>
        <v>Feb</v>
      </c>
      <c r="AB118" s="9" t="n">
        <f aca="false">IF(B118="","",YEAR(B118))</f>
        <v>2025</v>
      </c>
      <c r="AC118" s="3" t="s">
        <v>372</v>
      </c>
      <c r="AD118" s="3" t="str">
        <f aca="false">IF(LEFT(AC118&amp;IF(B118="","; Missing Order Date","")&amp;IF(C118="","; Missing Ship Date","")&amp;IF(P118&lt;0,"; Invalid Discount (Negative)","")&amp;IF(P118&gt;0.5,"; Invalid Discount (Too High)","")&amp;IF(Z118&lt;0,"; Invalid Shipping Record (Ship Before Order)","")&amp;IF(ABS(Q118-W118)&gt;1,"; Sales Mismatch","")&amp;IF(ABS(S118-X118)&gt;1,"; Profit Mismatch","")&amp;IF(COUNTIF($A$2:$A$913,A118)&gt;1,"; Duplicate Order ID Conflict",""),2)="; ",MID(AC118&amp;IF(B118="","; Missing Order Date","")&amp;IF(C118="","; Missing Ship Date","")&amp;IF(P118&lt;0,"; Invalid Discount (Negative)","")&amp;IF(P118&gt;0.5,"; Invalid Discount (Too High)","")&amp;IF(Z118&lt;0,"; Invalid Shipping Record (Ship Before Order)","")&amp;IF(ABS(Q118-W118)&gt;1,"; Sales Mismatch","")&amp;IF(ABS(S118-X118)&gt;1,"; Profit Mismatch","")&amp;IF(COUNTIF($A$2:$A$913,A118)&gt;1,"; Duplicate Order ID Conflict",""),3,500),AC118&amp;IF(B118="","; Missing Order Date","")&amp;IF(C118="","; Missing Ship Date","")&amp;IF(P118&lt;0,"; Invalid Discount (Negative)","")&amp;IF(P118&gt;0.5,"; Invalid Discount (Too High)","")&amp;IF(Z118&lt;0,"; Invalid Shipping Record (Ship Before Order)","")&amp;IF(ABS(Q118-W118)&gt;1,"; Sales Mismatch","")&amp;IF(ABS(S118-X118)&gt;1,"; Profit Mismatch","")&amp;IF(COUNTIF($A$2:$A$913,A118)&gt;1,"; Duplicate Order ID Conflict",""))</f>
        <v>Missing Region (filled Unknown)</v>
      </c>
      <c r="AE118" s="10" t="str">
        <f aca="false">IF(OR(ISNUMBER(SEARCH("Invalid Discount",AD118)),ISNUMBER(SEARCH("Invalid Shipping Record",AD118)),ISNUMBER(SEARCH("Sales Mismatch",AD118)),ISNUMBER(SEARCH("Profit Mismatch",AD118)),ISNUMBER(SEARCH("Duplicate Order ID Conflict",AD118)),ISNUMBER(SEARCH("Missing Order Date",AD118)),ISNUMBER(SEARCH("Missing Ship Date",AD118))),"Invalid",IF(AD118&lt;&gt;"","Warning","Clean"))</f>
        <v>Warning</v>
      </c>
    </row>
    <row r="119" customFormat="false" ht="15" hidden="false" customHeight="true" outlineLevel="0" collapsed="false">
      <c r="A119" s="3" t="s">
        <v>384</v>
      </c>
      <c r="B119" s="4" t="n">
        <v>45337</v>
      </c>
      <c r="C119" s="4" t="n">
        <v>45339</v>
      </c>
      <c r="D119" s="3" t="s">
        <v>385</v>
      </c>
      <c r="E119" s="3" t="str">
        <f aca="false">PROPER(TRIM(SUBSTITUTE(Raw_Text_Fields!B120,CHAR(160)," ")))</f>
        <v>Mira Das</v>
      </c>
      <c r="F119" s="3" t="str">
        <f aca="false">PROPER(TRIM(SUBSTITUTE(Raw_Text_Fields!C120,CHAR(160)," ")))</f>
        <v>Home Office</v>
      </c>
      <c r="G119" s="3" t="str">
        <f aca="false">PROPER(TRIM(SUBSTITUTE(Raw_Text_Fields!D120,CHAR(160)," ")))</f>
        <v>South</v>
      </c>
      <c r="H119" s="3" t="str">
        <f aca="false">PROPER(TRIM(SUBSTITUTE(Raw_Text_Fields!E120,CHAR(160)," ")))</f>
        <v>Tamil Nadu</v>
      </c>
      <c r="I119" s="3" t="str">
        <f aca="false">PROPER(TRIM(SUBSTITUTE(Raw_Text_Fields!F120,CHAR(160)," ")))</f>
        <v>Chennai</v>
      </c>
      <c r="J119" s="3" t="str">
        <f aca="false">PROPER(TRIM(SUBSTITUTE(Raw_Text_Fields!G120,CHAR(160)," ")))</f>
        <v>Technology</v>
      </c>
      <c r="K119" s="3" t="str">
        <f aca="false">PROPER(TRIM(SUBSTITUTE(Raw_Text_Fields!H120,CHAR(160)," ")))</f>
        <v>Machines</v>
      </c>
      <c r="L119" s="3" t="s">
        <v>386</v>
      </c>
      <c r="M119" s="3" t="str">
        <f aca="false">PROPER(TRIM(SUBSTITUTE(Raw_Text_Fields!I120,CHAR(160)," ")))</f>
        <v>Standard Class</v>
      </c>
      <c r="N119" s="3" t="n">
        <v>9</v>
      </c>
      <c r="O119" s="5" t="n">
        <v>3324.55</v>
      </c>
      <c r="P119" s="6" t="n">
        <v>0.7</v>
      </c>
      <c r="Q119" s="5" t="n">
        <v>25432.81</v>
      </c>
      <c r="R119" s="5" t="n">
        <v>20370.16</v>
      </c>
      <c r="S119" s="5" t="n">
        <v>5062.65</v>
      </c>
      <c r="T119" s="3" t="str">
        <f aca="false">PROPER(TRIM(SUBSTITUTE(Raw_Text_Fields!J120,CHAR(160)," ")))</f>
        <v>Paid</v>
      </c>
      <c r="U119" s="3" t="str">
        <f aca="false">PROPER(TRIM(SUBSTITUTE(Raw_Text_Fields!K120,CHAR(160)," ")))</f>
        <v>Completed</v>
      </c>
      <c r="V119" s="7" t="n">
        <f aca="false">IF(OR(P119&lt;0,P119&gt;0.5),0,P119)</f>
        <v>0</v>
      </c>
      <c r="W119" s="8" t="n">
        <f aca="false">N119*O119*(1-V119)</f>
        <v>29920.95</v>
      </c>
      <c r="X119" s="8" t="n">
        <f aca="false">W119-R119</f>
        <v>9550.79</v>
      </c>
      <c r="Y119" s="7" t="n">
        <f aca="false">IFERROR(X119/W119,0)</f>
        <v>0.319200760671035</v>
      </c>
      <c r="Z119" s="9" t="n">
        <f aca="false">C119-B119</f>
        <v>2</v>
      </c>
      <c r="AA119" s="1" t="str">
        <f aca="false">IF(B119="","",TEXT(B119,"mmm"))</f>
        <v>Feb</v>
      </c>
      <c r="AB119" s="9" t="n">
        <f aca="false">IF(B119="","",YEAR(B119))</f>
        <v>2024</v>
      </c>
      <c r="AC119" s="3"/>
      <c r="AD119" s="3" t="str">
        <f aca="false">IF(LEFT(AC119&amp;IF(B119="","; Missing Order Date","")&amp;IF(C119="","; Missing Ship Date","")&amp;IF(P119&lt;0,"; Invalid Discount (Negative)","")&amp;IF(P119&gt;0.5,"; Invalid Discount (Too High)","")&amp;IF(Z119&lt;0,"; Invalid Shipping Record (Ship Before Order)","")&amp;IF(ABS(Q119-W119)&gt;1,"; Sales Mismatch","")&amp;IF(ABS(S119-X119)&gt;1,"; Profit Mismatch","")&amp;IF(COUNTIF($A$2:$A$913,A119)&gt;1,"; Duplicate Order ID Conflict",""),2)="; ",MID(AC119&amp;IF(B119="","; Missing Order Date","")&amp;IF(C119="","; Missing Ship Date","")&amp;IF(P119&lt;0,"; Invalid Discount (Negative)","")&amp;IF(P119&gt;0.5,"; Invalid Discount (Too High)","")&amp;IF(Z119&lt;0,"; Invalid Shipping Record (Ship Before Order)","")&amp;IF(ABS(Q119-W119)&gt;1,"; Sales Mismatch","")&amp;IF(ABS(S119-X119)&gt;1,"; Profit Mismatch","")&amp;IF(COUNTIF($A$2:$A$913,A119)&gt;1,"; Duplicate Order ID Conflict",""),3,500),AC119&amp;IF(B119="","; Missing Order Date","")&amp;IF(C119="","; Missing Ship Date","")&amp;IF(P119&lt;0,"; Invalid Discount (Negative)","")&amp;IF(P119&gt;0.5,"; Invalid Discount (Too High)","")&amp;IF(Z119&lt;0,"; Invalid Shipping Record (Ship Before Order)","")&amp;IF(ABS(Q119-W119)&gt;1,"; Sales Mismatch","")&amp;IF(ABS(S119-X119)&gt;1,"; Profit Mismatch","")&amp;IF(COUNTIF($A$2:$A$913,A119)&gt;1,"; Duplicate Order ID Conflict",""))</f>
        <v>Invalid Discount (Too High); Sales Mismatch; Profit Mismatch</v>
      </c>
      <c r="AE119" s="10" t="str">
        <f aca="false">IF(OR(ISNUMBER(SEARCH("Invalid Discount",AD119)),ISNUMBER(SEARCH("Invalid Shipping Record",AD119)),ISNUMBER(SEARCH("Sales Mismatch",AD119)),ISNUMBER(SEARCH("Profit Mismatch",AD119)),ISNUMBER(SEARCH("Duplicate Order ID Conflict",AD119)),ISNUMBER(SEARCH("Missing Order Date",AD119)),ISNUMBER(SEARCH("Missing Ship Date",AD119))),"Invalid",IF(AD119&lt;&gt;"","Warning","Clean"))</f>
        <v>Invalid</v>
      </c>
    </row>
    <row r="120" customFormat="false" ht="15" hidden="false" customHeight="true" outlineLevel="0" collapsed="false">
      <c r="A120" s="3" t="s">
        <v>387</v>
      </c>
      <c r="B120" s="4" t="n">
        <v>45453</v>
      </c>
      <c r="C120" s="4" t="n">
        <v>45461</v>
      </c>
      <c r="D120" s="3" t="s">
        <v>388</v>
      </c>
      <c r="E120" s="3" t="str">
        <f aca="false">PROPER(TRIM(SUBSTITUTE(Raw_Text_Fields!B121,CHAR(160)," ")))</f>
        <v>Vikram Iyer</v>
      </c>
      <c r="F120" s="3" t="str">
        <f aca="false">PROPER(TRIM(SUBSTITUTE(Raw_Text_Fields!C121,CHAR(160)," ")))</f>
        <v>Home Office</v>
      </c>
      <c r="G120" s="3" t="str">
        <f aca="false">PROPER(TRIM(SUBSTITUTE(Raw_Text_Fields!D121,CHAR(160)," ")))</f>
        <v>South</v>
      </c>
      <c r="H120" s="3" t="str">
        <f aca="false">PROPER(TRIM(SUBSTITUTE(Raw_Text_Fields!E121,CHAR(160)," ")))</f>
        <v>Andhra Pradesh</v>
      </c>
      <c r="I120" s="3" t="str">
        <f aca="false">PROPER(TRIM(SUBSTITUTE(Raw_Text_Fields!F121,CHAR(160)," ")))</f>
        <v>Vijayawada</v>
      </c>
      <c r="J120" s="3" t="str">
        <f aca="false">PROPER(TRIM(SUBSTITUTE(Raw_Text_Fields!G121,CHAR(160)," ")))</f>
        <v>Technology</v>
      </c>
      <c r="K120" s="3" t="str">
        <f aca="false">PROPER(TRIM(SUBSTITUTE(Raw_Text_Fields!H121,CHAR(160)," ")))</f>
        <v>Copiers</v>
      </c>
      <c r="L120" s="3" t="s">
        <v>389</v>
      </c>
      <c r="M120" s="3" t="str">
        <f aca="false">PROPER(TRIM(SUBSTITUTE(Raw_Text_Fields!I121,CHAR(160)," ")))</f>
        <v>Same Day</v>
      </c>
      <c r="N120" s="3" t="n">
        <v>5</v>
      </c>
      <c r="O120" s="5" t="n">
        <v>1580.27</v>
      </c>
      <c r="P120" s="6" t="n">
        <v>0.2</v>
      </c>
      <c r="Q120" s="5" t="n">
        <v>6321.08</v>
      </c>
      <c r="R120" s="5" t="n">
        <v>4407.22</v>
      </c>
      <c r="S120" s="5" t="n">
        <v>1913.86</v>
      </c>
      <c r="T120" s="3" t="str">
        <f aca="false">PROPER(TRIM(SUBSTITUTE(Raw_Text_Fields!J121,CHAR(160)," ")))</f>
        <v>Paid</v>
      </c>
      <c r="U120" s="3" t="str">
        <f aca="false">PROPER(TRIM(SUBSTITUTE(Raw_Text_Fields!K121,CHAR(160)," ")))</f>
        <v>Completed</v>
      </c>
      <c r="V120" s="7" t="n">
        <f aca="false">IF(OR(P120&lt;0,P120&gt;0.5),0,P120)</f>
        <v>0.2</v>
      </c>
      <c r="W120" s="8" t="n">
        <f aca="false">N120*O120*(1-V120)</f>
        <v>6321.08</v>
      </c>
      <c r="X120" s="8" t="n">
        <f aca="false">W120-R120</f>
        <v>1913.86</v>
      </c>
      <c r="Y120" s="7" t="n">
        <f aca="false">IFERROR(X120/W120,0)</f>
        <v>0.302774209470534</v>
      </c>
      <c r="Z120" s="9" t="n">
        <f aca="false">C120-B120</f>
        <v>8</v>
      </c>
      <c r="AA120" s="1" t="str">
        <f aca="false">IF(B120="","",TEXT(B120,"mmm"))</f>
        <v>Jun</v>
      </c>
      <c r="AB120" s="9" t="n">
        <f aca="false">IF(B120="","",YEAR(B120))</f>
        <v>2024</v>
      </c>
      <c r="AC120" s="3"/>
      <c r="AD120" s="3" t="str">
        <f aca="false">IF(LEFT(AC120&amp;IF(B120="","; Missing Order Date","")&amp;IF(C120="","; Missing Ship Date","")&amp;IF(P120&lt;0,"; Invalid Discount (Negative)","")&amp;IF(P120&gt;0.5,"; Invalid Discount (Too High)","")&amp;IF(Z120&lt;0,"; Invalid Shipping Record (Ship Before Order)","")&amp;IF(ABS(Q120-W120)&gt;1,"; Sales Mismatch","")&amp;IF(ABS(S120-X120)&gt;1,"; Profit Mismatch","")&amp;IF(COUNTIF($A$2:$A$913,A120)&gt;1,"; Duplicate Order ID Conflict",""),2)="; ",MID(AC120&amp;IF(B120="","; Missing Order Date","")&amp;IF(C120="","; Missing Ship Date","")&amp;IF(P120&lt;0,"; Invalid Discount (Negative)","")&amp;IF(P120&gt;0.5,"; Invalid Discount (Too High)","")&amp;IF(Z120&lt;0,"; Invalid Shipping Record (Ship Before Order)","")&amp;IF(ABS(Q120-W120)&gt;1,"; Sales Mismatch","")&amp;IF(ABS(S120-X120)&gt;1,"; Profit Mismatch","")&amp;IF(COUNTIF($A$2:$A$913,A120)&gt;1,"; Duplicate Order ID Conflict",""),3,500),AC120&amp;IF(B120="","; Missing Order Date","")&amp;IF(C120="","; Missing Ship Date","")&amp;IF(P120&lt;0,"; Invalid Discount (Negative)","")&amp;IF(P120&gt;0.5,"; Invalid Discount (Too High)","")&amp;IF(Z120&lt;0,"; Invalid Shipping Record (Ship Before Order)","")&amp;IF(ABS(Q120-W120)&gt;1,"; Sales Mismatch","")&amp;IF(ABS(S120-X120)&gt;1,"; Profit Mismatch","")&amp;IF(COUNTIF($A$2:$A$913,A120)&gt;1,"; Duplicate Order ID Conflict",""))</f>
        <v/>
      </c>
      <c r="AE120" s="10" t="str">
        <f aca="false">IF(OR(ISNUMBER(SEARCH("Invalid Discount",AD120)),ISNUMBER(SEARCH("Invalid Shipping Record",AD120)),ISNUMBER(SEARCH("Sales Mismatch",AD120)),ISNUMBER(SEARCH("Profit Mismatch",AD120)),ISNUMBER(SEARCH("Duplicate Order ID Conflict",AD120)),ISNUMBER(SEARCH("Missing Order Date",AD120)),ISNUMBER(SEARCH("Missing Ship Date",AD120))),"Invalid",IF(AD120&lt;&gt;"","Warning","Clean"))</f>
        <v>Clean</v>
      </c>
    </row>
    <row r="121" customFormat="false" ht="15" hidden="false" customHeight="true" outlineLevel="0" collapsed="false">
      <c r="A121" s="3" t="s">
        <v>390</v>
      </c>
      <c r="B121" s="4" t="n">
        <v>45455</v>
      </c>
      <c r="C121" s="4" t="n">
        <v>45462</v>
      </c>
      <c r="D121" s="3" t="s">
        <v>391</v>
      </c>
      <c r="E121" s="3" t="str">
        <f aca="false">PROPER(TRIM(SUBSTITUTE(Raw_Text_Fields!B122,CHAR(160)," ")))</f>
        <v>Aditi Sen</v>
      </c>
      <c r="F121" s="3" t="str">
        <f aca="false">PROPER(TRIM(SUBSTITUTE(Raw_Text_Fields!C122,CHAR(160)," ")))</f>
        <v>Small Business</v>
      </c>
      <c r="G121" s="3" t="str">
        <f aca="false">PROPER(TRIM(SUBSTITUTE(Raw_Text_Fields!D122,CHAR(160)," ")))</f>
        <v>South</v>
      </c>
      <c r="H121" s="3" t="str">
        <f aca="false">PROPER(TRIM(SUBSTITUTE(Raw_Text_Fields!E122,CHAR(160)," ")))</f>
        <v>Kerala</v>
      </c>
      <c r="I121" s="3" t="str">
        <f aca="false">PROPER(TRIM(SUBSTITUTE(Raw_Text_Fields!F122,CHAR(160)," ")))</f>
        <v>Kochi</v>
      </c>
      <c r="J121" s="3" t="str">
        <f aca="false">PROPER(TRIM(SUBSTITUTE(Raw_Text_Fields!G122,CHAR(160)," ")))</f>
        <v>Furniture</v>
      </c>
      <c r="K121" s="3" t="str">
        <f aca="false">PROPER(TRIM(SUBSTITUTE(Raw_Text_Fields!H122,CHAR(160)," ")))</f>
        <v>Chairs</v>
      </c>
      <c r="L121" s="3" t="s">
        <v>392</v>
      </c>
      <c r="M121" s="3" t="str">
        <f aca="false">PROPER(TRIM(SUBSTITUTE(Raw_Text_Fields!I122,CHAR(160)," ")))</f>
        <v>Standard Class</v>
      </c>
      <c r="N121" s="3" t="n">
        <v>8</v>
      </c>
      <c r="O121" s="5" t="n">
        <v>314.05</v>
      </c>
      <c r="P121" s="6" t="n">
        <v>0.25</v>
      </c>
      <c r="Q121" s="5" t="n">
        <v>1884.3</v>
      </c>
      <c r="R121" s="5" t="n">
        <v>1517.69</v>
      </c>
      <c r="S121" s="5" t="n">
        <v>366.61</v>
      </c>
      <c r="T121" s="3" t="str">
        <f aca="false">PROPER(TRIM(SUBSTITUTE(Raw_Text_Fields!J122,CHAR(160)," ")))</f>
        <v>Refunded</v>
      </c>
      <c r="U121" s="3" t="str">
        <f aca="false">PROPER(TRIM(SUBSTITUTE(Raw_Text_Fields!K122,CHAR(160)," ")))</f>
        <v>Returned</v>
      </c>
      <c r="V121" s="7" t="n">
        <f aca="false">IF(OR(P121&lt;0,P121&gt;0.5),0,P121)</f>
        <v>0.25</v>
      </c>
      <c r="W121" s="8" t="n">
        <f aca="false">N121*O121*(1-V121)</f>
        <v>1884.3</v>
      </c>
      <c r="X121" s="8" t="n">
        <f aca="false">W121-R121</f>
        <v>366.61</v>
      </c>
      <c r="Y121" s="7" t="n">
        <f aca="false">IFERROR(X121/W121,0)</f>
        <v>0.194560314175025</v>
      </c>
      <c r="Z121" s="9" t="n">
        <f aca="false">C121-B121</f>
        <v>7</v>
      </c>
      <c r="AA121" s="1" t="str">
        <f aca="false">IF(B121="","",TEXT(B121,"mmm"))</f>
        <v>Jun</v>
      </c>
      <c r="AB121" s="9" t="n">
        <f aca="false">IF(B121="","",YEAR(B121))</f>
        <v>2024</v>
      </c>
      <c r="AC121" s="3"/>
      <c r="AD121" s="3" t="str">
        <f aca="false">IF(LEFT(AC121&amp;IF(B121="","; Missing Order Date","")&amp;IF(C121="","; Missing Ship Date","")&amp;IF(P121&lt;0,"; Invalid Discount (Negative)","")&amp;IF(P121&gt;0.5,"; Invalid Discount (Too High)","")&amp;IF(Z121&lt;0,"; Invalid Shipping Record (Ship Before Order)","")&amp;IF(ABS(Q121-W121)&gt;1,"; Sales Mismatch","")&amp;IF(ABS(S121-X121)&gt;1,"; Profit Mismatch","")&amp;IF(COUNTIF($A$2:$A$913,A121)&gt;1,"; Duplicate Order ID Conflict",""),2)="; ",MID(AC121&amp;IF(B121="","; Missing Order Date","")&amp;IF(C121="","; Missing Ship Date","")&amp;IF(P121&lt;0,"; Invalid Discount (Negative)","")&amp;IF(P121&gt;0.5,"; Invalid Discount (Too High)","")&amp;IF(Z121&lt;0,"; Invalid Shipping Record (Ship Before Order)","")&amp;IF(ABS(Q121-W121)&gt;1,"; Sales Mismatch","")&amp;IF(ABS(S121-X121)&gt;1,"; Profit Mismatch","")&amp;IF(COUNTIF($A$2:$A$913,A121)&gt;1,"; Duplicate Order ID Conflict",""),3,500),AC121&amp;IF(B121="","; Missing Order Date","")&amp;IF(C121="","; Missing Ship Date","")&amp;IF(P121&lt;0,"; Invalid Discount (Negative)","")&amp;IF(P121&gt;0.5,"; Invalid Discount (Too High)","")&amp;IF(Z121&lt;0,"; Invalid Shipping Record (Ship Before Order)","")&amp;IF(ABS(Q121-W121)&gt;1,"; Sales Mismatch","")&amp;IF(ABS(S121-X121)&gt;1,"; Profit Mismatch","")&amp;IF(COUNTIF($A$2:$A$913,A121)&gt;1,"; Duplicate Order ID Conflict",""))</f>
        <v/>
      </c>
      <c r="AE121" s="10" t="str">
        <f aca="false">IF(OR(ISNUMBER(SEARCH("Invalid Discount",AD121)),ISNUMBER(SEARCH("Invalid Shipping Record",AD121)),ISNUMBER(SEARCH("Sales Mismatch",AD121)),ISNUMBER(SEARCH("Profit Mismatch",AD121)),ISNUMBER(SEARCH("Duplicate Order ID Conflict",AD121)),ISNUMBER(SEARCH("Missing Order Date",AD121)),ISNUMBER(SEARCH("Missing Ship Date",AD121))),"Invalid",IF(AD121&lt;&gt;"","Warning","Clean"))</f>
        <v>Clean</v>
      </c>
    </row>
    <row r="122" customFormat="false" ht="15" hidden="false" customHeight="true" outlineLevel="0" collapsed="false">
      <c r="A122" s="3" t="s">
        <v>393</v>
      </c>
      <c r="B122" s="4" t="n">
        <v>45514</v>
      </c>
      <c r="C122" s="4" t="n">
        <v>45522</v>
      </c>
      <c r="D122" s="3" t="s">
        <v>394</v>
      </c>
      <c r="E122" s="3" t="str">
        <f aca="false">PROPER(TRIM(SUBSTITUTE(Raw_Text_Fields!B123,CHAR(160)," ")))</f>
        <v>Sneha Kapoor</v>
      </c>
      <c r="F122" s="3" t="str">
        <f aca="false">PROPER(TRIM(SUBSTITUTE(Raw_Text_Fields!C123,CHAR(160)," ")))</f>
        <v>Small Business</v>
      </c>
      <c r="G122" s="3" t="str">
        <f aca="false">PROPER(TRIM(SUBSTITUTE(Raw_Text_Fields!D123,CHAR(160)," ")))</f>
        <v>East</v>
      </c>
      <c r="H122" s="3" t="str">
        <f aca="false">PROPER(TRIM(SUBSTITUTE(Raw_Text_Fields!E123,CHAR(160)," ")))</f>
        <v>Bihar</v>
      </c>
      <c r="I122" s="3" t="str">
        <f aca="false">PROPER(TRIM(SUBSTITUTE(Raw_Text_Fields!F123,CHAR(160)," ")))</f>
        <v>Patna</v>
      </c>
      <c r="J122" s="3" t="str">
        <f aca="false">PROPER(TRIM(SUBSTITUTE(Raw_Text_Fields!G123,CHAR(160)," ")))</f>
        <v>Technology</v>
      </c>
      <c r="K122" s="3" t="str">
        <f aca="false">PROPER(TRIM(SUBSTITUTE(Raw_Text_Fields!H123,CHAR(160)," ")))</f>
        <v>Phones</v>
      </c>
      <c r="L122" s="3" t="s">
        <v>395</v>
      </c>
      <c r="M122" s="3" t="str">
        <f aca="false">PROPER(TRIM(SUBSTITUTE(Raw_Text_Fields!I123,CHAR(160)," ")))</f>
        <v>Standard Class</v>
      </c>
      <c r="N122" s="3" t="n">
        <v>1</v>
      </c>
      <c r="O122" s="5" t="n">
        <v>1823.67</v>
      </c>
      <c r="P122" s="6" t="n">
        <v>0.2</v>
      </c>
      <c r="Q122" s="5" t="n">
        <v>1458.94</v>
      </c>
      <c r="R122" s="5" t="n">
        <v>893.2</v>
      </c>
      <c r="S122" s="5" t="n">
        <v>565.74</v>
      </c>
      <c r="T122" s="3" t="str">
        <f aca="false">PROPER(TRIM(SUBSTITUTE(Raw_Text_Fields!J123,CHAR(160)," ")))</f>
        <v>Paid</v>
      </c>
      <c r="U122" s="3" t="str">
        <f aca="false">PROPER(TRIM(SUBSTITUTE(Raw_Text_Fields!K123,CHAR(160)," ")))</f>
        <v>Returned</v>
      </c>
      <c r="V122" s="7" t="n">
        <f aca="false">IF(OR(P122&lt;0,P122&gt;0.5),0,P122)</f>
        <v>0.2</v>
      </c>
      <c r="W122" s="8" t="n">
        <f aca="false">N122*O122*(1-V122)</f>
        <v>1458.936</v>
      </c>
      <c r="X122" s="8" t="n">
        <f aca="false">W122-R122</f>
        <v>565.736</v>
      </c>
      <c r="Y122" s="7" t="n">
        <f aca="false">IFERROR(X122/W122,0)</f>
        <v>0.387773007177834</v>
      </c>
      <c r="Z122" s="9" t="n">
        <f aca="false">C122-B122</f>
        <v>8</v>
      </c>
      <c r="AA122" s="1" t="str">
        <f aca="false">IF(B122="","",TEXT(B122,"mmm"))</f>
        <v>Aug</v>
      </c>
      <c r="AB122" s="9" t="n">
        <f aca="false">IF(B122="","",YEAR(B122))</f>
        <v>2024</v>
      </c>
      <c r="AC122" s="3"/>
      <c r="AD122" s="3" t="str">
        <f aca="false">IF(LEFT(AC122&amp;IF(B122="","; Missing Order Date","")&amp;IF(C122="","; Missing Ship Date","")&amp;IF(P122&lt;0,"; Invalid Discount (Negative)","")&amp;IF(P122&gt;0.5,"; Invalid Discount (Too High)","")&amp;IF(Z122&lt;0,"; Invalid Shipping Record (Ship Before Order)","")&amp;IF(ABS(Q122-W122)&gt;1,"; Sales Mismatch","")&amp;IF(ABS(S122-X122)&gt;1,"; Profit Mismatch","")&amp;IF(COUNTIF($A$2:$A$913,A122)&gt;1,"; Duplicate Order ID Conflict",""),2)="; ",MID(AC122&amp;IF(B122="","; Missing Order Date","")&amp;IF(C122="","; Missing Ship Date","")&amp;IF(P122&lt;0,"; Invalid Discount (Negative)","")&amp;IF(P122&gt;0.5,"; Invalid Discount (Too High)","")&amp;IF(Z122&lt;0,"; Invalid Shipping Record (Ship Before Order)","")&amp;IF(ABS(Q122-W122)&gt;1,"; Sales Mismatch","")&amp;IF(ABS(S122-X122)&gt;1,"; Profit Mismatch","")&amp;IF(COUNTIF($A$2:$A$913,A122)&gt;1,"; Duplicate Order ID Conflict",""),3,500),AC122&amp;IF(B122="","; Missing Order Date","")&amp;IF(C122="","; Missing Ship Date","")&amp;IF(P122&lt;0,"; Invalid Discount (Negative)","")&amp;IF(P122&gt;0.5,"; Invalid Discount (Too High)","")&amp;IF(Z122&lt;0,"; Invalid Shipping Record (Ship Before Order)","")&amp;IF(ABS(Q122-W122)&gt;1,"; Sales Mismatch","")&amp;IF(ABS(S122-X122)&gt;1,"; Profit Mismatch","")&amp;IF(COUNTIF($A$2:$A$913,A122)&gt;1,"; Duplicate Order ID Conflict",""))</f>
        <v/>
      </c>
      <c r="AE122" s="10" t="str">
        <f aca="false">IF(OR(ISNUMBER(SEARCH("Invalid Discount",AD122)),ISNUMBER(SEARCH("Invalid Shipping Record",AD122)),ISNUMBER(SEARCH("Sales Mismatch",AD122)),ISNUMBER(SEARCH("Profit Mismatch",AD122)),ISNUMBER(SEARCH("Duplicate Order ID Conflict",AD122)),ISNUMBER(SEARCH("Missing Order Date",AD122)),ISNUMBER(SEARCH("Missing Ship Date",AD122))),"Invalid",IF(AD122&lt;&gt;"","Warning","Clean"))</f>
        <v>Clean</v>
      </c>
    </row>
    <row r="123" customFormat="false" ht="15" hidden="false" customHeight="true" outlineLevel="0" collapsed="false">
      <c r="A123" s="3" t="s">
        <v>396</v>
      </c>
      <c r="B123" s="4" t="n">
        <v>45891</v>
      </c>
      <c r="C123" s="4" t="n">
        <v>45895</v>
      </c>
      <c r="D123" s="3" t="s">
        <v>397</v>
      </c>
      <c r="E123" s="3" t="str">
        <f aca="false">PROPER(TRIM(SUBSTITUTE(Raw_Text_Fields!B124,CHAR(160)," ")))</f>
        <v>Kabir Singh</v>
      </c>
      <c r="F123" s="3" t="str">
        <f aca="false">PROPER(TRIM(SUBSTITUTE(Raw_Text_Fields!C124,CHAR(160)," ")))</f>
        <v>Small Business</v>
      </c>
      <c r="G123" s="3" t="str">
        <f aca="false">PROPER(TRIM(SUBSTITUTE(Raw_Text_Fields!D124,CHAR(160)," ")))</f>
        <v>South</v>
      </c>
      <c r="H123" s="3" t="str">
        <f aca="false">PROPER(TRIM(SUBSTITUTE(Raw_Text_Fields!E124,CHAR(160)," ")))</f>
        <v>Andhra Pradesh</v>
      </c>
      <c r="I123" s="3" t="str">
        <f aca="false">PROPER(TRIM(SUBSTITUTE(Raw_Text_Fields!F124,CHAR(160)," ")))</f>
        <v>Vijayawada</v>
      </c>
      <c r="J123" s="3" t="str">
        <f aca="false">PROPER(TRIM(SUBSTITUTE(Raw_Text_Fields!G124,CHAR(160)," ")))</f>
        <v>Technology</v>
      </c>
      <c r="K123" s="3" t="str">
        <f aca="false">PROPER(TRIM(SUBSTITUTE(Raw_Text_Fields!H124,CHAR(160)," ")))</f>
        <v>Machines</v>
      </c>
      <c r="L123" s="3" t="s">
        <v>398</v>
      </c>
      <c r="M123" s="3" t="str">
        <f aca="false">PROPER(TRIM(SUBSTITUTE(Raw_Text_Fields!I124,CHAR(160)," ")))</f>
        <v>Second Class</v>
      </c>
      <c r="N123" s="3" t="n">
        <v>5</v>
      </c>
      <c r="O123" s="5" t="n">
        <v>3482.92</v>
      </c>
      <c r="P123" s="6" t="n">
        <v>0</v>
      </c>
      <c r="Q123" s="5" t="n">
        <v>17414.6</v>
      </c>
      <c r="R123" s="5" t="n">
        <v>11760.91</v>
      </c>
      <c r="S123" s="5" t="n">
        <v>5653.69</v>
      </c>
      <c r="T123" s="3" t="str">
        <f aca="false">PROPER(TRIM(SUBSTITUTE(Raw_Text_Fields!J124,CHAR(160)," ")))</f>
        <v>Refunded</v>
      </c>
      <c r="U123" s="3" t="str">
        <f aca="false">PROPER(TRIM(SUBSTITUTE(Raw_Text_Fields!K124,CHAR(160)," ")))</f>
        <v>Cancelled</v>
      </c>
      <c r="V123" s="7" t="n">
        <f aca="false">IF(OR(P123&lt;0,P123&gt;0.5),0,P123)</f>
        <v>0</v>
      </c>
      <c r="W123" s="8" t="n">
        <f aca="false">N123*O123*(1-V123)</f>
        <v>17414.6</v>
      </c>
      <c r="X123" s="8" t="n">
        <f aca="false">W123-R123</f>
        <v>5653.69</v>
      </c>
      <c r="Y123" s="7" t="n">
        <f aca="false">IFERROR(X123/W123,0)</f>
        <v>0.32465230323981</v>
      </c>
      <c r="Z123" s="9" t="n">
        <f aca="false">C123-B123</f>
        <v>4</v>
      </c>
      <c r="AA123" s="1" t="str">
        <f aca="false">IF(B123="","",TEXT(B123,"mmm"))</f>
        <v>Aug</v>
      </c>
      <c r="AB123" s="9" t="n">
        <f aca="false">IF(B123="","",YEAR(B123))</f>
        <v>2025</v>
      </c>
      <c r="AC123" s="3"/>
      <c r="AD123" s="3" t="str">
        <f aca="false">IF(LEFT(AC123&amp;IF(B123="","; Missing Order Date","")&amp;IF(C123="","; Missing Ship Date","")&amp;IF(P123&lt;0,"; Invalid Discount (Negative)","")&amp;IF(P123&gt;0.5,"; Invalid Discount (Too High)","")&amp;IF(Z123&lt;0,"; Invalid Shipping Record (Ship Before Order)","")&amp;IF(ABS(Q123-W123)&gt;1,"; Sales Mismatch","")&amp;IF(ABS(S123-X123)&gt;1,"; Profit Mismatch","")&amp;IF(COUNTIF($A$2:$A$913,A123)&gt;1,"; Duplicate Order ID Conflict",""),2)="; ",MID(AC123&amp;IF(B123="","; Missing Order Date","")&amp;IF(C123="","; Missing Ship Date","")&amp;IF(P123&lt;0,"; Invalid Discount (Negative)","")&amp;IF(P123&gt;0.5,"; Invalid Discount (Too High)","")&amp;IF(Z123&lt;0,"; Invalid Shipping Record (Ship Before Order)","")&amp;IF(ABS(Q123-W123)&gt;1,"; Sales Mismatch","")&amp;IF(ABS(S123-X123)&gt;1,"; Profit Mismatch","")&amp;IF(COUNTIF($A$2:$A$913,A123)&gt;1,"; Duplicate Order ID Conflict",""),3,500),AC123&amp;IF(B123="","; Missing Order Date","")&amp;IF(C123="","; Missing Ship Date","")&amp;IF(P123&lt;0,"; Invalid Discount (Negative)","")&amp;IF(P123&gt;0.5,"; Invalid Discount (Too High)","")&amp;IF(Z123&lt;0,"; Invalid Shipping Record (Ship Before Order)","")&amp;IF(ABS(Q123-W123)&gt;1,"; Sales Mismatch","")&amp;IF(ABS(S123-X123)&gt;1,"; Profit Mismatch","")&amp;IF(COUNTIF($A$2:$A$913,A123)&gt;1,"; Duplicate Order ID Conflict",""))</f>
        <v/>
      </c>
      <c r="AE123" s="10" t="str">
        <f aca="false">IF(OR(ISNUMBER(SEARCH("Invalid Discount",AD123)),ISNUMBER(SEARCH("Invalid Shipping Record",AD123)),ISNUMBER(SEARCH("Sales Mismatch",AD123)),ISNUMBER(SEARCH("Profit Mismatch",AD123)),ISNUMBER(SEARCH("Duplicate Order ID Conflict",AD123)),ISNUMBER(SEARCH("Missing Order Date",AD123)),ISNUMBER(SEARCH("Missing Ship Date",AD123))),"Invalid",IF(AD123&lt;&gt;"","Warning","Clean"))</f>
        <v>Clean</v>
      </c>
    </row>
    <row r="124" customFormat="false" ht="15" hidden="false" customHeight="true" outlineLevel="0" collapsed="false">
      <c r="A124" s="3" t="s">
        <v>399</v>
      </c>
      <c r="B124" s="4" t="n">
        <v>45626</v>
      </c>
      <c r="C124" s="4" t="n">
        <v>45630</v>
      </c>
      <c r="D124" s="3" t="s">
        <v>400</v>
      </c>
      <c r="E124" s="3" t="str">
        <f aca="false">PROPER(TRIM(SUBSTITUTE(Raw_Text_Fields!B125,CHAR(160)," ")))</f>
        <v>Ananya Rao</v>
      </c>
      <c r="F124" s="3" t="str">
        <f aca="false">PROPER(TRIM(SUBSTITUTE(Raw_Text_Fields!C125,CHAR(160)," ")))</f>
        <v>Small Business</v>
      </c>
      <c r="G124" s="3" t="str">
        <f aca="false">PROPER(TRIM(SUBSTITUTE(Raw_Text_Fields!D125,CHAR(160)," ")))</f>
        <v>East</v>
      </c>
      <c r="H124" s="3" t="str">
        <f aca="false">PROPER(TRIM(SUBSTITUTE(Raw_Text_Fields!E125,CHAR(160)," ")))</f>
        <v>Assam</v>
      </c>
      <c r="I124" s="3" t="str">
        <f aca="false">PROPER(TRIM(SUBSTITUTE(Raw_Text_Fields!F125,CHAR(160)," ")))</f>
        <v>Guwahati</v>
      </c>
      <c r="J124" s="3" t="str">
        <f aca="false">PROPER(TRIM(SUBSTITUTE(Raw_Text_Fields!G125,CHAR(160)," ")))</f>
        <v>Furniture</v>
      </c>
      <c r="K124" s="3" t="str">
        <f aca="false">PROPER(TRIM(SUBSTITUTE(Raw_Text_Fields!H125,CHAR(160)," ")))</f>
        <v>Chairs</v>
      </c>
      <c r="L124" s="3" t="s">
        <v>401</v>
      </c>
      <c r="M124" s="3" t="str">
        <f aca="false">PROPER(TRIM(SUBSTITUTE(Raw_Text_Fields!I125,CHAR(160)," ")))</f>
        <v>Second Class</v>
      </c>
      <c r="N124" s="3" t="n">
        <v>3</v>
      </c>
      <c r="O124" s="5" t="n">
        <v>170.35</v>
      </c>
      <c r="P124" s="6" t="n">
        <v>0</v>
      </c>
      <c r="Q124" s="5" t="n">
        <v>511.05</v>
      </c>
      <c r="R124" s="5" t="n">
        <v>367.18</v>
      </c>
      <c r="S124" s="5" t="n">
        <v>143.87</v>
      </c>
      <c r="T124" s="3" t="str">
        <f aca="false">PROPER(TRIM(SUBSTITUTE(Raw_Text_Fields!J125,CHAR(160)," ")))</f>
        <v>Paid</v>
      </c>
      <c r="U124" s="3" t="str">
        <f aca="false">PROPER(TRIM(SUBSTITUTE(Raw_Text_Fields!K125,CHAR(160)," ")))</f>
        <v>Completed</v>
      </c>
      <c r="V124" s="7" t="n">
        <f aca="false">IF(OR(P124&lt;0,P124&gt;0.5),0,P124)</f>
        <v>0</v>
      </c>
      <c r="W124" s="8" t="n">
        <f aca="false">N124*O124*(1-V124)</f>
        <v>511.05</v>
      </c>
      <c r="X124" s="8" t="n">
        <f aca="false">W124-R124</f>
        <v>143.87</v>
      </c>
      <c r="Y124" s="7" t="n">
        <f aca="false">IFERROR(X124/W124,0)</f>
        <v>0.281518442422464</v>
      </c>
      <c r="Z124" s="9" t="n">
        <f aca="false">C124-B124</f>
        <v>4</v>
      </c>
      <c r="AA124" s="1" t="str">
        <f aca="false">IF(B124="","",TEXT(B124,"mmm"))</f>
        <v>Nov</v>
      </c>
      <c r="AB124" s="9" t="n">
        <f aca="false">IF(B124="","",YEAR(B124))</f>
        <v>2024</v>
      </c>
      <c r="AC124" s="3"/>
      <c r="AD124" s="3" t="str">
        <f aca="false">IF(LEFT(AC124&amp;IF(B124="","; Missing Order Date","")&amp;IF(C124="","; Missing Ship Date","")&amp;IF(P124&lt;0,"; Invalid Discount (Negative)","")&amp;IF(P124&gt;0.5,"; Invalid Discount (Too High)","")&amp;IF(Z124&lt;0,"; Invalid Shipping Record (Ship Before Order)","")&amp;IF(ABS(Q124-W124)&gt;1,"; Sales Mismatch","")&amp;IF(ABS(S124-X124)&gt;1,"; Profit Mismatch","")&amp;IF(COUNTIF($A$2:$A$913,A124)&gt;1,"; Duplicate Order ID Conflict",""),2)="; ",MID(AC124&amp;IF(B124="","; Missing Order Date","")&amp;IF(C124="","; Missing Ship Date","")&amp;IF(P124&lt;0,"; Invalid Discount (Negative)","")&amp;IF(P124&gt;0.5,"; Invalid Discount (Too High)","")&amp;IF(Z124&lt;0,"; Invalid Shipping Record (Ship Before Order)","")&amp;IF(ABS(Q124-W124)&gt;1,"; Sales Mismatch","")&amp;IF(ABS(S124-X124)&gt;1,"; Profit Mismatch","")&amp;IF(COUNTIF($A$2:$A$913,A124)&gt;1,"; Duplicate Order ID Conflict",""),3,500),AC124&amp;IF(B124="","; Missing Order Date","")&amp;IF(C124="","; Missing Ship Date","")&amp;IF(P124&lt;0,"; Invalid Discount (Negative)","")&amp;IF(P124&gt;0.5,"; Invalid Discount (Too High)","")&amp;IF(Z124&lt;0,"; Invalid Shipping Record (Ship Before Order)","")&amp;IF(ABS(Q124-W124)&gt;1,"; Sales Mismatch","")&amp;IF(ABS(S124-X124)&gt;1,"; Profit Mismatch","")&amp;IF(COUNTIF($A$2:$A$913,A124)&gt;1,"; Duplicate Order ID Conflict",""))</f>
        <v/>
      </c>
      <c r="AE124" s="10" t="str">
        <f aca="false">IF(OR(ISNUMBER(SEARCH("Invalid Discount",AD124)),ISNUMBER(SEARCH("Invalid Shipping Record",AD124)),ISNUMBER(SEARCH("Sales Mismatch",AD124)),ISNUMBER(SEARCH("Profit Mismatch",AD124)),ISNUMBER(SEARCH("Duplicate Order ID Conflict",AD124)),ISNUMBER(SEARCH("Missing Order Date",AD124)),ISNUMBER(SEARCH("Missing Ship Date",AD124))),"Invalid",IF(AD124&lt;&gt;"","Warning","Clean"))</f>
        <v>Clean</v>
      </c>
    </row>
    <row r="125" customFormat="false" ht="15" hidden="false" customHeight="true" outlineLevel="0" collapsed="false">
      <c r="A125" s="3" t="s">
        <v>402</v>
      </c>
      <c r="B125" s="4" t="n">
        <v>45436</v>
      </c>
      <c r="C125" s="4" t="n">
        <v>45437</v>
      </c>
      <c r="D125" s="3" t="s">
        <v>403</v>
      </c>
      <c r="E125" s="3" t="str">
        <f aca="false">PROPER(TRIM(SUBSTITUTE(Raw_Text_Fields!B126,CHAR(160)," ")))</f>
        <v>Sneha Kapoor</v>
      </c>
      <c r="F125" s="3" t="str">
        <f aca="false">PROPER(TRIM(SUBSTITUTE(Raw_Text_Fields!C126,CHAR(160)," ")))</f>
        <v>Small Business</v>
      </c>
      <c r="G125" s="3" t="str">
        <f aca="false">PROPER(TRIM(SUBSTITUTE(Raw_Text_Fields!D126,CHAR(160)," ")))</f>
        <v>North</v>
      </c>
      <c r="H125" s="3" t="str">
        <f aca="false">PROPER(TRIM(SUBSTITUTE(Raw_Text_Fields!E126,CHAR(160)," ")))</f>
        <v>Punjab</v>
      </c>
      <c r="I125" s="3" t="str">
        <f aca="false">PROPER(TRIM(SUBSTITUTE(Raw_Text_Fields!F126,CHAR(160)," ")))</f>
        <v>Ludhiana</v>
      </c>
      <c r="J125" s="3" t="str">
        <f aca="false">PROPER(TRIM(SUBSTITUTE(Raw_Text_Fields!G126,CHAR(160)," ")))</f>
        <v>Technology</v>
      </c>
      <c r="K125" s="3" t="str">
        <f aca="false">PROPER(TRIM(SUBSTITUTE(Raw_Text_Fields!H126,CHAR(160)," ")))</f>
        <v>Copiers</v>
      </c>
      <c r="L125" s="3" t="s">
        <v>404</v>
      </c>
      <c r="M125" s="3" t="str">
        <f aca="false">PROPER(TRIM(SUBSTITUTE(Raw_Text_Fields!I126,CHAR(160)," ")))</f>
        <v>Same Day</v>
      </c>
      <c r="N125" s="3" t="n">
        <v>1</v>
      </c>
      <c r="O125" s="5" t="n">
        <v>634.13</v>
      </c>
      <c r="P125" s="6" t="n">
        <v>0</v>
      </c>
      <c r="Q125" s="5" t="n">
        <v>634.13</v>
      </c>
      <c r="R125" s="5" t="n">
        <v>453.35</v>
      </c>
      <c r="S125" s="5" t="n">
        <v>180.78</v>
      </c>
      <c r="T125" s="3" t="str">
        <f aca="false">PROPER(TRIM(SUBSTITUTE(Raw_Text_Fields!J126,CHAR(160)," ")))</f>
        <v>Refunded</v>
      </c>
      <c r="U125" s="3" t="str">
        <f aca="false">PROPER(TRIM(SUBSTITUTE(Raw_Text_Fields!K126,CHAR(160)," ")))</f>
        <v>Cancelled</v>
      </c>
      <c r="V125" s="7" t="n">
        <f aca="false">IF(OR(P125&lt;0,P125&gt;0.5),0,P125)</f>
        <v>0</v>
      </c>
      <c r="W125" s="8" t="n">
        <f aca="false">N125*O125*(1-V125)</f>
        <v>634.13</v>
      </c>
      <c r="X125" s="8" t="n">
        <f aca="false">W125-R125</f>
        <v>180.78</v>
      </c>
      <c r="Y125" s="7" t="n">
        <f aca="false">IFERROR(X125/W125,0)</f>
        <v>0.28508350022866</v>
      </c>
      <c r="Z125" s="9" t="n">
        <f aca="false">C125-B125</f>
        <v>1</v>
      </c>
      <c r="AA125" s="1" t="str">
        <f aca="false">IF(B125="","",TEXT(B125,"mmm"))</f>
        <v>May</v>
      </c>
      <c r="AB125" s="9" t="n">
        <f aca="false">IF(B125="","",YEAR(B125))</f>
        <v>2024</v>
      </c>
      <c r="AC125" s="3"/>
      <c r="AD125" s="3" t="str">
        <f aca="false">IF(LEFT(AC125&amp;IF(B125="","; Missing Order Date","")&amp;IF(C125="","; Missing Ship Date","")&amp;IF(P125&lt;0,"; Invalid Discount (Negative)","")&amp;IF(P125&gt;0.5,"; Invalid Discount (Too High)","")&amp;IF(Z125&lt;0,"; Invalid Shipping Record (Ship Before Order)","")&amp;IF(ABS(Q125-W125)&gt;1,"; Sales Mismatch","")&amp;IF(ABS(S125-X125)&gt;1,"; Profit Mismatch","")&amp;IF(COUNTIF($A$2:$A$913,A125)&gt;1,"; Duplicate Order ID Conflict",""),2)="; ",MID(AC125&amp;IF(B125="","; Missing Order Date","")&amp;IF(C125="","; Missing Ship Date","")&amp;IF(P125&lt;0,"; Invalid Discount (Negative)","")&amp;IF(P125&gt;0.5,"; Invalid Discount (Too High)","")&amp;IF(Z125&lt;0,"; Invalid Shipping Record (Ship Before Order)","")&amp;IF(ABS(Q125-W125)&gt;1,"; Sales Mismatch","")&amp;IF(ABS(S125-X125)&gt;1,"; Profit Mismatch","")&amp;IF(COUNTIF($A$2:$A$913,A125)&gt;1,"; Duplicate Order ID Conflict",""),3,500),AC125&amp;IF(B125="","; Missing Order Date","")&amp;IF(C125="","; Missing Ship Date","")&amp;IF(P125&lt;0,"; Invalid Discount (Negative)","")&amp;IF(P125&gt;0.5,"; Invalid Discount (Too High)","")&amp;IF(Z125&lt;0,"; Invalid Shipping Record (Ship Before Order)","")&amp;IF(ABS(Q125-W125)&gt;1,"; Sales Mismatch","")&amp;IF(ABS(S125-X125)&gt;1,"; Profit Mismatch","")&amp;IF(COUNTIF($A$2:$A$913,A125)&gt;1,"; Duplicate Order ID Conflict",""))</f>
        <v>Duplicate Order ID Conflict</v>
      </c>
      <c r="AE125" s="10" t="str">
        <f aca="false">IF(OR(ISNUMBER(SEARCH("Invalid Discount",AD125)),ISNUMBER(SEARCH("Invalid Shipping Record",AD125)),ISNUMBER(SEARCH("Sales Mismatch",AD125)),ISNUMBER(SEARCH("Profit Mismatch",AD125)),ISNUMBER(SEARCH("Duplicate Order ID Conflict",AD125)),ISNUMBER(SEARCH("Missing Order Date",AD125)),ISNUMBER(SEARCH("Missing Ship Date",AD125))),"Invalid",IF(AD125&lt;&gt;"","Warning","Clean"))</f>
        <v>Invalid</v>
      </c>
    </row>
    <row r="126" customFormat="false" ht="15" hidden="false" customHeight="true" outlineLevel="0" collapsed="false">
      <c r="A126" s="3" t="s">
        <v>405</v>
      </c>
      <c r="B126" s="4" t="n">
        <v>45494</v>
      </c>
      <c r="C126" s="4" t="n">
        <v>45497</v>
      </c>
      <c r="D126" s="3" t="s">
        <v>406</v>
      </c>
      <c r="E126" s="3" t="str">
        <f aca="false">PROPER(TRIM(SUBSTITUTE(Raw_Text_Fields!B127,CHAR(160)," ")))</f>
        <v>Isha Nair</v>
      </c>
      <c r="F126" s="3" t="str">
        <f aca="false">PROPER(TRIM(SUBSTITUTE(Raw_Text_Fields!C127,CHAR(160)," ")))</f>
        <v>Corporate</v>
      </c>
      <c r="G126" s="3" t="str">
        <f aca="false">PROPER(TRIM(SUBSTITUTE(Raw_Text_Fields!D127,CHAR(160)," ")))</f>
        <v>South</v>
      </c>
      <c r="H126" s="3" t="str">
        <f aca="false">PROPER(TRIM(SUBSTITUTE(Raw_Text_Fields!E127,CHAR(160)," ")))</f>
        <v>Karnataka</v>
      </c>
      <c r="I126" s="3" t="str">
        <f aca="false">PROPER(TRIM(SUBSTITUTE(Raw_Text_Fields!F127,CHAR(160)," ")))</f>
        <v>Bengaluru</v>
      </c>
      <c r="J126" s="3" t="str">
        <f aca="false">PROPER(TRIM(SUBSTITUTE(Raw_Text_Fields!G127,CHAR(160)," ")))</f>
        <v>Technology</v>
      </c>
      <c r="K126" s="3" t="str">
        <f aca="false">PROPER(TRIM(SUBSTITUTE(Raw_Text_Fields!H127,CHAR(160)," ")))</f>
        <v>Copiers</v>
      </c>
      <c r="L126" s="3" t="s">
        <v>407</v>
      </c>
      <c r="M126" s="3" t="str">
        <f aca="false">PROPER(TRIM(SUBSTITUTE(Raw_Text_Fields!I127,CHAR(160)," ")))</f>
        <v>Standard Class</v>
      </c>
      <c r="N126" s="3" t="n">
        <v>9</v>
      </c>
      <c r="O126" s="5" t="n">
        <v>465.06</v>
      </c>
      <c r="P126" s="6" t="n">
        <v>-0.15</v>
      </c>
      <c r="Q126" s="5" t="n">
        <v>4185.54</v>
      </c>
      <c r="R126" s="5" t="n">
        <v>3443.74</v>
      </c>
      <c r="S126" s="5" t="n">
        <v>741.8</v>
      </c>
      <c r="T126" s="3" t="str">
        <f aca="false">PROPER(TRIM(SUBSTITUTE(Raw_Text_Fields!J127,CHAR(160)," ")))</f>
        <v>Paid</v>
      </c>
      <c r="U126" s="3" t="str">
        <f aca="false">PROPER(TRIM(SUBSTITUTE(Raw_Text_Fields!K127,CHAR(160)," ")))</f>
        <v>Completed</v>
      </c>
      <c r="V126" s="7" t="n">
        <f aca="false">IF(OR(P126&lt;0,P126&gt;0.5),0,P126)</f>
        <v>0</v>
      </c>
      <c r="W126" s="8" t="n">
        <f aca="false">N126*O126*(1-V126)</f>
        <v>4185.54</v>
      </c>
      <c r="X126" s="8" t="n">
        <f aca="false">W126-R126</f>
        <v>741.8</v>
      </c>
      <c r="Y126" s="7" t="n">
        <f aca="false">IFERROR(X126/W126,0)</f>
        <v>0.177229222513702</v>
      </c>
      <c r="Z126" s="9" t="n">
        <f aca="false">C126-B126</f>
        <v>3</v>
      </c>
      <c r="AA126" s="1" t="str">
        <f aca="false">IF(B126="","",TEXT(B126,"mmm"))</f>
        <v>Jul</v>
      </c>
      <c r="AB126" s="9" t="n">
        <f aca="false">IF(B126="","",YEAR(B126))</f>
        <v>2024</v>
      </c>
      <c r="AC126" s="3"/>
      <c r="AD126" s="3" t="str">
        <f aca="false">IF(LEFT(AC126&amp;IF(B126="","; Missing Order Date","")&amp;IF(C126="","; Missing Ship Date","")&amp;IF(P126&lt;0,"; Invalid Discount (Negative)","")&amp;IF(P126&gt;0.5,"; Invalid Discount (Too High)","")&amp;IF(Z126&lt;0,"; Invalid Shipping Record (Ship Before Order)","")&amp;IF(ABS(Q126-W126)&gt;1,"; Sales Mismatch","")&amp;IF(ABS(S126-X126)&gt;1,"; Profit Mismatch","")&amp;IF(COUNTIF($A$2:$A$913,A126)&gt;1,"; Duplicate Order ID Conflict",""),2)="; ",MID(AC126&amp;IF(B126="","; Missing Order Date","")&amp;IF(C126="","; Missing Ship Date","")&amp;IF(P126&lt;0,"; Invalid Discount (Negative)","")&amp;IF(P126&gt;0.5,"; Invalid Discount (Too High)","")&amp;IF(Z126&lt;0,"; Invalid Shipping Record (Ship Before Order)","")&amp;IF(ABS(Q126-W126)&gt;1,"; Sales Mismatch","")&amp;IF(ABS(S126-X126)&gt;1,"; Profit Mismatch","")&amp;IF(COUNTIF($A$2:$A$913,A126)&gt;1,"; Duplicate Order ID Conflict",""),3,500),AC126&amp;IF(B126="","; Missing Order Date","")&amp;IF(C126="","; Missing Ship Date","")&amp;IF(P126&lt;0,"; Invalid Discount (Negative)","")&amp;IF(P126&gt;0.5,"; Invalid Discount (Too High)","")&amp;IF(Z126&lt;0,"; Invalid Shipping Record (Ship Before Order)","")&amp;IF(ABS(Q126-W126)&gt;1,"; Sales Mismatch","")&amp;IF(ABS(S126-X126)&gt;1,"; Profit Mismatch","")&amp;IF(COUNTIF($A$2:$A$913,A126)&gt;1,"; Duplicate Order ID Conflict",""))</f>
        <v>Invalid Discount (Negative)</v>
      </c>
      <c r="AE126" s="10" t="str">
        <f aca="false">IF(OR(ISNUMBER(SEARCH("Invalid Discount",AD126)),ISNUMBER(SEARCH("Invalid Shipping Record",AD126)),ISNUMBER(SEARCH("Sales Mismatch",AD126)),ISNUMBER(SEARCH("Profit Mismatch",AD126)),ISNUMBER(SEARCH("Duplicate Order ID Conflict",AD126)),ISNUMBER(SEARCH("Missing Order Date",AD126)),ISNUMBER(SEARCH("Missing Ship Date",AD126))),"Invalid",IF(AD126&lt;&gt;"","Warning","Clean"))</f>
        <v>Invalid</v>
      </c>
    </row>
    <row r="127" customFormat="false" ht="15" hidden="false" customHeight="true" outlineLevel="0" collapsed="false">
      <c r="A127" s="3" t="s">
        <v>408</v>
      </c>
      <c r="B127" s="4" t="n">
        <v>45855</v>
      </c>
      <c r="C127" s="4" t="n">
        <v>45856</v>
      </c>
      <c r="D127" s="3" t="s">
        <v>409</v>
      </c>
      <c r="E127" s="3" t="str">
        <f aca="false">PROPER(TRIM(SUBSTITUTE(Raw_Text_Fields!B128,CHAR(160)," ")))</f>
        <v>Neha Gupta</v>
      </c>
      <c r="F127" s="3" t="str">
        <f aca="false">PROPER(TRIM(SUBSTITUTE(Raw_Text_Fields!C128,CHAR(160)," ")))</f>
        <v>Small Business</v>
      </c>
      <c r="G127" s="3" t="str">
        <f aca="false">PROPER(TRIM(SUBSTITUTE(Raw_Text_Fields!D128,CHAR(160)," ")))</f>
        <v>West</v>
      </c>
      <c r="H127" s="3" t="str">
        <f aca="false">PROPER(TRIM(SUBSTITUTE(Raw_Text_Fields!E128,CHAR(160)," ")))</f>
        <v>Rajasthan</v>
      </c>
      <c r="I127" s="3" t="str">
        <f aca="false">PROPER(TRIM(SUBSTITUTE(Raw_Text_Fields!F128,CHAR(160)," ")))</f>
        <v>Udaipur</v>
      </c>
      <c r="J127" s="3" t="str">
        <f aca="false">PROPER(TRIM(SUBSTITUTE(Raw_Text_Fields!G128,CHAR(160)," ")))</f>
        <v>Furniture</v>
      </c>
      <c r="K127" s="3" t="str">
        <f aca="false">PROPER(TRIM(SUBSTITUTE(Raw_Text_Fields!H128,CHAR(160)," ")))</f>
        <v>Tables</v>
      </c>
      <c r="L127" s="3" t="s">
        <v>410</v>
      </c>
      <c r="M127" s="3" t="str">
        <f aca="false">PROPER(TRIM(SUBSTITUTE(Raw_Text_Fields!I128,CHAR(160)," ")))</f>
        <v>Same Day</v>
      </c>
      <c r="N127" s="3" t="n">
        <v>6</v>
      </c>
      <c r="O127" s="5" t="n">
        <v>3235.27</v>
      </c>
      <c r="P127" s="6" t="n">
        <v>0.25</v>
      </c>
      <c r="Q127" s="5" t="n">
        <v>14558.72</v>
      </c>
      <c r="R127" s="5" t="n">
        <v>9591.48</v>
      </c>
      <c r="S127" s="5" t="n">
        <v>4967.24</v>
      </c>
      <c r="T127" s="3" t="str">
        <f aca="false">PROPER(TRIM(SUBSTITUTE(Raw_Text_Fields!J128,CHAR(160)," ")))</f>
        <v>Refunded</v>
      </c>
      <c r="U127" s="3" t="str">
        <f aca="false">PROPER(TRIM(SUBSTITUTE(Raw_Text_Fields!K128,CHAR(160)," ")))</f>
        <v>Returned</v>
      </c>
      <c r="V127" s="7" t="n">
        <f aca="false">IF(OR(P127&lt;0,P127&gt;0.5),0,P127)</f>
        <v>0.25</v>
      </c>
      <c r="W127" s="8" t="n">
        <f aca="false">N127*O127*(1-V127)</f>
        <v>14558.715</v>
      </c>
      <c r="X127" s="8" t="n">
        <f aca="false">W127-R127</f>
        <v>4967.235</v>
      </c>
      <c r="Y127" s="7" t="n">
        <f aca="false">IFERROR(X127/W127,0)</f>
        <v>0.341186361571059</v>
      </c>
      <c r="Z127" s="9" t="n">
        <f aca="false">C127-B127</f>
        <v>1</v>
      </c>
      <c r="AA127" s="1" t="str">
        <f aca="false">IF(B127="","",TEXT(B127,"mmm"))</f>
        <v>Jul</v>
      </c>
      <c r="AB127" s="9" t="n">
        <f aca="false">IF(B127="","",YEAR(B127))</f>
        <v>2025</v>
      </c>
      <c r="AC127" s="3"/>
      <c r="AD127" s="3" t="str">
        <f aca="false">IF(LEFT(AC127&amp;IF(B127="","; Missing Order Date","")&amp;IF(C127="","; Missing Ship Date","")&amp;IF(P127&lt;0,"; Invalid Discount (Negative)","")&amp;IF(P127&gt;0.5,"; Invalid Discount (Too High)","")&amp;IF(Z127&lt;0,"; Invalid Shipping Record (Ship Before Order)","")&amp;IF(ABS(Q127-W127)&gt;1,"; Sales Mismatch","")&amp;IF(ABS(S127-X127)&gt;1,"; Profit Mismatch","")&amp;IF(COUNTIF($A$2:$A$913,A127)&gt;1,"; Duplicate Order ID Conflict",""),2)="; ",MID(AC127&amp;IF(B127="","; Missing Order Date","")&amp;IF(C127="","; Missing Ship Date","")&amp;IF(P127&lt;0,"; Invalid Discount (Negative)","")&amp;IF(P127&gt;0.5,"; Invalid Discount (Too High)","")&amp;IF(Z127&lt;0,"; Invalid Shipping Record (Ship Before Order)","")&amp;IF(ABS(Q127-W127)&gt;1,"; Sales Mismatch","")&amp;IF(ABS(S127-X127)&gt;1,"; Profit Mismatch","")&amp;IF(COUNTIF($A$2:$A$913,A127)&gt;1,"; Duplicate Order ID Conflict",""),3,500),AC127&amp;IF(B127="","; Missing Order Date","")&amp;IF(C127="","; Missing Ship Date","")&amp;IF(P127&lt;0,"; Invalid Discount (Negative)","")&amp;IF(P127&gt;0.5,"; Invalid Discount (Too High)","")&amp;IF(Z127&lt;0,"; Invalid Shipping Record (Ship Before Order)","")&amp;IF(ABS(Q127-W127)&gt;1,"; Sales Mismatch","")&amp;IF(ABS(S127-X127)&gt;1,"; Profit Mismatch","")&amp;IF(COUNTIF($A$2:$A$913,A127)&gt;1,"; Duplicate Order ID Conflict",""))</f>
        <v/>
      </c>
      <c r="AE127" s="10" t="str">
        <f aca="false">IF(OR(ISNUMBER(SEARCH("Invalid Discount",AD127)),ISNUMBER(SEARCH("Invalid Shipping Record",AD127)),ISNUMBER(SEARCH("Sales Mismatch",AD127)),ISNUMBER(SEARCH("Profit Mismatch",AD127)),ISNUMBER(SEARCH("Duplicate Order ID Conflict",AD127)),ISNUMBER(SEARCH("Missing Order Date",AD127)),ISNUMBER(SEARCH("Missing Ship Date",AD127))),"Invalid",IF(AD127&lt;&gt;"","Warning","Clean"))</f>
        <v>Clean</v>
      </c>
    </row>
    <row r="128" customFormat="false" ht="15" hidden="false" customHeight="true" outlineLevel="0" collapsed="false">
      <c r="A128" s="3" t="s">
        <v>411</v>
      </c>
      <c r="B128" s="4" t="n">
        <v>45924</v>
      </c>
      <c r="C128" s="4" t="n">
        <v>45926</v>
      </c>
      <c r="D128" s="3" t="s">
        <v>412</v>
      </c>
      <c r="E128" s="3" t="str">
        <f aca="false">PROPER(TRIM(SUBSTITUTE(Raw_Text_Fields!B129,CHAR(160)," ")))</f>
        <v>Priya Menon</v>
      </c>
      <c r="F128" s="3" t="str">
        <f aca="false">PROPER(TRIM(SUBSTITUTE(Raw_Text_Fields!C129,CHAR(160)," ")))</f>
        <v>Corporate</v>
      </c>
      <c r="G128" s="3" t="str">
        <f aca="false">PROPER(TRIM(SUBSTITUTE(Raw_Text_Fields!D129,CHAR(160)," ")))</f>
        <v>North</v>
      </c>
      <c r="H128" s="3" t="str">
        <f aca="false">PROPER(TRIM(SUBSTITUTE(Raw_Text_Fields!E129,CHAR(160)," ")))</f>
        <v>Delhi</v>
      </c>
      <c r="I128" s="3" t="str">
        <f aca="false">PROPER(TRIM(SUBSTITUTE(Raw_Text_Fields!F129,CHAR(160)," ")))</f>
        <v>New Delhi</v>
      </c>
      <c r="J128" s="3" t="str">
        <f aca="false">PROPER(TRIM(SUBSTITUTE(Raw_Text_Fields!G129,CHAR(160)," ")))</f>
        <v>Technology</v>
      </c>
      <c r="K128" s="3" t="str">
        <f aca="false">PROPER(TRIM(SUBSTITUTE(Raw_Text_Fields!H129,CHAR(160)," ")))</f>
        <v>Copiers</v>
      </c>
      <c r="L128" s="3" t="s">
        <v>413</v>
      </c>
      <c r="M128" s="3" t="str">
        <f aca="false">PROPER(TRIM(SUBSTITUTE(Raw_Text_Fields!I129,CHAR(160)," ")))</f>
        <v>Standard Class</v>
      </c>
      <c r="N128" s="3" t="n">
        <v>3</v>
      </c>
      <c r="O128" s="5" t="n">
        <v>1593.86</v>
      </c>
      <c r="P128" s="6" t="n">
        <v>0.1</v>
      </c>
      <c r="Q128" s="5" t="n">
        <v>4303.42</v>
      </c>
      <c r="R128" s="5" t="n">
        <v>2568.57</v>
      </c>
      <c r="S128" s="5" t="n">
        <v>1734.85</v>
      </c>
      <c r="T128" s="3" t="str">
        <f aca="false">PROPER(TRIM(SUBSTITUTE(Raw_Text_Fields!J129,CHAR(160)," ")))</f>
        <v>Paid</v>
      </c>
      <c r="U128" s="3" t="str">
        <f aca="false">PROPER(TRIM(SUBSTITUTE(Raw_Text_Fields!K129,CHAR(160)," ")))</f>
        <v>Completed</v>
      </c>
      <c r="V128" s="7" t="n">
        <f aca="false">IF(OR(P128&lt;0,P128&gt;0.5),0,P128)</f>
        <v>0.1</v>
      </c>
      <c r="W128" s="8" t="n">
        <f aca="false">N128*O128*(1-V128)</f>
        <v>4303.422</v>
      </c>
      <c r="X128" s="8" t="n">
        <f aca="false">W128-R128</f>
        <v>1734.852</v>
      </c>
      <c r="Y128" s="7" t="n">
        <f aca="false">IFERROR(X128/W128,0)</f>
        <v>0.403133134514812</v>
      </c>
      <c r="Z128" s="9" t="n">
        <f aca="false">C128-B128</f>
        <v>2</v>
      </c>
      <c r="AA128" s="1" t="str">
        <f aca="false">IF(B128="","",TEXT(B128,"mmm"))</f>
        <v>Sep</v>
      </c>
      <c r="AB128" s="9" t="n">
        <f aca="false">IF(B128="","",YEAR(B128))</f>
        <v>2025</v>
      </c>
      <c r="AC128" s="3"/>
      <c r="AD128" s="3" t="str">
        <f aca="false">IF(LEFT(AC128&amp;IF(B128="","; Missing Order Date","")&amp;IF(C128="","; Missing Ship Date","")&amp;IF(P128&lt;0,"; Invalid Discount (Negative)","")&amp;IF(P128&gt;0.5,"; Invalid Discount (Too High)","")&amp;IF(Z128&lt;0,"; Invalid Shipping Record (Ship Before Order)","")&amp;IF(ABS(Q128-W128)&gt;1,"; Sales Mismatch","")&amp;IF(ABS(S128-X128)&gt;1,"; Profit Mismatch","")&amp;IF(COUNTIF($A$2:$A$913,A128)&gt;1,"; Duplicate Order ID Conflict",""),2)="; ",MID(AC128&amp;IF(B128="","; Missing Order Date","")&amp;IF(C128="","; Missing Ship Date","")&amp;IF(P128&lt;0,"; Invalid Discount (Negative)","")&amp;IF(P128&gt;0.5,"; Invalid Discount (Too High)","")&amp;IF(Z128&lt;0,"; Invalid Shipping Record (Ship Before Order)","")&amp;IF(ABS(Q128-W128)&gt;1,"; Sales Mismatch","")&amp;IF(ABS(S128-X128)&gt;1,"; Profit Mismatch","")&amp;IF(COUNTIF($A$2:$A$913,A128)&gt;1,"; Duplicate Order ID Conflict",""),3,500),AC128&amp;IF(B128="","; Missing Order Date","")&amp;IF(C128="","; Missing Ship Date","")&amp;IF(P128&lt;0,"; Invalid Discount (Negative)","")&amp;IF(P128&gt;0.5,"; Invalid Discount (Too High)","")&amp;IF(Z128&lt;0,"; Invalid Shipping Record (Ship Before Order)","")&amp;IF(ABS(Q128-W128)&gt;1,"; Sales Mismatch","")&amp;IF(ABS(S128-X128)&gt;1,"; Profit Mismatch","")&amp;IF(COUNTIF($A$2:$A$913,A128)&gt;1,"; Duplicate Order ID Conflict",""))</f>
        <v/>
      </c>
      <c r="AE128" s="10" t="str">
        <f aca="false">IF(OR(ISNUMBER(SEARCH("Invalid Discount",AD128)),ISNUMBER(SEARCH("Invalid Shipping Record",AD128)),ISNUMBER(SEARCH("Sales Mismatch",AD128)),ISNUMBER(SEARCH("Profit Mismatch",AD128)),ISNUMBER(SEARCH("Duplicate Order ID Conflict",AD128)),ISNUMBER(SEARCH("Missing Order Date",AD128)),ISNUMBER(SEARCH("Missing Ship Date",AD128))),"Invalid",IF(AD128&lt;&gt;"","Warning","Clean"))</f>
        <v>Clean</v>
      </c>
    </row>
    <row r="129" customFormat="false" ht="15" hidden="false" customHeight="true" outlineLevel="0" collapsed="false">
      <c r="A129" s="3" t="s">
        <v>414</v>
      </c>
      <c r="B129" s="4" t="n">
        <v>45687</v>
      </c>
      <c r="C129" s="4" t="n">
        <v>45683</v>
      </c>
      <c r="D129" s="3" t="s">
        <v>415</v>
      </c>
      <c r="E129" s="3" t="str">
        <f aca="false">PROPER(TRIM(SUBSTITUTE(Raw_Text_Fields!B130,CHAR(160)," ")))</f>
        <v>Priya Menon</v>
      </c>
      <c r="F129" s="3" t="str">
        <f aca="false">PROPER(TRIM(SUBSTITUTE(Raw_Text_Fields!C130,CHAR(160)," ")))</f>
        <v>Corporate</v>
      </c>
      <c r="G129" s="3" t="str">
        <f aca="false">PROPER(TRIM(SUBSTITUTE(Raw_Text_Fields!D130,CHAR(160)," ")))</f>
        <v>West</v>
      </c>
      <c r="H129" s="3" t="str">
        <f aca="false">PROPER(TRIM(SUBSTITUTE(Raw_Text_Fields!E130,CHAR(160)," ")))</f>
        <v>Madhya Pradesh</v>
      </c>
      <c r="I129" s="3" t="str">
        <f aca="false">PROPER(TRIM(SUBSTITUTE(Raw_Text_Fields!F130,CHAR(160)," ")))</f>
        <v>Indore</v>
      </c>
      <c r="J129" s="3" t="str">
        <f aca="false">PROPER(TRIM(SUBSTITUTE(Raw_Text_Fields!G130,CHAR(160)," ")))</f>
        <v>Office Supplies</v>
      </c>
      <c r="K129" s="3" t="str">
        <f aca="false">PROPER(TRIM(SUBSTITUTE(Raw_Text_Fields!H130,CHAR(160)," ")))</f>
        <v>Storage</v>
      </c>
      <c r="L129" s="3" t="s">
        <v>416</v>
      </c>
      <c r="M129" s="3" t="str">
        <f aca="false">PROPER(TRIM(SUBSTITUTE(Raw_Text_Fields!I130,CHAR(160)," ")))</f>
        <v>Second Class</v>
      </c>
      <c r="N129" s="3" t="n">
        <v>2</v>
      </c>
      <c r="O129" s="5" t="n">
        <v>3039.3</v>
      </c>
      <c r="P129" s="6" t="n">
        <v>0.05</v>
      </c>
      <c r="Q129" s="5" t="n">
        <v>5774.67</v>
      </c>
      <c r="R129" s="5" t="n">
        <v>3518.36</v>
      </c>
      <c r="S129" s="5" t="n">
        <v>2256.31</v>
      </c>
      <c r="T129" s="3" t="str">
        <f aca="false">PROPER(TRIM(SUBSTITUTE(Raw_Text_Fields!J130,CHAR(160)," ")))</f>
        <v>Paid</v>
      </c>
      <c r="U129" s="3" t="str">
        <f aca="false">PROPER(TRIM(SUBSTITUTE(Raw_Text_Fields!K130,CHAR(160)," ")))</f>
        <v>Completed</v>
      </c>
      <c r="V129" s="7" t="n">
        <f aca="false">IF(OR(P129&lt;0,P129&gt;0.5),0,P129)</f>
        <v>0.05</v>
      </c>
      <c r="W129" s="8" t="n">
        <f aca="false">N129*O129*(1-V129)</f>
        <v>5774.67</v>
      </c>
      <c r="X129" s="8" t="n">
        <f aca="false">W129-R129</f>
        <v>2256.31</v>
      </c>
      <c r="Y129" s="7" t="n">
        <f aca="false">IFERROR(X129/W129,0)</f>
        <v>0.390725357466314</v>
      </c>
      <c r="Z129" s="9" t="n">
        <f aca="false">C129-B129</f>
        <v>-4</v>
      </c>
      <c r="AA129" s="1" t="str">
        <f aca="false">IF(B129="","",TEXT(B129,"mmm"))</f>
        <v>Jan</v>
      </c>
      <c r="AB129" s="9" t="n">
        <f aca="false">IF(B129="","",YEAR(B129))</f>
        <v>2025</v>
      </c>
      <c r="AC129" s="3"/>
      <c r="AD129" s="3" t="str">
        <f aca="false">IF(LEFT(AC129&amp;IF(B129="","; Missing Order Date","")&amp;IF(C129="","; Missing Ship Date","")&amp;IF(P129&lt;0,"; Invalid Discount (Negative)","")&amp;IF(P129&gt;0.5,"; Invalid Discount (Too High)","")&amp;IF(Z129&lt;0,"; Invalid Shipping Record (Ship Before Order)","")&amp;IF(ABS(Q129-W129)&gt;1,"; Sales Mismatch","")&amp;IF(ABS(S129-X129)&gt;1,"; Profit Mismatch","")&amp;IF(COUNTIF($A$2:$A$913,A129)&gt;1,"; Duplicate Order ID Conflict",""),2)="; ",MID(AC129&amp;IF(B129="","; Missing Order Date","")&amp;IF(C129="","; Missing Ship Date","")&amp;IF(P129&lt;0,"; Invalid Discount (Negative)","")&amp;IF(P129&gt;0.5,"; Invalid Discount (Too High)","")&amp;IF(Z129&lt;0,"; Invalid Shipping Record (Ship Before Order)","")&amp;IF(ABS(Q129-W129)&gt;1,"; Sales Mismatch","")&amp;IF(ABS(S129-X129)&gt;1,"; Profit Mismatch","")&amp;IF(COUNTIF($A$2:$A$913,A129)&gt;1,"; Duplicate Order ID Conflict",""),3,500),AC129&amp;IF(B129="","; Missing Order Date","")&amp;IF(C129="","; Missing Ship Date","")&amp;IF(P129&lt;0,"; Invalid Discount (Negative)","")&amp;IF(P129&gt;0.5,"; Invalid Discount (Too High)","")&amp;IF(Z129&lt;0,"; Invalid Shipping Record (Ship Before Order)","")&amp;IF(ABS(Q129-W129)&gt;1,"; Sales Mismatch","")&amp;IF(ABS(S129-X129)&gt;1,"; Profit Mismatch","")&amp;IF(COUNTIF($A$2:$A$913,A129)&gt;1,"; Duplicate Order ID Conflict",""))</f>
        <v>Invalid Shipping Record (Ship Before Order)</v>
      </c>
      <c r="AE129" s="10" t="str">
        <f aca="false">IF(OR(ISNUMBER(SEARCH("Invalid Discount",AD129)),ISNUMBER(SEARCH("Invalid Shipping Record",AD129)),ISNUMBER(SEARCH("Sales Mismatch",AD129)),ISNUMBER(SEARCH("Profit Mismatch",AD129)),ISNUMBER(SEARCH("Duplicate Order ID Conflict",AD129)),ISNUMBER(SEARCH("Missing Order Date",AD129)),ISNUMBER(SEARCH("Missing Ship Date",AD129))),"Invalid",IF(AD129&lt;&gt;"","Warning","Clean"))</f>
        <v>Invalid</v>
      </c>
    </row>
    <row r="130" customFormat="false" ht="15" hidden="false" customHeight="true" outlineLevel="0" collapsed="false">
      <c r="A130" s="3" t="s">
        <v>417</v>
      </c>
      <c r="B130" s="4" t="n">
        <v>45639</v>
      </c>
      <c r="C130" s="4" t="n">
        <v>45642</v>
      </c>
      <c r="D130" s="3" t="s">
        <v>418</v>
      </c>
      <c r="E130" s="3" t="str">
        <f aca="false">PROPER(TRIM(SUBSTITUTE(Raw_Text_Fields!B131,CHAR(160)," ")))</f>
        <v>Neha Gupta</v>
      </c>
      <c r="F130" s="3" t="str">
        <f aca="false">PROPER(TRIM(SUBSTITUTE(Raw_Text_Fields!C131,CHAR(160)," ")))</f>
        <v>Small Business</v>
      </c>
      <c r="G130" s="3" t="str">
        <f aca="false">PROPER(TRIM(SUBSTITUTE(Raw_Text_Fields!D131,CHAR(160)," ")))</f>
        <v>East</v>
      </c>
      <c r="H130" s="3" t="str">
        <f aca="false">PROPER(TRIM(SUBSTITUTE(Raw_Text_Fields!E131,CHAR(160)," ")))</f>
        <v>Odisha</v>
      </c>
      <c r="I130" s="3" t="str">
        <f aca="false">PROPER(TRIM(SUBSTITUTE(Raw_Text_Fields!F131,CHAR(160)," ")))</f>
        <v>Bhubaneswar</v>
      </c>
      <c r="J130" s="3" t="str">
        <f aca="false">PROPER(TRIM(SUBSTITUTE(Raw_Text_Fields!G131,CHAR(160)," ")))</f>
        <v>Furniture</v>
      </c>
      <c r="K130" s="3" t="str">
        <f aca="false">PROPER(TRIM(SUBSTITUTE(Raw_Text_Fields!H131,CHAR(160)," ")))</f>
        <v>Furnishings</v>
      </c>
      <c r="L130" s="3" t="s">
        <v>419</v>
      </c>
      <c r="M130" s="3" t="str">
        <f aca="false">PROPER(TRIM(SUBSTITUTE(Raw_Text_Fields!I131,CHAR(160)," ")))</f>
        <v>Standard Class</v>
      </c>
      <c r="N130" s="3" t="n">
        <v>5</v>
      </c>
      <c r="O130" s="5" t="n">
        <v>923.45</v>
      </c>
      <c r="P130" s="6" t="n">
        <v>0.05</v>
      </c>
      <c r="Q130" s="5" t="n">
        <v>4386.39</v>
      </c>
      <c r="R130" s="5" t="n">
        <v>3366.88</v>
      </c>
      <c r="S130" s="5" t="n">
        <v>1019.51</v>
      </c>
      <c r="T130" s="3" t="str">
        <f aca="false">PROPER(TRIM(SUBSTITUTE(Raw_Text_Fields!J131,CHAR(160)," ")))</f>
        <v>Paid</v>
      </c>
      <c r="U130" s="3" t="str">
        <f aca="false">PROPER(TRIM(SUBSTITUTE(Raw_Text_Fields!K131,CHAR(160)," ")))</f>
        <v>Returned</v>
      </c>
      <c r="V130" s="7" t="n">
        <f aca="false">IF(OR(P130&lt;0,P130&gt;0.5),0,P130)</f>
        <v>0.05</v>
      </c>
      <c r="W130" s="8" t="n">
        <f aca="false">N130*O130*(1-V130)</f>
        <v>4386.3875</v>
      </c>
      <c r="X130" s="8" t="n">
        <f aca="false">W130-R130</f>
        <v>1019.5075</v>
      </c>
      <c r="Y130" s="7" t="n">
        <f aca="false">IFERROR(X130/W130,0)</f>
        <v>0.232425315820821</v>
      </c>
      <c r="Z130" s="9" t="n">
        <f aca="false">C130-B130</f>
        <v>3</v>
      </c>
      <c r="AA130" s="1" t="str">
        <f aca="false">IF(B130="","",TEXT(B130,"mmm"))</f>
        <v>Dec</v>
      </c>
      <c r="AB130" s="9" t="n">
        <f aca="false">IF(B130="","",YEAR(B130))</f>
        <v>2024</v>
      </c>
      <c r="AC130" s="3"/>
      <c r="AD130" s="3" t="str">
        <f aca="false">IF(LEFT(AC130&amp;IF(B130="","; Missing Order Date","")&amp;IF(C130="","; Missing Ship Date","")&amp;IF(P130&lt;0,"; Invalid Discount (Negative)","")&amp;IF(P130&gt;0.5,"; Invalid Discount (Too High)","")&amp;IF(Z130&lt;0,"; Invalid Shipping Record (Ship Before Order)","")&amp;IF(ABS(Q130-W130)&gt;1,"; Sales Mismatch","")&amp;IF(ABS(S130-X130)&gt;1,"; Profit Mismatch","")&amp;IF(COUNTIF($A$2:$A$913,A130)&gt;1,"; Duplicate Order ID Conflict",""),2)="; ",MID(AC130&amp;IF(B130="","; Missing Order Date","")&amp;IF(C130="","; Missing Ship Date","")&amp;IF(P130&lt;0,"; Invalid Discount (Negative)","")&amp;IF(P130&gt;0.5,"; Invalid Discount (Too High)","")&amp;IF(Z130&lt;0,"; Invalid Shipping Record (Ship Before Order)","")&amp;IF(ABS(Q130-W130)&gt;1,"; Sales Mismatch","")&amp;IF(ABS(S130-X130)&gt;1,"; Profit Mismatch","")&amp;IF(COUNTIF($A$2:$A$913,A130)&gt;1,"; Duplicate Order ID Conflict",""),3,500),AC130&amp;IF(B130="","; Missing Order Date","")&amp;IF(C130="","; Missing Ship Date","")&amp;IF(P130&lt;0,"; Invalid Discount (Negative)","")&amp;IF(P130&gt;0.5,"; Invalid Discount (Too High)","")&amp;IF(Z130&lt;0,"; Invalid Shipping Record (Ship Before Order)","")&amp;IF(ABS(Q130-W130)&gt;1,"; Sales Mismatch","")&amp;IF(ABS(S130-X130)&gt;1,"; Profit Mismatch","")&amp;IF(COUNTIF($A$2:$A$913,A130)&gt;1,"; Duplicate Order ID Conflict",""))</f>
        <v/>
      </c>
      <c r="AE130" s="10" t="str">
        <f aca="false">IF(OR(ISNUMBER(SEARCH("Invalid Discount",AD130)),ISNUMBER(SEARCH("Invalid Shipping Record",AD130)),ISNUMBER(SEARCH("Sales Mismatch",AD130)),ISNUMBER(SEARCH("Profit Mismatch",AD130)),ISNUMBER(SEARCH("Duplicate Order ID Conflict",AD130)),ISNUMBER(SEARCH("Missing Order Date",AD130)),ISNUMBER(SEARCH("Missing Ship Date",AD130))),"Invalid",IF(AD130&lt;&gt;"","Warning","Clean"))</f>
        <v>Clean</v>
      </c>
    </row>
    <row r="131" customFormat="false" ht="15" hidden="false" customHeight="true" outlineLevel="0" collapsed="false">
      <c r="A131" s="3" t="s">
        <v>420</v>
      </c>
      <c r="B131" s="4" t="n">
        <v>45492</v>
      </c>
      <c r="C131" s="4" t="n">
        <v>45498</v>
      </c>
      <c r="D131" s="3" t="s">
        <v>421</v>
      </c>
      <c r="E131" s="3" t="str">
        <f aca="false">PROPER(TRIM(SUBSTITUTE(Raw_Text_Fields!B132,CHAR(160)," ")))</f>
        <v>Isha Nair</v>
      </c>
      <c r="F131" s="3" t="str">
        <f aca="false">PROPER(TRIM(SUBSTITUTE(Raw_Text_Fields!C132,CHAR(160)," ")))</f>
        <v>Small Business</v>
      </c>
      <c r="G131" s="3" t="str">
        <f aca="false">PROPER(TRIM(SUBSTITUTE(Raw_Text_Fields!D132,CHAR(160)," ")))</f>
        <v>West</v>
      </c>
      <c r="H131" s="3" t="str">
        <f aca="false">PROPER(TRIM(SUBSTITUTE(Raw_Text_Fields!E132,CHAR(160)," ")))</f>
        <v>Goa</v>
      </c>
      <c r="I131" s="3" t="str">
        <f aca="false">PROPER(TRIM(SUBSTITUTE(Raw_Text_Fields!F132,CHAR(160)," ")))</f>
        <v>Panaji</v>
      </c>
      <c r="J131" s="3" t="str">
        <f aca="false">PROPER(TRIM(SUBSTITUTE(Raw_Text_Fields!G132,CHAR(160)," ")))</f>
        <v>Office Supplies</v>
      </c>
      <c r="K131" s="3" t="str">
        <f aca="false">PROPER(TRIM(SUBSTITUTE(Raw_Text_Fields!H132,CHAR(160)," ")))</f>
        <v>Binders</v>
      </c>
      <c r="L131" s="3" t="s">
        <v>422</v>
      </c>
      <c r="M131" s="3" t="str">
        <f aca="false">PROPER(TRIM(SUBSTITUTE(Raw_Text_Fields!I132,CHAR(160)," ")))</f>
        <v>Standard Class</v>
      </c>
      <c r="N131" s="3" t="n">
        <v>7</v>
      </c>
      <c r="O131" s="5" t="n">
        <v>2741.29</v>
      </c>
      <c r="P131" s="6" t="n">
        <v>0.05</v>
      </c>
      <c r="Q131" s="5" t="n">
        <v>18229.58</v>
      </c>
      <c r="R131" s="5" t="n">
        <v>15139.15</v>
      </c>
      <c r="S131" s="5" t="n">
        <v>3090.43</v>
      </c>
      <c r="T131" s="3" t="str">
        <f aca="false">PROPER(TRIM(SUBSTITUTE(Raw_Text_Fields!J132,CHAR(160)," ")))</f>
        <v>Paid</v>
      </c>
      <c r="U131" s="3" t="str">
        <f aca="false">PROPER(TRIM(SUBSTITUTE(Raw_Text_Fields!K132,CHAR(160)," ")))</f>
        <v>Completed</v>
      </c>
      <c r="V131" s="7" t="n">
        <f aca="false">IF(OR(P131&lt;0,P131&gt;0.5),0,P131)</f>
        <v>0.05</v>
      </c>
      <c r="W131" s="8" t="n">
        <f aca="false">N131*O131*(1-V131)</f>
        <v>18229.5785</v>
      </c>
      <c r="X131" s="8" t="n">
        <f aca="false">W131-R131</f>
        <v>3090.4285</v>
      </c>
      <c r="Y131" s="7" t="n">
        <f aca="false">IFERROR(X131/W131,0)</f>
        <v>0.169528247732113</v>
      </c>
      <c r="Z131" s="9" t="n">
        <f aca="false">C131-B131</f>
        <v>6</v>
      </c>
      <c r="AA131" s="1" t="str">
        <f aca="false">IF(B131="","",TEXT(B131,"mmm"))</f>
        <v>Jul</v>
      </c>
      <c r="AB131" s="9" t="n">
        <f aca="false">IF(B131="","",YEAR(B131))</f>
        <v>2024</v>
      </c>
      <c r="AC131" s="3"/>
      <c r="AD131" s="3" t="str">
        <f aca="false">IF(LEFT(AC131&amp;IF(B131="","; Missing Order Date","")&amp;IF(C131="","; Missing Ship Date","")&amp;IF(P131&lt;0,"; Invalid Discount (Negative)","")&amp;IF(P131&gt;0.5,"; Invalid Discount (Too High)","")&amp;IF(Z131&lt;0,"; Invalid Shipping Record (Ship Before Order)","")&amp;IF(ABS(Q131-W131)&gt;1,"; Sales Mismatch","")&amp;IF(ABS(S131-X131)&gt;1,"; Profit Mismatch","")&amp;IF(COUNTIF($A$2:$A$913,A131)&gt;1,"; Duplicate Order ID Conflict",""),2)="; ",MID(AC131&amp;IF(B131="","; Missing Order Date","")&amp;IF(C131="","; Missing Ship Date","")&amp;IF(P131&lt;0,"; Invalid Discount (Negative)","")&amp;IF(P131&gt;0.5,"; Invalid Discount (Too High)","")&amp;IF(Z131&lt;0,"; Invalid Shipping Record (Ship Before Order)","")&amp;IF(ABS(Q131-W131)&gt;1,"; Sales Mismatch","")&amp;IF(ABS(S131-X131)&gt;1,"; Profit Mismatch","")&amp;IF(COUNTIF($A$2:$A$913,A131)&gt;1,"; Duplicate Order ID Conflict",""),3,500),AC131&amp;IF(B131="","; Missing Order Date","")&amp;IF(C131="","; Missing Ship Date","")&amp;IF(P131&lt;0,"; Invalid Discount (Negative)","")&amp;IF(P131&gt;0.5,"; Invalid Discount (Too High)","")&amp;IF(Z131&lt;0,"; Invalid Shipping Record (Ship Before Order)","")&amp;IF(ABS(Q131-W131)&gt;1,"; Sales Mismatch","")&amp;IF(ABS(S131-X131)&gt;1,"; Profit Mismatch","")&amp;IF(COUNTIF($A$2:$A$913,A131)&gt;1,"; Duplicate Order ID Conflict",""))</f>
        <v/>
      </c>
      <c r="AE131" s="10" t="str">
        <f aca="false">IF(OR(ISNUMBER(SEARCH("Invalid Discount",AD131)),ISNUMBER(SEARCH("Invalid Shipping Record",AD131)),ISNUMBER(SEARCH("Sales Mismatch",AD131)),ISNUMBER(SEARCH("Profit Mismatch",AD131)),ISNUMBER(SEARCH("Duplicate Order ID Conflict",AD131)),ISNUMBER(SEARCH("Missing Order Date",AD131)),ISNUMBER(SEARCH("Missing Ship Date",AD131))),"Invalid",IF(AD131&lt;&gt;"","Warning","Clean"))</f>
        <v>Clean</v>
      </c>
    </row>
    <row r="132" customFormat="false" ht="15" hidden="false" customHeight="true" outlineLevel="0" collapsed="false">
      <c r="A132" s="3" t="s">
        <v>423</v>
      </c>
      <c r="B132" s="4" t="n">
        <v>45318</v>
      </c>
      <c r="C132" s="4" t="n">
        <v>45324</v>
      </c>
      <c r="D132" s="3" t="s">
        <v>424</v>
      </c>
      <c r="E132" s="3" t="str">
        <f aca="false">PROPER(TRIM(SUBSTITUTE(Raw_Text_Fields!B133,CHAR(160)," ")))</f>
        <v>Arjun Bose</v>
      </c>
      <c r="F132" s="3" t="str">
        <f aca="false">PROPER(TRIM(SUBSTITUTE(Raw_Text_Fields!C133,CHAR(160)," ")))</f>
        <v>Consumer</v>
      </c>
      <c r="G132" s="3" t="str">
        <f aca="false">PROPER(TRIM(SUBSTITUTE(Raw_Text_Fields!D133,CHAR(160)," ")))</f>
        <v>West</v>
      </c>
      <c r="H132" s="3" t="str">
        <f aca="false">PROPER(TRIM(SUBSTITUTE(Raw_Text_Fields!E133,CHAR(160)," ")))</f>
        <v>Gujarat</v>
      </c>
      <c r="I132" s="3" t="str">
        <f aca="false">PROPER(TRIM(SUBSTITUTE(Raw_Text_Fields!F133,CHAR(160)," ")))</f>
        <v>Ahmedabad</v>
      </c>
      <c r="J132" s="3" t="str">
        <f aca="false">PROPER(TRIM(SUBSTITUTE(Raw_Text_Fields!G133,CHAR(160)," ")))</f>
        <v>Office Supplies</v>
      </c>
      <c r="K132" s="3" t="str">
        <f aca="false">PROPER(TRIM(SUBSTITUTE(Raw_Text_Fields!H133,CHAR(160)," ")))</f>
        <v>Labels</v>
      </c>
      <c r="L132" s="3" t="s">
        <v>425</v>
      </c>
      <c r="M132" s="3" t="str">
        <f aca="false">PROPER(TRIM(SUBSTITUTE(Raw_Text_Fields!I133,CHAR(160)," ")))</f>
        <v>Same Day</v>
      </c>
      <c r="N132" s="3" t="n">
        <v>5</v>
      </c>
      <c r="O132" s="5" t="n">
        <v>218.42</v>
      </c>
      <c r="P132" s="6" t="n">
        <v>0.2</v>
      </c>
      <c r="Q132" s="5" t="n">
        <v>873.68</v>
      </c>
      <c r="R132" s="5" t="n">
        <v>661.72</v>
      </c>
      <c r="S132" s="5" t="n">
        <v>211.96</v>
      </c>
      <c r="T132" s="3" t="str">
        <f aca="false">PROPER(TRIM(SUBSTITUTE(Raw_Text_Fields!J133,CHAR(160)," ")))</f>
        <v>Pending</v>
      </c>
      <c r="U132" s="3" t="str">
        <f aca="false">PROPER(TRIM(SUBSTITUTE(Raw_Text_Fields!K133,CHAR(160)," ")))</f>
        <v>Cancelled</v>
      </c>
      <c r="V132" s="7" t="n">
        <f aca="false">IF(OR(P132&lt;0,P132&gt;0.5),0,P132)</f>
        <v>0.2</v>
      </c>
      <c r="W132" s="8" t="n">
        <f aca="false">N132*O132*(1-V132)</f>
        <v>873.68</v>
      </c>
      <c r="X132" s="8" t="n">
        <f aca="false">W132-R132</f>
        <v>211.96</v>
      </c>
      <c r="Y132" s="7" t="n">
        <f aca="false">IFERROR(X132/W132,0)</f>
        <v>0.242605988462595</v>
      </c>
      <c r="Z132" s="9" t="n">
        <f aca="false">C132-B132</f>
        <v>6</v>
      </c>
      <c r="AA132" s="1" t="str">
        <f aca="false">IF(B132="","",TEXT(B132,"mmm"))</f>
        <v>Jan</v>
      </c>
      <c r="AB132" s="9" t="n">
        <f aca="false">IF(B132="","",YEAR(B132))</f>
        <v>2024</v>
      </c>
      <c r="AC132" s="3"/>
      <c r="AD132" s="3" t="str">
        <f aca="false">IF(LEFT(AC132&amp;IF(B132="","; Missing Order Date","")&amp;IF(C132="","; Missing Ship Date","")&amp;IF(P132&lt;0,"; Invalid Discount (Negative)","")&amp;IF(P132&gt;0.5,"; Invalid Discount (Too High)","")&amp;IF(Z132&lt;0,"; Invalid Shipping Record (Ship Before Order)","")&amp;IF(ABS(Q132-W132)&gt;1,"; Sales Mismatch","")&amp;IF(ABS(S132-X132)&gt;1,"; Profit Mismatch","")&amp;IF(COUNTIF($A$2:$A$913,A132)&gt;1,"; Duplicate Order ID Conflict",""),2)="; ",MID(AC132&amp;IF(B132="","; Missing Order Date","")&amp;IF(C132="","; Missing Ship Date","")&amp;IF(P132&lt;0,"; Invalid Discount (Negative)","")&amp;IF(P132&gt;0.5,"; Invalid Discount (Too High)","")&amp;IF(Z132&lt;0,"; Invalid Shipping Record (Ship Before Order)","")&amp;IF(ABS(Q132-W132)&gt;1,"; Sales Mismatch","")&amp;IF(ABS(S132-X132)&gt;1,"; Profit Mismatch","")&amp;IF(COUNTIF($A$2:$A$913,A132)&gt;1,"; Duplicate Order ID Conflict",""),3,500),AC132&amp;IF(B132="","; Missing Order Date","")&amp;IF(C132="","; Missing Ship Date","")&amp;IF(P132&lt;0,"; Invalid Discount (Negative)","")&amp;IF(P132&gt;0.5,"; Invalid Discount (Too High)","")&amp;IF(Z132&lt;0,"; Invalid Shipping Record (Ship Before Order)","")&amp;IF(ABS(Q132-W132)&gt;1,"; Sales Mismatch","")&amp;IF(ABS(S132-X132)&gt;1,"; Profit Mismatch","")&amp;IF(COUNTIF($A$2:$A$913,A132)&gt;1,"; Duplicate Order ID Conflict",""))</f>
        <v/>
      </c>
      <c r="AE132" s="10" t="str">
        <f aca="false">IF(OR(ISNUMBER(SEARCH("Invalid Discount",AD132)),ISNUMBER(SEARCH("Invalid Shipping Record",AD132)),ISNUMBER(SEARCH("Sales Mismatch",AD132)),ISNUMBER(SEARCH("Profit Mismatch",AD132)),ISNUMBER(SEARCH("Duplicate Order ID Conflict",AD132)),ISNUMBER(SEARCH("Missing Order Date",AD132)),ISNUMBER(SEARCH("Missing Ship Date",AD132))),"Invalid",IF(AD132&lt;&gt;"","Warning","Clean"))</f>
        <v>Clean</v>
      </c>
    </row>
    <row r="133" customFormat="false" ht="15" hidden="false" customHeight="true" outlineLevel="0" collapsed="false">
      <c r="A133" s="3" t="s">
        <v>426</v>
      </c>
      <c r="B133" s="4" t="n">
        <v>45929</v>
      </c>
      <c r="C133" s="4" t="n">
        <v>45934</v>
      </c>
      <c r="D133" s="3" t="s">
        <v>427</v>
      </c>
      <c r="E133" s="3" t="str">
        <f aca="false">PROPER(TRIM(SUBSTITUTE(Raw_Text_Fields!B134,CHAR(160)," ")))</f>
        <v>Ananya Rao</v>
      </c>
      <c r="F133" s="3" t="str">
        <f aca="false">PROPER(TRIM(SUBSTITUTE(Raw_Text_Fields!C134,CHAR(160)," ")))</f>
        <v>Home Office</v>
      </c>
      <c r="G133" s="3" t="str">
        <f aca="false">PROPER(TRIM(SUBSTITUTE(Raw_Text_Fields!D134,CHAR(160)," ")))</f>
        <v>East</v>
      </c>
      <c r="H133" s="3" t="str">
        <f aca="false">PROPER(TRIM(SUBSTITUTE(Raw_Text_Fields!E134,CHAR(160)," ")))</f>
        <v>Jharkhand</v>
      </c>
      <c r="I133" s="3" t="str">
        <f aca="false">PROPER(TRIM(SUBSTITUTE(Raw_Text_Fields!F134,CHAR(160)," ")))</f>
        <v>Ranchi</v>
      </c>
      <c r="J133" s="3" t="str">
        <f aca="false">PROPER(TRIM(SUBSTITUTE(Raw_Text_Fields!G134,CHAR(160)," ")))</f>
        <v>Office Supplies</v>
      </c>
      <c r="K133" s="3" t="str">
        <f aca="false">PROPER(TRIM(SUBSTITUTE(Raw_Text_Fields!H134,CHAR(160)," ")))</f>
        <v>Paper</v>
      </c>
      <c r="L133" s="3" t="s">
        <v>428</v>
      </c>
      <c r="M133" s="3" t="str">
        <f aca="false">PROPER(TRIM(SUBSTITUTE(Raw_Text_Fields!I134,CHAR(160)," ")))</f>
        <v>Same Day</v>
      </c>
      <c r="N133" s="3" t="n">
        <v>9</v>
      </c>
      <c r="O133" s="5" t="n">
        <v>373.91</v>
      </c>
      <c r="P133" s="6" t="n">
        <v>0.2</v>
      </c>
      <c r="Q133" s="5" t="n">
        <v>2692.15</v>
      </c>
      <c r="R133" s="5" t="n">
        <v>2044.49</v>
      </c>
      <c r="S133" s="5" t="n">
        <v>647.66</v>
      </c>
      <c r="T133" s="3" t="str">
        <f aca="false">PROPER(TRIM(SUBSTITUTE(Raw_Text_Fields!J134,CHAR(160)," ")))</f>
        <v>Paid</v>
      </c>
      <c r="U133" s="3" t="str">
        <f aca="false">PROPER(TRIM(SUBSTITUTE(Raw_Text_Fields!K134,CHAR(160)," ")))</f>
        <v>Completed</v>
      </c>
      <c r="V133" s="7" t="n">
        <f aca="false">IF(OR(P133&lt;0,P133&gt;0.5),0,P133)</f>
        <v>0.2</v>
      </c>
      <c r="W133" s="8" t="n">
        <f aca="false">N133*O133*(1-V133)</f>
        <v>2692.152</v>
      </c>
      <c r="X133" s="8" t="n">
        <f aca="false">W133-R133</f>
        <v>647.662</v>
      </c>
      <c r="Y133" s="7" t="n">
        <f aca="false">IFERROR(X133/W133,0)</f>
        <v>0.240574083484142</v>
      </c>
      <c r="Z133" s="9" t="n">
        <f aca="false">C133-B133</f>
        <v>5</v>
      </c>
      <c r="AA133" s="1" t="str">
        <f aca="false">IF(B133="","",TEXT(B133,"mmm"))</f>
        <v>Sep</v>
      </c>
      <c r="AB133" s="9" t="n">
        <f aca="false">IF(B133="","",YEAR(B133))</f>
        <v>2025</v>
      </c>
      <c r="AC133" s="3"/>
      <c r="AD133" s="3" t="str">
        <f aca="false">IF(LEFT(AC133&amp;IF(B133="","; Missing Order Date","")&amp;IF(C133="","; Missing Ship Date","")&amp;IF(P133&lt;0,"; Invalid Discount (Negative)","")&amp;IF(P133&gt;0.5,"; Invalid Discount (Too High)","")&amp;IF(Z133&lt;0,"; Invalid Shipping Record (Ship Before Order)","")&amp;IF(ABS(Q133-W133)&gt;1,"; Sales Mismatch","")&amp;IF(ABS(S133-X133)&gt;1,"; Profit Mismatch","")&amp;IF(COUNTIF($A$2:$A$913,A133)&gt;1,"; Duplicate Order ID Conflict",""),2)="; ",MID(AC133&amp;IF(B133="","; Missing Order Date","")&amp;IF(C133="","; Missing Ship Date","")&amp;IF(P133&lt;0,"; Invalid Discount (Negative)","")&amp;IF(P133&gt;0.5,"; Invalid Discount (Too High)","")&amp;IF(Z133&lt;0,"; Invalid Shipping Record (Ship Before Order)","")&amp;IF(ABS(Q133-W133)&gt;1,"; Sales Mismatch","")&amp;IF(ABS(S133-X133)&gt;1,"; Profit Mismatch","")&amp;IF(COUNTIF($A$2:$A$913,A133)&gt;1,"; Duplicate Order ID Conflict",""),3,500),AC133&amp;IF(B133="","; Missing Order Date","")&amp;IF(C133="","; Missing Ship Date","")&amp;IF(P133&lt;0,"; Invalid Discount (Negative)","")&amp;IF(P133&gt;0.5,"; Invalid Discount (Too High)","")&amp;IF(Z133&lt;0,"; Invalid Shipping Record (Ship Before Order)","")&amp;IF(ABS(Q133-W133)&gt;1,"; Sales Mismatch","")&amp;IF(ABS(S133-X133)&gt;1,"; Profit Mismatch","")&amp;IF(COUNTIF($A$2:$A$913,A133)&gt;1,"; Duplicate Order ID Conflict",""))</f>
        <v/>
      </c>
      <c r="AE133" s="10" t="str">
        <f aca="false">IF(OR(ISNUMBER(SEARCH("Invalid Discount",AD133)),ISNUMBER(SEARCH("Invalid Shipping Record",AD133)),ISNUMBER(SEARCH("Sales Mismatch",AD133)),ISNUMBER(SEARCH("Profit Mismatch",AD133)),ISNUMBER(SEARCH("Duplicate Order ID Conflict",AD133)),ISNUMBER(SEARCH("Missing Order Date",AD133)),ISNUMBER(SEARCH("Missing Ship Date",AD133))),"Invalid",IF(AD133&lt;&gt;"","Warning","Clean"))</f>
        <v>Clean</v>
      </c>
    </row>
    <row r="134" customFormat="false" ht="15" hidden="false" customHeight="true" outlineLevel="0" collapsed="false">
      <c r="A134" s="3" t="s">
        <v>429</v>
      </c>
      <c r="B134" s="4" t="n">
        <v>45600</v>
      </c>
      <c r="C134" s="4" t="n">
        <v>45600</v>
      </c>
      <c r="D134" s="3" t="s">
        <v>430</v>
      </c>
      <c r="E134" s="3" t="str">
        <f aca="false">PROPER(TRIM(SUBSTITUTE(Raw_Text_Fields!B135,CHAR(160)," ")))</f>
        <v>Kabir Singh</v>
      </c>
      <c r="F134" s="3" t="str">
        <f aca="false">PROPER(TRIM(SUBSTITUTE(Raw_Text_Fields!C135,CHAR(160)," ")))</f>
        <v>Corporate</v>
      </c>
      <c r="G134" s="3" t="str">
        <f aca="false">PROPER(TRIM(SUBSTITUTE(Raw_Text_Fields!D135,CHAR(160)," ")))</f>
        <v>East</v>
      </c>
      <c r="H134" s="3" t="str">
        <f aca="false">PROPER(TRIM(SUBSTITUTE(Raw_Text_Fields!E135,CHAR(160)," ")))</f>
        <v>Assam</v>
      </c>
      <c r="I134" s="3" t="str">
        <f aca="false">PROPER(TRIM(SUBSTITUTE(Raw_Text_Fields!F135,CHAR(160)," ")))</f>
        <v>Guwahati</v>
      </c>
      <c r="J134" s="3" t="str">
        <f aca="false">PROPER(TRIM(SUBSTITUTE(Raw_Text_Fields!G135,CHAR(160)," ")))</f>
        <v>Technology</v>
      </c>
      <c r="K134" s="3" t="str">
        <f aca="false">PROPER(TRIM(SUBSTITUTE(Raw_Text_Fields!H135,CHAR(160)," ")))</f>
        <v>Machines</v>
      </c>
      <c r="L134" s="3" t="s">
        <v>431</v>
      </c>
      <c r="M134" s="3" t="str">
        <f aca="false">PROPER(TRIM(SUBSTITUTE(Raw_Text_Fields!I135,CHAR(160)," ")))</f>
        <v>First Class</v>
      </c>
      <c r="N134" s="3" t="n">
        <v>2</v>
      </c>
      <c r="O134" s="5" t="n">
        <v>533.08</v>
      </c>
      <c r="P134" s="6" t="n">
        <v>0</v>
      </c>
      <c r="Q134" s="5" t="n">
        <v>1066.16</v>
      </c>
      <c r="R134" s="5" t="n">
        <v>656.3</v>
      </c>
      <c r="S134" s="5" t="n">
        <v>409.86</v>
      </c>
      <c r="T134" s="3" t="str">
        <f aca="false">PROPER(TRIM(SUBSTITUTE(Raw_Text_Fields!J135,CHAR(160)," ")))</f>
        <v>Failed</v>
      </c>
      <c r="U134" s="3" t="str">
        <f aca="false">PROPER(TRIM(SUBSTITUTE(Raw_Text_Fields!K135,CHAR(160)," ")))</f>
        <v>Cancelled</v>
      </c>
      <c r="V134" s="7" t="n">
        <f aca="false">IF(OR(P134&lt;0,P134&gt;0.5),0,P134)</f>
        <v>0</v>
      </c>
      <c r="W134" s="8" t="n">
        <f aca="false">N134*O134*(1-V134)</f>
        <v>1066.16</v>
      </c>
      <c r="X134" s="8" t="n">
        <f aca="false">W134-R134</f>
        <v>409.86</v>
      </c>
      <c r="Y134" s="7" t="n">
        <f aca="false">IFERROR(X134/W134,0)</f>
        <v>0.384426352517446</v>
      </c>
      <c r="Z134" s="9" t="n">
        <f aca="false">C134-B134</f>
        <v>0</v>
      </c>
      <c r="AA134" s="1" t="str">
        <f aca="false">IF(B134="","",TEXT(B134,"mmm"))</f>
        <v>Nov</v>
      </c>
      <c r="AB134" s="9" t="n">
        <f aca="false">IF(B134="","",YEAR(B134))</f>
        <v>2024</v>
      </c>
      <c r="AC134" s="3"/>
      <c r="AD134" s="3" t="str">
        <f aca="false">IF(LEFT(AC134&amp;IF(B134="","; Missing Order Date","")&amp;IF(C134="","; Missing Ship Date","")&amp;IF(P134&lt;0,"; Invalid Discount (Negative)","")&amp;IF(P134&gt;0.5,"; Invalid Discount (Too High)","")&amp;IF(Z134&lt;0,"; Invalid Shipping Record (Ship Before Order)","")&amp;IF(ABS(Q134-W134)&gt;1,"; Sales Mismatch","")&amp;IF(ABS(S134-X134)&gt;1,"; Profit Mismatch","")&amp;IF(COUNTIF($A$2:$A$913,A134)&gt;1,"; Duplicate Order ID Conflict",""),2)="; ",MID(AC134&amp;IF(B134="","; Missing Order Date","")&amp;IF(C134="","; Missing Ship Date","")&amp;IF(P134&lt;0,"; Invalid Discount (Negative)","")&amp;IF(P134&gt;0.5,"; Invalid Discount (Too High)","")&amp;IF(Z134&lt;0,"; Invalid Shipping Record (Ship Before Order)","")&amp;IF(ABS(Q134-W134)&gt;1,"; Sales Mismatch","")&amp;IF(ABS(S134-X134)&gt;1,"; Profit Mismatch","")&amp;IF(COUNTIF($A$2:$A$913,A134)&gt;1,"; Duplicate Order ID Conflict",""),3,500),AC134&amp;IF(B134="","; Missing Order Date","")&amp;IF(C134="","; Missing Ship Date","")&amp;IF(P134&lt;0,"; Invalid Discount (Negative)","")&amp;IF(P134&gt;0.5,"; Invalid Discount (Too High)","")&amp;IF(Z134&lt;0,"; Invalid Shipping Record (Ship Before Order)","")&amp;IF(ABS(Q134-W134)&gt;1,"; Sales Mismatch","")&amp;IF(ABS(S134-X134)&gt;1,"; Profit Mismatch","")&amp;IF(COUNTIF($A$2:$A$913,A134)&gt;1,"; Duplicate Order ID Conflict",""))</f>
        <v/>
      </c>
      <c r="AE134" s="10" t="str">
        <f aca="false">IF(OR(ISNUMBER(SEARCH("Invalid Discount",AD134)),ISNUMBER(SEARCH("Invalid Shipping Record",AD134)),ISNUMBER(SEARCH("Sales Mismatch",AD134)),ISNUMBER(SEARCH("Profit Mismatch",AD134)),ISNUMBER(SEARCH("Duplicate Order ID Conflict",AD134)),ISNUMBER(SEARCH("Missing Order Date",AD134)),ISNUMBER(SEARCH("Missing Ship Date",AD134))),"Invalid",IF(AD134&lt;&gt;"","Warning","Clean"))</f>
        <v>Clean</v>
      </c>
    </row>
    <row r="135" customFormat="false" ht="15" hidden="false" customHeight="true" outlineLevel="0" collapsed="false">
      <c r="A135" s="3" t="s">
        <v>432</v>
      </c>
      <c r="B135" s="4" t="n">
        <v>45639</v>
      </c>
      <c r="C135" s="4" t="n">
        <v>45644</v>
      </c>
      <c r="D135" s="3" t="s">
        <v>433</v>
      </c>
      <c r="E135" s="3" t="str">
        <f aca="false">PROPER(TRIM(SUBSTITUTE(Raw_Text_Fields!B136,CHAR(160)," ")))</f>
        <v>Karan Malhotra</v>
      </c>
      <c r="F135" s="3" t="str">
        <f aca="false">PROPER(TRIM(SUBSTITUTE(Raw_Text_Fields!C136,CHAR(160)," ")))</f>
        <v>Consumer</v>
      </c>
      <c r="G135" s="3" t="str">
        <f aca="false">PROPER(TRIM(SUBSTITUTE(Raw_Text_Fields!D136,CHAR(160)," ")))</f>
        <v>West</v>
      </c>
      <c r="H135" s="3" t="str">
        <f aca="false">PROPER(TRIM(SUBSTITUTE(Raw_Text_Fields!E136,CHAR(160)," ")))</f>
        <v>Goa</v>
      </c>
      <c r="I135" s="3" t="str">
        <f aca="false">PROPER(TRIM(SUBSTITUTE(Raw_Text_Fields!F136,CHAR(160)," ")))</f>
        <v>Panaji</v>
      </c>
      <c r="J135" s="3" t="str">
        <f aca="false">PROPER(TRIM(SUBSTITUTE(Raw_Text_Fields!G136,CHAR(160)," ")))</f>
        <v>Technology</v>
      </c>
      <c r="K135" s="3" t="str">
        <f aca="false">PROPER(TRIM(SUBSTITUTE(Raw_Text_Fields!H136,CHAR(160)," ")))</f>
        <v>Phones</v>
      </c>
      <c r="L135" s="3" t="s">
        <v>434</v>
      </c>
      <c r="M135" s="3" t="str">
        <f aca="false">PROPER(TRIM(SUBSTITUTE(Raw_Text_Fields!I136,CHAR(160)," ")))</f>
        <v>Second Class</v>
      </c>
      <c r="N135" s="3" t="n">
        <v>8</v>
      </c>
      <c r="O135" s="5" t="n">
        <v>3372.15</v>
      </c>
      <c r="P135" s="6" t="n">
        <v>0.15</v>
      </c>
      <c r="Q135" s="5" t="n">
        <v>22930.62</v>
      </c>
      <c r="R135" s="5" t="n">
        <v>16875.55</v>
      </c>
      <c r="S135" s="5" t="n">
        <v>6055.07</v>
      </c>
      <c r="T135" s="3" t="str">
        <f aca="false">PROPER(TRIM(SUBSTITUTE(Raw_Text_Fields!J136,CHAR(160)," ")))</f>
        <v>Paid</v>
      </c>
      <c r="U135" s="3" t="str">
        <f aca="false">PROPER(TRIM(SUBSTITUTE(Raw_Text_Fields!K136,CHAR(160)," ")))</f>
        <v>Completed</v>
      </c>
      <c r="V135" s="7" t="n">
        <f aca="false">IF(OR(P135&lt;0,P135&gt;0.5),0,P135)</f>
        <v>0.15</v>
      </c>
      <c r="W135" s="8" t="n">
        <f aca="false">N135*O135*(1-V135)</f>
        <v>22930.62</v>
      </c>
      <c r="X135" s="8" t="n">
        <f aca="false">W135-R135</f>
        <v>6055.07</v>
      </c>
      <c r="Y135" s="7" t="n">
        <f aca="false">IFERROR(X135/W135,0)</f>
        <v>0.264060457152925</v>
      </c>
      <c r="Z135" s="9" t="n">
        <f aca="false">C135-B135</f>
        <v>5</v>
      </c>
      <c r="AA135" s="1" t="str">
        <f aca="false">IF(B135="","",TEXT(B135,"mmm"))</f>
        <v>Dec</v>
      </c>
      <c r="AB135" s="9" t="n">
        <f aca="false">IF(B135="","",YEAR(B135))</f>
        <v>2024</v>
      </c>
      <c r="AC135" s="3"/>
      <c r="AD135" s="3" t="str">
        <f aca="false">IF(LEFT(AC135&amp;IF(B135="","; Missing Order Date","")&amp;IF(C135="","; Missing Ship Date","")&amp;IF(P135&lt;0,"; Invalid Discount (Negative)","")&amp;IF(P135&gt;0.5,"; Invalid Discount (Too High)","")&amp;IF(Z135&lt;0,"; Invalid Shipping Record (Ship Before Order)","")&amp;IF(ABS(Q135-W135)&gt;1,"; Sales Mismatch","")&amp;IF(ABS(S135-X135)&gt;1,"; Profit Mismatch","")&amp;IF(COUNTIF($A$2:$A$913,A135)&gt;1,"; Duplicate Order ID Conflict",""),2)="; ",MID(AC135&amp;IF(B135="","; Missing Order Date","")&amp;IF(C135="","; Missing Ship Date","")&amp;IF(P135&lt;0,"; Invalid Discount (Negative)","")&amp;IF(P135&gt;0.5,"; Invalid Discount (Too High)","")&amp;IF(Z135&lt;0,"; Invalid Shipping Record (Ship Before Order)","")&amp;IF(ABS(Q135-W135)&gt;1,"; Sales Mismatch","")&amp;IF(ABS(S135-X135)&gt;1,"; Profit Mismatch","")&amp;IF(COUNTIF($A$2:$A$913,A135)&gt;1,"; Duplicate Order ID Conflict",""),3,500),AC135&amp;IF(B135="","; Missing Order Date","")&amp;IF(C135="","; Missing Ship Date","")&amp;IF(P135&lt;0,"; Invalid Discount (Negative)","")&amp;IF(P135&gt;0.5,"; Invalid Discount (Too High)","")&amp;IF(Z135&lt;0,"; Invalid Shipping Record (Ship Before Order)","")&amp;IF(ABS(Q135-W135)&gt;1,"; Sales Mismatch","")&amp;IF(ABS(S135-X135)&gt;1,"; Profit Mismatch","")&amp;IF(COUNTIF($A$2:$A$913,A135)&gt;1,"; Duplicate Order ID Conflict",""))</f>
        <v/>
      </c>
      <c r="AE135" s="10" t="str">
        <f aca="false">IF(OR(ISNUMBER(SEARCH("Invalid Discount",AD135)),ISNUMBER(SEARCH("Invalid Shipping Record",AD135)),ISNUMBER(SEARCH("Sales Mismatch",AD135)),ISNUMBER(SEARCH("Profit Mismatch",AD135)),ISNUMBER(SEARCH("Duplicate Order ID Conflict",AD135)),ISNUMBER(SEARCH("Missing Order Date",AD135)),ISNUMBER(SEARCH("Missing Ship Date",AD135))),"Invalid",IF(AD135&lt;&gt;"","Warning","Clean"))</f>
        <v>Clean</v>
      </c>
    </row>
    <row r="136" customFormat="false" ht="15" hidden="false" customHeight="true" outlineLevel="0" collapsed="false">
      <c r="A136" s="3" t="s">
        <v>435</v>
      </c>
      <c r="B136" s="4" t="n">
        <v>45852</v>
      </c>
      <c r="C136" s="4" t="n">
        <v>45852</v>
      </c>
      <c r="D136" s="3" t="s">
        <v>436</v>
      </c>
      <c r="E136" s="3" t="str">
        <f aca="false">PROPER(TRIM(SUBSTITUTE(Raw_Text_Fields!B137,CHAR(160)," ")))</f>
        <v>Vikram Iyer</v>
      </c>
      <c r="F136" s="3" t="str">
        <f aca="false">PROPER(TRIM(SUBSTITUTE(Raw_Text_Fields!C137,CHAR(160)," ")))</f>
        <v>Home Office</v>
      </c>
      <c r="G136" s="3" t="str">
        <f aca="false">PROPER(TRIM(SUBSTITUTE(Raw_Text_Fields!D137,CHAR(160)," ")))</f>
        <v>East</v>
      </c>
      <c r="H136" s="3" t="str">
        <f aca="false">PROPER(TRIM(SUBSTITUTE(Raw_Text_Fields!E137,CHAR(160)," ")))</f>
        <v>West Bengal</v>
      </c>
      <c r="I136" s="3" t="str">
        <f aca="false">PROPER(TRIM(SUBSTITUTE(Raw_Text_Fields!F137,CHAR(160)," ")))</f>
        <v>Kolkata</v>
      </c>
      <c r="J136" s="3" t="str">
        <f aca="false">PROPER(TRIM(SUBSTITUTE(Raw_Text_Fields!G137,CHAR(160)," ")))</f>
        <v>Furniture</v>
      </c>
      <c r="K136" s="3" t="str">
        <f aca="false">PROPER(TRIM(SUBSTITUTE(Raw_Text_Fields!H137,CHAR(160)," ")))</f>
        <v>Bookcases</v>
      </c>
      <c r="L136" s="3" t="s">
        <v>437</v>
      </c>
      <c r="M136" s="3" t="str">
        <f aca="false">PROPER(TRIM(SUBSTITUTE(Raw_Text_Fields!I137,CHAR(160)," ")))</f>
        <v>Unknown</v>
      </c>
      <c r="N136" s="3" t="n">
        <v>5</v>
      </c>
      <c r="O136" s="5" t="n">
        <v>383.1</v>
      </c>
      <c r="P136" s="6" t="n">
        <v>0.25</v>
      </c>
      <c r="Q136" s="5" t="n">
        <v>1436.62</v>
      </c>
      <c r="R136" s="5" t="n">
        <v>912.52</v>
      </c>
      <c r="S136" s="5" t="n">
        <v>524.1</v>
      </c>
      <c r="T136" s="3" t="str">
        <f aca="false">PROPER(TRIM(SUBSTITUTE(Raw_Text_Fields!J137,CHAR(160)," ")))</f>
        <v>Pending</v>
      </c>
      <c r="U136" s="3" t="str">
        <f aca="false">PROPER(TRIM(SUBSTITUTE(Raw_Text_Fields!K137,CHAR(160)," ")))</f>
        <v>Cancelled</v>
      </c>
      <c r="V136" s="7" t="n">
        <f aca="false">IF(OR(P136&lt;0,P136&gt;0.5),0,P136)</f>
        <v>0.25</v>
      </c>
      <c r="W136" s="8" t="n">
        <f aca="false">N136*O136*(1-V136)</f>
        <v>1436.625</v>
      </c>
      <c r="X136" s="8" t="n">
        <f aca="false">W136-R136</f>
        <v>524.105</v>
      </c>
      <c r="Y136" s="7" t="n">
        <f aca="false">IFERROR(X136/W136,0)</f>
        <v>0.364816845036109</v>
      </c>
      <c r="Z136" s="9" t="n">
        <f aca="false">C136-B136</f>
        <v>0</v>
      </c>
      <c r="AA136" s="1" t="str">
        <f aca="false">IF(B136="","",TEXT(B136,"mmm"))</f>
        <v>Jul</v>
      </c>
      <c r="AB136" s="9" t="n">
        <f aca="false">IF(B136="","",YEAR(B136))</f>
        <v>2025</v>
      </c>
      <c r="AC136" s="3" t="s">
        <v>137</v>
      </c>
      <c r="AD136" s="3" t="str">
        <f aca="false">IF(LEFT(AC136&amp;IF(B136="","; Missing Order Date","")&amp;IF(C136="","; Missing Ship Date","")&amp;IF(P136&lt;0,"; Invalid Discount (Negative)","")&amp;IF(P136&gt;0.5,"; Invalid Discount (Too High)","")&amp;IF(Z136&lt;0,"; Invalid Shipping Record (Ship Before Order)","")&amp;IF(ABS(Q136-W136)&gt;1,"; Sales Mismatch","")&amp;IF(ABS(S136-X136)&gt;1,"; Profit Mismatch","")&amp;IF(COUNTIF($A$2:$A$913,A136)&gt;1,"; Duplicate Order ID Conflict",""),2)="; ",MID(AC136&amp;IF(B136="","; Missing Order Date","")&amp;IF(C136="","; Missing Ship Date","")&amp;IF(P136&lt;0,"; Invalid Discount (Negative)","")&amp;IF(P136&gt;0.5,"; Invalid Discount (Too High)","")&amp;IF(Z136&lt;0,"; Invalid Shipping Record (Ship Before Order)","")&amp;IF(ABS(Q136-W136)&gt;1,"; Sales Mismatch","")&amp;IF(ABS(S136-X136)&gt;1,"; Profit Mismatch","")&amp;IF(COUNTIF($A$2:$A$913,A136)&gt;1,"; Duplicate Order ID Conflict",""),3,500),AC136&amp;IF(B136="","; Missing Order Date","")&amp;IF(C136="","; Missing Ship Date","")&amp;IF(P136&lt;0,"; Invalid Discount (Negative)","")&amp;IF(P136&gt;0.5,"; Invalid Discount (Too High)","")&amp;IF(Z136&lt;0,"; Invalid Shipping Record (Ship Before Order)","")&amp;IF(ABS(Q136-W136)&gt;1,"; Sales Mismatch","")&amp;IF(ABS(S136-X136)&gt;1,"; Profit Mismatch","")&amp;IF(COUNTIF($A$2:$A$913,A136)&gt;1,"; Duplicate Order ID Conflict",""))</f>
        <v>Missing Ship Mode (filled Unknown)</v>
      </c>
      <c r="AE136" s="10" t="str">
        <f aca="false">IF(OR(ISNUMBER(SEARCH("Invalid Discount",AD136)),ISNUMBER(SEARCH("Invalid Shipping Record",AD136)),ISNUMBER(SEARCH("Sales Mismatch",AD136)),ISNUMBER(SEARCH("Profit Mismatch",AD136)),ISNUMBER(SEARCH("Duplicate Order ID Conflict",AD136)),ISNUMBER(SEARCH("Missing Order Date",AD136)),ISNUMBER(SEARCH("Missing Ship Date",AD136))),"Invalid",IF(AD136&lt;&gt;"","Warning","Clean"))</f>
        <v>Warning</v>
      </c>
    </row>
    <row r="137" customFormat="false" ht="15" hidden="false" customHeight="true" outlineLevel="0" collapsed="false">
      <c r="A137" s="3" t="s">
        <v>438</v>
      </c>
      <c r="B137" s="4" t="n">
        <v>45893</v>
      </c>
      <c r="C137" s="4" t="n">
        <v>45893</v>
      </c>
      <c r="D137" s="3" t="s">
        <v>439</v>
      </c>
      <c r="E137" s="3" t="str">
        <f aca="false">PROPER(TRIM(SUBSTITUTE(Raw_Text_Fields!B138,CHAR(160)," ")))</f>
        <v>Diya Patel</v>
      </c>
      <c r="F137" s="3" t="str">
        <f aca="false">PROPER(TRIM(SUBSTITUTE(Raw_Text_Fields!C138,CHAR(160)," ")))</f>
        <v>Small Business</v>
      </c>
      <c r="G137" s="3" t="str">
        <f aca="false">PROPER(TRIM(SUBSTITUTE(Raw_Text_Fields!D138,CHAR(160)," ")))</f>
        <v>South</v>
      </c>
      <c r="H137" s="3" t="str">
        <f aca="false">PROPER(TRIM(SUBSTITUTE(Raw_Text_Fields!E138,CHAR(160)," ")))</f>
        <v>Kerala</v>
      </c>
      <c r="I137" s="3" t="str">
        <f aca="false">PROPER(TRIM(SUBSTITUTE(Raw_Text_Fields!F138,CHAR(160)," ")))</f>
        <v>Kochi</v>
      </c>
      <c r="J137" s="3" t="str">
        <f aca="false">PROPER(TRIM(SUBSTITUTE(Raw_Text_Fields!G138,CHAR(160)," ")))</f>
        <v>Furniture</v>
      </c>
      <c r="K137" s="3" t="str">
        <f aca="false">PROPER(TRIM(SUBSTITUTE(Raw_Text_Fields!H138,CHAR(160)," ")))</f>
        <v>Bookcases</v>
      </c>
      <c r="L137" s="3" t="s">
        <v>440</v>
      </c>
      <c r="M137" s="3" t="str">
        <f aca="false">PROPER(TRIM(SUBSTITUTE(Raw_Text_Fields!I138,CHAR(160)," ")))</f>
        <v>Standard Class</v>
      </c>
      <c r="N137" s="3" t="n">
        <v>1</v>
      </c>
      <c r="O137" s="5" t="n">
        <v>3424.78</v>
      </c>
      <c r="P137" s="6" t="n">
        <v>0</v>
      </c>
      <c r="Q137" s="5" t="n">
        <v>3424.78</v>
      </c>
      <c r="R137" s="5" t="n">
        <v>1951.45</v>
      </c>
      <c r="S137" s="5" t="n">
        <v>1473.33</v>
      </c>
      <c r="T137" s="3" t="str">
        <f aca="false">PROPER(TRIM(SUBSTITUTE(Raw_Text_Fields!J138,CHAR(160)," ")))</f>
        <v>Paid</v>
      </c>
      <c r="U137" s="3" t="str">
        <f aca="false">PROPER(TRIM(SUBSTITUTE(Raw_Text_Fields!K138,CHAR(160)," ")))</f>
        <v>Completed</v>
      </c>
      <c r="V137" s="7" t="n">
        <f aca="false">IF(OR(P137&lt;0,P137&gt;0.5),0,P137)</f>
        <v>0</v>
      </c>
      <c r="W137" s="8" t="n">
        <f aca="false">N137*O137*(1-V137)</f>
        <v>3424.78</v>
      </c>
      <c r="X137" s="8" t="n">
        <f aca="false">W137-R137</f>
        <v>1473.33</v>
      </c>
      <c r="Y137" s="7" t="n">
        <f aca="false">IFERROR(X137/W137,0)</f>
        <v>0.430196976156133</v>
      </c>
      <c r="Z137" s="9" t="n">
        <f aca="false">C137-B137</f>
        <v>0</v>
      </c>
      <c r="AA137" s="1" t="str">
        <f aca="false">IF(B137="","",TEXT(B137,"mmm"))</f>
        <v>Aug</v>
      </c>
      <c r="AB137" s="9" t="n">
        <f aca="false">IF(B137="","",YEAR(B137))</f>
        <v>2025</v>
      </c>
      <c r="AC137" s="3"/>
      <c r="AD137" s="3" t="str">
        <f aca="false">IF(LEFT(AC137&amp;IF(B137="","; Missing Order Date","")&amp;IF(C137="","; Missing Ship Date","")&amp;IF(P137&lt;0,"; Invalid Discount (Negative)","")&amp;IF(P137&gt;0.5,"; Invalid Discount (Too High)","")&amp;IF(Z137&lt;0,"; Invalid Shipping Record (Ship Before Order)","")&amp;IF(ABS(Q137-W137)&gt;1,"; Sales Mismatch","")&amp;IF(ABS(S137-X137)&gt;1,"; Profit Mismatch","")&amp;IF(COUNTIF($A$2:$A$913,A137)&gt;1,"; Duplicate Order ID Conflict",""),2)="; ",MID(AC137&amp;IF(B137="","; Missing Order Date","")&amp;IF(C137="","; Missing Ship Date","")&amp;IF(P137&lt;0,"; Invalid Discount (Negative)","")&amp;IF(P137&gt;0.5,"; Invalid Discount (Too High)","")&amp;IF(Z137&lt;0,"; Invalid Shipping Record (Ship Before Order)","")&amp;IF(ABS(Q137-W137)&gt;1,"; Sales Mismatch","")&amp;IF(ABS(S137-X137)&gt;1,"; Profit Mismatch","")&amp;IF(COUNTIF($A$2:$A$913,A137)&gt;1,"; Duplicate Order ID Conflict",""),3,500),AC137&amp;IF(B137="","; Missing Order Date","")&amp;IF(C137="","; Missing Ship Date","")&amp;IF(P137&lt;0,"; Invalid Discount (Negative)","")&amp;IF(P137&gt;0.5,"; Invalid Discount (Too High)","")&amp;IF(Z137&lt;0,"; Invalid Shipping Record (Ship Before Order)","")&amp;IF(ABS(Q137-W137)&gt;1,"; Sales Mismatch","")&amp;IF(ABS(S137-X137)&gt;1,"; Profit Mismatch","")&amp;IF(COUNTIF($A$2:$A$913,A137)&gt;1,"; Duplicate Order ID Conflict",""))</f>
        <v/>
      </c>
      <c r="AE137" s="10" t="str">
        <f aca="false">IF(OR(ISNUMBER(SEARCH("Invalid Discount",AD137)),ISNUMBER(SEARCH("Invalid Shipping Record",AD137)),ISNUMBER(SEARCH("Sales Mismatch",AD137)),ISNUMBER(SEARCH("Profit Mismatch",AD137)),ISNUMBER(SEARCH("Duplicate Order ID Conflict",AD137)),ISNUMBER(SEARCH("Missing Order Date",AD137)),ISNUMBER(SEARCH("Missing Ship Date",AD137))),"Invalid",IF(AD137&lt;&gt;"","Warning","Clean"))</f>
        <v>Clean</v>
      </c>
    </row>
    <row r="138" customFormat="false" ht="15" hidden="false" customHeight="true" outlineLevel="0" collapsed="false">
      <c r="A138" s="3" t="s">
        <v>441</v>
      </c>
      <c r="B138" s="4" t="n">
        <v>45697</v>
      </c>
      <c r="C138" s="4" t="n">
        <v>45703</v>
      </c>
      <c r="D138" s="3" t="s">
        <v>442</v>
      </c>
      <c r="E138" s="3" t="str">
        <f aca="false">PROPER(TRIM(SUBSTITUTE(Raw_Text_Fields!B139,CHAR(160)," ")))</f>
        <v>Mira Das</v>
      </c>
      <c r="F138" s="3" t="str">
        <f aca="false">PROPER(TRIM(SUBSTITUTE(Raw_Text_Fields!C139,CHAR(160)," ")))</f>
        <v>Home Office</v>
      </c>
      <c r="G138" s="3" t="str">
        <f aca="false">PROPER(TRIM(SUBSTITUTE(Raw_Text_Fields!D139,CHAR(160)," ")))</f>
        <v>East</v>
      </c>
      <c r="H138" s="3" t="str">
        <f aca="false">PROPER(TRIM(SUBSTITUTE(Raw_Text_Fields!E139,CHAR(160)," ")))</f>
        <v>Jharkhand</v>
      </c>
      <c r="I138" s="3" t="str">
        <f aca="false">PROPER(TRIM(SUBSTITUTE(Raw_Text_Fields!F139,CHAR(160)," ")))</f>
        <v>Ranchi</v>
      </c>
      <c r="J138" s="3" t="str">
        <f aca="false">PROPER(TRIM(SUBSTITUTE(Raw_Text_Fields!G139,CHAR(160)," ")))</f>
        <v>Office Supplies</v>
      </c>
      <c r="K138" s="3" t="str">
        <f aca="false">PROPER(TRIM(SUBSTITUTE(Raw_Text_Fields!H139,CHAR(160)," ")))</f>
        <v>Binders</v>
      </c>
      <c r="L138" s="3" t="s">
        <v>443</v>
      </c>
      <c r="M138" s="3" t="str">
        <f aca="false">PROPER(TRIM(SUBSTITUTE(Raw_Text_Fields!I139,CHAR(160)," ")))</f>
        <v>Standard Class</v>
      </c>
      <c r="N138" s="3" t="n">
        <v>9</v>
      </c>
      <c r="O138" s="5" t="n">
        <v>4330.33</v>
      </c>
      <c r="P138" s="6" t="n">
        <v>0.2</v>
      </c>
      <c r="Q138" s="5" t="n">
        <v>31178.38</v>
      </c>
      <c r="R138" s="5" t="n">
        <v>21421.09</v>
      </c>
      <c r="S138" s="5" t="n">
        <v>9757.29</v>
      </c>
      <c r="T138" s="3" t="str">
        <f aca="false">PROPER(TRIM(SUBSTITUTE(Raw_Text_Fields!J139,CHAR(160)," ")))</f>
        <v>Paid</v>
      </c>
      <c r="U138" s="3" t="str">
        <f aca="false">PROPER(TRIM(SUBSTITUTE(Raw_Text_Fields!K139,CHAR(160)," ")))</f>
        <v>Completed</v>
      </c>
      <c r="V138" s="7" t="n">
        <f aca="false">IF(OR(P138&lt;0,P138&gt;0.5),0,P138)</f>
        <v>0.2</v>
      </c>
      <c r="W138" s="8" t="n">
        <f aca="false">N138*O138*(1-V138)</f>
        <v>31178.376</v>
      </c>
      <c r="X138" s="8" t="n">
        <f aca="false">W138-R138</f>
        <v>9757.286</v>
      </c>
      <c r="Y138" s="7" t="n">
        <f aca="false">IFERROR(X138/W138,0)</f>
        <v>0.312950424358216</v>
      </c>
      <c r="Z138" s="9" t="n">
        <f aca="false">C138-B138</f>
        <v>6</v>
      </c>
      <c r="AA138" s="1" t="str">
        <f aca="false">IF(B138="","",TEXT(B138,"mmm"))</f>
        <v>Feb</v>
      </c>
      <c r="AB138" s="9" t="n">
        <f aca="false">IF(B138="","",YEAR(B138))</f>
        <v>2025</v>
      </c>
      <c r="AC138" s="3"/>
      <c r="AD138" s="3" t="str">
        <f aca="false">IF(LEFT(AC138&amp;IF(B138="","; Missing Order Date","")&amp;IF(C138="","; Missing Ship Date","")&amp;IF(P138&lt;0,"; Invalid Discount (Negative)","")&amp;IF(P138&gt;0.5,"; Invalid Discount (Too High)","")&amp;IF(Z138&lt;0,"; Invalid Shipping Record (Ship Before Order)","")&amp;IF(ABS(Q138-W138)&gt;1,"; Sales Mismatch","")&amp;IF(ABS(S138-X138)&gt;1,"; Profit Mismatch","")&amp;IF(COUNTIF($A$2:$A$913,A138)&gt;1,"; Duplicate Order ID Conflict",""),2)="; ",MID(AC138&amp;IF(B138="","; Missing Order Date","")&amp;IF(C138="","; Missing Ship Date","")&amp;IF(P138&lt;0,"; Invalid Discount (Negative)","")&amp;IF(P138&gt;0.5,"; Invalid Discount (Too High)","")&amp;IF(Z138&lt;0,"; Invalid Shipping Record (Ship Before Order)","")&amp;IF(ABS(Q138-W138)&gt;1,"; Sales Mismatch","")&amp;IF(ABS(S138-X138)&gt;1,"; Profit Mismatch","")&amp;IF(COUNTIF($A$2:$A$913,A138)&gt;1,"; Duplicate Order ID Conflict",""),3,500),AC138&amp;IF(B138="","; Missing Order Date","")&amp;IF(C138="","; Missing Ship Date","")&amp;IF(P138&lt;0,"; Invalid Discount (Negative)","")&amp;IF(P138&gt;0.5,"; Invalid Discount (Too High)","")&amp;IF(Z138&lt;0,"; Invalid Shipping Record (Ship Before Order)","")&amp;IF(ABS(Q138-W138)&gt;1,"; Sales Mismatch","")&amp;IF(ABS(S138-X138)&gt;1,"; Profit Mismatch","")&amp;IF(COUNTIF($A$2:$A$913,A138)&gt;1,"; Duplicate Order ID Conflict",""))</f>
        <v/>
      </c>
      <c r="AE138" s="10" t="str">
        <f aca="false">IF(OR(ISNUMBER(SEARCH("Invalid Discount",AD138)),ISNUMBER(SEARCH("Invalid Shipping Record",AD138)),ISNUMBER(SEARCH("Sales Mismatch",AD138)),ISNUMBER(SEARCH("Profit Mismatch",AD138)),ISNUMBER(SEARCH("Duplicate Order ID Conflict",AD138)),ISNUMBER(SEARCH("Missing Order Date",AD138)),ISNUMBER(SEARCH("Missing Ship Date",AD138))),"Invalid",IF(AD138&lt;&gt;"","Warning","Clean"))</f>
        <v>Clean</v>
      </c>
    </row>
    <row r="139" customFormat="false" ht="15" hidden="false" customHeight="true" outlineLevel="0" collapsed="false">
      <c r="A139" s="3" t="s">
        <v>444</v>
      </c>
      <c r="B139" s="4" t="n">
        <v>45666</v>
      </c>
      <c r="C139" s="4" t="n">
        <v>45666</v>
      </c>
      <c r="D139" s="3" t="s">
        <v>445</v>
      </c>
      <c r="E139" s="3" t="str">
        <f aca="false">PROPER(TRIM(SUBSTITUTE(Raw_Text_Fields!B140,CHAR(160)," ")))</f>
        <v>Sneha Kapoor</v>
      </c>
      <c r="F139" s="3" t="str">
        <f aca="false">PROPER(TRIM(SUBSTITUTE(Raw_Text_Fields!C140,CHAR(160)," ")))</f>
        <v>Small Business</v>
      </c>
      <c r="G139" s="3" t="str">
        <f aca="false">PROPER(TRIM(SUBSTITUTE(Raw_Text_Fields!D140,CHAR(160)," ")))</f>
        <v>North</v>
      </c>
      <c r="H139" s="3" t="str">
        <f aca="false">PROPER(TRIM(SUBSTITUTE(Raw_Text_Fields!E140,CHAR(160)," ")))</f>
        <v>Rajasthan</v>
      </c>
      <c r="I139" s="3" t="str">
        <f aca="false">PROPER(TRIM(SUBSTITUTE(Raw_Text_Fields!F140,CHAR(160)," ")))</f>
        <v>Jaipur</v>
      </c>
      <c r="J139" s="3" t="str">
        <f aca="false">PROPER(TRIM(SUBSTITUTE(Raw_Text_Fields!G140,CHAR(160)," ")))</f>
        <v>Furniture</v>
      </c>
      <c r="K139" s="3" t="str">
        <f aca="false">PROPER(TRIM(SUBSTITUTE(Raw_Text_Fields!H140,CHAR(160)," ")))</f>
        <v>Chairs</v>
      </c>
      <c r="L139" s="3" t="s">
        <v>446</v>
      </c>
      <c r="M139" s="3" t="str">
        <f aca="false">PROPER(TRIM(SUBSTITUTE(Raw_Text_Fields!I140,CHAR(160)," ")))</f>
        <v>Same Day</v>
      </c>
      <c r="N139" s="3" t="n">
        <v>8</v>
      </c>
      <c r="O139" s="5" t="n">
        <v>2667.07</v>
      </c>
      <c r="P139" s="6" t="n">
        <v>0.1</v>
      </c>
      <c r="Q139" s="5" t="n">
        <v>19202.9</v>
      </c>
      <c r="R139" s="5" t="n">
        <v>15526.62</v>
      </c>
      <c r="S139" s="5" t="n">
        <v>3676.28</v>
      </c>
      <c r="T139" s="3" t="str">
        <f aca="false">PROPER(TRIM(SUBSTITUTE(Raw_Text_Fields!J140,CHAR(160)," ")))</f>
        <v>Paid</v>
      </c>
      <c r="U139" s="3" t="str">
        <f aca="false">PROPER(TRIM(SUBSTITUTE(Raw_Text_Fields!K140,CHAR(160)," ")))</f>
        <v>Completed</v>
      </c>
      <c r="V139" s="7" t="n">
        <f aca="false">IF(OR(P139&lt;0,P139&gt;0.5),0,P139)</f>
        <v>0.1</v>
      </c>
      <c r="W139" s="8" t="n">
        <f aca="false">N139*O139*(1-V139)</f>
        <v>19202.904</v>
      </c>
      <c r="X139" s="8" t="n">
        <f aca="false">W139-R139</f>
        <v>3676.284</v>
      </c>
      <c r="Y139" s="7" t="n">
        <f aca="false">IFERROR(X139/W139,0)</f>
        <v>0.191444169069428</v>
      </c>
      <c r="Z139" s="9" t="n">
        <f aca="false">C139-B139</f>
        <v>0</v>
      </c>
      <c r="AA139" s="1" t="str">
        <f aca="false">IF(B139="","",TEXT(B139,"mmm"))</f>
        <v>Jan</v>
      </c>
      <c r="AB139" s="9" t="n">
        <f aca="false">IF(B139="","",YEAR(B139))</f>
        <v>2025</v>
      </c>
      <c r="AC139" s="3"/>
      <c r="AD139" s="3" t="str">
        <f aca="false">IF(LEFT(AC139&amp;IF(B139="","; Missing Order Date","")&amp;IF(C139="","; Missing Ship Date","")&amp;IF(P139&lt;0,"; Invalid Discount (Negative)","")&amp;IF(P139&gt;0.5,"; Invalid Discount (Too High)","")&amp;IF(Z139&lt;0,"; Invalid Shipping Record (Ship Before Order)","")&amp;IF(ABS(Q139-W139)&gt;1,"; Sales Mismatch","")&amp;IF(ABS(S139-X139)&gt;1,"; Profit Mismatch","")&amp;IF(COUNTIF($A$2:$A$913,A139)&gt;1,"; Duplicate Order ID Conflict",""),2)="; ",MID(AC139&amp;IF(B139="","; Missing Order Date","")&amp;IF(C139="","; Missing Ship Date","")&amp;IF(P139&lt;0,"; Invalid Discount (Negative)","")&amp;IF(P139&gt;0.5,"; Invalid Discount (Too High)","")&amp;IF(Z139&lt;0,"; Invalid Shipping Record (Ship Before Order)","")&amp;IF(ABS(Q139-W139)&gt;1,"; Sales Mismatch","")&amp;IF(ABS(S139-X139)&gt;1,"; Profit Mismatch","")&amp;IF(COUNTIF($A$2:$A$913,A139)&gt;1,"; Duplicate Order ID Conflict",""),3,500),AC139&amp;IF(B139="","; Missing Order Date","")&amp;IF(C139="","; Missing Ship Date","")&amp;IF(P139&lt;0,"; Invalid Discount (Negative)","")&amp;IF(P139&gt;0.5,"; Invalid Discount (Too High)","")&amp;IF(Z139&lt;0,"; Invalid Shipping Record (Ship Before Order)","")&amp;IF(ABS(Q139-W139)&gt;1,"; Sales Mismatch","")&amp;IF(ABS(S139-X139)&gt;1,"; Profit Mismatch","")&amp;IF(COUNTIF($A$2:$A$913,A139)&gt;1,"; Duplicate Order ID Conflict",""))</f>
        <v/>
      </c>
      <c r="AE139" s="10" t="str">
        <f aca="false">IF(OR(ISNUMBER(SEARCH("Invalid Discount",AD139)),ISNUMBER(SEARCH("Invalid Shipping Record",AD139)),ISNUMBER(SEARCH("Sales Mismatch",AD139)),ISNUMBER(SEARCH("Profit Mismatch",AD139)),ISNUMBER(SEARCH("Duplicate Order ID Conflict",AD139)),ISNUMBER(SEARCH("Missing Order Date",AD139)),ISNUMBER(SEARCH("Missing Ship Date",AD139))),"Invalid",IF(AD139&lt;&gt;"","Warning","Clean"))</f>
        <v>Clean</v>
      </c>
    </row>
    <row r="140" customFormat="false" ht="15" hidden="false" customHeight="true" outlineLevel="0" collapsed="false">
      <c r="A140" s="3" t="s">
        <v>447</v>
      </c>
      <c r="B140" s="4" t="n">
        <v>45311</v>
      </c>
      <c r="C140" s="4" t="n">
        <v>45317</v>
      </c>
      <c r="D140" s="3" t="s">
        <v>448</v>
      </c>
      <c r="E140" s="3" t="str">
        <f aca="false">PROPER(TRIM(SUBSTITUTE(Raw_Text_Fields!B141,CHAR(160)," ")))</f>
        <v>Diya Patel</v>
      </c>
      <c r="F140" s="3" t="str">
        <f aca="false">PROPER(TRIM(SUBSTITUTE(Raw_Text_Fields!C141,CHAR(160)," ")))</f>
        <v>Home Office</v>
      </c>
      <c r="G140" s="3" t="str">
        <f aca="false">PROPER(TRIM(SUBSTITUTE(Raw_Text_Fields!D141,CHAR(160)," ")))</f>
        <v>East</v>
      </c>
      <c r="H140" s="3" t="str">
        <f aca="false">PROPER(TRIM(SUBSTITUTE(Raw_Text_Fields!E141,CHAR(160)," ")))</f>
        <v>Jharkhand</v>
      </c>
      <c r="I140" s="3" t="str">
        <f aca="false">PROPER(TRIM(SUBSTITUTE(Raw_Text_Fields!F141,CHAR(160)," ")))</f>
        <v>Ranchi</v>
      </c>
      <c r="J140" s="3" t="str">
        <f aca="false">PROPER(TRIM(SUBSTITUTE(Raw_Text_Fields!G141,CHAR(160)," ")))</f>
        <v>Technology</v>
      </c>
      <c r="K140" s="3" t="str">
        <f aca="false">PROPER(TRIM(SUBSTITUTE(Raw_Text_Fields!H141,CHAR(160)," ")))</f>
        <v>Machines</v>
      </c>
      <c r="L140" s="3" t="s">
        <v>449</v>
      </c>
      <c r="M140" s="3" t="str">
        <f aca="false">PROPER(TRIM(SUBSTITUTE(Raw_Text_Fields!I141,CHAR(160)," ")))</f>
        <v>Standard Class</v>
      </c>
      <c r="N140" s="3" t="n">
        <v>8</v>
      </c>
      <c r="O140" s="5" t="n">
        <v>4003.05</v>
      </c>
      <c r="P140" s="6" t="n">
        <v>0.25</v>
      </c>
      <c r="Q140" s="5" t="n">
        <v>24018.3</v>
      </c>
      <c r="R140" s="5" t="n">
        <v>14070.78</v>
      </c>
      <c r="S140" s="5" t="n">
        <v>9947.52</v>
      </c>
      <c r="T140" s="3" t="str">
        <f aca="false">PROPER(TRIM(SUBSTITUTE(Raw_Text_Fields!J141,CHAR(160)," ")))</f>
        <v>Paid</v>
      </c>
      <c r="U140" s="3" t="str">
        <f aca="false">PROPER(TRIM(SUBSTITUTE(Raw_Text_Fields!K141,CHAR(160)," ")))</f>
        <v>Completed</v>
      </c>
      <c r="V140" s="7" t="n">
        <f aca="false">IF(OR(P140&lt;0,P140&gt;0.5),0,P140)</f>
        <v>0.25</v>
      </c>
      <c r="W140" s="8" t="n">
        <f aca="false">N140*O140*(1-V140)</f>
        <v>24018.3</v>
      </c>
      <c r="X140" s="8" t="n">
        <f aca="false">W140-R140</f>
        <v>9947.52</v>
      </c>
      <c r="Y140" s="7" t="n">
        <f aca="false">IFERROR(X140/W140,0)</f>
        <v>0.414164199797654</v>
      </c>
      <c r="Z140" s="9" t="n">
        <f aca="false">C140-B140</f>
        <v>6</v>
      </c>
      <c r="AA140" s="1" t="str">
        <f aca="false">IF(B140="","",TEXT(B140,"mmm"))</f>
        <v>Jan</v>
      </c>
      <c r="AB140" s="9" t="n">
        <f aca="false">IF(B140="","",YEAR(B140))</f>
        <v>2024</v>
      </c>
      <c r="AC140" s="3"/>
      <c r="AD140" s="3" t="str">
        <f aca="false">IF(LEFT(AC140&amp;IF(B140="","; Missing Order Date","")&amp;IF(C140="","; Missing Ship Date","")&amp;IF(P140&lt;0,"; Invalid Discount (Negative)","")&amp;IF(P140&gt;0.5,"; Invalid Discount (Too High)","")&amp;IF(Z140&lt;0,"; Invalid Shipping Record (Ship Before Order)","")&amp;IF(ABS(Q140-W140)&gt;1,"; Sales Mismatch","")&amp;IF(ABS(S140-X140)&gt;1,"; Profit Mismatch","")&amp;IF(COUNTIF($A$2:$A$913,A140)&gt;1,"; Duplicate Order ID Conflict",""),2)="; ",MID(AC140&amp;IF(B140="","; Missing Order Date","")&amp;IF(C140="","; Missing Ship Date","")&amp;IF(P140&lt;0,"; Invalid Discount (Negative)","")&amp;IF(P140&gt;0.5,"; Invalid Discount (Too High)","")&amp;IF(Z140&lt;0,"; Invalid Shipping Record (Ship Before Order)","")&amp;IF(ABS(Q140-W140)&gt;1,"; Sales Mismatch","")&amp;IF(ABS(S140-X140)&gt;1,"; Profit Mismatch","")&amp;IF(COUNTIF($A$2:$A$913,A140)&gt;1,"; Duplicate Order ID Conflict",""),3,500),AC140&amp;IF(B140="","; Missing Order Date","")&amp;IF(C140="","; Missing Ship Date","")&amp;IF(P140&lt;0,"; Invalid Discount (Negative)","")&amp;IF(P140&gt;0.5,"; Invalid Discount (Too High)","")&amp;IF(Z140&lt;0,"; Invalid Shipping Record (Ship Before Order)","")&amp;IF(ABS(Q140-W140)&gt;1,"; Sales Mismatch","")&amp;IF(ABS(S140-X140)&gt;1,"; Profit Mismatch","")&amp;IF(COUNTIF($A$2:$A$913,A140)&gt;1,"; Duplicate Order ID Conflict",""))</f>
        <v/>
      </c>
      <c r="AE140" s="10" t="str">
        <f aca="false">IF(OR(ISNUMBER(SEARCH("Invalid Discount",AD140)),ISNUMBER(SEARCH("Invalid Shipping Record",AD140)),ISNUMBER(SEARCH("Sales Mismatch",AD140)),ISNUMBER(SEARCH("Profit Mismatch",AD140)),ISNUMBER(SEARCH("Duplicate Order ID Conflict",AD140)),ISNUMBER(SEARCH("Missing Order Date",AD140)),ISNUMBER(SEARCH("Missing Ship Date",AD140))),"Invalid",IF(AD140&lt;&gt;"","Warning","Clean"))</f>
        <v>Clean</v>
      </c>
    </row>
    <row r="141" customFormat="false" ht="15" hidden="false" customHeight="true" outlineLevel="0" collapsed="false">
      <c r="A141" s="3" t="s">
        <v>450</v>
      </c>
      <c r="B141" s="4" t="n">
        <v>45718</v>
      </c>
      <c r="C141" s="4" t="n">
        <v>45723</v>
      </c>
      <c r="D141" s="3" t="s">
        <v>451</v>
      </c>
      <c r="E141" s="3" t="str">
        <f aca="false">PROPER(TRIM(SUBSTITUTE(Raw_Text_Fields!B142,CHAR(160)," ")))</f>
        <v>Neha Gupta</v>
      </c>
      <c r="F141" s="3" t="str">
        <f aca="false">PROPER(TRIM(SUBSTITUTE(Raw_Text_Fields!C142,CHAR(160)," ")))</f>
        <v>Home Office</v>
      </c>
      <c r="G141" s="3" t="str">
        <f aca="false">PROPER(TRIM(SUBSTITUTE(Raw_Text_Fields!D142,CHAR(160)," ")))</f>
        <v>South</v>
      </c>
      <c r="H141" s="3" t="str">
        <f aca="false">PROPER(TRIM(SUBSTITUTE(Raw_Text_Fields!E142,CHAR(160)," ")))</f>
        <v>Karnataka</v>
      </c>
      <c r="I141" s="3" t="str">
        <f aca="false">PROPER(TRIM(SUBSTITUTE(Raw_Text_Fields!F142,CHAR(160)," ")))</f>
        <v>Bengaluru</v>
      </c>
      <c r="J141" s="3" t="str">
        <f aca="false">PROPER(TRIM(SUBSTITUTE(Raw_Text_Fields!G142,CHAR(160)," ")))</f>
        <v>Office Supplies</v>
      </c>
      <c r="K141" s="3" t="str">
        <f aca="false">PROPER(TRIM(SUBSTITUTE(Raw_Text_Fields!H142,CHAR(160)," ")))</f>
        <v>Labels</v>
      </c>
      <c r="L141" s="3" t="s">
        <v>452</v>
      </c>
      <c r="M141" s="3" t="str">
        <f aca="false">PROPER(TRIM(SUBSTITUTE(Raw_Text_Fields!I142,CHAR(160)," ")))</f>
        <v>Standard Class</v>
      </c>
      <c r="N141" s="3" t="n">
        <v>8</v>
      </c>
      <c r="O141" s="5" t="n">
        <v>1287.63</v>
      </c>
      <c r="P141" s="6" t="n">
        <v>0</v>
      </c>
      <c r="Q141" s="5" t="n">
        <v>10301.04</v>
      </c>
      <c r="R141" s="5" t="n">
        <v>6564.06</v>
      </c>
      <c r="S141" s="5" t="n">
        <v>3736.98</v>
      </c>
      <c r="T141" s="3" t="str">
        <f aca="false">PROPER(TRIM(SUBSTITUTE(Raw_Text_Fields!J142,CHAR(160)," ")))</f>
        <v>Paid</v>
      </c>
      <c r="U141" s="3" t="str">
        <f aca="false">PROPER(TRIM(SUBSTITUTE(Raw_Text_Fields!K142,CHAR(160)," ")))</f>
        <v>Completed</v>
      </c>
      <c r="V141" s="7" t="n">
        <f aca="false">IF(OR(P141&lt;0,P141&gt;0.5),0,P141)</f>
        <v>0</v>
      </c>
      <c r="W141" s="8" t="n">
        <f aca="false">N141*O141*(1-V141)</f>
        <v>10301.04</v>
      </c>
      <c r="X141" s="8" t="n">
        <f aca="false">W141-R141</f>
        <v>3736.98</v>
      </c>
      <c r="Y141" s="7" t="n">
        <f aca="false">IFERROR(X141/W141,0)</f>
        <v>0.362776962326134</v>
      </c>
      <c r="Z141" s="9" t="n">
        <f aca="false">C141-B141</f>
        <v>5</v>
      </c>
      <c r="AA141" s="1" t="str">
        <f aca="false">IF(B141="","",TEXT(B141,"mmm"))</f>
        <v>Mar</v>
      </c>
      <c r="AB141" s="9" t="n">
        <f aca="false">IF(B141="","",YEAR(B141))</f>
        <v>2025</v>
      </c>
      <c r="AC141" s="3"/>
      <c r="AD141" s="3" t="str">
        <f aca="false">IF(LEFT(AC141&amp;IF(B141="","; Missing Order Date","")&amp;IF(C141="","; Missing Ship Date","")&amp;IF(P141&lt;0,"; Invalid Discount (Negative)","")&amp;IF(P141&gt;0.5,"; Invalid Discount (Too High)","")&amp;IF(Z141&lt;0,"; Invalid Shipping Record (Ship Before Order)","")&amp;IF(ABS(Q141-W141)&gt;1,"; Sales Mismatch","")&amp;IF(ABS(S141-X141)&gt;1,"; Profit Mismatch","")&amp;IF(COUNTIF($A$2:$A$913,A141)&gt;1,"; Duplicate Order ID Conflict",""),2)="; ",MID(AC141&amp;IF(B141="","; Missing Order Date","")&amp;IF(C141="","; Missing Ship Date","")&amp;IF(P141&lt;0,"; Invalid Discount (Negative)","")&amp;IF(P141&gt;0.5,"; Invalid Discount (Too High)","")&amp;IF(Z141&lt;0,"; Invalid Shipping Record (Ship Before Order)","")&amp;IF(ABS(Q141-W141)&gt;1,"; Sales Mismatch","")&amp;IF(ABS(S141-X141)&gt;1,"; Profit Mismatch","")&amp;IF(COUNTIF($A$2:$A$913,A141)&gt;1,"; Duplicate Order ID Conflict",""),3,500),AC141&amp;IF(B141="","; Missing Order Date","")&amp;IF(C141="","; Missing Ship Date","")&amp;IF(P141&lt;0,"; Invalid Discount (Negative)","")&amp;IF(P141&gt;0.5,"; Invalid Discount (Too High)","")&amp;IF(Z141&lt;0,"; Invalid Shipping Record (Ship Before Order)","")&amp;IF(ABS(Q141-W141)&gt;1,"; Sales Mismatch","")&amp;IF(ABS(S141-X141)&gt;1,"; Profit Mismatch","")&amp;IF(COUNTIF($A$2:$A$913,A141)&gt;1,"; Duplicate Order ID Conflict",""))</f>
        <v/>
      </c>
      <c r="AE141" s="10" t="str">
        <f aca="false">IF(OR(ISNUMBER(SEARCH("Invalid Discount",AD141)),ISNUMBER(SEARCH("Invalid Shipping Record",AD141)),ISNUMBER(SEARCH("Sales Mismatch",AD141)),ISNUMBER(SEARCH("Profit Mismatch",AD141)),ISNUMBER(SEARCH("Duplicate Order ID Conflict",AD141)),ISNUMBER(SEARCH("Missing Order Date",AD141)),ISNUMBER(SEARCH("Missing Ship Date",AD141))),"Invalid",IF(AD141&lt;&gt;"","Warning","Clean"))</f>
        <v>Clean</v>
      </c>
    </row>
    <row r="142" customFormat="false" ht="15" hidden="false" customHeight="true" outlineLevel="0" collapsed="false">
      <c r="A142" s="3" t="s">
        <v>453</v>
      </c>
      <c r="B142" s="4" t="n">
        <v>45443</v>
      </c>
      <c r="C142" s="4" t="n">
        <v>45444</v>
      </c>
      <c r="D142" s="3" t="s">
        <v>454</v>
      </c>
      <c r="E142" s="3" t="str">
        <f aca="false">PROPER(TRIM(SUBSTITUTE(Raw_Text_Fields!B143,CHAR(160)," ")))</f>
        <v>Mira Das</v>
      </c>
      <c r="F142" s="3" t="str">
        <f aca="false">PROPER(TRIM(SUBSTITUTE(Raw_Text_Fields!C143,CHAR(160)," ")))</f>
        <v>Corporate</v>
      </c>
      <c r="G142" s="3" t="str">
        <f aca="false">PROPER(TRIM(SUBSTITUTE(Raw_Text_Fields!D143,CHAR(160)," ")))</f>
        <v>South</v>
      </c>
      <c r="H142" s="3" t="str">
        <f aca="false">PROPER(TRIM(SUBSTITUTE(Raw_Text_Fields!E143,CHAR(160)," ")))</f>
        <v>Karnataka</v>
      </c>
      <c r="I142" s="3" t="str">
        <f aca="false">PROPER(TRIM(SUBSTITUTE(Raw_Text_Fields!F143,CHAR(160)," ")))</f>
        <v>Bengaluru</v>
      </c>
      <c r="J142" s="3" t="str">
        <f aca="false">PROPER(TRIM(SUBSTITUTE(Raw_Text_Fields!G143,CHAR(160)," ")))</f>
        <v>Furniture</v>
      </c>
      <c r="K142" s="3" t="str">
        <f aca="false">PROPER(TRIM(SUBSTITUTE(Raw_Text_Fields!H143,CHAR(160)," ")))</f>
        <v>Bookcases</v>
      </c>
      <c r="L142" s="3" t="s">
        <v>455</v>
      </c>
      <c r="M142" s="3" t="str">
        <f aca="false">PROPER(TRIM(SUBSTITUTE(Raw_Text_Fields!I143,CHAR(160)," ")))</f>
        <v>Same Day</v>
      </c>
      <c r="N142" s="3" t="n">
        <v>3</v>
      </c>
      <c r="O142" s="5" t="n">
        <v>2914.55</v>
      </c>
      <c r="P142" s="6" t="n">
        <v>0</v>
      </c>
      <c r="Q142" s="5" t="n">
        <v>8743.65</v>
      </c>
      <c r="R142" s="5" t="n">
        <v>6603.76</v>
      </c>
      <c r="S142" s="5" t="n">
        <v>2139.89</v>
      </c>
      <c r="T142" s="3" t="str">
        <f aca="false">PROPER(TRIM(SUBSTITUTE(Raw_Text_Fields!J143,CHAR(160)," ")))</f>
        <v>Paid</v>
      </c>
      <c r="U142" s="3" t="str">
        <f aca="false">PROPER(TRIM(SUBSTITUTE(Raw_Text_Fields!K143,CHAR(160)," ")))</f>
        <v>Completed</v>
      </c>
      <c r="V142" s="7" t="n">
        <f aca="false">IF(OR(P142&lt;0,P142&gt;0.5),0,P142)</f>
        <v>0</v>
      </c>
      <c r="W142" s="8" t="n">
        <f aca="false">N142*O142*(1-V142)</f>
        <v>8743.65</v>
      </c>
      <c r="X142" s="8" t="n">
        <f aca="false">W142-R142</f>
        <v>2139.89</v>
      </c>
      <c r="Y142" s="7" t="n">
        <f aca="false">IFERROR(X142/W142,0)</f>
        <v>0.244736465892391</v>
      </c>
      <c r="Z142" s="9" t="n">
        <f aca="false">C142-B142</f>
        <v>1</v>
      </c>
      <c r="AA142" s="1" t="str">
        <f aca="false">IF(B142="","",TEXT(B142,"mmm"))</f>
        <v>May</v>
      </c>
      <c r="AB142" s="9" t="n">
        <f aca="false">IF(B142="","",YEAR(B142))</f>
        <v>2024</v>
      </c>
      <c r="AC142" s="3"/>
      <c r="AD142" s="3" t="str">
        <f aca="false">IF(LEFT(AC142&amp;IF(B142="","; Missing Order Date","")&amp;IF(C142="","; Missing Ship Date","")&amp;IF(P142&lt;0,"; Invalid Discount (Negative)","")&amp;IF(P142&gt;0.5,"; Invalid Discount (Too High)","")&amp;IF(Z142&lt;0,"; Invalid Shipping Record (Ship Before Order)","")&amp;IF(ABS(Q142-W142)&gt;1,"; Sales Mismatch","")&amp;IF(ABS(S142-X142)&gt;1,"; Profit Mismatch","")&amp;IF(COUNTIF($A$2:$A$913,A142)&gt;1,"; Duplicate Order ID Conflict",""),2)="; ",MID(AC142&amp;IF(B142="","; Missing Order Date","")&amp;IF(C142="","; Missing Ship Date","")&amp;IF(P142&lt;0,"; Invalid Discount (Negative)","")&amp;IF(P142&gt;0.5,"; Invalid Discount (Too High)","")&amp;IF(Z142&lt;0,"; Invalid Shipping Record (Ship Before Order)","")&amp;IF(ABS(Q142-W142)&gt;1,"; Sales Mismatch","")&amp;IF(ABS(S142-X142)&gt;1,"; Profit Mismatch","")&amp;IF(COUNTIF($A$2:$A$913,A142)&gt;1,"; Duplicate Order ID Conflict",""),3,500),AC142&amp;IF(B142="","; Missing Order Date","")&amp;IF(C142="","; Missing Ship Date","")&amp;IF(P142&lt;0,"; Invalid Discount (Negative)","")&amp;IF(P142&gt;0.5,"; Invalid Discount (Too High)","")&amp;IF(Z142&lt;0,"; Invalid Shipping Record (Ship Before Order)","")&amp;IF(ABS(Q142-W142)&gt;1,"; Sales Mismatch","")&amp;IF(ABS(S142-X142)&gt;1,"; Profit Mismatch","")&amp;IF(COUNTIF($A$2:$A$913,A142)&gt;1,"; Duplicate Order ID Conflict",""))</f>
        <v/>
      </c>
      <c r="AE142" s="10" t="str">
        <f aca="false">IF(OR(ISNUMBER(SEARCH("Invalid Discount",AD142)),ISNUMBER(SEARCH("Invalid Shipping Record",AD142)),ISNUMBER(SEARCH("Sales Mismatch",AD142)),ISNUMBER(SEARCH("Profit Mismatch",AD142)),ISNUMBER(SEARCH("Duplicate Order ID Conflict",AD142)),ISNUMBER(SEARCH("Missing Order Date",AD142)),ISNUMBER(SEARCH("Missing Ship Date",AD142))),"Invalid",IF(AD142&lt;&gt;"","Warning","Clean"))</f>
        <v>Clean</v>
      </c>
    </row>
    <row r="143" customFormat="false" ht="15" hidden="false" customHeight="true" outlineLevel="0" collapsed="false">
      <c r="A143" s="3" t="s">
        <v>456</v>
      </c>
      <c r="B143" s="4" t="n">
        <v>45374</v>
      </c>
      <c r="C143" s="4" t="n">
        <v>45380</v>
      </c>
      <c r="D143" s="3" t="s">
        <v>457</v>
      </c>
      <c r="E143" s="3" t="str">
        <f aca="false">PROPER(TRIM(SUBSTITUTE(Raw_Text_Fields!B144,CHAR(160)," ")))</f>
        <v>Priya Menon</v>
      </c>
      <c r="F143" s="3" t="str">
        <f aca="false">PROPER(TRIM(SUBSTITUTE(Raw_Text_Fields!C144,CHAR(160)," ")))</f>
        <v>Corporate</v>
      </c>
      <c r="G143" s="3" t="str">
        <f aca="false">PROPER(TRIM(SUBSTITUTE(Raw_Text_Fields!D144,CHAR(160)," ")))</f>
        <v>North</v>
      </c>
      <c r="H143" s="3" t="str">
        <f aca="false">PROPER(TRIM(SUBSTITUTE(Raw_Text_Fields!E144,CHAR(160)," ")))</f>
        <v>Delhi</v>
      </c>
      <c r="I143" s="3" t="str">
        <f aca="false">PROPER(TRIM(SUBSTITUTE(Raw_Text_Fields!F144,CHAR(160)," ")))</f>
        <v>New Delhi</v>
      </c>
      <c r="J143" s="3" t="str">
        <f aca="false">PROPER(TRIM(SUBSTITUTE(Raw_Text_Fields!G144,CHAR(160)," ")))</f>
        <v>Furniture</v>
      </c>
      <c r="K143" s="3" t="str">
        <f aca="false">PROPER(TRIM(SUBSTITUTE(Raw_Text_Fields!H144,CHAR(160)," ")))</f>
        <v>Bookcases</v>
      </c>
      <c r="L143" s="3" t="s">
        <v>458</v>
      </c>
      <c r="M143" s="3" t="str">
        <f aca="false">PROPER(TRIM(SUBSTITUTE(Raw_Text_Fields!I144,CHAR(160)," ")))</f>
        <v>Same Day</v>
      </c>
      <c r="N143" s="3" t="n">
        <v>7</v>
      </c>
      <c r="O143" s="5" t="n">
        <v>634.29</v>
      </c>
      <c r="P143" s="6" t="n">
        <v>0.1</v>
      </c>
      <c r="Q143" s="5" t="n">
        <v>3996.03</v>
      </c>
      <c r="R143" s="5" t="n">
        <v>2859.51</v>
      </c>
      <c r="S143" s="5" t="n">
        <v>1136.52</v>
      </c>
      <c r="T143" s="3" t="str">
        <f aca="false">PROPER(TRIM(SUBSTITUTE(Raw_Text_Fields!J144,CHAR(160)," ")))</f>
        <v>Paid</v>
      </c>
      <c r="U143" s="3" t="str">
        <f aca="false">PROPER(TRIM(SUBSTITUTE(Raw_Text_Fields!K144,CHAR(160)," ")))</f>
        <v>Returned</v>
      </c>
      <c r="V143" s="7" t="n">
        <f aca="false">IF(OR(P143&lt;0,P143&gt;0.5),0,P143)</f>
        <v>0.1</v>
      </c>
      <c r="W143" s="8" t="n">
        <f aca="false">N143*O143*(1-V143)</f>
        <v>3996.027</v>
      </c>
      <c r="X143" s="8" t="n">
        <f aca="false">W143-R143</f>
        <v>1136.517</v>
      </c>
      <c r="Y143" s="7" t="n">
        <f aca="false">IFERROR(X143/W143,0)</f>
        <v>0.284411741962704</v>
      </c>
      <c r="Z143" s="9" t="n">
        <f aca="false">C143-B143</f>
        <v>6</v>
      </c>
      <c r="AA143" s="1" t="str">
        <f aca="false">IF(B143="","",TEXT(B143,"mmm"))</f>
        <v>Mar</v>
      </c>
      <c r="AB143" s="9" t="n">
        <f aca="false">IF(B143="","",YEAR(B143))</f>
        <v>2024</v>
      </c>
      <c r="AC143" s="3"/>
      <c r="AD143" s="3" t="str">
        <f aca="false">IF(LEFT(AC143&amp;IF(B143="","; Missing Order Date","")&amp;IF(C143="","; Missing Ship Date","")&amp;IF(P143&lt;0,"; Invalid Discount (Negative)","")&amp;IF(P143&gt;0.5,"; Invalid Discount (Too High)","")&amp;IF(Z143&lt;0,"; Invalid Shipping Record (Ship Before Order)","")&amp;IF(ABS(Q143-W143)&gt;1,"; Sales Mismatch","")&amp;IF(ABS(S143-X143)&gt;1,"; Profit Mismatch","")&amp;IF(COUNTIF($A$2:$A$913,A143)&gt;1,"; Duplicate Order ID Conflict",""),2)="; ",MID(AC143&amp;IF(B143="","; Missing Order Date","")&amp;IF(C143="","; Missing Ship Date","")&amp;IF(P143&lt;0,"; Invalid Discount (Negative)","")&amp;IF(P143&gt;0.5,"; Invalid Discount (Too High)","")&amp;IF(Z143&lt;0,"; Invalid Shipping Record (Ship Before Order)","")&amp;IF(ABS(Q143-W143)&gt;1,"; Sales Mismatch","")&amp;IF(ABS(S143-X143)&gt;1,"; Profit Mismatch","")&amp;IF(COUNTIF($A$2:$A$913,A143)&gt;1,"; Duplicate Order ID Conflict",""),3,500),AC143&amp;IF(B143="","; Missing Order Date","")&amp;IF(C143="","; Missing Ship Date","")&amp;IF(P143&lt;0,"; Invalid Discount (Negative)","")&amp;IF(P143&gt;0.5,"; Invalid Discount (Too High)","")&amp;IF(Z143&lt;0,"; Invalid Shipping Record (Ship Before Order)","")&amp;IF(ABS(Q143-W143)&gt;1,"; Sales Mismatch","")&amp;IF(ABS(S143-X143)&gt;1,"; Profit Mismatch","")&amp;IF(COUNTIF($A$2:$A$913,A143)&gt;1,"; Duplicate Order ID Conflict",""))</f>
        <v/>
      </c>
      <c r="AE143" s="10" t="str">
        <f aca="false">IF(OR(ISNUMBER(SEARCH("Invalid Discount",AD143)),ISNUMBER(SEARCH("Invalid Shipping Record",AD143)),ISNUMBER(SEARCH("Sales Mismatch",AD143)),ISNUMBER(SEARCH("Profit Mismatch",AD143)),ISNUMBER(SEARCH("Duplicate Order ID Conflict",AD143)),ISNUMBER(SEARCH("Missing Order Date",AD143)),ISNUMBER(SEARCH("Missing Ship Date",AD143))),"Invalid",IF(AD143&lt;&gt;"","Warning","Clean"))</f>
        <v>Clean</v>
      </c>
    </row>
    <row r="144" customFormat="false" ht="15" hidden="false" customHeight="true" outlineLevel="0" collapsed="false">
      <c r="A144" s="3" t="s">
        <v>459</v>
      </c>
      <c r="B144" s="4" t="n">
        <v>45381</v>
      </c>
      <c r="C144" s="4" t="n">
        <v>45377</v>
      </c>
      <c r="D144" s="3" t="s">
        <v>460</v>
      </c>
      <c r="E144" s="3" t="str">
        <f aca="false">PROPER(TRIM(SUBSTITUTE(Raw_Text_Fields!B145,CHAR(160)," ")))</f>
        <v>Aditi Sen</v>
      </c>
      <c r="F144" s="3" t="str">
        <f aca="false">PROPER(TRIM(SUBSTITUTE(Raw_Text_Fields!C145,CHAR(160)," ")))</f>
        <v>Home Office</v>
      </c>
      <c r="G144" s="3" t="str">
        <f aca="false">PROPER(TRIM(SUBSTITUTE(Raw_Text_Fields!D145,CHAR(160)," ")))</f>
        <v>North</v>
      </c>
      <c r="H144" s="3" t="str">
        <f aca="false">PROPER(TRIM(SUBSTITUTE(Raw_Text_Fields!E145,CHAR(160)," ")))</f>
        <v>Rajasthan</v>
      </c>
      <c r="I144" s="3" t="str">
        <f aca="false">PROPER(TRIM(SUBSTITUTE(Raw_Text_Fields!F145,CHAR(160)," ")))</f>
        <v>Jaipur</v>
      </c>
      <c r="J144" s="3" t="str">
        <f aca="false">PROPER(TRIM(SUBSTITUTE(Raw_Text_Fields!G145,CHAR(160)," ")))</f>
        <v>Technology</v>
      </c>
      <c r="K144" s="3" t="str">
        <f aca="false">PROPER(TRIM(SUBSTITUTE(Raw_Text_Fields!H145,CHAR(160)," ")))</f>
        <v>Phones</v>
      </c>
      <c r="L144" s="3" t="s">
        <v>461</v>
      </c>
      <c r="M144" s="3" t="str">
        <f aca="false">PROPER(TRIM(SUBSTITUTE(Raw_Text_Fields!I145,CHAR(160)," ")))</f>
        <v>Second Class</v>
      </c>
      <c r="N144" s="3" t="n">
        <v>5</v>
      </c>
      <c r="O144" s="5" t="n">
        <v>907.54</v>
      </c>
      <c r="P144" s="6" t="n">
        <v>0.15</v>
      </c>
      <c r="Q144" s="5" t="n">
        <v>3857.04</v>
      </c>
      <c r="R144" s="5" t="n">
        <v>2769.26</v>
      </c>
      <c r="S144" s="5" t="n">
        <v>1087.78</v>
      </c>
      <c r="T144" s="3" t="str">
        <f aca="false">PROPER(TRIM(SUBSTITUTE(Raw_Text_Fields!J145,CHAR(160)," ")))</f>
        <v>Paid</v>
      </c>
      <c r="U144" s="3" t="str">
        <f aca="false">PROPER(TRIM(SUBSTITUTE(Raw_Text_Fields!K145,CHAR(160)," ")))</f>
        <v>Completed</v>
      </c>
      <c r="V144" s="7" t="n">
        <f aca="false">IF(OR(P144&lt;0,P144&gt;0.5),0,P144)</f>
        <v>0.15</v>
      </c>
      <c r="W144" s="8" t="n">
        <f aca="false">N144*O144*(1-V144)</f>
        <v>3857.045</v>
      </c>
      <c r="X144" s="8" t="n">
        <f aca="false">W144-R144</f>
        <v>1087.785</v>
      </c>
      <c r="Y144" s="7" t="n">
        <f aca="false">IFERROR(X144/W144,0)</f>
        <v>0.282025488424428</v>
      </c>
      <c r="Z144" s="9" t="n">
        <f aca="false">C144-B144</f>
        <v>-4</v>
      </c>
      <c r="AA144" s="1" t="str">
        <f aca="false">IF(B144="","",TEXT(B144,"mmm"))</f>
        <v>Mar</v>
      </c>
      <c r="AB144" s="9" t="n">
        <f aca="false">IF(B144="","",YEAR(B144))</f>
        <v>2024</v>
      </c>
      <c r="AC144" s="3"/>
      <c r="AD144" s="3" t="str">
        <f aca="false">IF(LEFT(AC144&amp;IF(B144="","; Missing Order Date","")&amp;IF(C144="","; Missing Ship Date","")&amp;IF(P144&lt;0,"; Invalid Discount (Negative)","")&amp;IF(P144&gt;0.5,"; Invalid Discount (Too High)","")&amp;IF(Z144&lt;0,"; Invalid Shipping Record (Ship Before Order)","")&amp;IF(ABS(Q144-W144)&gt;1,"; Sales Mismatch","")&amp;IF(ABS(S144-X144)&gt;1,"; Profit Mismatch","")&amp;IF(COUNTIF($A$2:$A$913,A144)&gt;1,"; Duplicate Order ID Conflict",""),2)="; ",MID(AC144&amp;IF(B144="","; Missing Order Date","")&amp;IF(C144="","; Missing Ship Date","")&amp;IF(P144&lt;0,"; Invalid Discount (Negative)","")&amp;IF(P144&gt;0.5,"; Invalid Discount (Too High)","")&amp;IF(Z144&lt;0,"; Invalid Shipping Record (Ship Before Order)","")&amp;IF(ABS(Q144-W144)&gt;1,"; Sales Mismatch","")&amp;IF(ABS(S144-X144)&gt;1,"; Profit Mismatch","")&amp;IF(COUNTIF($A$2:$A$913,A144)&gt;1,"; Duplicate Order ID Conflict",""),3,500),AC144&amp;IF(B144="","; Missing Order Date","")&amp;IF(C144="","; Missing Ship Date","")&amp;IF(P144&lt;0,"; Invalid Discount (Negative)","")&amp;IF(P144&gt;0.5,"; Invalid Discount (Too High)","")&amp;IF(Z144&lt;0,"; Invalid Shipping Record (Ship Before Order)","")&amp;IF(ABS(Q144-W144)&gt;1,"; Sales Mismatch","")&amp;IF(ABS(S144-X144)&gt;1,"; Profit Mismatch","")&amp;IF(COUNTIF($A$2:$A$913,A144)&gt;1,"; Duplicate Order ID Conflict",""))</f>
        <v>Invalid Shipping Record (Ship Before Order); Duplicate Order ID Conflict</v>
      </c>
      <c r="AE144" s="10" t="str">
        <f aca="false">IF(OR(ISNUMBER(SEARCH("Invalid Discount",AD144)),ISNUMBER(SEARCH("Invalid Shipping Record",AD144)),ISNUMBER(SEARCH("Sales Mismatch",AD144)),ISNUMBER(SEARCH("Profit Mismatch",AD144)),ISNUMBER(SEARCH("Duplicate Order ID Conflict",AD144)),ISNUMBER(SEARCH("Missing Order Date",AD144)),ISNUMBER(SEARCH("Missing Ship Date",AD144))),"Invalid",IF(AD144&lt;&gt;"","Warning","Clean"))</f>
        <v>Invalid</v>
      </c>
    </row>
    <row r="145" customFormat="false" ht="15" hidden="false" customHeight="true" outlineLevel="0" collapsed="false">
      <c r="A145" s="3" t="s">
        <v>462</v>
      </c>
      <c r="B145" s="4" t="n">
        <v>45375</v>
      </c>
      <c r="C145" s="4" t="n">
        <v>45377</v>
      </c>
      <c r="D145" s="3" t="s">
        <v>463</v>
      </c>
      <c r="E145" s="3" t="str">
        <f aca="false">PROPER(TRIM(SUBSTITUTE(Raw_Text_Fields!B146,CHAR(160)," ")))</f>
        <v>Priya Menon</v>
      </c>
      <c r="F145" s="3" t="str">
        <f aca="false">PROPER(TRIM(SUBSTITUTE(Raw_Text_Fields!C146,CHAR(160)," ")))</f>
        <v>Consumer</v>
      </c>
      <c r="G145" s="3" t="str">
        <f aca="false">PROPER(TRIM(SUBSTITUTE(Raw_Text_Fields!D146,CHAR(160)," ")))</f>
        <v>West</v>
      </c>
      <c r="H145" s="3" t="str">
        <f aca="false">PROPER(TRIM(SUBSTITUTE(Raw_Text_Fields!E146,CHAR(160)," ")))</f>
        <v>Gujarat</v>
      </c>
      <c r="I145" s="3" t="str">
        <f aca="false">PROPER(TRIM(SUBSTITUTE(Raw_Text_Fields!F146,CHAR(160)," ")))</f>
        <v>Ahmedabad</v>
      </c>
      <c r="J145" s="3" t="str">
        <f aca="false">PROPER(TRIM(SUBSTITUTE(Raw_Text_Fields!G146,CHAR(160)," ")))</f>
        <v>Office Supplies</v>
      </c>
      <c r="K145" s="3" t="str">
        <f aca="false">PROPER(TRIM(SUBSTITUTE(Raw_Text_Fields!H146,CHAR(160)," ")))</f>
        <v>Paper</v>
      </c>
      <c r="L145" s="3" t="s">
        <v>464</v>
      </c>
      <c r="M145" s="3" t="str">
        <f aca="false">PROPER(TRIM(SUBSTITUTE(Raw_Text_Fields!I146,CHAR(160)," ")))</f>
        <v>Second Class</v>
      </c>
      <c r="N145" s="3" t="n">
        <v>1</v>
      </c>
      <c r="O145" s="5" t="n">
        <v>3409.5</v>
      </c>
      <c r="P145" s="6" t="n">
        <v>0.1</v>
      </c>
      <c r="Q145" s="5" t="n">
        <v>3068.55</v>
      </c>
      <c r="R145" s="5" t="n">
        <v>1916.16</v>
      </c>
      <c r="S145" s="5" t="n">
        <v>1152.39</v>
      </c>
      <c r="T145" s="3" t="str">
        <f aca="false">PROPER(TRIM(SUBSTITUTE(Raw_Text_Fields!J146,CHAR(160)," ")))</f>
        <v>Paid</v>
      </c>
      <c r="U145" s="3" t="str">
        <f aca="false">PROPER(TRIM(SUBSTITUTE(Raw_Text_Fields!K146,CHAR(160)," ")))</f>
        <v>Returned</v>
      </c>
      <c r="V145" s="7" t="n">
        <f aca="false">IF(OR(P145&lt;0,P145&gt;0.5),0,P145)</f>
        <v>0.1</v>
      </c>
      <c r="W145" s="8" t="n">
        <f aca="false">N145*O145*(1-V145)</f>
        <v>3068.55</v>
      </c>
      <c r="X145" s="8" t="n">
        <f aca="false">W145-R145</f>
        <v>1152.39</v>
      </c>
      <c r="Y145" s="7" t="n">
        <f aca="false">IFERROR(X145/W145,0)</f>
        <v>0.375548711932346</v>
      </c>
      <c r="Z145" s="9" t="n">
        <f aca="false">C145-B145</f>
        <v>2</v>
      </c>
      <c r="AA145" s="1" t="str">
        <f aca="false">IF(B145="","",TEXT(B145,"mmm"))</f>
        <v>Mar</v>
      </c>
      <c r="AB145" s="9" t="n">
        <f aca="false">IF(B145="","",YEAR(B145))</f>
        <v>2024</v>
      </c>
      <c r="AC145" s="3"/>
      <c r="AD145" s="3" t="str">
        <f aca="false">IF(LEFT(AC145&amp;IF(B145="","; Missing Order Date","")&amp;IF(C145="","; Missing Ship Date","")&amp;IF(P145&lt;0,"; Invalid Discount (Negative)","")&amp;IF(P145&gt;0.5,"; Invalid Discount (Too High)","")&amp;IF(Z145&lt;0,"; Invalid Shipping Record (Ship Before Order)","")&amp;IF(ABS(Q145-W145)&gt;1,"; Sales Mismatch","")&amp;IF(ABS(S145-X145)&gt;1,"; Profit Mismatch","")&amp;IF(COUNTIF($A$2:$A$913,A145)&gt;1,"; Duplicate Order ID Conflict",""),2)="; ",MID(AC145&amp;IF(B145="","; Missing Order Date","")&amp;IF(C145="","; Missing Ship Date","")&amp;IF(P145&lt;0,"; Invalid Discount (Negative)","")&amp;IF(P145&gt;0.5,"; Invalid Discount (Too High)","")&amp;IF(Z145&lt;0,"; Invalid Shipping Record (Ship Before Order)","")&amp;IF(ABS(Q145-W145)&gt;1,"; Sales Mismatch","")&amp;IF(ABS(S145-X145)&gt;1,"; Profit Mismatch","")&amp;IF(COUNTIF($A$2:$A$913,A145)&gt;1,"; Duplicate Order ID Conflict",""),3,500),AC145&amp;IF(B145="","; Missing Order Date","")&amp;IF(C145="","; Missing Ship Date","")&amp;IF(P145&lt;0,"; Invalid Discount (Negative)","")&amp;IF(P145&gt;0.5,"; Invalid Discount (Too High)","")&amp;IF(Z145&lt;0,"; Invalid Shipping Record (Ship Before Order)","")&amp;IF(ABS(Q145-W145)&gt;1,"; Sales Mismatch","")&amp;IF(ABS(S145-X145)&gt;1,"; Profit Mismatch","")&amp;IF(COUNTIF($A$2:$A$913,A145)&gt;1,"; Duplicate Order ID Conflict",""))</f>
        <v/>
      </c>
      <c r="AE145" s="10" t="str">
        <f aca="false">IF(OR(ISNUMBER(SEARCH("Invalid Discount",AD145)),ISNUMBER(SEARCH("Invalid Shipping Record",AD145)),ISNUMBER(SEARCH("Sales Mismatch",AD145)),ISNUMBER(SEARCH("Profit Mismatch",AD145)),ISNUMBER(SEARCH("Duplicate Order ID Conflict",AD145)),ISNUMBER(SEARCH("Missing Order Date",AD145)),ISNUMBER(SEARCH("Missing Ship Date",AD145))),"Invalid",IF(AD145&lt;&gt;"","Warning","Clean"))</f>
        <v>Clean</v>
      </c>
    </row>
    <row r="146" customFormat="false" ht="15" hidden="false" customHeight="true" outlineLevel="0" collapsed="false">
      <c r="A146" s="3" t="s">
        <v>465</v>
      </c>
      <c r="B146" s="4" t="n">
        <v>45450</v>
      </c>
      <c r="C146" s="4" t="n">
        <v>45458</v>
      </c>
      <c r="D146" s="3" t="s">
        <v>466</v>
      </c>
      <c r="E146" s="3" t="str">
        <f aca="false">PROPER(TRIM(SUBSTITUTE(Raw_Text_Fields!B147,CHAR(160)," ")))</f>
        <v>Kabir Singh</v>
      </c>
      <c r="F146" s="3" t="str">
        <f aca="false">PROPER(TRIM(SUBSTITUTE(Raw_Text_Fields!C147,CHAR(160)," ")))</f>
        <v>Small Business</v>
      </c>
      <c r="G146" s="3" t="str">
        <f aca="false">PROPER(TRIM(SUBSTITUTE(Raw_Text_Fields!D147,CHAR(160)," ")))</f>
        <v>South</v>
      </c>
      <c r="H146" s="3" t="str">
        <f aca="false">PROPER(TRIM(SUBSTITUTE(Raw_Text_Fields!E147,CHAR(160)," ")))</f>
        <v>Telangana</v>
      </c>
      <c r="I146" s="3" t="str">
        <f aca="false">PROPER(TRIM(SUBSTITUTE(Raw_Text_Fields!F147,CHAR(160)," ")))</f>
        <v>Hyderabad</v>
      </c>
      <c r="J146" s="3" t="str">
        <f aca="false">PROPER(TRIM(SUBSTITUTE(Raw_Text_Fields!G147,CHAR(160)," ")))</f>
        <v>Technology</v>
      </c>
      <c r="K146" s="3" t="str">
        <f aca="false">PROPER(TRIM(SUBSTITUTE(Raw_Text_Fields!H147,CHAR(160)," ")))</f>
        <v>Accessories</v>
      </c>
      <c r="L146" s="3" t="s">
        <v>467</v>
      </c>
      <c r="M146" s="3" t="str">
        <f aca="false">PROPER(TRIM(SUBSTITUTE(Raw_Text_Fields!I147,CHAR(160)," ")))</f>
        <v>First Class</v>
      </c>
      <c r="N146" s="3" t="n">
        <v>7</v>
      </c>
      <c r="O146" s="5" t="n">
        <v>2147.99</v>
      </c>
      <c r="P146" s="6" t="n">
        <v>0.25</v>
      </c>
      <c r="Q146" s="5" t="n">
        <v>11276.95</v>
      </c>
      <c r="R146" s="5" t="n">
        <v>6908.76</v>
      </c>
      <c r="S146" s="5" t="n">
        <v>4368.19</v>
      </c>
      <c r="T146" s="3" t="str">
        <f aca="false">PROPER(TRIM(SUBSTITUTE(Raw_Text_Fields!J147,CHAR(160)," ")))</f>
        <v>Refunded</v>
      </c>
      <c r="U146" s="3" t="str">
        <f aca="false">PROPER(TRIM(SUBSTITUTE(Raw_Text_Fields!K147,CHAR(160)," ")))</f>
        <v>Returned</v>
      </c>
      <c r="V146" s="7" t="n">
        <f aca="false">IF(OR(P146&lt;0,P146&gt;0.5),0,P146)</f>
        <v>0.25</v>
      </c>
      <c r="W146" s="8" t="n">
        <f aca="false">N146*O146*(1-V146)</f>
        <v>11276.9475</v>
      </c>
      <c r="X146" s="8" t="n">
        <f aca="false">W146-R146</f>
        <v>4368.1875</v>
      </c>
      <c r="Y146" s="7" t="n">
        <f aca="false">IFERROR(X146/W146,0)</f>
        <v>0.387355487821505</v>
      </c>
      <c r="Z146" s="9" t="n">
        <f aca="false">C146-B146</f>
        <v>8</v>
      </c>
      <c r="AA146" s="1" t="str">
        <f aca="false">IF(B146="","",TEXT(B146,"mmm"))</f>
        <v>Jun</v>
      </c>
      <c r="AB146" s="9" t="n">
        <f aca="false">IF(B146="","",YEAR(B146))</f>
        <v>2024</v>
      </c>
      <c r="AC146" s="3"/>
      <c r="AD146" s="3" t="str">
        <f aca="false">IF(LEFT(AC146&amp;IF(B146="","; Missing Order Date","")&amp;IF(C146="","; Missing Ship Date","")&amp;IF(P146&lt;0,"; Invalid Discount (Negative)","")&amp;IF(P146&gt;0.5,"; Invalid Discount (Too High)","")&amp;IF(Z146&lt;0,"; Invalid Shipping Record (Ship Before Order)","")&amp;IF(ABS(Q146-W146)&gt;1,"; Sales Mismatch","")&amp;IF(ABS(S146-X146)&gt;1,"; Profit Mismatch","")&amp;IF(COUNTIF($A$2:$A$913,A146)&gt;1,"; Duplicate Order ID Conflict",""),2)="; ",MID(AC146&amp;IF(B146="","; Missing Order Date","")&amp;IF(C146="","; Missing Ship Date","")&amp;IF(P146&lt;0,"; Invalid Discount (Negative)","")&amp;IF(P146&gt;0.5,"; Invalid Discount (Too High)","")&amp;IF(Z146&lt;0,"; Invalid Shipping Record (Ship Before Order)","")&amp;IF(ABS(Q146-W146)&gt;1,"; Sales Mismatch","")&amp;IF(ABS(S146-X146)&gt;1,"; Profit Mismatch","")&amp;IF(COUNTIF($A$2:$A$913,A146)&gt;1,"; Duplicate Order ID Conflict",""),3,500),AC146&amp;IF(B146="","; Missing Order Date","")&amp;IF(C146="","; Missing Ship Date","")&amp;IF(P146&lt;0,"; Invalid Discount (Negative)","")&amp;IF(P146&gt;0.5,"; Invalid Discount (Too High)","")&amp;IF(Z146&lt;0,"; Invalid Shipping Record (Ship Before Order)","")&amp;IF(ABS(Q146-W146)&gt;1,"; Sales Mismatch","")&amp;IF(ABS(S146-X146)&gt;1,"; Profit Mismatch","")&amp;IF(COUNTIF($A$2:$A$913,A146)&gt;1,"; Duplicate Order ID Conflict",""))</f>
        <v/>
      </c>
      <c r="AE146" s="10" t="str">
        <f aca="false">IF(OR(ISNUMBER(SEARCH("Invalid Discount",AD146)),ISNUMBER(SEARCH("Invalid Shipping Record",AD146)),ISNUMBER(SEARCH("Sales Mismatch",AD146)),ISNUMBER(SEARCH("Profit Mismatch",AD146)),ISNUMBER(SEARCH("Duplicate Order ID Conflict",AD146)),ISNUMBER(SEARCH("Missing Order Date",AD146)),ISNUMBER(SEARCH("Missing Ship Date",AD146))),"Invalid",IF(AD146&lt;&gt;"","Warning","Clean"))</f>
        <v>Clean</v>
      </c>
    </row>
    <row r="147" customFormat="false" ht="15" hidden="false" customHeight="true" outlineLevel="0" collapsed="false">
      <c r="A147" s="3" t="s">
        <v>468</v>
      </c>
      <c r="B147" s="4" t="n">
        <v>45758</v>
      </c>
      <c r="C147" s="4" t="n">
        <v>45760</v>
      </c>
      <c r="D147" s="3" t="s">
        <v>469</v>
      </c>
      <c r="E147" s="3" t="str">
        <f aca="false">PROPER(TRIM(SUBSTITUTE(Raw_Text_Fields!B148,CHAR(160)," ")))</f>
        <v>Mira Das</v>
      </c>
      <c r="F147" s="3" t="str">
        <f aca="false">PROPER(TRIM(SUBSTITUTE(Raw_Text_Fields!C148,CHAR(160)," ")))</f>
        <v>Small Business</v>
      </c>
      <c r="G147" s="3" t="str">
        <f aca="false">PROPER(TRIM(SUBSTITUTE(Raw_Text_Fields!D148,CHAR(160)," ")))</f>
        <v>West</v>
      </c>
      <c r="H147" s="3" t="str">
        <f aca="false">PROPER(TRIM(SUBSTITUTE(Raw_Text_Fields!E148,CHAR(160)," ")))</f>
        <v>Goa</v>
      </c>
      <c r="I147" s="3" t="str">
        <f aca="false">PROPER(TRIM(SUBSTITUTE(Raw_Text_Fields!F148,CHAR(160)," ")))</f>
        <v>Panaji</v>
      </c>
      <c r="J147" s="3" t="str">
        <f aca="false">PROPER(TRIM(SUBSTITUTE(Raw_Text_Fields!G148,CHAR(160)," ")))</f>
        <v>Office Supplies</v>
      </c>
      <c r="K147" s="3" t="str">
        <f aca="false">PROPER(TRIM(SUBSTITUTE(Raw_Text_Fields!H148,CHAR(160)," ")))</f>
        <v>Paper</v>
      </c>
      <c r="L147" s="3" t="s">
        <v>470</v>
      </c>
      <c r="M147" s="3" t="str">
        <f aca="false">PROPER(TRIM(SUBSTITUTE(Raw_Text_Fields!I148,CHAR(160)," ")))</f>
        <v>Standard Class</v>
      </c>
      <c r="N147" s="3" t="n">
        <v>4</v>
      </c>
      <c r="O147" s="5" t="n">
        <v>4182.15</v>
      </c>
      <c r="P147" s="6" t="n">
        <v>0.1</v>
      </c>
      <c r="Q147" s="5" t="n">
        <v>15055.74</v>
      </c>
      <c r="R147" s="5" t="n">
        <v>9808.83</v>
      </c>
      <c r="S147" s="5" t="n">
        <v>5246.91</v>
      </c>
      <c r="T147" s="3" t="str">
        <f aca="false">PROPER(TRIM(SUBSTITUTE(Raw_Text_Fields!J148,CHAR(160)," ")))</f>
        <v>Paid</v>
      </c>
      <c r="U147" s="3" t="str">
        <f aca="false">PROPER(TRIM(SUBSTITUTE(Raw_Text_Fields!K148,CHAR(160)," ")))</f>
        <v>Completed</v>
      </c>
      <c r="V147" s="7" t="n">
        <f aca="false">IF(OR(P147&lt;0,P147&gt;0.5),0,P147)</f>
        <v>0.1</v>
      </c>
      <c r="W147" s="8" t="n">
        <f aca="false">N147*O147*(1-V147)</f>
        <v>15055.74</v>
      </c>
      <c r="X147" s="8" t="n">
        <f aca="false">W147-R147</f>
        <v>5246.91</v>
      </c>
      <c r="Y147" s="7" t="n">
        <f aca="false">IFERROR(X147/W147,0)</f>
        <v>0.348498977798501</v>
      </c>
      <c r="Z147" s="9" t="n">
        <f aca="false">C147-B147</f>
        <v>2</v>
      </c>
      <c r="AA147" s="1" t="str">
        <f aca="false">IF(B147="","",TEXT(B147,"mmm"))</f>
        <v>Apr</v>
      </c>
      <c r="AB147" s="9" t="n">
        <f aca="false">IF(B147="","",YEAR(B147))</f>
        <v>2025</v>
      </c>
      <c r="AC147" s="3"/>
      <c r="AD147" s="3" t="str">
        <f aca="false">IF(LEFT(AC147&amp;IF(B147="","; Missing Order Date","")&amp;IF(C147="","; Missing Ship Date","")&amp;IF(P147&lt;0,"; Invalid Discount (Negative)","")&amp;IF(P147&gt;0.5,"; Invalid Discount (Too High)","")&amp;IF(Z147&lt;0,"; Invalid Shipping Record (Ship Before Order)","")&amp;IF(ABS(Q147-W147)&gt;1,"; Sales Mismatch","")&amp;IF(ABS(S147-X147)&gt;1,"; Profit Mismatch","")&amp;IF(COUNTIF($A$2:$A$913,A147)&gt;1,"; Duplicate Order ID Conflict",""),2)="; ",MID(AC147&amp;IF(B147="","; Missing Order Date","")&amp;IF(C147="","; Missing Ship Date","")&amp;IF(P147&lt;0,"; Invalid Discount (Negative)","")&amp;IF(P147&gt;0.5,"; Invalid Discount (Too High)","")&amp;IF(Z147&lt;0,"; Invalid Shipping Record (Ship Before Order)","")&amp;IF(ABS(Q147-W147)&gt;1,"; Sales Mismatch","")&amp;IF(ABS(S147-X147)&gt;1,"; Profit Mismatch","")&amp;IF(COUNTIF($A$2:$A$913,A147)&gt;1,"; Duplicate Order ID Conflict",""),3,500),AC147&amp;IF(B147="","; Missing Order Date","")&amp;IF(C147="","; Missing Ship Date","")&amp;IF(P147&lt;0,"; Invalid Discount (Negative)","")&amp;IF(P147&gt;0.5,"; Invalid Discount (Too High)","")&amp;IF(Z147&lt;0,"; Invalid Shipping Record (Ship Before Order)","")&amp;IF(ABS(Q147-W147)&gt;1,"; Sales Mismatch","")&amp;IF(ABS(S147-X147)&gt;1,"; Profit Mismatch","")&amp;IF(COUNTIF($A$2:$A$913,A147)&gt;1,"; Duplicate Order ID Conflict",""))</f>
        <v/>
      </c>
      <c r="AE147" s="10" t="str">
        <f aca="false">IF(OR(ISNUMBER(SEARCH("Invalid Discount",AD147)),ISNUMBER(SEARCH("Invalid Shipping Record",AD147)),ISNUMBER(SEARCH("Sales Mismatch",AD147)),ISNUMBER(SEARCH("Profit Mismatch",AD147)),ISNUMBER(SEARCH("Duplicate Order ID Conflict",AD147)),ISNUMBER(SEARCH("Missing Order Date",AD147)),ISNUMBER(SEARCH("Missing Ship Date",AD147))),"Invalid",IF(AD147&lt;&gt;"","Warning","Clean"))</f>
        <v>Clean</v>
      </c>
    </row>
    <row r="148" customFormat="false" ht="15" hidden="false" customHeight="true" outlineLevel="0" collapsed="false">
      <c r="A148" s="3" t="s">
        <v>471</v>
      </c>
      <c r="B148" s="4" t="n">
        <v>45868</v>
      </c>
      <c r="C148" s="4" t="n">
        <v>45870</v>
      </c>
      <c r="D148" s="3" t="s">
        <v>472</v>
      </c>
      <c r="E148" s="3" t="str">
        <f aca="false">PROPER(TRIM(SUBSTITUTE(Raw_Text_Fields!B149,CHAR(160)," ")))</f>
        <v>Sneha Kapoor</v>
      </c>
      <c r="F148" s="3" t="str">
        <f aca="false">PROPER(TRIM(SUBSTITUTE(Raw_Text_Fields!C149,CHAR(160)," ")))</f>
        <v>Small Business</v>
      </c>
      <c r="G148" s="3" t="str">
        <f aca="false">PROPER(TRIM(SUBSTITUTE(Raw_Text_Fields!D149,CHAR(160)," ")))</f>
        <v>South</v>
      </c>
      <c r="H148" s="3" t="str">
        <f aca="false">PROPER(TRIM(SUBSTITUTE(Raw_Text_Fields!E149,CHAR(160)," ")))</f>
        <v>Tamil Nadu</v>
      </c>
      <c r="I148" s="3" t="str">
        <f aca="false">PROPER(TRIM(SUBSTITUTE(Raw_Text_Fields!F149,CHAR(160)," ")))</f>
        <v>Chennai</v>
      </c>
      <c r="J148" s="3" t="str">
        <f aca="false">PROPER(TRIM(SUBSTITUTE(Raw_Text_Fields!G149,CHAR(160)," ")))</f>
        <v>Office Supplies</v>
      </c>
      <c r="K148" s="3" t="str">
        <f aca="false">PROPER(TRIM(SUBSTITUTE(Raw_Text_Fields!H149,CHAR(160)," ")))</f>
        <v>Storage</v>
      </c>
      <c r="L148" s="3" t="s">
        <v>473</v>
      </c>
      <c r="M148" s="3" t="str">
        <f aca="false">PROPER(TRIM(SUBSTITUTE(Raw_Text_Fields!I149,CHAR(160)," ")))</f>
        <v>Same Day</v>
      </c>
      <c r="N148" s="3" t="n">
        <v>9</v>
      </c>
      <c r="O148" s="5" t="n">
        <v>3165.43</v>
      </c>
      <c r="P148" s="6" t="n">
        <v>0.1</v>
      </c>
      <c r="Q148" s="5" t="n">
        <v>25639.98</v>
      </c>
      <c r="R148" s="5" t="n">
        <v>21635.08</v>
      </c>
      <c r="S148" s="5" t="n">
        <v>4004.9</v>
      </c>
      <c r="T148" s="3" t="str">
        <f aca="false">PROPER(TRIM(SUBSTITUTE(Raw_Text_Fields!J149,CHAR(160)," ")))</f>
        <v>Paid</v>
      </c>
      <c r="U148" s="3" t="str">
        <f aca="false">PROPER(TRIM(SUBSTITUTE(Raw_Text_Fields!K149,CHAR(160)," ")))</f>
        <v>Completed</v>
      </c>
      <c r="V148" s="7" t="n">
        <f aca="false">IF(OR(P148&lt;0,P148&gt;0.5),0,P148)</f>
        <v>0.1</v>
      </c>
      <c r="W148" s="8" t="n">
        <f aca="false">N148*O148*(1-V148)</f>
        <v>25639.983</v>
      </c>
      <c r="X148" s="8" t="n">
        <f aca="false">W148-R148</f>
        <v>4004.903</v>
      </c>
      <c r="Y148" s="7" t="n">
        <f aca="false">IFERROR(X148/W148,0)</f>
        <v>0.156197568461726</v>
      </c>
      <c r="Z148" s="9" t="n">
        <f aca="false">C148-B148</f>
        <v>2</v>
      </c>
      <c r="AA148" s="1" t="str">
        <f aca="false">IF(B148="","",TEXT(B148,"mmm"))</f>
        <v>Jul</v>
      </c>
      <c r="AB148" s="9" t="n">
        <f aca="false">IF(B148="","",YEAR(B148))</f>
        <v>2025</v>
      </c>
      <c r="AC148" s="3"/>
      <c r="AD148" s="3" t="str">
        <f aca="false">IF(LEFT(AC148&amp;IF(B148="","; Missing Order Date","")&amp;IF(C148="","; Missing Ship Date","")&amp;IF(P148&lt;0,"; Invalid Discount (Negative)","")&amp;IF(P148&gt;0.5,"; Invalid Discount (Too High)","")&amp;IF(Z148&lt;0,"; Invalid Shipping Record (Ship Before Order)","")&amp;IF(ABS(Q148-W148)&gt;1,"; Sales Mismatch","")&amp;IF(ABS(S148-X148)&gt;1,"; Profit Mismatch","")&amp;IF(COUNTIF($A$2:$A$913,A148)&gt;1,"; Duplicate Order ID Conflict",""),2)="; ",MID(AC148&amp;IF(B148="","; Missing Order Date","")&amp;IF(C148="","; Missing Ship Date","")&amp;IF(P148&lt;0,"; Invalid Discount (Negative)","")&amp;IF(P148&gt;0.5,"; Invalid Discount (Too High)","")&amp;IF(Z148&lt;0,"; Invalid Shipping Record (Ship Before Order)","")&amp;IF(ABS(Q148-W148)&gt;1,"; Sales Mismatch","")&amp;IF(ABS(S148-X148)&gt;1,"; Profit Mismatch","")&amp;IF(COUNTIF($A$2:$A$913,A148)&gt;1,"; Duplicate Order ID Conflict",""),3,500),AC148&amp;IF(B148="","; Missing Order Date","")&amp;IF(C148="","; Missing Ship Date","")&amp;IF(P148&lt;0,"; Invalid Discount (Negative)","")&amp;IF(P148&gt;0.5,"; Invalid Discount (Too High)","")&amp;IF(Z148&lt;0,"; Invalid Shipping Record (Ship Before Order)","")&amp;IF(ABS(Q148-W148)&gt;1,"; Sales Mismatch","")&amp;IF(ABS(S148-X148)&gt;1,"; Profit Mismatch","")&amp;IF(COUNTIF($A$2:$A$913,A148)&gt;1,"; Duplicate Order ID Conflict",""))</f>
        <v/>
      </c>
      <c r="AE148" s="10" t="str">
        <f aca="false">IF(OR(ISNUMBER(SEARCH("Invalid Discount",AD148)),ISNUMBER(SEARCH("Invalid Shipping Record",AD148)),ISNUMBER(SEARCH("Sales Mismatch",AD148)),ISNUMBER(SEARCH("Profit Mismatch",AD148)),ISNUMBER(SEARCH("Duplicate Order ID Conflict",AD148)),ISNUMBER(SEARCH("Missing Order Date",AD148)),ISNUMBER(SEARCH("Missing Ship Date",AD148))),"Invalid",IF(AD148&lt;&gt;"","Warning","Clean"))</f>
        <v>Clean</v>
      </c>
    </row>
    <row r="149" customFormat="false" ht="15" hidden="false" customHeight="true" outlineLevel="0" collapsed="false">
      <c r="A149" s="3" t="s">
        <v>474</v>
      </c>
      <c r="B149" s="4" t="n">
        <v>45649</v>
      </c>
      <c r="C149" s="4" t="n">
        <v>45656</v>
      </c>
      <c r="D149" s="3" t="s">
        <v>475</v>
      </c>
      <c r="E149" s="3" t="str">
        <f aca="false">PROPER(TRIM(SUBSTITUTE(Raw_Text_Fields!B150,CHAR(160)," ")))</f>
        <v>Priya Menon</v>
      </c>
      <c r="F149" s="3" t="str">
        <f aca="false">PROPER(TRIM(SUBSTITUTE(Raw_Text_Fields!C150,CHAR(160)," ")))</f>
        <v>Home Office</v>
      </c>
      <c r="G149" s="3" t="str">
        <f aca="false">PROPER(TRIM(SUBSTITUTE(Raw_Text_Fields!D150,CHAR(160)," ")))</f>
        <v>West</v>
      </c>
      <c r="H149" s="3" t="str">
        <f aca="false">PROPER(TRIM(SUBSTITUTE(Raw_Text_Fields!E150,CHAR(160)," ")))</f>
        <v>Goa</v>
      </c>
      <c r="I149" s="3" t="str">
        <f aca="false">PROPER(TRIM(SUBSTITUTE(Raw_Text_Fields!F150,CHAR(160)," ")))</f>
        <v>Panaji</v>
      </c>
      <c r="J149" s="3" t="str">
        <f aca="false">PROPER(TRIM(SUBSTITUTE(Raw_Text_Fields!G150,CHAR(160)," ")))</f>
        <v>Furniture</v>
      </c>
      <c r="K149" s="3" t="str">
        <f aca="false">PROPER(TRIM(SUBSTITUTE(Raw_Text_Fields!H150,CHAR(160)," ")))</f>
        <v>Furnishings</v>
      </c>
      <c r="L149" s="3" t="s">
        <v>476</v>
      </c>
      <c r="M149" s="3" t="str">
        <f aca="false">PROPER(TRIM(SUBSTITUTE(Raw_Text_Fields!I150,CHAR(160)," ")))</f>
        <v>First Class</v>
      </c>
      <c r="N149" s="3" t="n">
        <v>8</v>
      </c>
      <c r="O149" s="5" t="n">
        <v>386.1</v>
      </c>
      <c r="P149" s="6" t="n">
        <v>0.1</v>
      </c>
      <c r="Q149" s="5" t="n">
        <v>2779.92</v>
      </c>
      <c r="R149" s="5" t="n">
        <v>1744.05</v>
      </c>
      <c r="S149" s="5" t="n">
        <v>1035.87</v>
      </c>
      <c r="T149" s="3" t="str">
        <f aca="false">PROPER(TRIM(SUBSTITUTE(Raw_Text_Fields!J150,CHAR(160)," ")))</f>
        <v>Paid</v>
      </c>
      <c r="U149" s="3" t="str">
        <f aca="false">PROPER(TRIM(SUBSTITUTE(Raw_Text_Fields!K150,CHAR(160)," ")))</f>
        <v>Completed</v>
      </c>
      <c r="V149" s="7" t="n">
        <f aca="false">IF(OR(P149&lt;0,P149&gt;0.5),0,P149)</f>
        <v>0.1</v>
      </c>
      <c r="W149" s="8" t="n">
        <f aca="false">N149*O149*(1-V149)</f>
        <v>2779.92</v>
      </c>
      <c r="X149" s="8" t="n">
        <f aca="false">W149-R149</f>
        <v>1035.87</v>
      </c>
      <c r="Y149" s="7" t="n">
        <f aca="false">IFERROR(X149/W149,0)</f>
        <v>0.372625830959164</v>
      </c>
      <c r="Z149" s="9" t="n">
        <f aca="false">C149-B149</f>
        <v>7</v>
      </c>
      <c r="AA149" s="1" t="str">
        <f aca="false">IF(B149="","",TEXT(B149,"mmm"))</f>
        <v>Dec</v>
      </c>
      <c r="AB149" s="9" t="n">
        <f aca="false">IF(B149="","",YEAR(B149))</f>
        <v>2024</v>
      </c>
      <c r="AC149" s="3"/>
      <c r="AD149" s="3" t="str">
        <f aca="false">IF(LEFT(AC149&amp;IF(B149="","; Missing Order Date","")&amp;IF(C149="","; Missing Ship Date","")&amp;IF(P149&lt;0,"; Invalid Discount (Negative)","")&amp;IF(P149&gt;0.5,"; Invalid Discount (Too High)","")&amp;IF(Z149&lt;0,"; Invalid Shipping Record (Ship Before Order)","")&amp;IF(ABS(Q149-W149)&gt;1,"; Sales Mismatch","")&amp;IF(ABS(S149-X149)&gt;1,"; Profit Mismatch","")&amp;IF(COUNTIF($A$2:$A$913,A149)&gt;1,"; Duplicate Order ID Conflict",""),2)="; ",MID(AC149&amp;IF(B149="","; Missing Order Date","")&amp;IF(C149="","; Missing Ship Date","")&amp;IF(P149&lt;0,"; Invalid Discount (Negative)","")&amp;IF(P149&gt;0.5,"; Invalid Discount (Too High)","")&amp;IF(Z149&lt;0,"; Invalid Shipping Record (Ship Before Order)","")&amp;IF(ABS(Q149-W149)&gt;1,"; Sales Mismatch","")&amp;IF(ABS(S149-X149)&gt;1,"; Profit Mismatch","")&amp;IF(COUNTIF($A$2:$A$913,A149)&gt;1,"; Duplicate Order ID Conflict",""),3,500),AC149&amp;IF(B149="","; Missing Order Date","")&amp;IF(C149="","; Missing Ship Date","")&amp;IF(P149&lt;0,"; Invalid Discount (Negative)","")&amp;IF(P149&gt;0.5,"; Invalid Discount (Too High)","")&amp;IF(Z149&lt;0,"; Invalid Shipping Record (Ship Before Order)","")&amp;IF(ABS(Q149-W149)&gt;1,"; Sales Mismatch","")&amp;IF(ABS(S149-X149)&gt;1,"; Profit Mismatch","")&amp;IF(COUNTIF($A$2:$A$913,A149)&gt;1,"; Duplicate Order ID Conflict",""))</f>
        <v/>
      </c>
      <c r="AE149" s="10" t="str">
        <f aca="false">IF(OR(ISNUMBER(SEARCH("Invalid Discount",AD149)),ISNUMBER(SEARCH("Invalid Shipping Record",AD149)),ISNUMBER(SEARCH("Sales Mismatch",AD149)),ISNUMBER(SEARCH("Profit Mismatch",AD149)),ISNUMBER(SEARCH("Duplicate Order ID Conflict",AD149)),ISNUMBER(SEARCH("Missing Order Date",AD149)),ISNUMBER(SEARCH("Missing Ship Date",AD149))),"Invalid",IF(AD149&lt;&gt;"","Warning","Clean"))</f>
        <v>Clean</v>
      </c>
    </row>
    <row r="150" customFormat="false" ht="15" hidden="false" customHeight="true" outlineLevel="0" collapsed="false">
      <c r="A150" s="3" t="s">
        <v>477</v>
      </c>
      <c r="B150" s="4" t="n">
        <v>45697</v>
      </c>
      <c r="C150" s="4" t="n">
        <v>45701</v>
      </c>
      <c r="D150" s="3" t="s">
        <v>478</v>
      </c>
      <c r="E150" s="3" t="str">
        <f aca="false">PROPER(TRIM(SUBSTITUTE(Raw_Text_Fields!B151,CHAR(160)," ")))</f>
        <v>Mira Das</v>
      </c>
      <c r="F150" s="3" t="str">
        <f aca="false">PROPER(TRIM(SUBSTITUTE(Raw_Text_Fields!C151,CHAR(160)," ")))</f>
        <v>Home Office</v>
      </c>
      <c r="G150" s="3" t="str">
        <f aca="false">PROPER(TRIM(SUBSTITUTE(Raw_Text_Fields!D151,CHAR(160)," ")))</f>
        <v>West</v>
      </c>
      <c r="H150" s="3" t="str">
        <f aca="false">PROPER(TRIM(SUBSTITUTE(Raw_Text_Fields!E151,CHAR(160)," ")))</f>
        <v>Madhya Pradesh</v>
      </c>
      <c r="I150" s="3" t="str">
        <f aca="false">PROPER(TRIM(SUBSTITUTE(Raw_Text_Fields!F151,CHAR(160)," ")))</f>
        <v>Indore</v>
      </c>
      <c r="J150" s="3" t="str">
        <f aca="false">PROPER(TRIM(SUBSTITUTE(Raw_Text_Fields!G151,CHAR(160)," ")))</f>
        <v>Technology</v>
      </c>
      <c r="K150" s="3" t="str">
        <f aca="false">PROPER(TRIM(SUBSTITUTE(Raw_Text_Fields!H151,CHAR(160)," ")))</f>
        <v>Phones</v>
      </c>
      <c r="L150" s="3" t="s">
        <v>479</v>
      </c>
      <c r="M150" s="3" t="str">
        <f aca="false">PROPER(TRIM(SUBSTITUTE(Raw_Text_Fields!I151,CHAR(160)," ")))</f>
        <v>Unknown</v>
      </c>
      <c r="N150" s="3" t="n">
        <v>8</v>
      </c>
      <c r="O150" s="5" t="n">
        <v>1696.07</v>
      </c>
      <c r="P150" s="6" t="n">
        <v>0.25</v>
      </c>
      <c r="Q150" s="5" t="n">
        <v>10176.42</v>
      </c>
      <c r="R150" s="5" t="n">
        <v>7604.47</v>
      </c>
      <c r="S150" s="5" t="n">
        <v>2571.95</v>
      </c>
      <c r="T150" s="3" t="str">
        <f aca="false">PROPER(TRIM(SUBSTITUTE(Raw_Text_Fields!J151,CHAR(160)," ")))</f>
        <v>Paid</v>
      </c>
      <c r="U150" s="3" t="str">
        <f aca="false">PROPER(TRIM(SUBSTITUTE(Raw_Text_Fields!K151,CHAR(160)," ")))</f>
        <v>Completed</v>
      </c>
      <c r="V150" s="7" t="n">
        <f aca="false">IF(OR(P150&lt;0,P150&gt;0.5),0,P150)</f>
        <v>0.25</v>
      </c>
      <c r="W150" s="8" t="n">
        <f aca="false">N150*O150*(1-V150)</f>
        <v>10176.42</v>
      </c>
      <c r="X150" s="8" t="n">
        <f aca="false">W150-R150</f>
        <v>2571.95</v>
      </c>
      <c r="Y150" s="7" t="n">
        <f aca="false">IFERROR(X150/W150,0)</f>
        <v>0.252736227474888</v>
      </c>
      <c r="Z150" s="9" t="n">
        <f aca="false">C150-B150</f>
        <v>4</v>
      </c>
      <c r="AA150" s="1" t="str">
        <f aca="false">IF(B150="","",TEXT(B150,"mmm"))</f>
        <v>Feb</v>
      </c>
      <c r="AB150" s="9" t="n">
        <f aca="false">IF(B150="","",YEAR(B150))</f>
        <v>2025</v>
      </c>
      <c r="AC150" s="3" t="s">
        <v>137</v>
      </c>
      <c r="AD150" s="3" t="str">
        <f aca="false">IF(LEFT(AC150&amp;IF(B150="","; Missing Order Date","")&amp;IF(C150="","; Missing Ship Date","")&amp;IF(P150&lt;0,"; Invalid Discount (Negative)","")&amp;IF(P150&gt;0.5,"; Invalid Discount (Too High)","")&amp;IF(Z150&lt;0,"; Invalid Shipping Record (Ship Before Order)","")&amp;IF(ABS(Q150-W150)&gt;1,"; Sales Mismatch","")&amp;IF(ABS(S150-X150)&gt;1,"; Profit Mismatch","")&amp;IF(COUNTIF($A$2:$A$913,A150)&gt;1,"; Duplicate Order ID Conflict",""),2)="; ",MID(AC150&amp;IF(B150="","; Missing Order Date","")&amp;IF(C150="","; Missing Ship Date","")&amp;IF(P150&lt;0,"; Invalid Discount (Negative)","")&amp;IF(P150&gt;0.5,"; Invalid Discount (Too High)","")&amp;IF(Z150&lt;0,"; Invalid Shipping Record (Ship Before Order)","")&amp;IF(ABS(Q150-W150)&gt;1,"; Sales Mismatch","")&amp;IF(ABS(S150-X150)&gt;1,"; Profit Mismatch","")&amp;IF(COUNTIF($A$2:$A$913,A150)&gt;1,"; Duplicate Order ID Conflict",""),3,500),AC150&amp;IF(B150="","; Missing Order Date","")&amp;IF(C150="","; Missing Ship Date","")&amp;IF(P150&lt;0,"; Invalid Discount (Negative)","")&amp;IF(P150&gt;0.5,"; Invalid Discount (Too High)","")&amp;IF(Z150&lt;0,"; Invalid Shipping Record (Ship Before Order)","")&amp;IF(ABS(Q150-W150)&gt;1,"; Sales Mismatch","")&amp;IF(ABS(S150-X150)&gt;1,"; Profit Mismatch","")&amp;IF(COUNTIF($A$2:$A$913,A150)&gt;1,"; Duplicate Order ID Conflict",""))</f>
        <v>Missing Ship Mode (filled Unknown)</v>
      </c>
      <c r="AE150" s="10" t="str">
        <f aca="false">IF(OR(ISNUMBER(SEARCH("Invalid Discount",AD150)),ISNUMBER(SEARCH("Invalid Shipping Record",AD150)),ISNUMBER(SEARCH("Sales Mismatch",AD150)),ISNUMBER(SEARCH("Profit Mismatch",AD150)),ISNUMBER(SEARCH("Duplicate Order ID Conflict",AD150)),ISNUMBER(SEARCH("Missing Order Date",AD150)),ISNUMBER(SEARCH("Missing Ship Date",AD150))),"Invalid",IF(AD150&lt;&gt;"","Warning","Clean"))</f>
        <v>Warning</v>
      </c>
    </row>
    <row r="151" customFormat="false" ht="15" hidden="false" customHeight="true" outlineLevel="0" collapsed="false">
      <c r="A151" s="3" t="s">
        <v>480</v>
      </c>
      <c r="B151" s="4" t="n">
        <v>45321</v>
      </c>
      <c r="C151" s="4" t="n">
        <v>45321</v>
      </c>
      <c r="D151" s="3" t="s">
        <v>481</v>
      </c>
      <c r="E151" s="3" t="str">
        <f aca="false">PROPER(TRIM(SUBSTITUTE(Raw_Text_Fields!B152,CHAR(160)," ")))</f>
        <v>Aarav Sharma</v>
      </c>
      <c r="F151" s="3" t="str">
        <f aca="false">PROPER(TRIM(SUBSTITUTE(Raw_Text_Fields!C152,CHAR(160)," ")))</f>
        <v>Small Business</v>
      </c>
      <c r="G151" s="3" t="str">
        <f aca="false">PROPER(TRIM(SUBSTITUTE(Raw_Text_Fields!D152,CHAR(160)," ")))</f>
        <v>West</v>
      </c>
      <c r="H151" s="3" t="str">
        <f aca="false">PROPER(TRIM(SUBSTITUTE(Raw_Text_Fields!E152,CHAR(160)," ")))</f>
        <v>Rajasthan</v>
      </c>
      <c r="I151" s="3" t="str">
        <f aca="false">PROPER(TRIM(SUBSTITUTE(Raw_Text_Fields!F152,CHAR(160)," ")))</f>
        <v>Udaipur</v>
      </c>
      <c r="J151" s="3" t="str">
        <f aca="false">PROPER(TRIM(SUBSTITUTE(Raw_Text_Fields!G152,CHAR(160)," ")))</f>
        <v>Technology</v>
      </c>
      <c r="K151" s="3" t="str">
        <f aca="false">PROPER(TRIM(SUBSTITUTE(Raw_Text_Fields!H152,CHAR(160)," ")))</f>
        <v>Copiers</v>
      </c>
      <c r="L151" s="3" t="s">
        <v>482</v>
      </c>
      <c r="M151" s="3" t="str">
        <f aca="false">PROPER(TRIM(SUBSTITUTE(Raw_Text_Fields!I152,CHAR(160)," ")))</f>
        <v>Same Day</v>
      </c>
      <c r="N151" s="3" t="n">
        <v>7</v>
      </c>
      <c r="O151" s="5" t="n">
        <v>2527.61</v>
      </c>
      <c r="P151" s="6" t="n">
        <v>0.25</v>
      </c>
      <c r="Q151" s="5" t="n">
        <v>13269.95</v>
      </c>
      <c r="R151" s="5" t="n">
        <v>8977.1</v>
      </c>
      <c r="S151" s="5" t="n">
        <v>4292.85</v>
      </c>
      <c r="T151" s="3" t="str">
        <f aca="false">PROPER(TRIM(SUBSTITUTE(Raw_Text_Fields!J152,CHAR(160)," ")))</f>
        <v>Paid</v>
      </c>
      <c r="U151" s="3" t="str">
        <f aca="false">PROPER(TRIM(SUBSTITUTE(Raw_Text_Fields!K152,CHAR(160)," ")))</f>
        <v>Completed</v>
      </c>
      <c r="V151" s="7" t="n">
        <f aca="false">IF(OR(P151&lt;0,P151&gt;0.5),0,P151)</f>
        <v>0.25</v>
      </c>
      <c r="W151" s="8" t="n">
        <f aca="false">N151*O151*(1-V151)</f>
        <v>13269.9525</v>
      </c>
      <c r="X151" s="8" t="n">
        <f aca="false">W151-R151</f>
        <v>4292.8525</v>
      </c>
      <c r="Y151" s="7" t="n">
        <f aca="false">IFERROR(X151/W151,0)</f>
        <v>0.323501723159898</v>
      </c>
      <c r="Z151" s="9" t="n">
        <f aca="false">C151-B151</f>
        <v>0</v>
      </c>
      <c r="AA151" s="1" t="str">
        <f aca="false">IF(B151="","",TEXT(B151,"mmm"))</f>
        <v>Jan</v>
      </c>
      <c r="AB151" s="9" t="n">
        <f aca="false">IF(B151="","",YEAR(B151))</f>
        <v>2024</v>
      </c>
      <c r="AC151" s="3"/>
      <c r="AD151" s="3" t="str">
        <f aca="false">IF(LEFT(AC151&amp;IF(B151="","; Missing Order Date","")&amp;IF(C151="","; Missing Ship Date","")&amp;IF(P151&lt;0,"; Invalid Discount (Negative)","")&amp;IF(P151&gt;0.5,"; Invalid Discount (Too High)","")&amp;IF(Z151&lt;0,"; Invalid Shipping Record (Ship Before Order)","")&amp;IF(ABS(Q151-W151)&gt;1,"; Sales Mismatch","")&amp;IF(ABS(S151-X151)&gt;1,"; Profit Mismatch","")&amp;IF(COUNTIF($A$2:$A$913,A151)&gt;1,"; Duplicate Order ID Conflict",""),2)="; ",MID(AC151&amp;IF(B151="","; Missing Order Date","")&amp;IF(C151="","; Missing Ship Date","")&amp;IF(P151&lt;0,"; Invalid Discount (Negative)","")&amp;IF(P151&gt;0.5,"; Invalid Discount (Too High)","")&amp;IF(Z151&lt;0,"; Invalid Shipping Record (Ship Before Order)","")&amp;IF(ABS(Q151-W151)&gt;1,"; Sales Mismatch","")&amp;IF(ABS(S151-X151)&gt;1,"; Profit Mismatch","")&amp;IF(COUNTIF($A$2:$A$913,A151)&gt;1,"; Duplicate Order ID Conflict",""),3,500),AC151&amp;IF(B151="","; Missing Order Date","")&amp;IF(C151="","; Missing Ship Date","")&amp;IF(P151&lt;0,"; Invalid Discount (Negative)","")&amp;IF(P151&gt;0.5,"; Invalid Discount (Too High)","")&amp;IF(Z151&lt;0,"; Invalid Shipping Record (Ship Before Order)","")&amp;IF(ABS(Q151-W151)&gt;1,"; Sales Mismatch","")&amp;IF(ABS(S151-X151)&gt;1,"; Profit Mismatch","")&amp;IF(COUNTIF($A$2:$A$913,A151)&gt;1,"; Duplicate Order ID Conflict",""))</f>
        <v/>
      </c>
      <c r="AE151" s="10" t="str">
        <f aca="false">IF(OR(ISNUMBER(SEARCH("Invalid Discount",AD151)),ISNUMBER(SEARCH("Invalid Shipping Record",AD151)),ISNUMBER(SEARCH("Sales Mismatch",AD151)),ISNUMBER(SEARCH("Profit Mismatch",AD151)),ISNUMBER(SEARCH("Duplicate Order ID Conflict",AD151)),ISNUMBER(SEARCH("Missing Order Date",AD151)),ISNUMBER(SEARCH("Missing Ship Date",AD151))),"Invalid",IF(AD151&lt;&gt;"","Warning","Clean"))</f>
        <v>Clean</v>
      </c>
    </row>
    <row r="152" customFormat="false" ht="15" hidden="false" customHeight="true" outlineLevel="0" collapsed="false">
      <c r="A152" s="3" t="s">
        <v>483</v>
      </c>
      <c r="B152" s="4" t="n">
        <v>45355</v>
      </c>
      <c r="C152" s="4" t="n">
        <v>45363</v>
      </c>
      <c r="D152" s="3" t="s">
        <v>484</v>
      </c>
      <c r="E152" s="3" t="str">
        <f aca="false">PROPER(TRIM(SUBSTITUTE(Raw_Text_Fields!B153,CHAR(160)," ")))</f>
        <v>Arjun Bose</v>
      </c>
      <c r="F152" s="3" t="str">
        <f aca="false">PROPER(TRIM(SUBSTITUTE(Raw_Text_Fields!C153,CHAR(160)," ")))</f>
        <v>Consumer</v>
      </c>
      <c r="G152" s="3" t="str">
        <f aca="false">PROPER(TRIM(SUBSTITUTE(Raw_Text_Fields!D153,CHAR(160)," ")))</f>
        <v>Unknown</v>
      </c>
      <c r="H152" s="3" t="str">
        <f aca="false">PROPER(TRIM(SUBSTITUTE(Raw_Text_Fields!E153,CHAR(160)," ")))</f>
        <v>Gujarat</v>
      </c>
      <c r="I152" s="3" t="str">
        <f aca="false">PROPER(TRIM(SUBSTITUTE(Raw_Text_Fields!F153,CHAR(160)," ")))</f>
        <v>Ahmedabad</v>
      </c>
      <c r="J152" s="3" t="str">
        <f aca="false">PROPER(TRIM(SUBSTITUTE(Raw_Text_Fields!G153,CHAR(160)," ")))</f>
        <v>Furniture</v>
      </c>
      <c r="K152" s="3" t="str">
        <f aca="false">PROPER(TRIM(SUBSTITUTE(Raw_Text_Fields!H153,CHAR(160)," ")))</f>
        <v>Bookcases</v>
      </c>
      <c r="L152" s="3" t="s">
        <v>485</v>
      </c>
      <c r="M152" s="3" t="str">
        <f aca="false">PROPER(TRIM(SUBSTITUTE(Raw_Text_Fields!I153,CHAR(160)," ")))</f>
        <v>First Class</v>
      </c>
      <c r="N152" s="3" t="n">
        <v>1</v>
      </c>
      <c r="O152" s="5" t="n">
        <v>1554.12</v>
      </c>
      <c r="P152" s="6" t="n">
        <v>0.1</v>
      </c>
      <c r="Q152" s="5" t="n">
        <v>1398.71</v>
      </c>
      <c r="R152" s="5" t="n">
        <v>1056.92</v>
      </c>
      <c r="S152" s="5" t="n">
        <v>341.79</v>
      </c>
      <c r="T152" s="3" t="str">
        <f aca="false">PROPER(TRIM(SUBSTITUTE(Raw_Text_Fields!J153,CHAR(160)," ")))</f>
        <v>Paid</v>
      </c>
      <c r="U152" s="3" t="str">
        <f aca="false">PROPER(TRIM(SUBSTITUTE(Raw_Text_Fields!K153,CHAR(160)," ")))</f>
        <v>Completed</v>
      </c>
      <c r="V152" s="7" t="n">
        <f aca="false">IF(OR(P152&lt;0,P152&gt;0.5),0,P152)</f>
        <v>0.1</v>
      </c>
      <c r="W152" s="8" t="n">
        <f aca="false">N152*O152*(1-V152)</f>
        <v>1398.708</v>
      </c>
      <c r="X152" s="8" t="n">
        <f aca="false">W152-R152</f>
        <v>341.788</v>
      </c>
      <c r="Y152" s="7" t="n">
        <f aca="false">IFERROR(X152/W152,0)</f>
        <v>0.244359794896433</v>
      </c>
      <c r="Z152" s="9" t="n">
        <f aca="false">C152-B152</f>
        <v>8</v>
      </c>
      <c r="AA152" s="1" t="str">
        <f aca="false">IF(B152="","",TEXT(B152,"mmm"))</f>
        <v>Mar</v>
      </c>
      <c r="AB152" s="9" t="n">
        <f aca="false">IF(B152="","",YEAR(B152))</f>
        <v>2024</v>
      </c>
      <c r="AC152" s="3" t="s">
        <v>372</v>
      </c>
      <c r="AD152" s="3" t="str">
        <f aca="false">IF(LEFT(AC152&amp;IF(B152="","; Missing Order Date","")&amp;IF(C152="","; Missing Ship Date","")&amp;IF(P152&lt;0,"; Invalid Discount (Negative)","")&amp;IF(P152&gt;0.5,"; Invalid Discount (Too High)","")&amp;IF(Z152&lt;0,"; Invalid Shipping Record (Ship Before Order)","")&amp;IF(ABS(Q152-W152)&gt;1,"; Sales Mismatch","")&amp;IF(ABS(S152-X152)&gt;1,"; Profit Mismatch","")&amp;IF(COUNTIF($A$2:$A$913,A152)&gt;1,"; Duplicate Order ID Conflict",""),2)="; ",MID(AC152&amp;IF(B152="","; Missing Order Date","")&amp;IF(C152="","; Missing Ship Date","")&amp;IF(P152&lt;0,"; Invalid Discount (Negative)","")&amp;IF(P152&gt;0.5,"; Invalid Discount (Too High)","")&amp;IF(Z152&lt;0,"; Invalid Shipping Record (Ship Before Order)","")&amp;IF(ABS(Q152-W152)&gt;1,"; Sales Mismatch","")&amp;IF(ABS(S152-X152)&gt;1,"; Profit Mismatch","")&amp;IF(COUNTIF($A$2:$A$913,A152)&gt;1,"; Duplicate Order ID Conflict",""),3,500),AC152&amp;IF(B152="","; Missing Order Date","")&amp;IF(C152="","; Missing Ship Date","")&amp;IF(P152&lt;0,"; Invalid Discount (Negative)","")&amp;IF(P152&gt;0.5,"; Invalid Discount (Too High)","")&amp;IF(Z152&lt;0,"; Invalid Shipping Record (Ship Before Order)","")&amp;IF(ABS(Q152-W152)&gt;1,"; Sales Mismatch","")&amp;IF(ABS(S152-X152)&gt;1,"; Profit Mismatch","")&amp;IF(COUNTIF($A$2:$A$913,A152)&gt;1,"; Duplicate Order ID Conflict",""))</f>
        <v>Missing Region (filled Unknown)</v>
      </c>
      <c r="AE152" s="10" t="str">
        <f aca="false">IF(OR(ISNUMBER(SEARCH("Invalid Discount",AD152)),ISNUMBER(SEARCH("Invalid Shipping Record",AD152)),ISNUMBER(SEARCH("Sales Mismatch",AD152)),ISNUMBER(SEARCH("Profit Mismatch",AD152)),ISNUMBER(SEARCH("Duplicate Order ID Conflict",AD152)),ISNUMBER(SEARCH("Missing Order Date",AD152)),ISNUMBER(SEARCH("Missing Ship Date",AD152))),"Invalid",IF(AD152&lt;&gt;"","Warning","Clean"))</f>
        <v>Warning</v>
      </c>
    </row>
    <row r="153" customFormat="false" ht="15" hidden="false" customHeight="true" outlineLevel="0" collapsed="false">
      <c r="A153" s="3" t="s">
        <v>486</v>
      </c>
      <c r="B153" s="4" t="n">
        <v>45470</v>
      </c>
      <c r="C153" s="4" t="n">
        <v>45470</v>
      </c>
      <c r="D153" s="3" t="s">
        <v>487</v>
      </c>
      <c r="E153" s="3" t="str">
        <f aca="false">PROPER(TRIM(SUBSTITUTE(Raw_Text_Fields!B154,CHAR(160)," ")))</f>
        <v>Neha Gupta</v>
      </c>
      <c r="F153" s="3" t="str">
        <f aca="false">PROPER(TRIM(SUBSTITUTE(Raw_Text_Fields!C154,CHAR(160)," ")))</f>
        <v>Home Office</v>
      </c>
      <c r="G153" s="3" t="str">
        <f aca="false">PROPER(TRIM(SUBSTITUTE(Raw_Text_Fields!D154,CHAR(160)," ")))</f>
        <v>Unknown</v>
      </c>
      <c r="H153" s="3" t="str">
        <f aca="false">PROPER(TRIM(SUBSTITUTE(Raw_Text_Fields!E154,CHAR(160)," ")))</f>
        <v>Madhya Pradesh</v>
      </c>
      <c r="I153" s="3" t="str">
        <f aca="false">PROPER(TRIM(SUBSTITUTE(Raw_Text_Fields!F154,CHAR(160)," ")))</f>
        <v>Indore</v>
      </c>
      <c r="J153" s="3" t="str">
        <f aca="false">PROPER(TRIM(SUBSTITUTE(Raw_Text_Fields!G154,CHAR(160)," ")))</f>
        <v>Technology</v>
      </c>
      <c r="K153" s="3" t="str">
        <f aca="false">PROPER(TRIM(SUBSTITUTE(Raw_Text_Fields!H154,CHAR(160)," ")))</f>
        <v>Copiers</v>
      </c>
      <c r="L153" s="3" t="s">
        <v>488</v>
      </c>
      <c r="M153" s="3" t="str">
        <f aca="false">PROPER(TRIM(SUBSTITUTE(Raw_Text_Fields!I154,CHAR(160)," ")))</f>
        <v>Standard Class</v>
      </c>
      <c r="N153" s="3" t="n">
        <v>2</v>
      </c>
      <c r="O153" s="5" t="n">
        <v>3859.11</v>
      </c>
      <c r="P153" s="6" t="n">
        <v>0</v>
      </c>
      <c r="Q153" s="5" t="n">
        <v>7718.22</v>
      </c>
      <c r="R153" s="5" t="n">
        <v>5355.93</v>
      </c>
      <c r="S153" s="5" t="n">
        <v>2362.29</v>
      </c>
      <c r="T153" s="3" t="str">
        <f aca="false">PROPER(TRIM(SUBSTITUTE(Raw_Text_Fields!J154,CHAR(160)," ")))</f>
        <v>Pending</v>
      </c>
      <c r="U153" s="3" t="str">
        <f aca="false">PROPER(TRIM(SUBSTITUTE(Raw_Text_Fields!K154,CHAR(160)," ")))</f>
        <v>Returned</v>
      </c>
      <c r="V153" s="7" t="n">
        <f aca="false">IF(OR(P153&lt;0,P153&gt;0.5),0,P153)</f>
        <v>0</v>
      </c>
      <c r="W153" s="8" t="n">
        <f aca="false">N153*O153*(1-V153)</f>
        <v>7718.22</v>
      </c>
      <c r="X153" s="8" t="n">
        <f aca="false">W153-R153</f>
        <v>2362.29</v>
      </c>
      <c r="Y153" s="7" t="n">
        <f aca="false">IFERROR(X153/W153,0)</f>
        <v>0.306066683769056</v>
      </c>
      <c r="Z153" s="9" t="n">
        <f aca="false">C153-B153</f>
        <v>0</v>
      </c>
      <c r="AA153" s="1" t="str">
        <f aca="false">IF(B153="","",TEXT(B153,"mmm"))</f>
        <v>Jun</v>
      </c>
      <c r="AB153" s="9" t="n">
        <f aca="false">IF(B153="","",YEAR(B153))</f>
        <v>2024</v>
      </c>
      <c r="AC153" s="3" t="s">
        <v>372</v>
      </c>
      <c r="AD153" s="3" t="str">
        <f aca="false">IF(LEFT(AC153&amp;IF(B153="","; Missing Order Date","")&amp;IF(C153="","; Missing Ship Date","")&amp;IF(P153&lt;0,"; Invalid Discount (Negative)","")&amp;IF(P153&gt;0.5,"; Invalid Discount (Too High)","")&amp;IF(Z153&lt;0,"; Invalid Shipping Record (Ship Before Order)","")&amp;IF(ABS(Q153-W153)&gt;1,"; Sales Mismatch","")&amp;IF(ABS(S153-X153)&gt;1,"; Profit Mismatch","")&amp;IF(COUNTIF($A$2:$A$913,A153)&gt;1,"; Duplicate Order ID Conflict",""),2)="; ",MID(AC153&amp;IF(B153="","; Missing Order Date","")&amp;IF(C153="","; Missing Ship Date","")&amp;IF(P153&lt;0,"; Invalid Discount (Negative)","")&amp;IF(P153&gt;0.5,"; Invalid Discount (Too High)","")&amp;IF(Z153&lt;0,"; Invalid Shipping Record (Ship Before Order)","")&amp;IF(ABS(Q153-W153)&gt;1,"; Sales Mismatch","")&amp;IF(ABS(S153-X153)&gt;1,"; Profit Mismatch","")&amp;IF(COUNTIF($A$2:$A$913,A153)&gt;1,"; Duplicate Order ID Conflict",""),3,500),AC153&amp;IF(B153="","; Missing Order Date","")&amp;IF(C153="","; Missing Ship Date","")&amp;IF(P153&lt;0,"; Invalid Discount (Negative)","")&amp;IF(P153&gt;0.5,"; Invalid Discount (Too High)","")&amp;IF(Z153&lt;0,"; Invalid Shipping Record (Ship Before Order)","")&amp;IF(ABS(Q153-W153)&gt;1,"; Sales Mismatch","")&amp;IF(ABS(S153-X153)&gt;1,"; Profit Mismatch","")&amp;IF(COUNTIF($A$2:$A$913,A153)&gt;1,"; Duplicate Order ID Conflict",""))</f>
        <v>Missing Region (filled Unknown)</v>
      </c>
      <c r="AE153" s="10" t="str">
        <f aca="false">IF(OR(ISNUMBER(SEARCH("Invalid Discount",AD153)),ISNUMBER(SEARCH("Invalid Shipping Record",AD153)),ISNUMBER(SEARCH("Sales Mismatch",AD153)),ISNUMBER(SEARCH("Profit Mismatch",AD153)),ISNUMBER(SEARCH("Duplicate Order ID Conflict",AD153)),ISNUMBER(SEARCH("Missing Order Date",AD153)),ISNUMBER(SEARCH("Missing Ship Date",AD153))),"Invalid",IF(AD153&lt;&gt;"","Warning","Clean"))</f>
        <v>Warning</v>
      </c>
    </row>
    <row r="154" customFormat="false" ht="15" hidden="false" customHeight="true" outlineLevel="0" collapsed="false">
      <c r="A154" s="3" t="s">
        <v>489</v>
      </c>
      <c r="B154" s="4" t="n">
        <v>45457</v>
      </c>
      <c r="C154" s="4" t="n">
        <v>45460</v>
      </c>
      <c r="D154" s="3" t="s">
        <v>490</v>
      </c>
      <c r="E154" s="3" t="str">
        <f aca="false">PROPER(TRIM(SUBSTITUTE(Raw_Text_Fields!B155,CHAR(160)," ")))</f>
        <v>Kabir Singh</v>
      </c>
      <c r="F154" s="3" t="str">
        <f aca="false">PROPER(TRIM(SUBSTITUTE(Raw_Text_Fields!C155,CHAR(160)," ")))</f>
        <v>Small Business</v>
      </c>
      <c r="G154" s="3" t="str">
        <f aca="false">PROPER(TRIM(SUBSTITUTE(Raw_Text_Fields!D155,CHAR(160)," ")))</f>
        <v>South</v>
      </c>
      <c r="H154" s="3" t="str">
        <f aca="false">PROPER(TRIM(SUBSTITUTE(Raw_Text_Fields!E155,CHAR(160)," ")))</f>
        <v>Kerala</v>
      </c>
      <c r="I154" s="3" t="str">
        <f aca="false">PROPER(TRIM(SUBSTITUTE(Raw_Text_Fields!F155,CHAR(160)," ")))</f>
        <v>Kochi</v>
      </c>
      <c r="J154" s="3" t="str">
        <f aca="false">PROPER(TRIM(SUBSTITUTE(Raw_Text_Fields!G155,CHAR(160)," ")))</f>
        <v>Furniture</v>
      </c>
      <c r="K154" s="3" t="str">
        <f aca="false">PROPER(TRIM(SUBSTITUTE(Raw_Text_Fields!H155,CHAR(160)," ")))</f>
        <v>Tables</v>
      </c>
      <c r="L154" s="3" t="s">
        <v>491</v>
      </c>
      <c r="M154" s="3" t="str">
        <f aca="false">PROPER(TRIM(SUBSTITUTE(Raw_Text_Fields!I155,CHAR(160)," ")))</f>
        <v>Second Class</v>
      </c>
      <c r="N154" s="3" t="n">
        <v>6</v>
      </c>
      <c r="O154" s="5" t="n">
        <v>1088.04</v>
      </c>
      <c r="P154" s="6" t="n">
        <v>0.1</v>
      </c>
      <c r="Q154" s="5" t="n">
        <v>5875.42</v>
      </c>
      <c r="R154" s="5" t="n">
        <v>4380.55</v>
      </c>
      <c r="S154" s="5" t="n">
        <v>1494.87</v>
      </c>
      <c r="T154" s="3" t="str">
        <f aca="false">PROPER(TRIM(SUBSTITUTE(Raw_Text_Fields!J155,CHAR(160)," ")))</f>
        <v>Pending</v>
      </c>
      <c r="U154" s="3" t="str">
        <f aca="false">PROPER(TRIM(SUBSTITUTE(Raw_Text_Fields!K155,CHAR(160)," ")))</f>
        <v>Returned</v>
      </c>
      <c r="V154" s="7" t="n">
        <f aca="false">IF(OR(P154&lt;0,P154&gt;0.5),0,P154)</f>
        <v>0.1</v>
      </c>
      <c r="W154" s="8" t="n">
        <f aca="false">N154*O154*(1-V154)</f>
        <v>5875.416</v>
      </c>
      <c r="X154" s="8" t="n">
        <f aca="false">W154-R154</f>
        <v>1494.866</v>
      </c>
      <c r="Y154" s="7" t="n">
        <f aca="false">IFERROR(X154/W154,0)</f>
        <v>0.254427260980329</v>
      </c>
      <c r="Z154" s="9" t="n">
        <f aca="false">C154-B154</f>
        <v>3</v>
      </c>
      <c r="AA154" s="1" t="str">
        <f aca="false">IF(B154="","",TEXT(B154,"mmm"))</f>
        <v>Jun</v>
      </c>
      <c r="AB154" s="9" t="n">
        <f aca="false">IF(B154="","",YEAR(B154))</f>
        <v>2024</v>
      </c>
      <c r="AC154" s="3"/>
      <c r="AD154" s="3" t="str">
        <f aca="false">IF(LEFT(AC154&amp;IF(B154="","; Missing Order Date","")&amp;IF(C154="","; Missing Ship Date","")&amp;IF(P154&lt;0,"; Invalid Discount (Negative)","")&amp;IF(P154&gt;0.5,"; Invalid Discount (Too High)","")&amp;IF(Z154&lt;0,"; Invalid Shipping Record (Ship Before Order)","")&amp;IF(ABS(Q154-W154)&gt;1,"; Sales Mismatch","")&amp;IF(ABS(S154-X154)&gt;1,"; Profit Mismatch","")&amp;IF(COUNTIF($A$2:$A$913,A154)&gt;1,"; Duplicate Order ID Conflict",""),2)="; ",MID(AC154&amp;IF(B154="","; Missing Order Date","")&amp;IF(C154="","; Missing Ship Date","")&amp;IF(P154&lt;0,"; Invalid Discount (Negative)","")&amp;IF(P154&gt;0.5,"; Invalid Discount (Too High)","")&amp;IF(Z154&lt;0,"; Invalid Shipping Record (Ship Before Order)","")&amp;IF(ABS(Q154-W154)&gt;1,"; Sales Mismatch","")&amp;IF(ABS(S154-X154)&gt;1,"; Profit Mismatch","")&amp;IF(COUNTIF($A$2:$A$913,A154)&gt;1,"; Duplicate Order ID Conflict",""),3,500),AC154&amp;IF(B154="","; Missing Order Date","")&amp;IF(C154="","; Missing Ship Date","")&amp;IF(P154&lt;0,"; Invalid Discount (Negative)","")&amp;IF(P154&gt;0.5,"; Invalid Discount (Too High)","")&amp;IF(Z154&lt;0,"; Invalid Shipping Record (Ship Before Order)","")&amp;IF(ABS(Q154-W154)&gt;1,"; Sales Mismatch","")&amp;IF(ABS(S154-X154)&gt;1,"; Profit Mismatch","")&amp;IF(COUNTIF($A$2:$A$913,A154)&gt;1,"; Duplicate Order ID Conflict",""))</f>
        <v/>
      </c>
      <c r="AE154" s="10" t="str">
        <f aca="false">IF(OR(ISNUMBER(SEARCH("Invalid Discount",AD154)),ISNUMBER(SEARCH("Invalid Shipping Record",AD154)),ISNUMBER(SEARCH("Sales Mismatch",AD154)),ISNUMBER(SEARCH("Profit Mismatch",AD154)),ISNUMBER(SEARCH("Duplicate Order ID Conflict",AD154)),ISNUMBER(SEARCH("Missing Order Date",AD154)),ISNUMBER(SEARCH("Missing Ship Date",AD154))),"Invalid",IF(AD154&lt;&gt;"","Warning","Clean"))</f>
        <v>Clean</v>
      </c>
    </row>
    <row r="155" customFormat="false" ht="15" hidden="false" customHeight="true" outlineLevel="0" collapsed="false">
      <c r="A155" s="3" t="s">
        <v>492</v>
      </c>
      <c r="B155" s="4" t="n">
        <v>45923</v>
      </c>
      <c r="C155" s="4" t="n">
        <v>45925</v>
      </c>
      <c r="D155" s="3" t="s">
        <v>493</v>
      </c>
      <c r="E155" s="3" t="str">
        <f aca="false">PROPER(TRIM(SUBSTITUTE(Raw_Text_Fields!B156,CHAR(160)," ")))</f>
        <v>Aditi Sen</v>
      </c>
      <c r="F155" s="3" t="str">
        <f aca="false">PROPER(TRIM(SUBSTITUTE(Raw_Text_Fields!C156,CHAR(160)," ")))</f>
        <v>Consumer</v>
      </c>
      <c r="G155" s="3" t="str">
        <f aca="false">PROPER(TRIM(SUBSTITUTE(Raw_Text_Fields!D156,CHAR(160)," ")))</f>
        <v>East</v>
      </c>
      <c r="H155" s="3" t="str">
        <f aca="false">PROPER(TRIM(SUBSTITUTE(Raw_Text_Fields!E156,CHAR(160)," ")))</f>
        <v>Odisha</v>
      </c>
      <c r="I155" s="3" t="str">
        <f aca="false">PROPER(TRIM(SUBSTITUTE(Raw_Text_Fields!F156,CHAR(160)," ")))</f>
        <v>Bhubaneswar</v>
      </c>
      <c r="J155" s="3" t="str">
        <f aca="false">PROPER(TRIM(SUBSTITUTE(Raw_Text_Fields!G156,CHAR(160)," ")))</f>
        <v>Office Supplies</v>
      </c>
      <c r="K155" s="3" t="str">
        <f aca="false">PROPER(TRIM(SUBSTITUTE(Raw_Text_Fields!H156,CHAR(160)," ")))</f>
        <v>Labels</v>
      </c>
      <c r="L155" s="3" t="s">
        <v>494</v>
      </c>
      <c r="M155" s="3" t="str">
        <f aca="false">PROPER(TRIM(SUBSTITUTE(Raw_Text_Fields!I156,CHAR(160)," ")))</f>
        <v>Standard Class</v>
      </c>
      <c r="N155" s="3" t="n">
        <v>7</v>
      </c>
      <c r="O155" s="5" t="n">
        <v>3280.31</v>
      </c>
      <c r="P155" s="6" t="n">
        <v>0</v>
      </c>
      <c r="Q155" s="5" t="n">
        <v>22962.17</v>
      </c>
      <c r="R155" s="5" t="n">
        <v>15716.5</v>
      </c>
      <c r="S155" s="5" t="n">
        <v>7245.67</v>
      </c>
      <c r="T155" s="3" t="str">
        <f aca="false">PROPER(TRIM(SUBSTITUTE(Raw_Text_Fields!J156,CHAR(160)," ")))</f>
        <v>Refunded</v>
      </c>
      <c r="U155" s="3" t="str">
        <f aca="false">PROPER(TRIM(SUBSTITUTE(Raw_Text_Fields!K156,CHAR(160)," ")))</f>
        <v>Returned</v>
      </c>
      <c r="V155" s="7" t="n">
        <f aca="false">IF(OR(P155&lt;0,P155&gt;0.5),0,P155)</f>
        <v>0</v>
      </c>
      <c r="W155" s="8" t="n">
        <f aca="false">N155*O155*(1-V155)</f>
        <v>22962.17</v>
      </c>
      <c r="X155" s="8" t="n">
        <f aca="false">W155-R155</f>
        <v>7245.67</v>
      </c>
      <c r="Y155" s="7" t="n">
        <f aca="false">IFERROR(X155/W155,0)</f>
        <v>0.315548138525235</v>
      </c>
      <c r="Z155" s="9" t="n">
        <f aca="false">C155-B155</f>
        <v>2</v>
      </c>
      <c r="AA155" s="1" t="str">
        <f aca="false">IF(B155="","",TEXT(B155,"mmm"))</f>
        <v>Sep</v>
      </c>
      <c r="AB155" s="9" t="n">
        <f aca="false">IF(B155="","",YEAR(B155))</f>
        <v>2025</v>
      </c>
      <c r="AC155" s="3"/>
      <c r="AD155" s="3" t="str">
        <f aca="false">IF(LEFT(AC155&amp;IF(B155="","; Missing Order Date","")&amp;IF(C155="","; Missing Ship Date","")&amp;IF(P155&lt;0,"; Invalid Discount (Negative)","")&amp;IF(P155&gt;0.5,"; Invalid Discount (Too High)","")&amp;IF(Z155&lt;0,"; Invalid Shipping Record (Ship Before Order)","")&amp;IF(ABS(Q155-W155)&gt;1,"; Sales Mismatch","")&amp;IF(ABS(S155-X155)&gt;1,"; Profit Mismatch","")&amp;IF(COUNTIF($A$2:$A$913,A155)&gt;1,"; Duplicate Order ID Conflict",""),2)="; ",MID(AC155&amp;IF(B155="","; Missing Order Date","")&amp;IF(C155="","; Missing Ship Date","")&amp;IF(P155&lt;0,"; Invalid Discount (Negative)","")&amp;IF(P155&gt;0.5,"; Invalid Discount (Too High)","")&amp;IF(Z155&lt;0,"; Invalid Shipping Record (Ship Before Order)","")&amp;IF(ABS(Q155-W155)&gt;1,"; Sales Mismatch","")&amp;IF(ABS(S155-X155)&gt;1,"; Profit Mismatch","")&amp;IF(COUNTIF($A$2:$A$913,A155)&gt;1,"; Duplicate Order ID Conflict",""),3,500),AC155&amp;IF(B155="","; Missing Order Date","")&amp;IF(C155="","; Missing Ship Date","")&amp;IF(P155&lt;0,"; Invalid Discount (Negative)","")&amp;IF(P155&gt;0.5,"; Invalid Discount (Too High)","")&amp;IF(Z155&lt;0,"; Invalid Shipping Record (Ship Before Order)","")&amp;IF(ABS(Q155-W155)&gt;1,"; Sales Mismatch","")&amp;IF(ABS(S155-X155)&gt;1,"; Profit Mismatch","")&amp;IF(COUNTIF($A$2:$A$913,A155)&gt;1,"; Duplicate Order ID Conflict",""))</f>
        <v/>
      </c>
      <c r="AE155" s="10" t="str">
        <f aca="false">IF(OR(ISNUMBER(SEARCH("Invalid Discount",AD155)),ISNUMBER(SEARCH("Invalid Shipping Record",AD155)),ISNUMBER(SEARCH("Sales Mismatch",AD155)),ISNUMBER(SEARCH("Profit Mismatch",AD155)),ISNUMBER(SEARCH("Duplicate Order ID Conflict",AD155)),ISNUMBER(SEARCH("Missing Order Date",AD155)),ISNUMBER(SEARCH("Missing Ship Date",AD155))),"Invalid",IF(AD155&lt;&gt;"","Warning","Clean"))</f>
        <v>Clean</v>
      </c>
    </row>
    <row r="156" customFormat="false" ht="15" hidden="false" customHeight="true" outlineLevel="0" collapsed="false">
      <c r="A156" s="3" t="s">
        <v>495</v>
      </c>
      <c r="B156" s="4" t="n">
        <v>45334</v>
      </c>
      <c r="C156" s="4" t="n">
        <v>45333</v>
      </c>
      <c r="D156" s="3" t="s">
        <v>379</v>
      </c>
      <c r="E156" s="3" t="str">
        <f aca="false">PROPER(TRIM(SUBSTITUTE(Raw_Text_Fields!B157,CHAR(160)," ")))</f>
        <v>Priya Menon</v>
      </c>
      <c r="F156" s="3" t="str">
        <f aca="false">PROPER(TRIM(SUBSTITUTE(Raw_Text_Fields!C157,CHAR(160)," ")))</f>
        <v>Consumer</v>
      </c>
      <c r="G156" s="3" t="str">
        <f aca="false">PROPER(TRIM(SUBSTITUTE(Raw_Text_Fields!D157,CHAR(160)," ")))</f>
        <v>South</v>
      </c>
      <c r="H156" s="3" t="str">
        <f aca="false">PROPER(TRIM(SUBSTITUTE(Raw_Text_Fields!E157,CHAR(160)," ")))</f>
        <v>Tamil Nadu</v>
      </c>
      <c r="I156" s="3" t="str">
        <f aca="false">PROPER(TRIM(SUBSTITUTE(Raw_Text_Fields!F157,CHAR(160)," ")))</f>
        <v>Chennai</v>
      </c>
      <c r="J156" s="3" t="str">
        <f aca="false">PROPER(TRIM(SUBSTITUTE(Raw_Text_Fields!G157,CHAR(160)," ")))</f>
        <v>Furniture</v>
      </c>
      <c r="K156" s="3" t="str">
        <f aca="false">PROPER(TRIM(SUBSTITUTE(Raw_Text_Fields!H157,CHAR(160)," ")))</f>
        <v>Bookcases</v>
      </c>
      <c r="L156" s="3" t="s">
        <v>496</v>
      </c>
      <c r="M156" s="3" t="str">
        <f aca="false">PROPER(TRIM(SUBSTITUTE(Raw_Text_Fields!I157,CHAR(160)," ")))</f>
        <v>Same Day</v>
      </c>
      <c r="N156" s="3" t="n">
        <v>1</v>
      </c>
      <c r="O156" s="5" t="n">
        <v>2599.12</v>
      </c>
      <c r="P156" s="6" t="n">
        <v>0.15</v>
      </c>
      <c r="Q156" s="5" t="n">
        <v>2209.25</v>
      </c>
      <c r="R156" s="5" t="n">
        <v>1523.78</v>
      </c>
      <c r="S156" s="5" t="n">
        <v>685.47</v>
      </c>
      <c r="T156" s="3" t="str">
        <f aca="false">PROPER(TRIM(SUBSTITUTE(Raw_Text_Fields!J157,CHAR(160)," ")))</f>
        <v>Paid</v>
      </c>
      <c r="U156" s="3" t="str">
        <f aca="false">PROPER(TRIM(SUBSTITUTE(Raw_Text_Fields!K157,CHAR(160)," ")))</f>
        <v>Completed</v>
      </c>
      <c r="V156" s="7" t="n">
        <f aca="false">IF(OR(P156&lt;0,P156&gt;0.5),0,P156)</f>
        <v>0.15</v>
      </c>
      <c r="W156" s="8" t="n">
        <f aca="false">N156*O156*(1-V156)</f>
        <v>2209.252</v>
      </c>
      <c r="X156" s="8" t="n">
        <f aca="false">W156-R156</f>
        <v>685.472</v>
      </c>
      <c r="Y156" s="7" t="n">
        <f aca="false">IFERROR(X156/W156,0)</f>
        <v>0.310273341384324</v>
      </c>
      <c r="Z156" s="9" t="n">
        <f aca="false">C156-B156</f>
        <v>-1</v>
      </c>
      <c r="AA156" s="1" t="str">
        <f aca="false">IF(B156="","",TEXT(B156,"mmm"))</f>
        <v>Feb</v>
      </c>
      <c r="AB156" s="9" t="n">
        <f aca="false">IF(B156="","",YEAR(B156))</f>
        <v>2024</v>
      </c>
      <c r="AC156" s="3"/>
      <c r="AD156" s="3" t="str">
        <f aca="false">IF(LEFT(AC156&amp;IF(B156="","; Missing Order Date","")&amp;IF(C156="","; Missing Ship Date","")&amp;IF(P156&lt;0,"; Invalid Discount (Negative)","")&amp;IF(P156&gt;0.5,"; Invalid Discount (Too High)","")&amp;IF(Z156&lt;0,"; Invalid Shipping Record (Ship Before Order)","")&amp;IF(ABS(Q156-W156)&gt;1,"; Sales Mismatch","")&amp;IF(ABS(S156-X156)&gt;1,"; Profit Mismatch","")&amp;IF(COUNTIF($A$2:$A$913,A156)&gt;1,"; Duplicate Order ID Conflict",""),2)="; ",MID(AC156&amp;IF(B156="","; Missing Order Date","")&amp;IF(C156="","; Missing Ship Date","")&amp;IF(P156&lt;0,"; Invalid Discount (Negative)","")&amp;IF(P156&gt;0.5,"; Invalid Discount (Too High)","")&amp;IF(Z156&lt;0,"; Invalid Shipping Record (Ship Before Order)","")&amp;IF(ABS(Q156-W156)&gt;1,"; Sales Mismatch","")&amp;IF(ABS(S156-X156)&gt;1,"; Profit Mismatch","")&amp;IF(COUNTIF($A$2:$A$913,A156)&gt;1,"; Duplicate Order ID Conflict",""),3,500),AC156&amp;IF(B156="","; Missing Order Date","")&amp;IF(C156="","; Missing Ship Date","")&amp;IF(P156&lt;0,"; Invalid Discount (Negative)","")&amp;IF(P156&gt;0.5,"; Invalid Discount (Too High)","")&amp;IF(Z156&lt;0,"; Invalid Shipping Record (Ship Before Order)","")&amp;IF(ABS(Q156-W156)&gt;1,"; Sales Mismatch","")&amp;IF(ABS(S156-X156)&gt;1,"; Profit Mismatch","")&amp;IF(COUNTIF($A$2:$A$913,A156)&gt;1,"; Duplicate Order ID Conflict",""))</f>
        <v>Invalid Shipping Record (Ship Before Order)</v>
      </c>
      <c r="AE156" s="10" t="str">
        <f aca="false">IF(OR(ISNUMBER(SEARCH("Invalid Discount",AD156)),ISNUMBER(SEARCH("Invalid Shipping Record",AD156)),ISNUMBER(SEARCH("Sales Mismatch",AD156)),ISNUMBER(SEARCH("Profit Mismatch",AD156)),ISNUMBER(SEARCH("Duplicate Order ID Conflict",AD156)),ISNUMBER(SEARCH("Missing Order Date",AD156)),ISNUMBER(SEARCH("Missing Ship Date",AD156))),"Invalid",IF(AD156&lt;&gt;"","Warning","Clean"))</f>
        <v>Invalid</v>
      </c>
    </row>
    <row r="157" customFormat="false" ht="15" hidden="false" customHeight="true" outlineLevel="0" collapsed="false">
      <c r="A157" s="3" t="s">
        <v>497</v>
      </c>
      <c r="B157" s="4" t="n">
        <v>45683</v>
      </c>
      <c r="C157" s="4" t="n">
        <v>45691</v>
      </c>
      <c r="D157" s="3" t="s">
        <v>498</v>
      </c>
      <c r="E157" s="3" t="str">
        <f aca="false">PROPER(TRIM(SUBSTITUTE(Raw_Text_Fields!B158,CHAR(160)," ")))</f>
        <v>Karan Malhotra</v>
      </c>
      <c r="F157" s="3" t="str">
        <f aca="false">PROPER(TRIM(SUBSTITUTE(Raw_Text_Fields!C158,CHAR(160)," ")))</f>
        <v>Corporate</v>
      </c>
      <c r="G157" s="3" t="str">
        <f aca="false">PROPER(TRIM(SUBSTITUTE(Raw_Text_Fields!D158,CHAR(160)," ")))</f>
        <v>West</v>
      </c>
      <c r="H157" s="3" t="str">
        <f aca="false">PROPER(TRIM(SUBSTITUTE(Raw_Text_Fields!E158,CHAR(160)," ")))</f>
        <v>Rajasthan</v>
      </c>
      <c r="I157" s="3" t="str">
        <f aca="false">PROPER(TRIM(SUBSTITUTE(Raw_Text_Fields!F158,CHAR(160)," ")))</f>
        <v>Udaipur</v>
      </c>
      <c r="J157" s="3" t="str">
        <f aca="false">PROPER(TRIM(SUBSTITUTE(Raw_Text_Fields!G158,CHAR(160)," ")))</f>
        <v>Furniture</v>
      </c>
      <c r="K157" s="3" t="str">
        <f aca="false">PROPER(TRIM(SUBSTITUTE(Raw_Text_Fields!H158,CHAR(160)," ")))</f>
        <v>Furnishings</v>
      </c>
      <c r="L157" s="3" t="s">
        <v>499</v>
      </c>
      <c r="M157" s="3" t="str">
        <f aca="false">PROPER(TRIM(SUBSTITUTE(Raw_Text_Fields!I158,CHAR(160)," ")))</f>
        <v>Same Day</v>
      </c>
      <c r="N157" s="3" t="n">
        <v>3</v>
      </c>
      <c r="O157" s="5" t="n">
        <v>2859.32</v>
      </c>
      <c r="P157" s="6" t="n">
        <v>0.1</v>
      </c>
      <c r="Q157" s="5" t="n">
        <v>7720.16</v>
      </c>
      <c r="R157" s="5" t="n">
        <v>5881</v>
      </c>
      <c r="S157" s="5" t="n">
        <v>1839.16</v>
      </c>
      <c r="T157" s="3" t="str">
        <f aca="false">PROPER(TRIM(SUBSTITUTE(Raw_Text_Fields!J158,CHAR(160)," ")))</f>
        <v>Refunded</v>
      </c>
      <c r="U157" s="3" t="str">
        <f aca="false">PROPER(TRIM(SUBSTITUTE(Raw_Text_Fields!K158,CHAR(160)," ")))</f>
        <v>Returned</v>
      </c>
      <c r="V157" s="7" t="n">
        <f aca="false">IF(OR(P157&lt;0,P157&gt;0.5),0,P157)</f>
        <v>0.1</v>
      </c>
      <c r="W157" s="8" t="n">
        <f aca="false">N157*O157*(1-V157)</f>
        <v>7720.164</v>
      </c>
      <c r="X157" s="8" t="n">
        <f aca="false">W157-R157</f>
        <v>1839.164</v>
      </c>
      <c r="Y157" s="7" t="n">
        <f aca="false">IFERROR(X157/W157,0)</f>
        <v>0.238228617941277</v>
      </c>
      <c r="Z157" s="9" t="n">
        <f aca="false">C157-B157</f>
        <v>8</v>
      </c>
      <c r="AA157" s="1" t="str">
        <f aca="false">IF(B157="","",TEXT(B157,"mmm"))</f>
        <v>Jan</v>
      </c>
      <c r="AB157" s="9" t="n">
        <f aca="false">IF(B157="","",YEAR(B157))</f>
        <v>2025</v>
      </c>
      <c r="AC157" s="3"/>
      <c r="AD157" s="3" t="str">
        <f aca="false">IF(LEFT(AC157&amp;IF(B157="","; Missing Order Date","")&amp;IF(C157="","; Missing Ship Date","")&amp;IF(P157&lt;0,"; Invalid Discount (Negative)","")&amp;IF(P157&gt;0.5,"; Invalid Discount (Too High)","")&amp;IF(Z157&lt;0,"; Invalid Shipping Record (Ship Before Order)","")&amp;IF(ABS(Q157-W157)&gt;1,"; Sales Mismatch","")&amp;IF(ABS(S157-X157)&gt;1,"; Profit Mismatch","")&amp;IF(COUNTIF($A$2:$A$913,A157)&gt;1,"; Duplicate Order ID Conflict",""),2)="; ",MID(AC157&amp;IF(B157="","; Missing Order Date","")&amp;IF(C157="","; Missing Ship Date","")&amp;IF(P157&lt;0,"; Invalid Discount (Negative)","")&amp;IF(P157&gt;0.5,"; Invalid Discount (Too High)","")&amp;IF(Z157&lt;0,"; Invalid Shipping Record (Ship Before Order)","")&amp;IF(ABS(Q157-W157)&gt;1,"; Sales Mismatch","")&amp;IF(ABS(S157-X157)&gt;1,"; Profit Mismatch","")&amp;IF(COUNTIF($A$2:$A$913,A157)&gt;1,"; Duplicate Order ID Conflict",""),3,500),AC157&amp;IF(B157="","; Missing Order Date","")&amp;IF(C157="","; Missing Ship Date","")&amp;IF(P157&lt;0,"; Invalid Discount (Negative)","")&amp;IF(P157&gt;0.5,"; Invalid Discount (Too High)","")&amp;IF(Z157&lt;0,"; Invalid Shipping Record (Ship Before Order)","")&amp;IF(ABS(Q157-W157)&gt;1,"; Sales Mismatch","")&amp;IF(ABS(S157-X157)&gt;1,"; Profit Mismatch","")&amp;IF(COUNTIF($A$2:$A$913,A157)&gt;1,"; Duplicate Order ID Conflict",""))</f>
        <v/>
      </c>
      <c r="AE157" s="10" t="str">
        <f aca="false">IF(OR(ISNUMBER(SEARCH("Invalid Discount",AD157)),ISNUMBER(SEARCH("Invalid Shipping Record",AD157)),ISNUMBER(SEARCH("Sales Mismatch",AD157)),ISNUMBER(SEARCH("Profit Mismatch",AD157)),ISNUMBER(SEARCH("Duplicate Order ID Conflict",AD157)),ISNUMBER(SEARCH("Missing Order Date",AD157)),ISNUMBER(SEARCH("Missing Ship Date",AD157))),"Invalid",IF(AD157&lt;&gt;"","Warning","Clean"))</f>
        <v>Clean</v>
      </c>
    </row>
    <row r="158" customFormat="false" ht="15" hidden="false" customHeight="true" outlineLevel="0" collapsed="false">
      <c r="A158" s="3" t="s">
        <v>500</v>
      </c>
      <c r="B158" s="4" t="n">
        <v>45743</v>
      </c>
      <c r="C158" s="4" t="n">
        <v>45743</v>
      </c>
      <c r="D158" s="3" t="s">
        <v>501</v>
      </c>
      <c r="E158" s="3" t="str">
        <f aca="false">PROPER(TRIM(SUBSTITUTE(Raw_Text_Fields!B159,CHAR(160)," ")))</f>
        <v>Vikram Iyer</v>
      </c>
      <c r="F158" s="3" t="str">
        <f aca="false">PROPER(TRIM(SUBSTITUTE(Raw_Text_Fields!C159,CHAR(160)," ")))</f>
        <v>Small Business</v>
      </c>
      <c r="G158" s="3" t="str">
        <f aca="false">PROPER(TRIM(SUBSTITUTE(Raw_Text_Fields!D159,CHAR(160)," ")))</f>
        <v>East</v>
      </c>
      <c r="H158" s="3" t="str">
        <f aca="false">PROPER(TRIM(SUBSTITUTE(Raw_Text_Fields!E159,CHAR(160)," ")))</f>
        <v>Bihar</v>
      </c>
      <c r="I158" s="3" t="str">
        <f aca="false">PROPER(TRIM(SUBSTITUTE(Raw_Text_Fields!F159,CHAR(160)," ")))</f>
        <v>Patna</v>
      </c>
      <c r="J158" s="3" t="str">
        <f aca="false">PROPER(TRIM(SUBSTITUTE(Raw_Text_Fields!G159,CHAR(160)," ")))</f>
        <v>Technology</v>
      </c>
      <c r="K158" s="3" t="str">
        <f aca="false">PROPER(TRIM(SUBSTITUTE(Raw_Text_Fields!H159,CHAR(160)," ")))</f>
        <v>Machines</v>
      </c>
      <c r="L158" s="3" t="s">
        <v>502</v>
      </c>
      <c r="M158" s="3" t="str">
        <f aca="false">PROPER(TRIM(SUBSTITUTE(Raw_Text_Fields!I159,CHAR(160)," ")))</f>
        <v>Second Class</v>
      </c>
      <c r="N158" s="3" t="n">
        <v>7</v>
      </c>
      <c r="O158" s="5" t="n">
        <v>2305.37</v>
      </c>
      <c r="P158" s="6" t="n">
        <v>0.25</v>
      </c>
      <c r="Q158" s="5" t="n">
        <v>12103.19</v>
      </c>
      <c r="R158" s="5" t="n">
        <v>6717.87</v>
      </c>
      <c r="S158" s="5" t="n">
        <v>5385.32</v>
      </c>
      <c r="T158" s="3" t="str">
        <f aca="false">PROPER(TRIM(SUBSTITUTE(Raw_Text_Fields!J159,CHAR(160)," ")))</f>
        <v>Paid</v>
      </c>
      <c r="U158" s="3" t="str">
        <f aca="false">PROPER(TRIM(SUBSTITUTE(Raw_Text_Fields!K159,CHAR(160)," ")))</f>
        <v>Completed</v>
      </c>
      <c r="V158" s="7" t="n">
        <f aca="false">IF(OR(P158&lt;0,P158&gt;0.5),0,P158)</f>
        <v>0.25</v>
      </c>
      <c r="W158" s="8" t="n">
        <f aca="false">N158*O158*(1-V158)</f>
        <v>12103.1925</v>
      </c>
      <c r="X158" s="8" t="n">
        <f aca="false">W158-R158</f>
        <v>5385.3225</v>
      </c>
      <c r="Y158" s="7" t="n">
        <f aca="false">IFERROR(X158/W158,0)</f>
        <v>0.44495057812226</v>
      </c>
      <c r="Z158" s="9" t="n">
        <f aca="false">C158-B158</f>
        <v>0</v>
      </c>
      <c r="AA158" s="1" t="str">
        <f aca="false">IF(B158="","",TEXT(B158,"mmm"))</f>
        <v>Mar</v>
      </c>
      <c r="AB158" s="9" t="n">
        <f aca="false">IF(B158="","",YEAR(B158))</f>
        <v>2025</v>
      </c>
      <c r="AC158" s="3"/>
      <c r="AD158" s="3" t="str">
        <f aca="false">IF(LEFT(AC158&amp;IF(B158="","; Missing Order Date","")&amp;IF(C158="","; Missing Ship Date","")&amp;IF(P158&lt;0,"; Invalid Discount (Negative)","")&amp;IF(P158&gt;0.5,"; Invalid Discount (Too High)","")&amp;IF(Z158&lt;0,"; Invalid Shipping Record (Ship Before Order)","")&amp;IF(ABS(Q158-W158)&gt;1,"; Sales Mismatch","")&amp;IF(ABS(S158-X158)&gt;1,"; Profit Mismatch","")&amp;IF(COUNTIF($A$2:$A$913,A158)&gt;1,"; Duplicate Order ID Conflict",""),2)="; ",MID(AC158&amp;IF(B158="","; Missing Order Date","")&amp;IF(C158="","; Missing Ship Date","")&amp;IF(P158&lt;0,"; Invalid Discount (Negative)","")&amp;IF(P158&gt;0.5,"; Invalid Discount (Too High)","")&amp;IF(Z158&lt;0,"; Invalid Shipping Record (Ship Before Order)","")&amp;IF(ABS(Q158-W158)&gt;1,"; Sales Mismatch","")&amp;IF(ABS(S158-X158)&gt;1,"; Profit Mismatch","")&amp;IF(COUNTIF($A$2:$A$913,A158)&gt;1,"; Duplicate Order ID Conflict",""),3,500),AC158&amp;IF(B158="","; Missing Order Date","")&amp;IF(C158="","; Missing Ship Date","")&amp;IF(P158&lt;0,"; Invalid Discount (Negative)","")&amp;IF(P158&gt;0.5,"; Invalid Discount (Too High)","")&amp;IF(Z158&lt;0,"; Invalid Shipping Record (Ship Before Order)","")&amp;IF(ABS(Q158-W158)&gt;1,"; Sales Mismatch","")&amp;IF(ABS(S158-X158)&gt;1,"; Profit Mismatch","")&amp;IF(COUNTIF($A$2:$A$913,A158)&gt;1,"; Duplicate Order ID Conflict",""))</f>
        <v/>
      </c>
      <c r="AE158" s="10" t="str">
        <f aca="false">IF(OR(ISNUMBER(SEARCH("Invalid Discount",AD158)),ISNUMBER(SEARCH("Invalid Shipping Record",AD158)),ISNUMBER(SEARCH("Sales Mismatch",AD158)),ISNUMBER(SEARCH("Profit Mismatch",AD158)),ISNUMBER(SEARCH("Duplicate Order ID Conflict",AD158)),ISNUMBER(SEARCH("Missing Order Date",AD158)),ISNUMBER(SEARCH("Missing Ship Date",AD158))),"Invalid",IF(AD158&lt;&gt;"","Warning","Clean"))</f>
        <v>Clean</v>
      </c>
    </row>
    <row r="159" customFormat="false" ht="15" hidden="false" customHeight="true" outlineLevel="0" collapsed="false">
      <c r="A159" s="3" t="s">
        <v>503</v>
      </c>
      <c r="B159" s="4" t="n">
        <v>45587</v>
      </c>
      <c r="C159" s="4" t="n">
        <v>45589</v>
      </c>
      <c r="D159" s="3" t="s">
        <v>504</v>
      </c>
      <c r="E159" s="3" t="str">
        <f aca="false">PROPER(TRIM(SUBSTITUTE(Raw_Text_Fields!B160,CHAR(160)," ")))</f>
        <v>Rohan Mehta</v>
      </c>
      <c r="F159" s="3" t="str">
        <f aca="false">PROPER(TRIM(SUBSTITUTE(Raw_Text_Fields!C160,CHAR(160)," ")))</f>
        <v>Small Business</v>
      </c>
      <c r="G159" s="3" t="str">
        <f aca="false">PROPER(TRIM(SUBSTITUTE(Raw_Text_Fields!D160,CHAR(160)," ")))</f>
        <v>South</v>
      </c>
      <c r="H159" s="3" t="str">
        <f aca="false">PROPER(TRIM(SUBSTITUTE(Raw_Text_Fields!E160,CHAR(160)," ")))</f>
        <v>Andhra Pradesh</v>
      </c>
      <c r="I159" s="3" t="str">
        <f aca="false">PROPER(TRIM(SUBSTITUTE(Raw_Text_Fields!F160,CHAR(160)," ")))</f>
        <v>Vijayawada</v>
      </c>
      <c r="J159" s="3" t="str">
        <f aca="false">PROPER(TRIM(SUBSTITUTE(Raw_Text_Fields!G160,CHAR(160)," ")))</f>
        <v>Furniture</v>
      </c>
      <c r="K159" s="3" t="str">
        <f aca="false">PROPER(TRIM(SUBSTITUTE(Raw_Text_Fields!H160,CHAR(160)," ")))</f>
        <v>Bookcases</v>
      </c>
      <c r="L159" s="3" t="s">
        <v>505</v>
      </c>
      <c r="M159" s="3" t="str">
        <f aca="false">PROPER(TRIM(SUBSTITUTE(Raw_Text_Fields!I160,CHAR(160)," ")))</f>
        <v>Standard Class</v>
      </c>
      <c r="N159" s="3" t="n">
        <v>3</v>
      </c>
      <c r="O159" s="5" t="n">
        <v>915.84</v>
      </c>
      <c r="P159" s="6" t="n">
        <v>0.15</v>
      </c>
      <c r="Q159" s="5" t="n">
        <v>2335.39</v>
      </c>
      <c r="R159" s="5" t="n">
        <v>1466.15</v>
      </c>
      <c r="S159" s="5" t="n">
        <v>869.24</v>
      </c>
      <c r="T159" s="3" t="str">
        <f aca="false">PROPER(TRIM(SUBSTITUTE(Raw_Text_Fields!J160,CHAR(160)," ")))</f>
        <v>Paid</v>
      </c>
      <c r="U159" s="3" t="str">
        <f aca="false">PROPER(TRIM(SUBSTITUTE(Raw_Text_Fields!K160,CHAR(160)," ")))</f>
        <v>Completed</v>
      </c>
      <c r="V159" s="7" t="n">
        <f aca="false">IF(OR(P159&lt;0,P159&gt;0.5),0,P159)</f>
        <v>0.15</v>
      </c>
      <c r="W159" s="8" t="n">
        <f aca="false">N159*O159*(1-V159)</f>
        <v>2335.392</v>
      </c>
      <c r="X159" s="8" t="n">
        <f aca="false">W159-R159</f>
        <v>869.242</v>
      </c>
      <c r="Y159" s="7" t="n">
        <f aca="false">IFERROR(X159/W159,0)</f>
        <v>0.372203895534454</v>
      </c>
      <c r="Z159" s="9" t="n">
        <f aca="false">C159-B159</f>
        <v>2</v>
      </c>
      <c r="AA159" s="1" t="str">
        <f aca="false">IF(B159="","",TEXT(B159,"mmm"))</f>
        <v>Oct</v>
      </c>
      <c r="AB159" s="9" t="n">
        <f aca="false">IF(B159="","",YEAR(B159))</f>
        <v>2024</v>
      </c>
      <c r="AC159" s="3"/>
      <c r="AD159" s="3" t="str">
        <f aca="false">IF(LEFT(AC159&amp;IF(B159="","; Missing Order Date","")&amp;IF(C159="","; Missing Ship Date","")&amp;IF(P159&lt;0,"; Invalid Discount (Negative)","")&amp;IF(P159&gt;0.5,"; Invalid Discount (Too High)","")&amp;IF(Z159&lt;0,"; Invalid Shipping Record (Ship Before Order)","")&amp;IF(ABS(Q159-W159)&gt;1,"; Sales Mismatch","")&amp;IF(ABS(S159-X159)&gt;1,"; Profit Mismatch","")&amp;IF(COUNTIF($A$2:$A$913,A159)&gt;1,"; Duplicate Order ID Conflict",""),2)="; ",MID(AC159&amp;IF(B159="","; Missing Order Date","")&amp;IF(C159="","; Missing Ship Date","")&amp;IF(P159&lt;0,"; Invalid Discount (Negative)","")&amp;IF(P159&gt;0.5,"; Invalid Discount (Too High)","")&amp;IF(Z159&lt;0,"; Invalid Shipping Record (Ship Before Order)","")&amp;IF(ABS(Q159-W159)&gt;1,"; Sales Mismatch","")&amp;IF(ABS(S159-X159)&gt;1,"; Profit Mismatch","")&amp;IF(COUNTIF($A$2:$A$913,A159)&gt;1,"; Duplicate Order ID Conflict",""),3,500),AC159&amp;IF(B159="","; Missing Order Date","")&amp;IF(C159="","; Missing Ship Date","")&amp;IF(P159&lt;0,"; Invalid Discount (Negative)","")&amp;IF(P159&gt;0.5,"; Invalid Discount (Too High)","")&amp;IF(Z159&lt;0,"; Invalid Shipping Record (Ship Before Order)","")&amp;IF(ABS(Q159-W159)&gt;1,"; Sales Mismatch","")&amp;IF(ABS(S159-X159)&gt;1,"; Profit Mismatch","")&amp;IF(COUNTIF($A$2:$A$913,A159)&gt;1,"; Duplicate Order ID Conflict",""))</f>
        <v/>
      </c>
      <c r="AE159" s="10" t="str">
        <f aca="false">IF(OR(ISNUMBER(SEARCH("Invalid Discount",AD159)),ISNUMBER(SEARCH("Invalid Shipping Record",AD159)),ISNUMBER(SEARCH("Sales Mismatch",AD159)),ISNUMBER(SEARCH("Profit Mismatch",AD159)),ISNUMBER(SEARCH("Duplicate Order ID Conflict",AD159)),ISNUMBER(SEARCH("Missing Order Date",AD159)),ISNUMBER(SEARCH("Missing Ship Date",AD159))),"Invalid",IF(AD159&lt;&gt;"","Warning","Clean"))</f>
        <v>Clean</v>
      </c>
    </row>
    <row r="160" customFormat="false" ht="15" hidden="false" customHeight="true" outlineLevel="0" collapsed="false">
      <c r="A160" s="3" t="s">
        <v>506</v>
      </c>
      <c r="B160" s="4" t="n">
        <v>45544</v>
      </c>
      <c r="C160" s="4" t="n">
        <v>45546</v>
      </c>
      <c r="D160" s="3" t="s">
        <v>507</v>
      </c>
      <c r="E160" s="3" t="str">
        <f aca="false">PROPER(TRIM(SUBSTITUTE(Raw_Text_Fields!B161,CHAR(160)," ")))</f>
        <v>Neha Gupta</v>
      </c>
      <c r="F160" s="3" t="str">
        <f aca="false">PROPER(TRIM(SUBSTITUTE(Raw_Text_Fields!C161,CHAR(160)," ")))</f>
        <v>Home Office</v>
      </c>
      <c r="G160" s="3" t="str">
        <f aca="false">PROPER(TRIM(SUBSTITUTE(Raw_Text_Fields!D161,CHAR(160)," ")))</f>
        <v>South</v>
      </c>
      <c r="H160" s="3" t="str">
        <f aca="false">PROPER(TRIM(SUBSTITUTE(Raw_Text_Fields!E161,CHAR(160)," ")))</f>
        <v>Telangana</v>
      </c>
      <c r="I160" s="3" t="str">
        <f aca="false">PROPER(TRIM(SUBSTITUTE(Raw_Text_Fields!F161,CHAR(160)," ")))</f>
        <v>Hyderabad</v>
      </c>
      <c r="J160" s="3" t="str">
        <f aca="false">PROPER(TRIM(SUBSTITUTE(Raw_Text_Fields!G161,CHAR(160)," ")))</f>
        <v>Furniture</v>
      </c>
      <c r="K160" s="3" t="str">
        <f aca="false">PROPER(TRIM(SUBSTITUTE(Raw_Text_Fields!H161,CHAR(160)," ")))</f>
        <v>Bookcases</v>
      </c>
      <c r="L160" s="3" t="s">
        <v>508</v>
      </c>
      <c r="M160" s="3" t="str">
        <f aca="false">PROPER(TRIM(SUBSTITUTE(Raw_Text_Fields!I161,CHAR(160)," ")))</f>
        <v>First Class</v>
      </c>
      <c r="N160" s="3" t="n">
        <v>1</v>
      </c>
      <c r="O160" s="5" t="n">
        <v>4199.54</v>
      </c>
      <c r="P160" s="6" t="n">
        <v>0.05</v>
      </c>
      <c r="Q160" s="5" t="n">
        <v>3989.56</v>
      </c>
      <c r="R160" s="5" t="n">
        <v>2381.38</v>
      </c>
      <c r="S160" s="5" t="n">
        <v>1608.18</v>
      </c>
      <c r="T160" s="3" t="str">
        <f aca="false">PROPER(TRIM(SUBSTITUTE(Raw_Text_Fields!J161,CHAR(160)," ")))</f>
        <v>Paid</v>
      </c>
      <c r="U160" s="3" t="str">
        <f aca="false">PROPER(TRIM(SUBSTITUTE(Raw_Text_Fields!K161,CHAR(160)," ")))</f>
        <v>Completed</v>
      </c>
      <c r="V160" s="7" t="n">
        <f aca="false">IF(OR(P160&lt;0,P160&gt;0.5),0,P160)</f>
        <v>0.05</v>
      </c>
      <c r="W160" s="8" t="n">
        <f aca="false">N160*O160*(1-V160)</f>
        <v>3989.563</v>
      </c>
      <c r="X160" s="8" t="n">
        <f aca="false">W160-R160</f>
        <v>1608.183</v>
      </c>
      <c r="Y160" s="7" t="n">
        <f aca="false">IFERROR(X160/W160,0)</f>
        <v>0.403097532235987</v>
      </c>
      <c r="Z160" s="9" t="n">
        <f aca="false">C160-B160</f>
        <v>2</v>
      </c>
      <c r="AA160" s="1" t="str">
        <f aca="false">IF(B160="","",TEXT(B160,"mmm"))</f>
        <v>Sep</v>
      </c>
      <c r="AB160" s="9" t="n">
        <f aca="false">IF(B160="","",YEAR(B160))</f>
        <v>2024</v>
      </c>
      <c r="AC160" s="3"/>
      <c r="AD160" s="3" t="str">
        <f aca="false">IF(LEFT(AC160&amp;IF(B160="","; Missing Order Date","")&amp;IF(C160="","; Missing Ship Date","")&amp;IF(P160&lt;0,"; Invalid Discount (Negative)","")&amp;IF(P160&gt;0.5,"; Invalid Discount (Too High)","")&amp;IF(Z160&lt;0,"; Invalid Shipping Record (Ship Before Order)","")&amp;IF(ABS(Q160-W160)&gt;1,"; Sales Mismatch","")&amp;IF(ABS(S160-X160)&gt;1,"; Profit Mismatch","")&amp;IF(COUNTIF($A$2:$A$913,A160)&gt;1,"; Duplicate Order ID Conflict",""),2)="; ",MID(AC160&amp;IF(B160="","; Missing Order Date","")&amp;IF(C160="","; Missing Ship Date","")&amp;IF(P160&lt;0,"; Invalid Discount (Negative)","")&amp;IF(P160&gt;0.5,"; Invalid Discount (Too High)","")&amp;IF(Z160&lt;0,"; Invalid Shipping Record (Ship Before Order)","")&amp;IF(ABS(Q160-W160)&gt;1,"; Sales Mismatch","")&amp;IF(ABS(S160-X160)&gt;1,"; Profit Mismatch","")&amp;IF(COUNTIF($A$2:$A$913,A160)&gt;1,"; Duplicate Order ID Conflict",""),3,500),AC160&amp;IF(B160="","; Missing Order Date","")&amp;IF(C160="","; Missing Ship Date","")&amp;IF(P160&lt;0,"; Invalid Discount (Negative)","")&amp;IF(P160&gt;0.5,"; Invalid Discount (Too High)","")&amp;IF(Z160&lt;0,"; Invalid Shipping Record (Ship Before Order)","")&amp;IF(ABS(Q160-W160)&gt;1,"; Sales Mismatch","")&amp;IF(ABS(S160-X160)&gt;1,"; Profit Mismatch","")&amp;IF(COUNTIF($A$2:$A$913,A160)&gt;1,"; Duplicate Order ID Conflict",""))</f>
        <v/>
      </c>
      <c r="AE160" s="10" t="str">
        <f aca="false">IF(OR(ISNUMBER(SEARCH("Invalid Discount",AD160)),ISNUMBER(SEARCH("Invalid Shipping Record",AD160)),ISNUMBER(SEARCH("Sales Mismatch",AD160)),ISNUMBER(SEARCH("Profit Mismatch",AD160)),ISNUMBER(SEARCH("Duplicate Order ID Conflict",AD160)),ISNUMBER(SEARCH("Missing Order Date",AD160)),ISNUMBER(SEARCH("Missing Ship Date",AD160))),"Invalid",IF(AD160&lt;&gt;"","Warning","Clean"))</f>
        <v>Clean</v>
      </c>
    </row>
    <row r="161" customFormat="false" ht="15" hidden="false" customHeight="true" outlineLevel="0" collapsed="false">
      <c r="A161" s="3" t="s">
        <v>509</v>
      </c>
      <c r="B161" s="4" t="n">
        <v>45687</v>
      </c>
      <c r="C161" s="4" t="n">
        <v>45692</v>
      </c>
      <c r="D161" s="3" t="s">
        <v>510</v>
      </c>
      <c r="E161" s="3" t="str">
        <f aca="false">PROPER(TRIM(SUBSTITUTE(Raw_Text_Fields!B162,CHAR(160)," ")))</f>
        <v>Priya Menon</v>
      </c>
      <c r="F161" s="3" t="str">
        <f aca="false">PROPER(TRIM(SUBSTITUTE(Raw_Text_Fields!C162,CHAR(160)," ")))</f>
        <v>Corporate</v>
      </c>
      <c r="G161" s="3" t="str">
        <f aca="false">PROPER(TRIM(SUBSTITUTE(Raw_Text_Fields!D162,CHAR(160)," ")))</f>
        <v>North</v>
      </c>
      <c r="H161" s="3" t="str">
        <f aca="false">PROPER(TRIM(SUBSTITUTE(Raw_Text_Fields!E162,CHAR(160)," ")))</f>
        <v>Haryana</v>
      </c>
      <c r="I161" s="3" t="str">
        <f aca="false">PROPER(TRIM(SUBSTITUTE(Raw_Text_Fields!F162,CHAR(160)," ")))</f>
        <v>Gurugram</v>
      </c>
      <c r="J161" s="3" t="str">
        <f aca="false">PROPER(TRIM(SUBSTITUTE(Raw_Text_Fields!G162,CHAR(160)," ")))</f>
        <v>Furniture</v>
      </c>
      <c r="K161" s="3" t="str">
        <f aca="false">PROPER(TRIM(SUBSTITUTE(Raw_Text_Fields!H162,CHAR(160)," ")))</f>
        <v>Chairs</v>
      </c>
      <c r="L161" s="3" t="s">
        <v>511</v>
      </c>
      <c r="M161" s="3" t="str">
        <f aca="false">PROPER(TRIM(SUBSTITUTE(Raw_Text_Fields!I162,CHAR(160)," ")))</f>
        <v>Same Day</v>
      </c>
      <c r="N161" s="3" t="n">
        <v>9</v>
      </c>
      <c r="O161" s="5" t="n">
        <v>4430.5</v>
      </c>
      <c r="P161" s="6" t="n">
        <v>0.15</v>
      </c>
      <c r="Q161" s="5" t="n">
        <v>33893.32</v>
      </c>
      <c r="R161" s="5" t="n">
        <v>25750.35</v>
      </c>
      <c r="S161" s="5" t="n">
        <v>8142.97</v>
      </c>
      <c r="T161" s="3" t="str">
        <f aca="false">PROPER(TRIM(SUBSTITUTE(Raw_Text_Fields!J162,CHAR(160)," ")))</f>
        <v>Pending</v>
      </c>
      <c r="U161" s="3" t="str">
        <f aca="false">PROPER(TRIM(SUBSTITUTE(Raw_Text_Fields!K162,CHAR(160)," ")))</f>
        <v>Cancelled</v>
      </c>
      <c r="V161" s="7" t="n">
        <f aca="false">IF(OR(P161&lt;0,P161&gt;0.5),0,P161)</f>
        <v>0.15</v>
      </c>
      <c r="W161" s="8" t="n">
        <f aca="false">N161*O161*(1-V161)</f>
        <v>33893.325</v>
      </c>
      <c r="X161" s="8" t="n">
        <f aca="false">W161-R161</f>
        <v>8142.975</v>
      </c>
      <c r="Y161" s="7" t="n">
        <f aca="false">IFERROR(X161/W161,0)</f>
        <v>0.240253058677483</v>
      </c>
      <c r="Z161" s="9" t="n">
        <f aca="false">C161-B161</f>
        <v>5</v>
      </c>
      <c r="AA161" s="1" t="str">
        <f aca="false">IF(B161="","",TEXT(B161,"mmm"))</f>
        <v>Jan</v>
      </c>
      <c r="AB161" s="9" t="n">
        <f aca="false">IF(B161="","",YEAR(B161))</f>
        <v>2025</v>
      </c>
      <c r="AC161" s="3"/>
      <c r="AD161" s="3" t="str">
        <f aca="false">IF(LEFT(AC161&amp;IF(B161="","; Missing Order Date","")&amp;IF(C161="","; Missing Ship Date","")&amp;IF(P161&lt;0,"; Invalid Discount (Negative)","")&amp;IF(P161&gt;0.5,"; Invalid Discount (Too High)","")&amp;IF(Z161&lt;0,"; Invalid Shipping Record (Ship Before Order)","")&amp;IF(ABS(Q161-W161)&gt;1,"; Sales Mismatch","")&amp;IF(ABS(S161-X161)&gt;1,"; Profit Mismatch","")&amp;IF(COUNTIF($A$2:$A$913,A161)&gt;1,"; Duplicate Order ID Conflict",""),2)="; ",MID(AC161&amp;IF(B161="","; Missing Order Date","")&amp;IF(C161="","; Missing Ship Date","")&amp;IF(P161&lt;0,"; Invalid Discount (Negative)","")&amp;IF(P161&gt;0.5,"; Invalid Discount (Too High)","")&amp;IF(Z161&lt;0,"; Invalid Shipping Record (Ship Before Order)","")&amp;IF(ABS(Q161-W161)&gt;1,"; Sales Mismatch","")&amp;IF(ABS(S161-X161)&gt;1,"; Profit Mismatch","")&amp;IF(COUNTIF($A$2:$A$913,A161)&gt;1,"; Duplicate Order ID Conflict",""),3,500),AC161&amp;IF(B161="","; Missing Order Date","")&amp;IF(C161="","; Missing Ship Date","")&amp;IF(P161&lt;0,"; Invalid Discount (Negative)","")&amp;IF(P161&gt;0.5,"; Invalid Discount (Too High)","")&amp;IF(Z161&lt;0,"; Invalid Shipping Record (Ship Before Order)","")&amp;IF(ABS(Q161-W161)&gt;1,"; Sales Mismatch","")&amp;IF(ABS(S161-X161)&gt;1,"; Profit Mismatch","")&amp;IF(COUNTIF($A$2:$A$913,A161)&gt;1,"; Duplicate Order ID Conflict",""))</f>
        <v/>
      </c>
      <c r="AE161" s="10" t="str">
        <f aca="false">IF(OR(ISNUMBER(SEARCH("Invalid Discount",AD161)),ISNUMBER(SEARCH("Invalid Shipping Record",AD161)),ISNUMBER(SEARCH("Sales Mismatch",AD161)),ISNUMBER(SEARCH("Profit Mismatch",AD161)),ISNUMBER(SEARCH("Duplicate Order ID Conflict",AD161)),ISNUMBER(SEARCH("Missing Order Date",AD161)),ISNUMBER(SEARCH("Missing Ship Date",AD161))),"Invalid",IF(AD161&lt;&gt;"","Warning","Clean"))</f>
        <v>Clean</v>
      </c>
    </row>
    <row r="162" customFormat="false" ht="15" hidden="false" customHeight="true" outlineLevel="0" collapsed="false">
      <c r="A162" s="3" t="s">
        <v>512</v>
      </c>
      <c r="B162" s="4" t="n">
        <v>45938</v>
      </c>
      <c r="C162" s="4" t="n">
        <v>45936</v>
      </c>
      <c r="D162" s="3" t="s">
        <v>513</v>
      </c>
      <c r="E162" s="3" t="str">
        <f aca="false">PROPER(TRIM(SUBSTITUTE(Raw_Text_Fields!B163,CHAR(160)," ")))</f>
        <v>Vikram Iyer</v>
      </c>
      <c r="F162" s="3" t="str">
        <f aca="false">PROPER(TRIM(SUBSTITUTE(Raw_Text_Fields!C163,CHAR(160)," ")))</f>
        <v>Small Business</v>
      </c>
      <c r="G162" s="3" t="str">
        <f aca="false">PROPER(TRIM(SUBSTITUTE(Raw_Text_Fields!D163,CHAR(160)," ")))</f>
        <v>West</v>
      </c>
      <c r="H162" s="3" t="str">
        <f aca="false">PROPER(TRIM(SUBSTITUTE(Raw_Text_Fields!E163,CHAR(160)," ")))</f>
        <v>Maharashtra</v>
      </c>
      <c r="I162" s="3" t="str">
        <f aca="false">PROPER(TRIM(SUBSTITUTE(Raw_Text_Fields!F163,CHAR(160)," ")))</f>
        <v>Mumbai</v>
      </c>
      <c r="J162" s="3" t="str">
        <f aca="false">PROPER(TRIM(SUBSTITUTE(Raw_Text_Fields!G163,CHAR(160)," ")))</f>
        <v>Office Supplies</v>
      </c>
      <c r="K162" s="3" t="str">
        <f aca="false">PROPER(TRIM(SUBSTITUTE(Raw_Text_Fields!H163,CHAR(160)," ")))</f>
        <v>Paper</v>
      </c>
      <c r="L162" s="3" t="s">
        <v>514</v>
      </c>
      <c r="M162" s="3" t="str">
        <f aca="false">PROPER(TRIM(SUBSTITUTE(Raw_Text_Fields!I163,CHAR(160)," ")))</f>
        <v>Second Class</v>
      </c>
      <c r="N162" s="3" t="n">
        <v>4</v>
      </c>
      <c r="O162" s="5" t="n">
        <v>1260.42</v>
      </c>
      <c r="P162" s="6" t="n">
        <v>0.05</v>
      </c>
      <c r="Q162" s="5" t="n">
        <v>4789.6</v>
      </c>
      <c r="R162" s="5" t="n">
        <v>4037.64</v>
      </c>
      <c r="S162" s="5" t="n">
        <v>751.96</v>
      </c>
      <c r="T162" s="3" t="str">
        <f aca="false">PROPER(TRIM(SUBSTITUTE(Raw_Text_Fields!J163,CHAR(160)," ")))</f>
        <v>Pending</v>
      </c>
      <c r="U162" s="3" t="str">
        <f aca="false">PROPER(TRIM(SUBSTITUTE(Raw_Text_Fields!K163,CHAR(160)," ")))</f>
        <v>Cancelled</v>
      </c>
      <c r="V162" s="7" t="n">
        <f aca="false">IF(OR(P162&lt;0,P162&gt;0.5),0,P162)</f>
        <v>0.05</v>
      </c>
      <c r="W162" s="8" t="n">
        <f aca="false">N162*O162*(1-V162)</f>
        <v>4789.596</v>
      </c>
      <c r="X162" s="8" t="n">
        <f aca="false">W162-R162</f>
        <v>751.956000000001</v>
      </c>
      <c r="Y162" s="7" t="n">
        <f aca="false">IFERROR(X162/W162,0)</f>
        <v>0.156997792715711</v>
      </c>
      <c r="Z162" s="9" t="n">
        <f aca="false">C162-B162</f>
        <v>-2</v>
      </c>
      <c r="AA162" s="1" t="str">
        <f aca="false">IF(B162="","",TEXT(B162,"mmm"))</f>
        <v>Oct</v>
      </c>
      <c r="AB162" s="9" t="n">
        <f aca="false">IF(B162="","",YEAR(B162))</f>
        <v>2025</v>
      </c>
      <c r="AC162" s="3"/>
      <c r="AD162" s="3" t="str">
        <f aca="false">IF(LEFT(AC162&amp;IF(B162="","; Missing Order Date","")&amp;IF(C162="","; Missing Ship Date","")&amp;IF(P162&lt;0,"; Invalid Discount (Negative)","")&amp;IF(P162&gt;0.5,"; Invalid Discount (Too High)","")&amp;IF(Z162&lt;0,"; Invalid Shipping Record (Ship Before Order)","")&amp;IF(ABS(Q162-W162)&gt;1,"; Sales Mismatch","")&amp;IF(ABS(S162-X162)&gt;1,"; Profit Mismatch","")&amp;IF(COUNTIF($A$2:$A$913,A162)&gt;1,"; Duplicate Order ID Conflict",""),2)="; ",MID(AC162&amp;IF(B162="","; Missing Order Date","")&amp;IF(C162="","; Missing Ship Date","")&amp;IF(P162&lt;0,"; Invalid Discount (Negative)","")&amp;IF(P162&gt;0.5,"; Invalid Discount (Too High)","")&amp;IF(Z162&lt;0,"; Invalid Shipping Record (Ship Before Order)","")&amp;IF(ABS(Q162-W162)&gt;1,"; Sales Mismatch","")&amp;IF(ABS(S162-X162)&gt;1,"; Profit Mismatch","")&amp;IF(COUNTIF($A$2:$A$913,A162)&gt;1,"; Duplicate Order ID Conflict",""),3,500),AC162&amp;IF(B162="","; Missing Order Date","")&amp;IF(C162="","; Missing Ship Date","")&amp;IF(P162&lt;0,"; Invalid Discount (Negative)","")&amp;IF(P162&gt;0.5,"; Invalid Discount (Too High)","")&amp;IF(Z162&lt;0,"; Invalid Shipping Record (Ship Before Order)","")&amp;IF(ABS(Q162-W162)&gt;1,"; Sales Mismatch","")&amp;IF(ABS(S162-X162)&gt;1,"; Profit Mismatch","")&amp;IF(COUNTIF($A$2:$A$913,A162)&gt;1,"; Duplicate Order ID Conflict",""))</f>
        <v>Invalid Shipping Record (Ship Before Order)</v>
      </c>
      <c r="AE162" s="10" t="str">
        <f aca="false">IF(OR(ISNUMBER(SEARCH("Invalid Discount",AD162)),ISNUMBER(SEARCH("Invalid Shipping Record",AD162)),ISNUMBER(SEARCH("Sales Mismatch",AD162)),ISNUMBER(SEARCH("Profit Mismatch",AD162)),ISNUMBER(SEARCH("Duplicate Order ID Conflict",AD162)),ISNUMBER(SEARCH("Missing Order Date",AD162)),ISNUMBER(SEARCH("Missing Ship Date",AD162))),"Invalid",IF(AD162&lt;&gt;"","Warning","Clean"))</f>
        <v>Invalid</v>
      </c>
    </row>
    <row r="163" customFormat="false" ht="15" hidden="false" customHeight="true" outlineLevel="0" collapsed="false">
      <c r="A163" s="3" t="s">
        <v>515</v>
      </c>
      <c r="B163" s="4" t="n">
        <v>45862</v>
      </c>
      <c r="C163" s="4" t="n">
        <v>45868</v>
      </c>
      <c r="D163" s="3" t="s">
        <v>516</v>
      </c>
      <c r="E163" s="3" t="str">
        <f aca="false">PROPER(TRIM(SUBSTITUTE(Raw_Text_Fields!B164,CHAR(160)," ")))</f>
        <v>Arjun Bose</v>
      </c>
      <c r="F163" s="3" t="str">
        <f aca="false">PROPER(TRIM(SUBSTITUTE(Raw_Text_Fields!C164,CHAR(160)," ")))</f>
        <v>Consumer</v>
      </c>
      <c r="G163" s="3" t="str">
        <f aca="false">PROPER(TRIM(SUBSTITUTE(Raw_Text_Fields!D164,CHAR(160)," ")))</f>
        <v>West</v>
      </c>
      <c r="H163" s="3" t="str">
        <f aca="false">PROPER(TRIM(SUBSTITUTE(Raw_Text_Fields!E164,CHAR(160)," ")))</f>
        <v>Rajasthan</v>
      </c>
      <c r="I163" s="3" t="str">
        <f aca="false">PROPER(TRIM(SUBSTITUTE(Raw_Text_Fields!F164,CHAR(160)," ")))</f>
        <v>Udaipur</v>
      </c>
      <c r="J163" s="3" t="str">
        <f aca="false">PROPER(TRIM(SUBSTITUTE(Raw_Text_Fields!G164,CHAR(160)," ")))</f>
        <v>Office Supplies</v>
      </c>
      <c r="K163" s="3" t="str">
        <f aca="false">PROPER(TRIM(SUBSTITUTE(Raw_Text_Fields!H164,CHAR(160)," ")))</f>
        <v>Binders</v>
      </c>
      <c r="L163" s="3" t="s">
        <v>517</v>
      </c>
      <c r="M163" s="3" t="str">
        <f aca="false">PROPER(TRIM(SUBSTITUTE(Raw_Text_Fields!I164,CHAR(160)," ")))</f>
        <v>Standard Class</v>
      </c>
      <c r="N163" s="3" t="n">
        <v>1</v>
      </c>
      <c r="O163" s="5" t="n">
        <v>1643.41</v>
      </c>
      <c r="P163" s="6" t="n">
        <v>0</v>
      </c>
      <c r="Q163" s="5" t="n">
        <v>1643.41</v>
      </c>
      <c r="R163" s="5" t="n">
        <v>907.4</v>
      </c>
      <c r="S163" s="5" t="n">
        <v>736.01</v>
      </c>
      <c r="T163" s="3" t="str">
        <f aca="false">PROPER(TRIM(SUBSTITUTE(Raw_Text_Fields!J164,CHAR(160)," ")))</f>
        <v>Pending</v>
      </c>
      <c r="U163" s="3" t="str">
        <f aca="false">PROPER(TRIM(SUBSTITUTE(Raw_Text_Fields!K164,CHAR(160)," ")))</f>
        <v>Cancelled</v>
      </c>
      <c r="V163" s="7" t="n">
        <f aca="false">IF(OR(P163&lt;0,P163&gt;0.5),0,P163)</f>
        <v>0</v>
      </c>
      <c r="W163" s="8" t="n">
        <f aca="false">N163*O163*(1-V163)</f>
        <v>1643.41</v>
      </c>
      <c r="X163" s="8" t="n">
        <f aca="false">W163-R163</f>
        <v>736.01</v>
      </c>
      <c r="Y163" s="7" t="n">
        <f aca="false">IFERROR(X163/W163,0)</f>
        <v>0.447855373887222</v>
      </c>
      <c r="Z163" s="9" t="n">
        <f aca="false">C163-B163</f>
        <v>6</v>
      </c>
      <c r="AA163" s="1" t="str">
        <f aca="false">IF(B163="","",TEXT(B163,"mmm"))</f>
        <v>Jul</v>
      </c>
      <c r="AB163" s="9" t="n">
        <f aca="false">IF(B163="","",YEAR(B163))</f>
        <v>2025</v>
      </c>
      <c r="AC163" s="3"/>
      <c r="AD163" s="3" t="str">
        <f aca="false">IF(LEFT(AC163&amp;IF(B163="","; Missing Order Date","")&amp;IF(C163="","; Missing Ship Date","")&amp;IF(P163&lt;0,"; Invalid Discount (Negative)","")&amp;IF(P163&gt;0.5,"; Invalid Discount (Too High)","")&amp;IF(Z163&lt;0,"; Invalid Shipping Record (Ship Before Order)","")&amp;IF(ABS(Q163-W163)&gt;1,"; Sales Mismatch","")&amp;IF(ABS(S163-X163)&gt;1,"; Profit Mismatch","")&amp;IF(COUNTIF($A$2:$A$913,A163)&gt;1,"; Duplicate Order ID Conflict",""),2)="; ",MID(AC163&amp;IF(B163="","; Missing Order Date","")&amp;IF(C163="","; Missing Ship Date","")&amp;IF(P163&lt;0,"; Invalid Discount (Negative)","")&amp;IF(P163&gt;0.5,"; Invalid Discount (Too High)","")&amp;IF(Z163&lt;0,"; Invalid Shipping Record (Ship Before Order)","")&amp;IF(ABS(Q163-W163)&gt;1,"; Sales Mismatch","")&amp;IF(ABS(S163-X163)&gt;1,"; Profit Mismatch","")&amp;IF(COUNTIF($A$2:$A$913,A163)&gt;1,"; Duplicate Order ID Conflict",""),3,500),AC163&amp;IF(B163="","; Missing Order Date","")&amp;IF(C163="","; Missing Ship Date","")&amp;IF(P163&lt;0,"; Invalid Discount (Negative)","")&amp;IF(P163&gt;0.5,"; Invalid Discount (Too High)","")&amp;IF(Z163&lt;0,"; Invalid Shipping Record (Ship Before Order)","")&amp;IF(ABS(Q163-W163)&gt;1,"; Sales Mismatch","")&amp;IF(ABS(S163-X163)&gt;1,"; Profit Mismatch","")&amp;IF(COUNTIF($A$2:$A$913,A163)&gt;1,"; Duplicate Order ID Conflict",""))</f>
        <v/>
      </c>
      <c r="AE163" s="10" t="str">
        <f aca="false">IF(OR(ISNUMBER(SEARCH("Invalid Discount",AD163)),ISNUMBER(SEARCH("Invalid Shipping Record",AD163)),ISNUMBER(SEARCH("Sales Mismatch",AD163)),ISNUMBER(SEARCH("Profit Mismatch",AD163)),ISNUMBER(SEARCH("Duplicate Order ID Conflict",AD163)),ISNUMBER(SEARCH("Missing Order Date",AD163)),ISNUMBER(SEARCH("Missing Ship Date",AD163))),"Invalid",IF(AD163&lt;&gt;"","Warning","Clean"))</f>
        <v>Clean</v>
      </c>
    </row>
    <row r="164" customFormat="false" ht="15" hidden="false" customHeight="true" outlineLevel="0" collapsed="false">
      <c r="A164" s="3" t="s">
        <v>518</v>
      </c>
      <c r="B164" s="4" t="n">
        <v>45360</v>
      </c>
      <c r="C164" s="4" t="n">
        <v>45365</v>
      </c>
      <c r="D164" s="3" t="s">
        <v>519</v>
      </c>
      <c r="E164" s="3" t="str">
        <f aca="false">PROPER(TRIM(SUBSTITUTE(Raw_Text_Fields!B165,CHAR(160)," ")))</f>
        <v>Neha Gupta</v>
      </c>
      <c r="F164" s="3" t="str">
        <f aca="false">PROPER(TRIM(SUBSTITUTE(Raw_Text_Fields!C165,CHAR(160)," ")))</f>
        <v>Small Business</v>
      </c>
      <c r="G164" s="3" t="str">
        <f aca="false">PROPER(TRIM(SUBSTITUTE(Raw_Text_Fields!D165,CHAR(160)," ")))</f>
        <v>West</v>
      </c>
      <c r="H164" s="3" t="str">
        <f aca="false">PROPER(TRIM(SUBSTITUTE(Raw_Text_Fields!E165,CHAR(160)," ")))</f>
        <v>Goa</v>
      </c>
      <c r="I164" s="3" t="str">
        <f aca="false">PROPER(TRIM(SUBSTITUTE(Raw_Text_Fields!F165,CHAR(160)," ")))</f>
        <v>Panaji</v>
      </c>
      <c r="J164" s="3" t="str">
        <f aca="false">PROPER(TRIM(SUBSTITUTE(Raw_Text_Fields!G165,CHAR(160)," ")))</f>
        <v>Furniture</v>
      </c>
      <c r="K164" s="3" t="str">
        <f aca="false">PROPER(TRIM(SUBSTITUTE(Raw_Text_Fields!H165,CHAR(160)," ")))</f>
        <v>Furnishings</v>
      </c>
      <c r="L164" s="3" t="s">
        <v>520</v>
      </c>
      <c r="M164" s="3" t="str">
        <f aca="false">PROPER(TRIM(SUBSTITUTE(Raw_Text_Fields!I165,CHAR(160)," ")))</f>
        <v>Second Class</v>
      </c>
      <c r="N164" s="3" t="n">
        <v>8</v>
      </c>
      <c r="O164" s="5" t="n">
        <v>4472.84</v>
      </c>
      <c r="P164" s="6" t="n">
        <v>0</v>
      </c>
      <c r="Q164" s="5" t="n">
        <v>35997.62</v>
      </c>
      <c r="R164" s="5" t="n">
        <v>26424.41</v>
      </c>
      <c r="S164" s="5" t="n">
        <v>9358.31</v>
      </c>
      <c r="T164" s="3" t="str">
        <f aca="false">PROPER(TRIM(SUBSTITUTE(Raw_Text_Fields!J165,CHAR(160)," ")))</f>
        <v>Pending</v>
      </c>
      <c r="U164" s="3" t="str">
        <f aca="false">PROPER(TRIM(SUBSTITUTE(Raw_Text_Fields!K165,CHAR(160)," ")))</f>
        <v>Returned</v>
      </c>
      <c r="V164" s="7" t="n">
        <f aca="false">IF(OR(P164&lt;0,P164&gt;0.5),0,P164)</f>
        <v>0</v>
      </c>
      <c r="W164" s="8" t="n">
        <f aca="false">N164*O164*(1-V164)</f>
        <v>35782.72</v>
      </c>
      <c r="X164" s="8" t="n">
        <f aca="false">W164-R164</f>
        <v>9358.31</v>
      </c>
      <c r="Y164" s="7" t="n">
        <f aca="false">IFERROR(X164/W164,0)</f>
        <v>0.261531543717191</v>
      </c>
      <c r="Z164" s="9" t="n">
        <f aca="false">C164-B164</f>
        <v>5</v>
      </c>
      <c r="AA164" s="1" t="str">
        <f aca="false">IF(B164="","",TEXT(B164,"mmm"))</f>
        <v>Mar</v>
      </c>
      <c r="AB164" s="9" t="n">
        <f aca="false">IF(B164="","",YEAR(B164))</f>
        <v>2024</v>
      </c>
      <c r="AC164" s="3"/>
      <c r="AD164" s="3" t="str">
        <f aca="false">IF(LEFT(AC164&amp;IF(B164="","; Missing Order Date","")&amp;IF(C164="","; Missing Ship Date","")&amp;IF(P164&lt;0,"; Invalid Discount (Negative)","")&amp;IF(P164&gt;0.5,"; Invalid Discount (Too High)","")&amp;IF(Z164&lt;0,"; Invalid Shipping Record (Ship Before Order)","")&amp;IF(ABS(Q164-W164)&gt;1,"; Sales Mismatch","")&amp;IF(ABS(S164-X164)&gt;1,"; Profit Mismatch","")&amp;IF(COUNTIF($A$2:$A$913,A164)&gt;1,"; Duplicate Order ID Conflict",""),2)="; ",MID(AC164&amp;IF(B164="","; Missing Order Date","")&amp;IF(C164="","; Missing Ship Date","")&amp;IF(P164&lt;0,"; Invalid Discount (Negative)","")&amp;IF(P164&gt;0.5,"; Invalid Discount (Too High)","")&amp;IF(Z164&lt;0,"; Invalid Shipping Record (Ship Before Order)","")&amp;IF(ABS(Q164-W164)&gt;1,"; Sales Mismatch","")&amp;IF(ABS(S164-X164)&gt;1,"; Profit Mismatch","")&amp;IF(COUNTIF($A$2:$A$913,A164)&gt;1,"; Duplicate Order ID Conflict",""),3,500),AC164&amp;IF(B164="","; Missing Order Date","")&amp;IF(C164="","; Missing Ship Date","")&amp;IF(P164&lt;0,"; Invalid Discount (Negative)","")&amp;IF(P164&gt;0.5,"; Invalid Discount (Too High)","")&amp;IF(Z164&lt;0,"; Invalid Shipping Record (Ship Before Order)","")&amp;IF(ABS(Q164-W164)&gt;1,"; Sales Mismatch","")&amp;IF(ABS(S164-X164)&gt;1,"; Profit Mismatch","")&amp;IF(COUNTIF($A$2:$A$913,A164)&gt;1,"; Duplicate Order ID Conflict",""))</f>
        <v>Sales Mismatch</v>
      </c>
      <c r="AE164" s="10" t="str">
        <f aca="false">IF(OR(ISNUMBER(SEARCH("Invalid Discount",AD164)),ISNUMBER(SEARCH("Invalid Shipping Record",AD164)),ISNUMBER(SEARCH("Sales Mismatch",AD164)),ISNUMBER(SEARCH("Profit Mismatch",AD164)),ISNUMBER(SEARCH("Duplicate Order ID Conflict",AD164)),ISNUMBER(SEARCH("Missing Order Date",AD164)),ISNUMBER(SEARCH("Missing Ship Date",AD164))),"Invalid",IF(AD164&lt;&gt;"","Warning","Clean"))</f>
        <v>Invalid</v>
      </c>
    </row>
    <row r="165" customFormat="false" ht="15" hidden="false" customHeight="true" outlineLevel="0" collapsed="false">
      <c r="A165" s="3" t="s">
        <v>521</v>
      </c>
      <c r="B165" s="4" t="n">
        <v>45921</v>
      </c>
      <c r="C165" s="4" t="n">
        <v>45926</v>
      </c>
      <c r="D165" s="3" t="s">
        <v>522</v>
      </c>
      <c r="E165" s="3" t="str">
        <f aca="false">PROPER(TRIM(SUBSTITUTE(Raw_Text_Fields!B166,CHAR(160)," ")))</f>
        <v>Rohan Mehta</v>
      </c>
      <c r="F165" s="3" t="str">
        <f aca="false">PROPER(TRIM(SUBSTITUTE(Raw_Text_Fields!C166,CHAR(160)," ")))</f>
        <v>Home Office</v>
      </c>
      <c r="G165" s="3" t="str">
        <f aca="false">PROPER(TRIM(SUBSTITUTE(Raw_Text_Fields!D166,CHAR(160)," ")))</f>
        <v>West</v>
      </c>
      <c r="H165" s="3" t="str">
        <f aca="false">PROPER(TRIM(SUBSTITUTE(Raw_Text_Fields!E166,CHAR(160)," ")))</f>
        <v>Gujarat</v>
      </c>
      <c r="I165" s="3" t="str">
        <f aca="false">PROPER(TRIM(SUBSTITUTE(Raw_Text_Fields!F166,CHAR(160)," ")))</f>
        <v>Ahmedabad</v>
      </c>
      <c r="J165" s="3" t="str">
        <f aca="false">PROPER(TRIM(SUBSTITUTE(Raw_Text_Fields!G166,CHAR(160)," ")))</f>
        <v>Furniture</v>
      </c>
      <c r="K165" s="3" t="str">
        <f aca="false">PROPER(TRIM(SUBSTITUTE(Raw_Text_Fields!H166,CHAR(160)," ")))</f>
        <v>Tables</v>
      </c>
      <c r="L165" s="3" t="s">
        <v>523</v>
      </c>
      <c r="M165" s="3" t="str">
        <f aca="false">PROPER(TRIM(SUBSTITUTE(Raw_Text_Fields!I166,CHAR(160)," ")))</f>
        <v>Unknown</v>
      </c>
      <c r="N165" s="3" t="n">
        <v>6</v>
      </c>
      <c r="O165" s="5" t="n">
        <v>2903.58</v>
      </c>
      <c r="P165" s="6" t="n">
        <v>0.1</v>
      </c>
      <c r="Q165" s="5" t="n">
        <v>15679.33</v>
      </c>
      <c r="R165" s="5" t="n">
        <v>12477.82</v>
      </c>
      <c r="S165" s="5" t="n">
        <v>3201.51</v>
      </c>
      <c r="T165" s="3" t="str">
        <f aca="false">PROPER(TRIM(SUBSTITUTE(Raw_Text_Fields!J166,CHAR(160)," ")))</f>
        <v>Pending</v>
      </c>
      <c r="U165" s="3" t="str">
        <f aca="false">PROPER(TRIM(SUBSTITUTE(Raw_Text_Fields!K166,CHAR(160)," ")))</f>
        <v>Returned</v>
      </c>
      <c r="V165" s="7" t="n">
        <f aca="false">IF(OR(P165&lt;0,P165&gt;0.5),0,P165)</f>
        <v>0.1</v>
      </c>
      <c r="W165" s="8" t="n">
        <f aca="false">N165*O165*(1-V165)</f>
        <v>15679.332</v>
      </c>
      <c r="X165" s="8" t="n">
        <f aca="false">W165-R165</f>
        <v>3201.512</v>
      </c>
      <c r="Y165" s="7" t="n">
        <f aca="false">IFERROR(X165/W165,0)</f>
        <v>0.204186759997173</v>
      </c>
      <c r="Z165" s="9" t="n">
        <f aca="false">C165-B165</f>
        <v>5</v>
      </c>
      <c r="AA165" s="1" t="str">
        <f aca="false">IF(B165="","",TEXT(B165,"mmm"))</f>
        <v>Sep</v>
      </c>
      <c r="AB165" s="9" t="n">
        <f aca="false">IF(B165="","",YEAR(B165))</f>
        <v>2025</v>
      </c>
      <c r="AC165" s="3" t="s">
        <v>137</v>
      </c>
      <c r="AD165" s="3" t="str">
        <f aca="false">IF(LEFT(AC165&amp;IF(B165="","; Missing Order Date","")&amp;IF(C165="","; Missing Ship Date","")&amp;IF(P165&lt;0,"; Invalid Discount (Negative)","")&amp;IF(P165&gt;0.5,"; Invalid Discount (Too High)","")&amp;IF(Z165&lt;0,"; Invalid Shipping Record (Ship Before Order)","")&amp;IF(ABS(Q165-W165)&gt;1,"; Sales Mismatch","")&amp;IF(ABS(S165-X165)&gt;1,"; Profit Mismatch","")&amp;IF(COUNTIF($A$2:$A$913,A165)&gt;1,"; Duplicate Order ID Conflict",""),2)="; ",MID(AC165&amp;IF(B165="","; Missing Order Date","")&amp;IF(C165="","; Missing Ship Date","")&amp;IF(P165&lt;0,"; Invalid Discount (Negative)","")&amp;IF(P165&gt;0.5,"; Invalid Discount (Too High)","")&amp;IF(Z165&lt;0,"; Invalid Shipping Record (Ship Before Order)","")&amp;IF(ABS(Q165-W165)&gt;1,"; Sales Mismatch","")&amp;IF(ABS(S165-X165)&gt;1,"; Profit Mismatch","")&amp;IF(COUNTIF($A$2:$A$913,A165)&gt;1,"; Duplicate Order ID Conflict",""),3,500),AC165&amp;IF(B165="","; Missing Order Date","")&amp;IF(C165="","; Missing Ship Date","")&amp;IF(P165&lt;0,"; Invalid Discount (Negative)","")&amp;IF(P165&gt;0.5,"; Invalid Discount (Too High)","")&amp;IF(Z165&lt;0,"; Invalid Shipping Record (Ship Before Order)","")&amp;IF(ABS(Q165-W165)&gt;1,"; Sales Mismatch","")&amp;IF(ABS(S165-X165)&gt;1,"; Profit Mismatch","")&amp;IF(COUNTIF($A$2:$A$913,A165)&gt;1,"; Duplicate Order ID Conflict",""))</f>
        <v>Missing Ship Mode (filled Unknown)</v>
      </c>
      <c r="AE165" s="10" t="str">
        <f aca="false">IF(OR(ISNUMBER(SEARCH("Invalid Discount",AD165)),ISNUMBER(SEARCH("Invalid Shipping Record",AD165)),ISNUMBER(SEARCH("Sales Mismatch",AD165)),ISNUMBER(SEARCH("Profit Mismatch",AD165)),ISNUMBER(SEARCH("Duplicate Order ID Conflict",AD165)),ISNUMBER(SEARCH("Missing Order Date",AD165)),ISNUMBER(SEARCH("Missing Ship Date",AD165))),"Invalid",IF(AD165&lt;&gt;"","Warning","Clean"))</f>
        <v>Warning</v>
      </c>
    </row>
    <row r="166" customFormat="false" ht="15" hidden="false" customHeight="true" outlineLevel="0" collapsed="false">
      <c r="A166" s="3" t="s">
        <v>524</v>
      </c>
      <c r="B166" s="4" t="n">
        <v>45909</v>
      </c>
      <c r="C166" s="4" t="n">
        <v>45914</v>
      </c>
      <c r="D166" s="3" t="s">
        <v>525</v>
      </c>
      <c r="E166" s="3" t="str">
        <f aca="false">PROPER(TRIM(SUBSTITUTE(Raw_Text_Fields!B167,CHAR(160)," ")))</f>
        <v>Rahul Verma</v>
      </c>
      <c r="F166" s="3" t="str">
        <f aca="false">PROPER(TRIM(SUBSTITUTE(Raw_Text_Fields!C167,CHAR(160)," ")))</f>
        <v>Small Business</v>
      </c>
      <c r="G166" s="3" t="str">
        <f aca="false">PROPER(TRIM(SUBSTITUTE(Raw_Text_Fields!D167,CHAR(160)," ")))</f>
        <v>East</v>
      </c>
      <c r="H166" s="3" t="str">
        <f aca="false">PROPER(TRIM(SUBSTITUTE(Raw_Text_Fields!E167,CHAR(160)," ")))</f>
        <v>West Bengal</v>
      </c>
      <c r="I166" s="3" t="str">
        <f aca="false">PROPER(TRIM(SUBSTITUTE(Raw_Text_Fields!F167,CHAR(160)," ")))</f>
        <v>Kolkata</v>
      </c>
      <c r="J166" s="3" t="str">
        <f aca="false">PROPER(TRIM(SUBSTITUTE(Raw_Text_Fields!G167,CHAR(160)," ")))</f>
        <v>Furniture</v>
      </c>
      <c r="K166" s="3" t="str">
        <f aca="false">PROPER(TRIM(SUBSTITUTE(Raw_Text_Fields!H167,CHAR(160)," ")))</f>
        <v>Bookcases</v>
      </c>
      <c r="L166" s="3" t="s">
        <v>526</v>
      </c>
      <c r="M166" s="3" t="str">
        <f aca="false">PROPER(TRIM(SUBSTITUTE(Raw_Text_Fields!I167,CHAR(160)," ")))</f>
        <v>Second Class</v>
      </c>
      <c r="N166" s="3" t="n">
        <v>1</v>
      </c>
      <c r="O166" s="5" t="n">
        <v>3154.42</v>
      </c>
      <c r="P166" s="6" t="n">
        <v>0.25</v>
      </c>
      <c r="Q166" s="5" t="n">
        <v>2365.82</v>
      </c>
      <c r="R166" s="5" t="n">
        <v>1547.99</v>
      </c>
      <c r="S166" s="5" t="n">
        <v>817.83</v>
      </c>
      <c r="T166" s="3" t="str">
        <f aca="false">PROPER(TRIM(SUBSTITUTE(Raw_Text_Fields!J167,CHAR(160)," ")))</f>
        <v>Paid</v>
      </c>
      <c r="U166" s="3" t="str">
        <f aca="false">PROPER(TRIM(SUBSTITUTE(Raw_Text_Fields!K167,CHAR(160)," ")))</f>
        <v>Completed</v>
      </c>
      <c r="V166" s="7" t="n">
        <f aca="false">IF(OR(P166&lt;0,P166&gt;0.5),0,P166)</f>
        <v>0.25</v>
      </c>
      <c r="W166" s="8" t="n">
        <f aca="false">N166*O166*(1-V166)</f>
        <v>2365.815</v>
      </c>
      <c r="X166" s="8" t="n">
        <f aca="false">W166-R166</f>
        <v>817.825</v>
      </c>
      <c r="Y166" s="7" t="n">
        <f aca="false">IFERROR(X166/W166,0)</f>
        <v>0.345684256799454</v>
      </c>
      <c r="Z166" s="9" t="n">
        <f aca="false">C166-B166</f>
        <v>5</v>
      </c>
      <c r="AA166" s="1" t="str">
        <f aca="false">IF(B166="","",TEXT(B166,"mmm"))</f>
        <v>Sep</v>
      </c>
      <c r="AB166" s="9" t="n">
        <f aca="false">IF(B166="","",YEAR(B166))</f>
        <v>2025</v>
      </c>
      <c r="AC166" s="3"/>
      <c r="AD166" s="3" t="str">
        <f aca="false">IF(LEFT(AC166&amp;IF(B166="","; Missing Order Date","")&amp;IF(C166="","; Missing Ship Date","")&amp;IF(P166&lt;0,"; Invalid Discount (Negative)","")&amp;IF(P166&gt;0.5,"; Invalid Discount (Too High)","")&amp;IF(Z166&lt;0,"; Invalid Shipping Record (Ship Before Order)","")&amp;IF(ABS(Q166-W166)&gt;1,"; Sales Mismatch","")&amp;IF(ABS(S166-X166)&gt;1,"; Profit Mismatch","")&amp;IF(COUNTIF($A$2:$A$913,A166)&gt;1,"; Duplicate Order ID Conflict",""),2)="; ",MID(AC166&amp;IF(B166="","; Missing Order Date","")&amp;IF(C166="","; Missing Ship Date","")&amp;IF(P166&lt;0,"; Invalid Discount (Negative)","")&amp;IF(P166&gt;0.5,"; Invalid Discount (Too High)","")&amp;IF(Z166&lt;0,"; Invalid Shipping Record (Ship Before Order)","")&amp;IF(ABS(Q166-W166)&gt;1,"; Sales Mismatch","")&amp;IF(ABS(S166-X166)&gt;1,"; Profit Mismatch","")&amp;IF(COUNTIF($A$2:$A$913,A166)&gt;1,"; Duplicate Order ID Conflict",""),3,500),AC166&amp;IF(B166="","; Missing Order Date","")&amp;IF(C166="","; Missing Ship Date","")&amp;IF(P166&lt;0,"; Invalid Discount (Negative)","")&amp;IF(P166&gt;0.5,"; Invalid Discount (Too High)","")&amp;IF(Z166&lt;0,"; Invalid Shipping Record (Ship Before Order)","")&amp;IF(ABS(Q166-W166)&gt;1,"; Sales Mismatch","")&amp;IF(ABS(S166-X166)&gt;1,"; Profit Mismatch","")&amp;IF(COUNTIF($A$2:$A$913,A166)&gt;1,"; Duplicate Order ID Conflict",""))</f>
        <v/>
      </c>
      <c r="AE166" s="10" t="str">
        <f aca="false">IF(OR(ISNUMBER(SEARCH("Invalid Discount",AD166)),ISNUMBER(SEARCH("Invalid Shipping Record",AD166)),ISNUMBER(SEARCH("Sales Mismatch",AD166)),ISNUMBER(SEARCH("Profit Mismatch",AD166)),ISNUMBER(SEARCH("Duplicate Order ID Conflict",AD166)),ISNUMBER(SEARCH("Missing Order Date",AD166)),ISNUMBER(SEARCH("Missing Ship Date",AD166))),"Invalid",IF(AD166&lt;&gt;"","Warning","Clean"))</f>
        <v>Clean</v>
      </c>
    </row>
    <row r="167" customFormat="false" ht="15" hidden="false" customHeight="true" outlineLevel="0" collapsed="false">
      <c r="A167" s="3" t="s">
        <v>527</v>
      </c>
      <c r="B167" s="4" t="n">
        <v>45618</v>
      </c>
      <c r="C167" s="4" t="n">
        <v>45625</v>
      </c>
      <c r="D167" s="3" t="s">
        <v>528</v>
      </c>
      <c r="E167" s="3" t="str">
        <f aca="false">PROPER(TRIM(SUBSTITUTE(Raw_Text_Fields!B168,CHAR(160)," ")))</f>
        <v>Mira Das</v>
      </c>
      <c r="F167" s="3" t="str">
        <f aca="false">PROPER(TRIM(SUBSTITUTE(Raw_Text_Fields!C168,CHAR(160)," ")))</f>
        <v>Home Office</v>
      </c>
      <c r="G167" s="3" t="str">
        <f aca="false">PROPER(TRIM(SUBSTITUTE(Raw_Text_Fields!D168,CHAR(160)," ")))</f>
        <v>East</v>
      </c>
      <c r="H167" s="3" t="str">
        <f aca="false">PROPER(TRIM(SUBSTITUTE(Raw_Text_Fields!E168,CHAR(160)," ")))</f>
        <v>Bihar</v>
      </c>
      <c r="I167" s="3" t="str">
        <f aca="false">PROPER(TRIM(SUBSTITUTE(Raw_Text_Fields!F168,CHAR(160)," ")))</f>
        <v>Patna</v>
      </c>
      <c r="J167" s="3" t="str">
        <f aca="false">PROPER(TRIM(SUBSTITUTE(Raw_Text_Fields!G168,CHAR(160)," ")))</f>
        <v>Furniture</v>
      </c>
      <c r="K167" s="3" t="str">
        <f aca="false">PROPER(TRIM(SUBSTITUTE(Raw_Text_Fields!H168,CHAR(160)," ")))</f>
        <v>Chairs</v>
      </c>
      <c r="L167" s="3" t="s">
        <v>529</v>
      </c>
      <c r="M167" s="3" t="str">
        <f aca="false">PROPER(TRIM(SUBSTITUTE(Raw_Text_Fields!I168,CHAR(160)," ")))</f>
        <v>Standard Class</v>
      </c>
      <c r="N167" s="3" t="n">
        <v>4</v>
      </c>
      <c r="O167" s="5" t="n">
        <v>3422.99</v>
      </c>
      <c r="P167" s="6" t="n">
        <v>0.25</v>
      </c>
      <c r="Q167" s="5" t="n">
        <v>10268.97</v>
      </c>
      <c r="R167" s="5" t="n">
        <v>6470.92</v>
      </c>
      <c r="S167" s="5" t="n">
        <v>3798.05</v>
      </c>
      <c r="T167" s="3" t="str">
        <f aca="false">PROPER(TRIM(SUBSTITUTE(Raw_Text_Fields!J168,CHAR(160)," ")))</f>
        <v>Paid</v>
      </c>
      <c r="U167" s="3" t="str">
        <f aca="false">PROPER(TRIM(SUBSTITUTE(Raw_Text_Fields!K168,CHAR(160)," ")))</f>
        <v>Completed</v>
      </c>
      <c r="V167" s="7" t="n">
        <f aca="false">IF(OR(P167&lt;0,P167&gt;0.5),0,P167)</f>
        <v>0.25</v>
      </c>
      <c r="W167" s="8" t="n">
        <f aca="false">N167*O167*(1-V167)</f>
        <v>10268.97</v>
      </c>
      <c r="X167" s="8" t="n">
        <f aca="false">W167-R167</f>
        <v>3798.05</v>
      </c>
      <c r="Y167" s="7" t="n">
        <f aca="false">IFERROR(X167/W167,0)</f>
        <v>0.369856957416372</v>
      </c>
      <c r="Z167" s="9" t="n">
        <f aca="false">C167-B167</f>
        <v>7</v>
      </c>
      <c r="AA167" s="1" t="str">
        <f aca="false">IF(B167="","",TEXT(B167,"mmm"))</f>
        <v>Nov</v>
      </c>
      <c r="AB167" s="9" t="n">
        <f aca="false">IF(B167="","",YEAR(B167))</f>
        <v>2024</v>
      </c>
      <c r="AC167" s="3"/>
      <c r="AD167" s="3" t="str">
        <f aca="false">IF(LEFT(AC167&amp;IF(B167="","; Missing Order Date","")&amp;IF(C167="","; Missing Ship Date","")&amp;IF(P167&lt;0,"; Invalid Discount (Negative)","")&amp;IF(P167&gt;0.5,"; Invalid Discount (Too High)","")&amp;IF(Z167&lt;0,"; Invalid Shipping Record (Ship Before Order)","")&amp;IF(ABS(Q167-W167)&gt;1,"; Sales Mismatch","")&amp;IF(ABS(S167-X167)&gt;1,"; Profit Mismatch","")&amp;IF(COUNTIF($A$2:$A$913,A167)&gt;1,"; Duplicate Order ID Conflict",""),2)="; ",MID(AC167&amp;IF(B167="","; Missing Order Date","")&amp;IF(C167="","; Missing Ship Date","")&amp;IF(P167&lt;0,"; Invalid Discount (Negative)","")&amp;IF(P167&gt;0.5,"; Invalid Discount (Too High)","")&amp;IF(Z167&lt;0,"; Invalid Shipping Record (Ship Before Order)","")&amp;IF(ABS(Q167-W167)&gt;1,"; Sales Mismatch","")&amp;IF(ABS(S167-X167)&gt;1,"; Profit Mismatch","")&amp;IF(COUNTIF($A$2:$A$913,A167)&gt;1,"; Duplicate Order ID Conflict",""),3,500),AC167&amp;IF(B167="","; Missing Order Date","")&amp;IF(C167="","; Missing Ship Date","")&amp;IF(P167&lt;0,"; Invalid Discount (Negative)","")&amp;IF(P167&gt;0.5,"; Invalid Discount (Too High)","")&amp;IF(Z167&lt;0,"; Invalid Shipping Record (Ship Before Order)","")&amp;IF(ABS(Q167-W167)&gt;1,"; Sales Mismatch","")&amp;IF(ABS(S167-X167)&gt;1,"; Profit Mismatch","")&amp;IF(COUNTIF($A$2:$A$913,A167)&gt;1,"; Duplicate Order ID Conflict",""))</f>
        <v/>
      </c>
      <c r="AE167" s="10" t="str">
        <f aca="false">IF(OR(ISNUMBER(SEARCH("Invalid Discount",AD167)),ISNUMBER(SEARCH("Invalid Shipping Record",AD167)),ISNUMBER(SEARCH("Sales Mismatch",AD167)),ISNUMBER(SEARCH("Profit Mismatch",AD167)),ISNUMBER(SEARCH("Duplicate Order ID Conflict",AD167)),ISNUMBER(SEARCH("Missing Order Date",AD167)),ISNUMBER(SEARCH("Missing Ship Date",AD167))),"Invalid",IF(AD167&lt;&gt;"","Warning","Clean"))</f>
        <v>Clean</v>
      </c>
    </row>
    <row r="168" customFormat="false" ht="15" hidden="false" customHeight="true" outlineLevel="0" collapsed="false">
      <c r="A168" s="3" t="s">
        <v>530</v>
      </c>
      <c r="B168" s="4" t="n">
        <v>45708</v>
      </c>
      <c r="C168" s="4" t="n">
        <v>45714</v>
      </c>
      <c r="D168" s="3" t="s">
        <v>531</v>
      </c>
      <c r="E168" s="3" t="str">
        <f aca="false">PROPER(TRIM(SUBSTITUTE(Raw_Text_Fields!B169,CHAR(160)," ")))</f>
        <v>Karan Malhotra</v>
      </c>
      <c r="F168" s="3" t="str">
        <f aca="false">PROPER(TRIM(SUBSTITUTE(Raw_Text_Fields!C169,CHAR(160)," ")))</f>
        <v>Small Business</v>
      </c>
      <c r="G168" s="3" t="str">
        <f aca="false">PROPER(TRIM(SUBSTITUTE(Raw_Text_Fields!D169,CHAR(160)," ")))</f>
        <v>West</v>
      </c>
      <c r="H168" s="3" t="str">
        <f aca="false">PROPER(TRIM(SUBSTITUTE(Raw_Text_Fields!E169,CHAR(160)," ")))</f>
        <v>Gujarat</v>
      </c>
      <c r="I168" s="3" t="str">
        <f aca="false">PROPER(TRIM(SUBSTITUTE(Raw_Text_Fields!F169,CHAR(160)," ")))</f>
        <v>Ahmedabad</v>
      </c>
      <c r="J168" s="3" t="str">
        <f aca="false">PROPER(TRIM(SUBSTITUTE(Raw_Text_Fields!G169,CHAR(160)," ")))</f>
        <v>Office Supplies</v>
      </c>
      <c r="K168" s="3" t="str">
        <f aca="false">PROPER(TRIM(SUBSTITUTE(Raw_Text_Fields!H169,CHAR(160)," ")))</f>
        <v>Labels</v>
      </c>
      <c r="L168" s="3" t="s">
        <v>532</v>
      </c>
      <c r="M168" s="3" t="str">
        <f aca="false">PROPER(TRIM(SUBSTITUTE(Raw_Text_Fields!I169,CHAR(160)," ")))</f>
        <v>First Class</v>
      </c>
      <c r="N168" s="3" t="n">
        <v>1</v>
      </c>
      <c r="O168" s="5" t="n">
        <v>2557.85</v>
      </c>
      <c r="P168" s="6" t="n">
        <v>0.2</v>
      </c>
      <c r="Q168" s="5" t="n">
        <v>2046.28</v>
      </c>
      <c r="R168" s="5" t="n">
        <v>1449.54</v>
      </c>
      <c r="S168" s="5" t="n">
        <v>596.74</v>
      </c>
      <c r="T168" s="3" t="str">
        <f aca="false">PROPER(TRIM(SUBSTITUTE(Raw_Text_Fields!J169,CHAR(160)," ")))</f>
        <v>Paid</v>
      </c>
      <c r="U168" s="3" t="str">
        <f aca="false">PROPER(TRIM(SUBSTITUTE(Raw_Text_Fields!K169,CHAR(160)," ")))</f>
        <v>Completed</v>
      </c>
      <c r="V168" s="7" t="n">
        <f aca="false">IF(OR(P168&lt;0,P168&gt;0.5),0,P168)</f>
        <v>0.2</v>
      </c>
      <c r="W168" s="8" t="n">
        <f aca="false">N168*O168*(1-V168)</f>
        <v>2046.28</v>
      </c>
      <c r="X168" s="8" t="n">
        <f aca="false">W168-R168</f>
        <v>596.74</v>
      </c>
      <c r="Y168" s="7" t="n">
        <f aca="false">IFERROR(X168/W168,0)</f>
        <v>0.291621869929824</v>
      </c>
      <c r="Z168" s="9" t="n">
        <f aca="false">C168-B168</f>
        <v>6</v>
      </c>
      <c r="AA168" s="1" t="str">
        <f aca="false">IF(B168="","",TEXT(B168,"mmm"))</f>
        <v>Feb</v>
      </c>
      <c r="AB168" s="9" t="n">
        <f aca="false">IF(B168="","",YEAR(B168))</f>
        <v>2025</v>
      </c>
      <c r="AC168" s="3"/>
      <c r="AD168" s="3" t="str">
        <f aca="false">IF(LEFT(AC168&amp;IF(B168="","; Missing Order Date","")&amp;IF(C168="","; Missing Ship Date","")&amp;IF(P168&lt;0,"; Invalid Discount (Negative)","")&amp;IF(P168&gt;0.5,"; Invalid Discount (Too High)","")&amp;IF(Z168&lt;0,"; Invalid Shipping Record (Ship Before Order)","")&amp;IF(ABS(Q168-W168)&gt;1,"; Sales Mismatch","")&amp;IF(ABS(S168-X168)&gt;1,"; Profit Mismatch","")&amp;IF(COUNTIF($A$2:$A$913,A168)&gt;1,"; Duplicate Order ID Conflict",""),2)="; ",MID(AC168&amp;IF(B168="","; Missing Order Date","")&amp;IF(C168="","; Missing Ship Date","")&amp;IF(P168&lt;0,"; Invalid Discount (Negative)","")&amp;IF(P168&gt;0.5,"; Invalid Discount (Too High)","")&amp;IF(Z168&lt;0,"; Invalid Shipping Record (Ship Before Order)","")&amp;IF(ABS(Q168-W168)&gt;1,"; Sales Mismatch","")&amp;IF(ABS(S168-X168)&gt;1,"; Profit Mismatch","")&amp;IF(COUNTIF($A$2:$A$913,A168)&gt;1,"; Duplicate Order ID Conflict",""),3,500),AC168&amp;IF(B168="","; Missing Order Date","")&amp;IF(C168="","; Missing Ship Date","")&amp;IF(P168&lt;0,"; Invalid Discount (Negative)","")&amp;IF(P168&gt;0.5,"; Invalid Discount (Too High)","")&amp;IF(Z168&lt;0,"; Invalid Shipping Record (Ship Before Order)","")&amp;IF(ABS(Q168-W168)&gt;1,"; Sales Mismatch","")&amp;IF(ABS(S168-X168)&gt;1,"; Profit Mismatch","")&amp;IF(COUNTIF($A$2:$A$913,A168)&gt;1,"; Duplicate Order ID Conflict",""))</f>
        <v/>
      </c>
      <c r="AE168" s="10" t="str">
        <f aca="false">IF(OR(ISNUMBER(SEARCH("Invalid Discount",AD168)),ISNUMBER(SEARCH("Invalid Shipping Record",AD168)),ISNUMBER(SEARCH("Sales Mismatch",AD168)),ISNUMBER(SEARCH("Profit Mismatch",AD168)),ISNUMBER(SEARCH("Duplicate Order ID Conflict",AD168)),ISNUMBER(SEARCH("Missing Order Date",AD168)),ISNUMBER(SEARCH("Missing Ship Date",AD168))),"Invalid",IF(AD168&lt;&gt;"","Warning","Clean"))</f>
        <v>Clean</v>
      </c>
    </row>
    <row r="169" customFormat="false" ht="15" hidden="false" customHeight="true" outlineLevel="0" collapsed="false">
      <c r="A169" s="3" t="s">
        <v>533</v>
      </c>
      <c r="B169" s="4" t="n">
        <v>45887</v>
      </c>
      <c r="C169" s="4" t="n">
        <v>45887</v>
      </c>
      <c r="D169" s="3" t="s">
        <v>534</v>
      </c>
      <c r="E169" s="3" t="str">
        <f aca="false">PROPER(TRIM(SUBSTITUTE(Raw_Text_Fields!B170,CHAR(160)," ")))</f>
        <v>Arjun Bose</v>
      </c>
      <c r="F169" s="3" t="str">
        <f aca="false">PROPER(TRIM(SUBSTITUTE(Raw_Text_Fields!C170,CHAR(160)," ")))</f>
        <v>Home Office</v>
      </c>
      <c r="G169" s="3" t="str">
        <f aca="false">PROPER(TRIM(SUBSTITUTE(Raw_Text_Fields!D170,CHAR(160)," ")))</f>
        <v>South</v>
      </c>
      <c r="H169" s="3" t="str">
        <f aca="false">PROPER(TRIM(SUBSTITUTE(Raw_Text_Fields!E170,CHAR(160)," ")))</f>
        <v>Karnataka</v>
      </c>
      <c r="I169" s="3" t="str">
        <f aca="false">PROPER(TRIM(SUBSTITUTE(Raw_Text_Fields!F170,CHAR(160)," ")))</f>
        <v>Bengaluru</v>
      </c>
      <c r="J169" s="3" t="str">
        <f aca="false">PROPER(TRIM(SUBSTITUTE(Raw_Text_Fields!G170,CHAR(160)," ")))</f>
        <v>Office Supplies</v>
      </c>
      <c r="K169" s="3" t="str">
        <f aca="false">PROPER(TRIM(SUBSTITUTE(Raw_Text_Fields!H170,CHAR(160)," ")))</f>
        <v>Storage</v>
      </c>
      <c r="L169" s="3" t="s">
        <v>535</v>
      </c>
      <c r="M169" s="3" t="str">
        <f aca="false">PROPER(TRIM(SUBSTITUTE(Raw_Text_Fields!I170,CHAR(160)," ")))</f>
        <v>First Class</v>
      </c>
      <c r="N169" s="3" t="n">
        <v>9</v>
      </c>
      <c r="O169" s="5" t="n">
        <v>3030.93</v>
      </c>
      <c r="P169" s="6" t="n">
        <v>0.15</v>
      </c>
      <c r="Q169" s="5" t="n">
        <v>23186.61</v>
      </c>
      <c r="R169" s="5" t="n">
        <v>17906.54</v>
      </c>
      <c r="S169" s="5" t="n">
        <v>5280.07</v>
      </c>
      <c r="T169" s="3" t="str">
        <f aca="false">PROPER(TRIM(SUBSTITUTE(Raw_Text_Fields!J170,CHAR(160)," ")))</f>
        <v>Paid</v>
      </c>
      <c r="U169" s="3" t="str">
        <f aca="false">PROPER(TRIM(SUBSTITUTE(Raw_Text_Fields!K170,CHAR(160)," ")))</f>
        <v>Returned</v>
      </c>
      <c r="V169" s="7" t="n">
        <f aca="false">IF(OR(P169&lt;0,P169&gt;0.5),0,P169)</f>
        <v>0.15</v>
      </c>
      <c r="W169" s="8" t="n">
        <f aca="false">N169*O169*(1-V169)</f>
        <v>23186.6145</v>
      </c>
      <c r="X169" s="8" t="n">
        <f aca="false">W169-R169</f>
        <v>5280.0745</v>
      </c>
      <c r="Y169" s="7" t="n">
        <f aca="false">IFERROR(X169/W169,0)</f>
        <v>0.22772080417346</v>
      </c>
      <c r="Z169" s="9" t="n">
        <f aca="false">C169-B169</f>
        <v>0</v>
      </c>
      <c r="AA169" s="1" t="str">
        <f aca="false">IF(B169="","",TEXT(B169,"mmm"))</f>
        <v>Aug</v>
      </c>
      <c r="AB169" s="9" t="n">
        <f aca="false">IF(B169="","",YEAR(B169))</f>
        <v>2025</v>
      </c>
      <c r="AC169" s="3"/>
      <c r="AD169" s="3" t="str">
        <f aca="false">IF(LEFT(AC169&amp;IF(B169="","; Missing Order Date","")&amp;IF(C169="","; Missing Ship Date","")&amp;IF(P169&lt;0,"; Invalid Discount (Negative)","")&amp;IF(P169&gt;0.5,"; Invalid Discount (Too High)","")&amp;IF(Z169&lt;0,"; Invalid Shipping Record (Ship Before Order)","")&amp;IF(ABS(Q169-W169)&gt;1,"; Sales Mismatch","")&amp;IF(ABS(S169-X169)&gt;1,"; Profit Mismatch","")&amp;IF(COUNTIF($A$2:$A$913,A169)&gt;1,"; Duplicate Order ID Conflict",""),2)="; ",MID(AC169&amp;IF(B169="","; Missing Order Date","")&amp;IF(C169="","; Missing Ship Date","")&amp;IF(P169&lt;0,"; Invalid Discount (Negative)","")&amp;IF(P169&gt;0.5,"; Invalid Discount (Too High)","")&amp;IF(Z169&lt;0,"; Invalid Shipping Record (Ship Before Order)","")&amp;IF(ABS(Q169-W169)&gt;1,"; Sales Mismatch","")&amp;IF(ABS(S169-X169)&gt;1,"; Profit Mismatch","")&amp;IF(COUNTIF($A$2:$A$913,A169)&gt;1,"; Duplicate Order ID Conflict",""),3,500),AC169&amp;IF(B169="","; Missing Order Date","")&amp;IF(C169="","; Missing Ship Date","")&amp;IF(P169&lt;0,"; Invalid Discount (Negative)","")&amp;IF(P169&gt;0.5,"; Invalid Discount (Too High)","")&amp;IF(Z169&lt;0,"; Invalid Shipping Record (Ship Before Order)","")&amp;IF(ABS(Q169-W169)&gt;1,"; Sales Mismatch","")&amp;IF(ABS(S169-X169)&gt;1,"; Profit Mismatch","")&amp;IF(COUNTIF($A$2:$A$913,A169)&gt;1,"; Duplicate Order ID Conflict",""))</f>
        <v/>
      </c>
      <c r="AE169" s="10" t="str">
        <f aca="false">IF(OR(ISNUMBER(SEARCH("Invalid Discount",AD169)),ISNUMBER(SEARCH("Invalid Shipping Record",AD169)),ISNUMBER(SEARCH("Sales Mismatch",AD169)),ISNUMBER(SEARCH("Profit Mismatch",AD169)),ISNUMBER(SEARCH("Duplicate Order ID Conflict",AD169)),ISNUMBER(SEARCH("Missing Order Date",AD169)),ISNUMBER(SEARCH("Missing Ship Date",AD169))),"Invalid",IF(AD169&lt;&gt;"","Warning","Clean"))</f>
        <v>Clean</v>
      </c>
    </row>
    <row r="170" customFormat="false" ht="15" hidden="false" customHeight="true" outlineLevel="0" collapsed="false">
      <c r="A170" s="3" t="s">
        <v>536</v>
      </c>
      <c r="B170" s="4" t="n">
        <v>45677</v>
      </c>
      <c r="C170" s="4" t="n">
        <v>45680</v>
      </c>
      <c r="D170" s="3" t="s">
        <v>537</v>
      </c>
      <c r="E170" s="3" t="str">
        <f aca="false">PROPER(TRIM(SUBSTITUTE(Raw_Text_Fields!B171,CHAR(160)," ")))</f>
        <v>Kabir Singh</v>
      </c>
      <c r="F170" s="3" t="str">
        <f aca="false">PROPER(TRIM(SUBSTITUTE(Raw_Text_Fields!C171,CHAR(160)," ")))</f>
        <v>Consumer</v>
      </c>
      <c r="G170" s="3" t="str">
        <f aca="false">PROPER(TRIM(SUBSTITUTE(Raw_Text_Fields!D171,CHAR(160)," ")))</f>
        <v>West</v>
      </c>
      <c r="H170" s="3" t="str">
        <f aca="false">PROPER(TRIM(SUBSTITUTE(Raw_Text_Fields!E171,CHAR(160)," ")))</f>
        <v>Maharashtra</v>
      </c>
      <c r="I170" s="3" t="str">
        <f aca="false">PROPER(TRIM(SUBSTITUTE(Raw_Text_Fields!F171,CHAR(160)," ")))</f>
        <v>Mumbai</v>
      </c>
      <c r="J170" s="3" t="str">
        <f aca="false">PROPER(TRIM(SUBSTITUTE(Raw_Text_Fields!G171,CHAR(160)," ")))</f>
        <v>Technology</v>
      </c>
      <c r="K170" s="3" t="str">
        <f aca="false">PROPER(TRIM(SUBSTITUTE(Raw_Text_Fields!H171,CHAR(160)," ")))</f>
        <v>Accessories</v>
      </c>
      <c r="L170" s="3" t="s">
        <v>538</v>
      </c>
      <c r="M170" s="3" t="str">
        <f aca="false">PROPER(TRIM(SUBSTITUTE(Raw_Text_Fields!I171,CHAR(160)," ")))</f>
        <v>Same Day</v>
      </c>
      <c r="N170" s="3" t="n">
        <v>5</v>
      </c>
      <c r="O170" s="5" t="n">
        <v>639.27</v>
      </c>
      <c r="P170" s="6" t="n">
        <v>0.2</v>
      </c>
      <c r="Q170" s="5" t="n">
        <v>2557.08</v>
      </c>
      <c r="R170" s="5" t="n">
        <v>2025.69</v>
      </c>
      <c r="S170" s="5" t="n">
        <v>531.39</v>
      </c>
      <c r="T170" s="3" t="str">
        <f aca="false">PROPER(TRIM(SUBSTITUTE(Raw_Text_Fields!J171,CHAR(160)," ")))</f>
        <v>Paid</v>
      </c>
      <c r="U170" s="3" t="str">
        <f aca="false">PROPER(TRIM(SUBSTITUTE(Raw_Text_Fields!K171,CHAR(160)," ")))</f>
        <v>Cancelled</v>
      </c>
      <c r="V170" s="7" t="n">
        <f aca="false">IF(OR(P170&lt;0,P170&gt;0.5),0,P170)</f>
        <v>0.2</v>
      </c>
      <c r="W170" s="8" t="n">
        <f aca="false">N170*O170*(1-V170)</f>
        <v>2557.08</v>
      </c>
      <c r="X170" s="8" t="n">
        <f aca="false">W170-R170</f>
        <v>531.39</v>
      </c>
      <c r="Y170" s="7" t="n">
        <f aca="false">IFERROR(X170/W170,0)</f>
        <v>0.207811253460979</v>
      </c>
      <c r="Z170" s="9" t="n">
        <f aca="false">C170-B170</f>
        <v>3</v>
      </c>
      <c r="AA170" s="1" t="str">
        <f aca="false">IF(B170="","",TEXT(B170,"mmm"))</f>
        <v>Jan</v>
      </c>
      <c r="AB170" s="9" t="n">
        <f aca="false">IF(B170="","",YEAR(B170))</f>
        <v>2025</v>
      </c>
      <c r="AC170" s="3"/>
      <c r="AD170" s="3" t="str">
        <f aca="false">IF(LEFT(AC170&amp;IF(B170="","; Missing Order Date","")&amp;IF(C170="","; Missing Ship Date","")&amp;IF(P170&lt;0,"; Invalid Discount (Negative)","")&amp;IF(P170&gt;0.5,"; Invalid Discount (Too High)","")&amp;IF(Z170&lt;0,"; Invalid Shipping Record (Ship Before Order)","")&amp;IF(ABS(Q170-W170)&gt;1,"; Sales Mismatch","")&amp;IF(ABS(S170-X170)&gt;1,"; Profit Mismatch","")&amp;IF(COUNTIF($A$2:$A$913,A170)&gt;1,"; Duplicate Order ID Conflict",""),2)="; ",MID(AC170&amp;IF(B170="","; Missing Order Date","")&amp;IF(C170="","; Missing Ship Date","")&amp;IF(P170&lt;0,"; Invalid Discount (Negative)","")&amp;IF(P170&gt;0.5,"; Invalid Discount (Too High)","")&amp;IF(Z170&lt;0,"; Invalid Shipping Record (Ship Before Order)","")&amp;IF(ABS(Q170-W170)&gt;1,"; Sales Mismatch","")&amp;IF(ABS(S170-X170)&gt;1,"; Profit Mismatch","")&amp;IF(COUNTIF($A$2:$A$913,A170)&gt;1,"; Duplicate Order ID Conflict",""),3,500),AC170&amp;IF(B170="","; Missing Order Date","")&amp;IF(C170="","; Missing Ship Date","")&amp;IF(P170&lt;0,"; Invalid Discount (Negative)","")&amp;IF(P170&gt;0.5,"; Invalid Discount (Too High)","")&amp;IF(Z170&lt;0,"; Invalid Shipping Record (Ship Before Order)","")&amp;IF(ABS(Q170-W170)&gt;1,"; Sales Mismatch","")&amp;IF(ABS(S170-X170)&gt;1,"; Profit Mismatch","")&amp;IF(COUNTIF($A$2:$A$913,A170)&gt;1,"; Duplicate Order ID Conflict",""))</f>
        <v/>
      </c>
      <c r="AE170" s="10" t="str">
        <f aca="false">IF(OR(ISNUMBER(SEARCH("Invalid Discount",AD170)),ISNUMBER(SEARCH("Invalid Shipping Record",AD170)),ISNUMBER(SEARCH("Sales Mismatch",AD170)),ISNUMBER(SEARCH("Profit Mismatch",AD170)),ISNUMBER(SEARCH("Duplicate Order ID Conflict",AD170)),ISNUMBER(SEARCH("Missing Order Date",AD170)),ISNUMBER(SEARCH("Missing Ship Date",AD170))),"Invalid",IF(AD170&lt;&gt;"","Warning","Clean"))</f>
        <v>Clean</v>
      </c>
    </row>
    <row r="171" customFormat="false" ht="15" hidden="false" customHeight="true" outlineLevel="0" collapsed="false">
      <c r="A171" s="3" t="s">
        <v>539</v>
      </c>
      <c r="B171" s="4" t="n">
        <v>45913</v>
      </c>
      <c r="C171" s="4" t="n">
        <v>45913</v>
      </c>
      <c r="D171" s="3" t="s">
        <v>540</v>
      </c>
      <c r="E171" s="3" t="str">
        <f aca="false">PROPER(TRIM(SUBSTITUTE(Raw_Text_Fields!B172,CHAR(160)," ")))</f>
        <v>Diya Patel</v>
      </c>
      <c r="F171" s="3" t="str">
        <f aca="false">PROPER(TRIM(SUBSTITUTE(Raw_Text_Fields!C172,CHAR(160)," ")))</f>
        <v>Consumer</v>
      </c>
      <c r="G171" s="3" t="str">
        <f aca="false">PROPER(TRIM(SUBSTITUTE(Raw_Text_Fields!D172,CHAR(160)," ")))</f>
        <v>East</v>
      </c>
      <c r="H171" s="3" t="str">
        <f aca="false">PROPER(TRIM(SUBSTITUTE(Raw_Text_Fields!E172,CHAR(160)," ")))</f>
        <v>Assam</v>
      </c>
      <c r="I171" s="3" t="str">
        <f aca="false">PROPER(TRIM(SUBSTITUTE(Raw_Text_Fields!F172,CHAR(160)," ")))</f>
        <v>Guwahati</v>
      </c>
      <c r="J171" s="3" t="str">
        <f aca="false">PROPER(TRIM(SUBSTITUTE(Raw_Text_Fields!G172,CHAR(160)," ")))</f>
        <v>Office Supplies</v>
      </c>
      <c r="K171" s="3" t="str">
        <f aca="false">PROPER(TRIM(SUBSTITUTE(Raw_Text_Fields!H172,CHAR(160)," ")))</f>
        <v>Art</v>
      </c>
      <c r="L171" s="3" t="s">
        <v>541</v>
      </c>
      <c r="M171" s="3" t="str">
        <f aca="false">PROPER(TRIM(SUBSTITUTE(Raw_Text_Fields!I172,CHAR(160)," ")))</f>
        <v>Standard Class</v>
      </c>
      <c r="N171" s="3" t="n">
        <v>8</v>
      </c>
      <c r="O171" s="5" t="n">
        <v>733.9</v>
      </c>
      <c r="P171" s="6" t="n">
        <v>0.05</v>
      </c>
      <c r="Q171" s="5" t="n">
        <v>5577.64</v>
      </c>
      <c r="R171" s="5" t="n">
        <v>3541.29</v>
      </c>
      <c r="S171" s="5" t="n">
        <v>2036.35</v>
      </c>
      <c r="T171" s="3" t="str">
        <f aca="false">PROPER(TRIM(SUBSTITUTE(Raw_Text_Fields!J172,CHAR(160)," ")))</f>
        <v>Pending</v>
      </c>
      <c r="U171" s="3" t="str">
        <f aca="false">PROPER(TRIM(SUBSTITUTE(Raw_Text_Fields!K172,CHAR(160)," ")))</f>
        <v>Returned</v>
      </c>
      <c r="V171" s="7" t="n">
        <f aca="false">IF(OR(P171&lt;0,P171&gt;0.5),0,P171)</f>
        <v>0.05</v>
      </c>
      <c r="W171" s="8" t="n">
        <f aca="false">N171*O171*(1-V171)</f>
        <v>5577.64</v>
      </c>
      <c r="X171" s="8" t="n">
        <f aca="false">W171-R171</f>
        <v>2036.35</v>
      </c>
      <c r="Y171" s="7" t="n">
        <f aca="false">IFERROR(X171/W171,0)</f>
        <v>0.365091687523756</v>
      </c>
      <c r="Z171" s="9" t="n">
        <f aca="false">C171-B171</f>
        <v>0</v>
      </c>
      <c r="AA171" s="1" t="str">
        <f aca="false">IF(B171="","",TEXT(B171,"mmm"))</f>
        <v>Sep</v>
      </c>
      <c r="AB171" s="9" t="n">
        <f aca="false">IF(B171="","",YEAR(B171))</f>
        <v>2025</v>
      </c>
      <c r="AC171" s="3"/>
      <c r="AD171" s="3" t="str">
        <f aca="false">IF(LEFT(AC171&amp;IF(B171="","; Missing Order Date","")&amp;IF(C171="","; Missing Ship Date","")&amp;IF(P171&lt;0,"; Invalid Discount (Negative)","")&amp;IF(P171&gt;0.5,"; Invalid Discount (Too High)","")&amp;IF(Z171&lt;0,"; Invalid Shipping Record (Ship Before Order)","")&amp;IF(ABS(Q171-W171)&gt;1,"; Sales Mismatch","")&amp;IF(ABS(S171-X171)&gt;1,"; Profit Mismatch","")&amp;IF(COUNTIF($A$2:$A$913,A171)&gt;1,"; Duplicate Order ID Conflict",""),2)="; ",MID(AC171&amp;IF(B171="","; Missing Order Date","")&amp;IF(C171="","; Missing Ship Date","")&amp;IF(P171&lt;0,"; Invalid Discount (Negative)","")&amp;IF(P171&gt;0.5,"; Invalid Discount (Too High)","")&amp;IF(Z171&lt;0,"; Invalid Shipping Record (Ship Before Order)","")&amp;IF(ABS(Q171-W171)&gt;1,"; Sales Mismatch","")&amp;IF(ABS(S171-X171)&gt;1,"; Profit Mismatch","")&amp;IF(COUNTIF($A$2:$A$913,A171)&gt;1,"; Duplicate Order ID Conflict",""),3,500),AC171&amp;IF(B171="","; Missing Order Date","")&amp;IF(C171="","; Missing Ship Date","")&amp;IF(P171&lt;0,"; Invalid Discount (Negative)","")&amp;IF(P171&gt;0.5,"; Invalid Discount (Too High)","")&amp;IF(Z171&lt;0,"; Invalid Shipping Record (Ship Before Order)","")&amp;IF(ABS(Q171-W171)&gt;1,"; Sales Mismatch","")&amp;IF(ABS(S171-X171)&gt;1,"; Profit Mismatch","")&amp;IF(COUNTIF($A$2:$A$913,A171)&gt;1,"; Duplicate Order ID Conflict",""))</f>
        <v/>
      </c>
      <c r="AE171" s="10" t="str">
        <f aca="false">IF(OR(ISNUMBER(SEARCH("Invalid Discount",AD171)),ISNUMBER(SEARCH("Invalid Shipping Record",AD171)),ISNUMBER(SEARCH("Sales Mismatch",AD171)),ISNUMBER(SEARCH("Profit Mismatch",AD171)),ISNUMBER(SEARCH("Duplicate Order ID Conflict",AD171)),ISNUMBER(SEARCH("Missing Order Date",AD171)),ISNUMBER(SEARCH("Missing Ship Date",AD171))),"Invalid",IF(AD171&lt;&gt;"","Warning","Clean"))</f>
        <v>Clean</v>
      </c>
    </row>
    <row r="172" customFormat="false" ht="15" hidden="false" customHeight="true" outlineLevel="0" collapsed="false">
      <c r="A172" s="3" t="s">
        <v>542</v>
      </c>
      <c r="B172" s="4" t="n">
        <v>45907</v>
      </c>
      <c r="C172" s="4" t="n">
        <v>45915</v>
      </c>
      <c r="D172" s="3" t="s">
        <v>543</v>
      </c>
      <c r="E172" s="3" t="str">
        <f aca="false">PROPER(TRIM(SUBSTITUTE(Raw_Text_Fields!B173,CHAR(160)," ")))</f>
        <v>Rohan Mehta</v>
      </c>
      <c r="F172" s="3" t="str">
        <f aca="false">PROPER(TRIM(SUBSTITUTE(Raw_Text_Fields!C173,CHAR(160)," ")))</f>
        <v>Corporate</v>
      </c>
      <c r="G172" s="3" t="str">
        <f aca="false">PROPER(TRIM(SUBSTITUTE(Raw_Text_Fields!D173,CHAR(160)," ")))</f>
        <v>East</v>
      </c>
      <c r="H172" s="3" t="str">
        <f aca="false">PROPER(TRIM(SUBSTITUTE(Raw_Text_Fields!E173,CHAR(160)," ")))</f>
        <v>Bihar</v>
      </c>
      <c r="I172" s="3" t="str">
        <f aca="false">PROPER(TRIM(SUBSTITUTE(Raw_Text_Fields!F173,CHAR(160)," ")))</f>
        <v>Patna</v>
      </c>
      <c r="J172" s="3" t="str">
        <f aca="false">PROPER(TRIM(SUBSTITUTE(Raw_Text_Fields!G173,CHAR(160)," ")))</f>
        <v>Technology</v>
      </c>
      <c r="K172" s="3" t="str">
        <f aca="false">PROPER(TRIM(SUBSTITUTE(Raw_Text_Fields!H173,CHAR(160)," ")))</f>
        <v>Copiers</v>
      </c>
      <c r="L172" s="3" t="s">
        <v>544</v>
      </c>
      <c r="M172" s="3" t="str">
        <f aca="false">PROPER(TRIM(SUBSTITUTE(Raw_Text_Fields!I173,CHAR(160)," ")))</f>
        <v>Standard Class</v>
      </c>
      <c r="N172" s="3" t="n">
        <v>3</v>
      </c>
      <c r="O172" s="5" t="n">
        <v>1711.32</v>
      </c>
      <c r="P172" s="6" t="n">
        <v>0</v>
      </c>
      <c r="Q172" s="5" t="n">
        <v>5133.96</v>
      </c>
      <c r="R172" s="5" t="n">
        <v>3930</v>
      </c>
      <c r="S172" s="5" t="n">
        <v>1203.96</v>
      </c>
      <c r="T172" s="3" t="str">
        <f aca="false">PROPER(TRIM(SUBSTITUTE(Raw_Text_Fields!J173,CHAR(160)," ")))</f>
        <v>Paid</v>
      </c>
      <c r="U172" s="3" t="str">
        <f aca="false">PROPER(TRIM(SUBSTITUTE(Raw_Text_Fields!K173,CHAR(160)," ")))</f>
        <v>Completed</v>
      </c>
      <c r="V172" s="7" t="n">
        <f aca="false">IF(OR(P172&lt;0,P172&gt;0.5),0,P172)</f>
        <v>0</v>
      </c>
      <c r="W172" s="8" t="n">
        <f aca="false">N172*O172*(1-V172)</f>
        <v>5133.96</v>
      </c>
      <c r="X172" s="8" t="n">
        <f aca="false">W172-R172</f>
        <v>1203.96</v>
      </c>
      <c r="Y172" s="7" t="n">
        <f aca="false">IFERROR(X172/W172,0)</f>
        <v>0.234509033962088</v>
      </c>
      <c r="Z172" s="9" t="n">
        <f aca="false">C172-B172</f>
        <v>8</v>
      </c>
      <c r="AA172" s="1" t="str">
        <f aca="false">IF(B172="","",TEXT(B172,"mmm"))</f>
        <v>Sep</v>
      </c>
      <c r="AB172" s="9" t="n">
        <f aca="false">IF(B172="","",YEAR(B172))</f>
        <v>2025</v>
      </c>
      <c r="AC172" s="3"/>
      <c r="AD172" s="3" t="str">
        <f aca="false">IF(LEFT(AC172&amp;IF(B172="","; Missing Order Date","")&amp;IF(C172="","; Missing Ship Date","")&amp;IF(P172&lt;0,"; Invalid Discount (Negative)","")&amp;IF(P172&gt;0.5,"; Invalid Discount (Too High)","")&amp;IF(Z172&lt;0,"; Invalid Shipping Record (Ship Before Order)","")&amp;IF(ABS(Q172-W172)&gt;1,"; Sales Mismatch","")&amp;IF(ABS(S172-X172)&gt;1,"; Profit Mismatch","")&amp;IF(COUNTIF($A$2:$A$913,A172)&gt;1,"; Duplicate Order ID Conflict",""),2)="; ",MID(AC172&amp;IF(B172="","; Missing Order Date","")&amp;IF(C172="","; Missing Ship Date","")&amp;IF(P172&lt;0,"; Invalid Discount (Negative)","")&amp;IF(P172&gt;0.5,"; Invalid Discount (Too High)","")&amp;IF(Z172&lt;0,"; Invalid Shipping Record (Ship Before Order)","")&amp;IF(ABS(Q172-W172)&gt;1,"; Sales Mismatch","")&amp;IF(ABS(S172-X172)&gt;1,"; Profit Mismatch","")&amp;IF(COUNTIF($A$2:$A$913,A172)&gt;1,"; Duplicate Order ID Conflict",""),3,500),AC172&amp;IF(B172="","; Missing Order Date","")&amp;IF(C172="","; Missing Ship Date","")&amp;IF(P172&lt;0,"; Invalid Discount (Negative)","")&amp;IF(P172&gt;0.5,"; Invalid Discount (Too High)","")&amp;IF(Z172&lt;0,"; Invalid Shipping Record (Ship Before Order)","")&amp;IF(ABS(Q172-W172)&gt;1,"; Sales Mismatch","")&amp;IF(ABS(S172-X172)&gt;1,"; Profit Mismatch","")&amp;IF(COUNTIF($A$2:$A$913,A172)&gt;1,"; Duplicate Order ID Conflict",""))</f>
        <v>Duplicate Order ID Conflict</v>
      </c>
      <c r="AE172" s="10" t="str">
        <f aca="false">IF(OR(ISNUMBER(SEARCH("Invalid Discount",AD172)),ISNUMBER(SEARCH("Invalid Shipping Record",AD172)),ISNUMBER(SEARCH("Sales Mismatch",AD172)),ISNUMBER(SEARCH("Profit Mismatch",AD172)),ISNUMBER(SEARCH("Duplicate Order ID Conflict",AD172)),ISNUMBER(SEARCH("Missing Order Date",AD172)),ISNUMBER(SEARCH("Missing Ship Date",AD172))),"Invalid",IF(AD172&lt;&gt;"","Warning","Clean"))</f>
        <v>Invalid</v>
      </c>
    </row>
    <row r="173" customFormat="false" ht="15" hidden="false" customHeight="true" outlineLevel="0" collapsed="false">
      <c r="A173" s="3" t="s">
        <v>545</v>
      </c>
      <c r="B173" s="4" t="n">
        <v>45711</v>
      </c>
      <c r="C173" s="4" t="n">
        <v>45713</v>
      </c>
      <c r="D173" s="3" t="s">
        <v>546</v>
      </c>
      <c r="E173" s="3" t="str">
        <f aca="false">PROPER(TRIM(SUBSTITUTE(Raw_Text_Fields!B174,CHAR(160)," ")))</f>
        <v>Karan Malhotra</v>
      </c>
      <c r="F173" s="3" t="str">
        <f aca="false">PROPER(TRIM(SUBSTITUTE(Raw_Text_Fields!C174,CHAR(160)," ")))</f>
        <v>Corporate</v>
      </c>
      <c r="G173" s="3" t="str">
        <f aca="false">PROPER(TRIM(SUBSTITUTE(Raw_Text_Fields!D174,CHAR(160)," ")))</f>
        <v>East</v>
      </c>
      <c r="H173" s="3" t="str">
        <f aca="false">PROPER(TRIM(SUBSTITUTE(Raw_Text_Fields!E174,CHAR(160)," ")))</f>
        <v>Bihar</v>
      </c>
      <c r="I173" s="3" t="str">
        <f aca="false">PROPER(TRIM(SUBSTITUTE(Raw_Text_Fields!F174,CHAR(160)," ")))</f>
        <v>Patna</v>
      </c>
      <c r="J173" s="3" t="str">
        <f aca="false">PROPER(TRIM(SUBSTITUTE(Raw_Text_Fields!G174,CHAR(160)," ")))</f>
        <v>Office Supplies</v>
      </c>
      <c r="K173" s="3" t="str">
        <f aca="false">PROPER(TRIM(SUBSTITUTE(Raw_Text_Fields!H174,CHAR(160)," ")))</f>
        <v>Labels</v>
      </c>
      <c r="L173" s="3" t="s">
        <v>547</v>
      </c>
      <c r="M173" s="3" t="str">
        <f aca="false">PROPER(TRIM(SUBSTITUTE(Raw_Text_Fields!I174,CHAR(160)," ")))</f>
        <v>Same Day</v>
      </c>
      <c r="N173" s="3" t="n">
        <v>5</v>
      </c>
      <c r="O173" s="5" t="n">
        <v>4246.27</v>
      </c>
      <c r="P173" s="6" t="n">
        <v>0.25</v>
      </c>
      <c r="Q173" s="5" t="n">
        <v>15923.51</v>
      </c>
      <c r="R173" s="5" t="n">
        <v>11291.8</v>
      </c>
      <c r="S173" s="5" t="n">
        <v>4631.71</v>
      </c>
      <c r="T173" s="3" t="str">
        <f aca="false">PROPER(TRIM(SUBSTITUTE(Raw_Text_Fields!J174,CHAR(160)," ")))</f>
        <v>Paid</v>
      </c>
      <c r="U173" s="3" t="str">
        <f aca="false">PROPER(TRIM(SUBSTITUTE(Raw_Text_Fields!K174,CHAR(160)," ")))</f>
        <v>Completed</v>
      </c>
      <c r="V173" s="7" t="n">
        <f aca="false">IF(OR(P173&lt;0,P173&gt;0.5),0,P173)</f>
        <v>0.25</v>
      </c>
      <c r="W173" s="8" t="n">
        <f aca="false">N173*O173*(1-V173)</f>
        <v>15923.5125</v>
      </c>
      <c r="X173" s="8" t="n">
        <f aca="false">W173-R173</f>
        <v>4631.7125</v>
      </c>
      <c r="Y173" s="7" t="n">
        <f aca="false">IFERROR(X173/W173,0)</f>
        <v>0.290872538329719</v>
      </c>
      <c r="Z173" s="9" t="n">
        <f aca="false">C173-B173</f>
        <v>2</v>
      </c>
      <c r="AA173" s="1" t="str">
        <f aca="false">IF(B173="","",TEXT(B173,"mmm"))</f>
        <v>Feb</v>
      </c>
      <c r="AB173" s="9" t="n">
        <f aca="false">IF(B173="","",YEAR(B173))</f>
        <v>2025</v>
      </c>
      <c r="AC173" s="3"/>
      <c r="AD173" s="3" t="str">
        <f aca="false">IF(LEFT(AC173&amp;IF(B173="","; Missing Order Date","")&amp;IF(C173="","; Missing Ship Date","")&amp;IF(P173&lt;0,"; Invalid Discount (Negative)","")&amp;IF(P173&gt;0.5,"; Invalid Discount (Too High)","")&amp;IF(Z173&lt;0,"; Invalid Shipping Record (Ship Before Order)","")&amp;IF(ABS(Q173-W173)&gt;1,"; Sales Mismatch","")&amp;IF(ABS(S173-X173)&gt;1,"; Profit Mismatch","")&amp;IF(COUNTIF($A$2:$A$913,A173)&gt;1,"; Duplicate Order ID Conflict",""),2)="; ",MID(AC173&amp;IF(B173="","; Missing Order Date","")&amp;IF(C173="","; Missing Ship Date","")&amp;IF(P173&lt;0,"; Invalid Discount (Negative)","")&amp;IF(P173&gt;0.5,"; Invalid Discount (Too High)","")&amp;IF(Z173&lt;0,"; Invalid Shipping Record (Ship Before Order)","")&amp;IF(ABS(Q173-W173)&gt;1,"; Sales Mismatch","")&amp;IF(ABS(S173-X173)&gt;1,"; Profit Mismatch","")&amp;IF(COUNTIF($A$2:$A$913,A173)&gt;1,"; Duplicate Order ID Conflict",""),3,500),AC173&amp;IF(B173="","; Missing Order Date","")&amp;IF(C173="","; Missing Ship Date","")&amp;IF(P173&lt;0,"; Invalid Discount (Negative)","")&amp;IF(P173&gt;0.5,"; Invalid Discount (Too High)","")&amp;IF(Z173&lt;0,"; Invalid Shipping Record (Ship Before Order)","")&amp;IF(ABS(Q173-W173)&gt;1,"; Sales Mismatch","")&amp;IF(ABS(S173-X173)&gt;1,"; Profit Mismatch","")&amp;IF(COUNTIF($A$2:$A$913,A173)&gt;1,"; Duplicate Order ID Conflict",""))</f>
        <v/>
      </c>
      <c r="AE173" s="10" t="str">
        <f aca="false">IF(OR(ISNUMBER(SEARCH("Invalid Discount",AD173)),ISNUMBER(SEARCH("Invalid Shipping Record",AD173)),ISNUMBER(SEARCH("Sales Mismatch",AD173)),ISNUMBER(SEARCH("Profit Mismatch",AD173)),ISNUMBER(SEARCH("Duplicate Order ID Conflict",AD173)),ISNUMBER(SEARCH("Missing Order Date",AD173)),ISNUMBER(SEARCH("Missing Ship Date",AD173))),"Invalid",IF(AD173&lt;&gt;"","Warning","Clean"))</f>
        <v>Clean</v>
      </c>
    </row>
    <row r="174" customFormat="false" ht="15" hidden="false" customHeight="true" outlineLevel="0" collapsed="false">
      <c r="A174" s="3" t="s">
        <v>548</v>
      </c>
      <c r="B174" s="4" t="n">
        <v>45871</v>
      </c>
      <c r="C174" s="4" t="n">
        <v>45879</v>
      </c>
      <c r="D174" s="3" t="s">
        <v>549</v>
      </c>
      <c r="E174" s="3" t="str">
        <f aca="false">PROPER(TRIM(SUBSTITUTE(Raw_Text_Fields!B175,CHAR(160)," ")))</f>
        <v>Karan Malhotra</v>
      </c>
      <c r="F174" s="3" t="str">
        <f aca="false">PROPER(TRIM(SUBSTITUTE(Raw_Text_Fields!C175,CHAR(160)," ")))</f>
        <v>Corporate</v>
      </c>
      <c r="G174" s="3" t="str">
        <f aca="false">PROPER(TRIM(SUBSTITUTE(Raw_Text_Fields!D175,CHAR(160)," ")))</f>
        <v>North</v>
      </c>
      <c r="H174" s="3" t="str">
        <f aca="false">PROPER(TRIM(SUBSTITUTE(Raw_Text_Fields!E175,CHAR(160)," ")))</f>
        <v>Delhi</v>
      </c>
      <c r="I174" s="3" t="str">
        <f aca="false">PROPER(TRIM(SUBSTITUTE(Raw_Text_Fields!F175,CHAR(160)," ")))</f>
        <v>New Delhi</v>
      </c>
      <c r="J174" s="3" t="str">
        <f aca="false">PROPER(TRIM(SUBSTITUTE(Raw_Text_Fields!G175,CHAR(160)," ")))</f>
        <v>Furniture</v>
      </c>
      <c r="K174" s="3" t="str">
        <f aca="false">PROPER(TRIM(SUBSTITUTE(Raw_Text_Fields!H175,CHAR(160)," ")))</f>
        <v>Furnishings</v>
      </c>
      <c r="L174" s="3" t="s">
        <v>550</v>
      </c>
      <c r="M174" s="3" t="str">
        <f aca="false">PROPER(TRIM(SUBSTITUTE(Raw_Text_Fields!I175,CHAR(160)," ")))</f>
        <v>Same Day</v>
      </c>
      <c r="N174" s="3" t="n">
        <v>9</v>
      </c>
      <c r="O174" s="5" t="n">
        <v>2962.62</v>
      </c>
      <c r="P174" s="6" t="n">
        <v>0.1</v>
      </c>
      <c r="Q174" s="5" t="n">
        <v>23997.22</v>
      </c>
      <c r="R174" s="5" t="n">
        <v>16134.63</v>
      </c>
      <c r="S174" s="5" t="n">
        <v>7862.59</v>
      </c>
      <c r="T174" s="3" t="str">
        <f aca="false">PROPER(TRIM(SUBSTITUTE(Raw_Text_Fields!J175,CHAR(160)," ")))</f>
        <v>Refunded</v>
      </c>
      <c r="U174" s="3" t="str">
        <f aca="false">PROPER(TRIM(SUBSTITUTE(Raw_Text_Fields!K175,CHAR(160)," ")))</f>
        <v>Returned</v>
      </c>
      <c r="V174" s="7" t="n">
        <f aca="false">IF(OR(P174&lt;0,P174&gt;0.5),0,P174)</f>
        <v>0.1</v>
      </c>
      <c r="W174" s="8" t="n">
        <f aca="false">N174*O174*(1-V174)</f>
        <v>23997.222</v>
      </c>
      <c r="X174" s="8" t="n">
        <f aca="false">W174-R174</f>
        <v>7862.592</v>
      </c>
      <c r="Y174" s="7" t="n">
        <f aca="false">IFERROR(X174/W174,0)</f>
        <v>0.327645925015821</v>
      </c>
      <c r="Z174" s="9" t="n">
        <f aca="false">C174-B174</f>
        <v>8</v>
      </c>
      <c r="AA174" s="1" t="str">
        <f aca="false">IF(B174="","",TEXT(B174,"mmm"))</f>
        <v>Aug</v>
      </c>
      <c r="AB174" s="9" t="n">
        <f aca="false">IF(B174="","",YEAR(B174))</f>
        <v>2025</v>
      </c>
      <c r="AC174" s="3"/>
      <c r="AD174" s="3" t="str">
        <f aca="false">IF(LEFT(AC174&amp;IF(B174="","; Missing Order Date","")&amp;IF(C174="","; Missing Ship Date","")&amp;IF(P174&lt;0,"; Invalid Discount (Negative)","")&amp;IF(P174&gt;0.5,"; Invalid Discount (Too High)","")&amp;IF(Z174&lt;0,"; Invalid Shipping Record (Ship Before Order)","")&amp;IF(ABS(Q174-W174)&gt;1,"; Sales Mismatch","")&amp;IF(ABS(S174-X174)&gt;1,"; Profit Mismatch","")&amp;IF(COUNTIF($A$2:$A$913,A174)&gt;1,"; Duplicate Order ID Conflict",""),2)="; ",MID(AC174&amp;IF(B174="","; Missing Order Date","")&amp;IF(C174="","; Missing Ship Date","")&amp;IF(P174&lt;0,"; Invalid Discount (Negative)","")&amp;IF(P174&gt;0.5,"; Invalid Discount (Too High)","")&amp;IF(Z174&lt;0,"; Invalid Shipping Record (Ship Before Order)","")&amp;IF(ABS(Q174-W174)&gt;1,"; Sales Mismatch","")&amp;IF(ABS(S174-X174)&gt;1,"; Profit Mismatch","")&amp;IF(COUNTIF($A$2:$A$913,A174)&gt;1,"; Duplicate Order ID Conflict",""),3,500),AC174&amp;IF(B174="","; Missing Order Date","")&amp;IF(C174="","; Missing Ship Date","")&amp;IF(P174&lt;0,"; Invalid Discount (Negative)","")&amp;IF(P174&gt;0.5,"; Invalid Discount (Too High)","")&amp;IF(Z174&lt;0,"; Invalid Shipping Record (Ship Before Order)","")&amp;IF(ABS(Q174-W174)&gt;1,"; Sales Mismatch","")&amp;IF(ABS(S174-X174)&gt;1,"; Profit Mismatch","")&amp;IF(COUNTIF($A$2:$A$913,A174)&gt;1,"; Duplicate Order ID Conflict",""))</f>
        <v/>
      </c>
      <c r="AE174" s="10" t="str">
        <f aca="false">IF(OR(ISNUMBER(SEARCH("Invalid Discount",AD174)),ISNUMBER(SEARCH("Invalid Shipping Record",AD174)),ISNUMBER(SEARCH("Sales Mismatch",AD174)),ISNUMBER(SEARCH("Profit Mismatch",AD174)),ISNUMBER(SEARCH("Duplicate Order ID Conflict",AD174)),ISNUMBER(SEARCH("Missing Order Date",AD174)),ISNUMBER(SEARCH("Missing Ship Date",AD174))),"Invalid",IF(AD174&lt;&gt;"","Warning","Clean"))</f>
        <v>Clean</v>
      </c>
    </row>
    <row r="175" customFormat="false" ht="15" hidden="false" customHeight="true" outlineLevel="0" collapsed="false">
      <c r="A175" s="3" t="s">
        <v>551</v>
      </c>
      <c r="B175" s="4" t="n">
        <v>45414</v>
      </c>
      <c r="C175" s="4" t="n">
        <v>45420</v>
      </c>
      <c r="D175" s="3" t="s">
        <v>552</v>
      </c>
      <c r="E175" s="3" t="str">
        <f aca="false">PROPER(TRIM(SUBSTITUTE(Raw_Text_Fields!B176,CHAR(160)," ")))</f>
        <v>Priya Menon</v>
      </c>
      <c r="F175" s="3" t="str">
        <f aca="false">PROPER(TRIM(SUBSTITUTE(Raw_Text_Fields!C176,CHAR(160)," ")))</f>
        <v>Home Office</v>
      </c>
      <c r="G175" s="3" t="str">
        <f aca="false">PROPER(TRIM(SUBSTITUTE(Raw_Text_Fields!D176,CHAR(160)," ")))</f>
        <v>North</v>
      </c>
      <c r="H175" s="3" t="str">
        <f aca="false">PROPER(TRIM(SUBSTITUTE(Raw_Text_Fields!E176,CHAR(160)," ")))</f>
        <v>Punjab</v>
      </c>
      <c r="I175" s="3" t="str">
        <f aca="false">PROPER(TRIM(SUBSTITUTE(Raw_Text_Fields!F176,CHAR(160)," ")))</f>
        <v>Ludhiana</v>
      </c>
      <c r="J175" s="3" t="str">
        <f aca="false">PROPER(TRIM(SUBSTITUTE(Raw_Text_Fields!G176,CHAR(160)," ")))</f>
        <v>Technology</v>
      </c>
      <c r="K175" s="3" t="str">
        <f aca="false">PROPER(TRIM(SUBSTITUTE(Raw_Text_Fields!H176,CHAR(160)," ")))</f>
        <v>Copiers</v>
      </c>
      <c r="L175" s="3" t="s">
        <v>553</v>
      </c>
      <c r="M175" s="3" t="str">
        <f aca="false">PROPER(TRIM(SUBSTITUTE(Raw_Text_Fields!I176,CHAR(160)," ")))</f>
        <v>Second Class</v>
      </c>
      <c r="N175" s="3" t="n">
        <v>1</v>
      </c>
      <c r="O175" s="5" t="n">
        <v>2312.25</v>
      </c>
      <c r="P175" s="6" t="n">
        <v>0.25</v>
      </c>
      <c r="Q175" s="5" t="n">
        <v>1734.19</v>
      </c>
      <c r="R175" s="5" t="n">
        <v>1386.07</v>
      </c>
      <c r="S175" s="5" t="n">
        <v>348.12</v>
      </c>
      <c r="T175" s="3" t="str">
        <f aca="false">PROPER(TRIM(SUBSTITUTE(Raw_Text_Fields!J176,CHAR(160)," ")))</f>
        <v>Paid</v>
      </c>
      <c r="U175" s="3" t="str">
        <f aca="false">PROPER(TRIM(SUBSTITUTE(Raw_Text_Fields!K176,CHAR(160)," ")))</f>
        <v>Completed</v>
      </c>
      <c r="V175" s="7" t="n">
        <f aca="false">IF(OR(P175&lt;0,P175&gt;0.5),0,P175)</f>
        <v>0.25</v>
      </c>
      <c r="W175" s="8" t="n">
        <f aca="false">N175*O175*(1-V175)</f>
        <v>1734.1875</v>
      </c>
      <c r="X175" s="8" t="n">
        <f aca="false">W175-R175</f>
        <v>348.1175</v>
      </c>
      <c r="Y175" s="7" t="n">
        <f aca="false">IFERROR(X175/W175,0)</f>
        <v>0.200738097812376</v>
      </c>
      <c r="Z175" s="9" t="n">
        <f aca="false">C175-B175</f>
        <v>6</v>
      </c>
      <c r="AA175" s="1" t="str">
        <f aca="false">IF(B175="","",TEXT(B175,"mmm"))</f>
        <v>May</v>
      </c>
      <c r="AB175" s="9" t="n">
        <f aca="false">IF(B175="","",YEAR(B175))</f>
        <v>2024</v>
      </c>
      <c r="AC175" s="3"/>
      <c r="AD175" s="3" t="str">
        <f aca="false">IF(LEFT(AC175&amp;IF(B175="","; Missing Order Date","")&amp;IF(C175="","; Missing Ship Date","")&amp;IF(P175&lt;0,"; Invalid Discount (Negative)","")&amp;IF(P175&gt;0.5,"; Invalid Discount (Too High)","")&amp;IF(Z175&lt;0,"; Invalid Shipping Record (Ship Before Order)","")&amp;IF(ABS(Q175-W175)&gt;1,"; Sales Mismatch","")&amp;IF(ABS(S175-X175)&gt;1,"; Profit Mismatch","")&amp;IF(COUNTIF($A$2:$A$913,A175)&gt;1,"; Duplicate Order ID Conflict",""),2)="; ",MID(AC175&amp;IF(B175="","; Missing Order Date","")&amp;IF(C175="","; Missing Ship Date","")&amp;IF(P175&lt;0,"; Invalid Discount (Negative)","")&amp;IF(P175&gt;0.5,"; Invalid Discount (Too High)","")&amp;IF(Z175&lt;0,"; Invalid Shipping Record (Ship Before Order)","")&amp;IF(ABS(Q175-W175)&gt;1,"; Sales Mismatch","")&amp;IF(ABS(S175-X175)&gt;1,"; Profit Mismatch","")&amp;IF(COUNTIF($A$2:$A$913,A175)&gt;1,"; Duplicate Order ID Conflict",""),3,500),AC175&amp;IF(B175="","; Missing Order Date","")&amp;IF(C175="","; Missing Ship Date","")&amp;IF(P175&lt;0,"; Invalid Discount (Negative)","")&amp;IF(P175&gt;0.5,"; Invalid Discount (Too High)","")&amp;IF(Z175&lt;0,"; Invalid Shipping Record (Ship Before Order)","")&amp;IF(ABS(Q175-W175)&gt;1,"; Sales Mismatch","")&amp;IF(ABS(S175-X175)&gt;1,"; Profit Mismatch","")&amp;IF(COUNTIF($A$2:$A$913,A175)&gt;1,"; Duplicate Order ID Conflict",""))</f>
        <v/>
      </c>
      <c r="AE175" s="10" t="str">
        <f aca="false">IF(OR(ISNUMBER(SEARCH("Invalid Discount",AD175)),ISNUMBER(SEARCH("Invalid Shipping Record",AD175)),ISNUMBER(SEARCH("Sales Mismatch",AD175)),ISNUMBER(SEARCH("Profit Mismatch",AD175)),ISNUMBER(SEARCH("Duplicate Order ID Conflict",AD175)),ISNUMBER(SEARCH("Missing Order Date",AD175)),ISNUMBER(SEARCH("Missing Ship Date",AD175))),"Invalid",IF(AD175&lt;&gt;"","Warning","Clean"))</f>
        <v>Clean</v>
      </c>
    </row>
    <row r="176" customFormat="false" ht="15" hidden="false" customHeight="true" outlineLevel="0" collapsed="false">
      <c r="A176" s="3" t="s">
        <v>554</v>
      </c>
      <c r="B176" s="4" t="n">
        <v>45928</v>
      </c>
      <c r="C176" s="4" t="n">
        <v>45934</v>
      </c>
      <c r="D176" s="3" t="s">
        <v>555</v>
      </c>
      <c r="E176" s="3" t="str">
        <f aca="false">PROPER(TRIM(SUBSTITUTE(Raw_Text_Fields!B177,CHAR(160)," ")))</f>
        <v>Karan Malhotra</v>
      </c>
      <c r="F176" s="3" t="str">
        <f aca="false">PROPER(TRIM(SUBSTITUTE(Raw_Text_Fields!C177,CHAR(160)," ")))</f>
        <v>Small Business</v>
      </c>
      <c r="G176" s="3" t="str">
        <f aca="false">PROPER(TRIM(SUBSTITUTE(Raw_Text_Fields!D177,CHAR(160)," ")))</f>
        <v>South</v>
      </c>
      <c r="H176" s="3" t="str">
        <f aca="false">PROPER(TRIM(SUBSTITUTE(Raw_Text_Fields!E177,CHAR(160)," ")))</f>
        <v>Karnataka</v>
      </c>
      <c r="I176" s="3" t="str">
        <f aca="false">PROPER(TRIM(SUBSTITUTE(Raw_Text_Fields!F177,CHAR(160)," ")))</f>
        <v>Bengaluru</v>
      </c>
      <c r="J176" s="3" t="str">
        <f aca="false">PROPER(TRIM(SUBSTITUTE(Raw_Text_Fields!G177,CHAR(160)," ")))</f>
        <v>Furniture</v>
      </c>
      <c r="K176" s="3" t="str">
        <f aca="false">PROPER(TRIM(SUBSTITUTE(Raw_Text_Fields!H177,CHAR(160)," ")))</f>
        <v>Bookcases</v>
      </c>
      <c r="L176" s="3" t="s">
        <v>556</v>
      </c>
      <c r="M176" s="3" t="str">
        <f aca="false">PROPER(TRIM(SUBSTITUTE(Raw_Text_Fields!I177,CHAR(160)," ")))</f>
        <v>First Class</v>
      </c>
      <c r="N176" s="3" t="n">
        <v>6</v>
      </c>
      <c r="O176" s="5" t="n">
        <v>1620.53</v>
      </c>
      <c r="P176" s="6" t="n">
        <v>0.15</v>
      </c>
      <c r="Q176" s="5" t="n">
        <v>8264.7</v>
      </c>
      <c r="R176" s="5" t="n">
        <v>4768.75</v>
      </c>
      <c r="S176" s="5" t="n">
        <v>3495.95</v>
      </c>
      <c r="T176" s="3" t="str">
        <f aca="false">PROPER(TRIM(SUBSTITUTE(Raw_Text_Fields!J177,CHAR(160)," ")))</f>
        <v>Pending</v>
      </c>
      <c r="U176" s="3" t="str">
        <f aca="false">PROPER(TRIM(SUBSTITUTE(Raw_Text_Fields!K177,CHAR(160)," ")))</f>
        <v>Returned</v>
      </c>
      <c r="V176" s="7" t="n">
        <f aca="false">IF(OR(P176&lt;0,P176&gt;0.5),0,P176)</f>
        <v>0.15</v>
      </c>
      <c r="W176" s="8" t="n">
        <f aca="false">N176*O176*(1-V176)</f>
        <v>8264.703</v>
      </c>
      <c r="X176" s="8" t="n">
        <f aca="false">W176-R176</f>
        <v>3495.953</v>
      </c>
      <c r="Y176" s="7" t="n">
        <f aca="false">IFERROR(X176/W176,0)</f>
        <v>0.422998019408562</v>
      </c>
      <c r="Z176" s="9" t="n">
        <f aca="false">C176-B176</f>
        <v>6</v>
      </c>
      <c r="AA176" s="1" t="str">
        <f aca="false">IF(B176="","",TEXT(B176,"mmm"))</f>
        <v>Sep</v>
      </c>
      <c r="AB176" s="9" t="n">
        <f aca="false">IF(B176="","",YEAR(B176))</f>
        <v>2025</v>
      </c>
      <c r="AC176" s="3"/>
      <c r="AD176" s="3" t="str">
        <f aca="false">IF(LEFT(AC176&amp;IF(B176="","; Missing Order Date","")&amp;IF(C176="","; Missing Ship Date","")&amp;IF(P176&lt;0,"; Invalid Discount (Negative)","")&amp;IF(P176&gt;0.5,"; Invalid Discount (Too High)","")&amp;IF(Z176&lt;0,"; Invalid Shipping Record (Ship Before Order)","")&amp;IF(ABS(Q176-W176)&gt;1,"; Sales Mismatch","")&amp;IF(ABS(S176-X176)&gt;1,"; Profit Mismatch","")&amp;IF(COUNTIF($A$2:$A$913,A176)&gt;1,"; Duplicate Order ID Conflict",""),2)="; ",MID(AC176&amp;IF(B176="","; Missing Order Date","")&amp;IF(C176="","; Missing Ship Date","")&amp;IF(P176&lt;0,"; Invalid Discount (Negative)","")&amp;IF(P176&gt;0.5,"; Invalid Discount (Too High)","")&amp;IF(Z176&lt;0,"; Invalid Shipping Record (Ship Before Order)","")&amp;IF(ABS(Q176-W176)&gt;1,"; Sales Mismatch","")&amp;IF(ABS(S176-X176)&gt;1,"; Profit Mismatch","")&amp;IF(COUNTIF($A$2:$A$913,A176)&gt;1,"; Duplicate Order ID Conflict",""),3,500),AC176&amp;IF(B176="","; Missing Order Date","")&amp;IF(C176="","; Missing Ship Date","")&amp;IF(P176&lt;0,"; Invalid Discount (Negative)","")&amp;IF(P176&gt;0.5,"; Invalid Discount (Too High)","")&amp;IF(Z176&lt;0,"; Invalid Shipping Record (Ship Before Order)","")&amp;IF(ABS(Q176-W176)&gt;1,"; Sales Mismatch","")&amp;IF(ABS(S176-X176)&gt;1,"; Profit Mismatch","")&amp;IF(COUNTIF($A$2:$A$913,A176)&gt;1,"; Duplicate Order ID Conflict",""))</f>
        <v/>
      </c>
      <c r="AE176" s="10" t="str">
        <f aca="false">IF(OR(ISNUMBER(SEARCH("Invalid Discount",AD176)),ISNUMBER(SEARCH("Invalid Shipping Record",AD176)),ISNUMBER(SEARCH("Sales Mismatch",AD176)),ISNUMBER(SEARCH("Profit Mismatch",AD176)),ISNUMBER(SEARCH("Duplicate Order ID Conflict",AD176)),ISNUMBER(SEARCH("Missing Order Date",AD176)),ISNUMBER(SEARCH("Missing Ship Date",AD176))),"Invalid",IF(AD176&lt;&gt;"","Warning","Clean"))</f>
        <v>Clean</v>
      </c>
    </row>
    <row r="177" customFormat="false" ht="15" hidden="false" customHeight="true" outlineLevel="0" collapsed="false">
      <c r="A177" s="3" t="s">
        <v>557</v>
      </c>
      <c r="B177" s="4" t="n">
        <v>45318</v>
      </c>
      <c r="C177" s="4" t="n">
        <v>45325</v>
      </c>
      <c r="D177" s="3" t="s">
        <v>558</v>
      </c>
      <c r="E177" s="3" t="str">
        <f aca="false">PROPER(TRIM(SUBSTITUTE(Raw_Text_Fields!B178,CHAR(160)," ")))</f>
        <v>Arjun Bose</v>
      </c>
      <c r="F177" s="3" t="str">
        <f aca="false">PROPER(TRIM(SUBSTITUTE(Raw_Text_Fields!C178,CHAR(160)," ")))</f>
        <v>Small Business</v>
      </c>
      <c r="G177" s="3" t="str">
        <f aca="false">PROPER(TRIM(SUBSTITUTE(Raw_Text_Fields!D178,CHAR(160)," ")))</f>
        <v>East</v>
      </c>
      <c r="H177" s="3" t="str">
        <f aca="false">PROPER(TRIM(SUBSTITUTE(Raw_Text_Fields!E178,CHAR(160)," ")))</f>
        <v>Bihar</v>
      </c>
      <c r="I177" s="3" t="str">
        <f aca="false">PROPER(TRIM(SUBSTITUTE(Raw_Text_Fields!F178,CHAR(160)," ")))</f>
        <v>Patna</v>
      </c>
      <c r="J177" s="3" t="str">
        <f aca="false">PROPER(TRIM(SUBSTITUTE(Raw_Text_Fields!G178,CHAR(160)," ")))</f>
        <v>Technology</v>
      </c>
      <c r="K177" s="3" t="str">
        <f aca="false">PROPER(TRIM(SUBSTITUTE(Raw_Text_Fields!H178,CHAR(160)," ")))</f>
        <v>Machines</v>
      </c>
      <c r="L177" s="3" t="s">
        <v>559</v>
      </c>
      <c r="M177" s="3" t="str">
        <f aca="false">PROPER(TRIM(SUBSTITUTE(Raw_Text_Fields!I178,CHAR(160)," ")))</f>
        <v>Same Day</v>
      </c>
      <c r="N177" s="3" t="n">
        <v>7</v>
      </c>
      <c r="O177" s="5" t="n">
        <v>2673.42</v>
      </c>
      <c r="P177" s="6" t="n">
        <v>0.15</v>
      </c>
      <c r="Q177" s="5" t="n">
        <v>15906.85</v>
      </c>
      <c r="R177" s="5" t="n">
        <v>11014.46</v>
      </c>
      <c r="S177" s="5" t="n">
        <v>4892.39</v>
      </c>
      <c r="T177" s="3" t="str">
        <f aca="false">PROPER(TRIM(SUBSTITUTE(Raw_Text_Fields!J178,CHAR(160)," ")))</f>
        <v>Paid</v>
      </c>
      <c r="U177" s="3" t="str">
        <f aca="false">PROPER(TRIM(SUBSTITUTE(Raw_Text_Fields!K178,CHAR(160)," ")))</f>
        <v>Returned</v>
      </c>
      <c r="V177" s="7" t="n">
        <f aca="false">IF(OR(P177&lt;0,P177&gt;0.5),0,P177)</f>
        <v>0.15</v>
      </c>
      <c r="W177" s="8" t="n">
        <f aca="false">N177*O177*(1-V177)</f>
        <v>15906.849</v>
      </c>
      <c r="X177" s="8" t="n">
        <f aca="false">W177-R177</f>
        <v>4892.389</v>
      </c>
      <c r="Y177" s="7" t="n">
        <f aca="false">IFERROR(X177/W177,0)</f>
        <v>0.307564936336543</v>
      </c>
      <c r="Z177" s="9" t="n">
        <f aca="false">C177-B177</f>
        <v>7</v>
      </c>
      <c r="AA177" s="1" t="str">
        <f aca="false">IF(B177="","",TEXT(B177,"mmm"))</f>
        <v>Jan</v>
      </c>
      <c r="AB177" s="9" t="n">
        <f aca="false">IF(B177="","",YEAR(B177))</f>
        <v>2024</v>
      </c>
      <c r="AC177" s="3"/>
      <c r="AD177" s="3" t="str">
        <f aca="false">IF(LEFT(AC177&amp;IF(B177="","; Missing Order Date","")&amp;IF(C177="","; Missing Ship Date","")&amp;IF(P177&lt;0,"; Invalid Discount (Negative)","")&amp;IF(P177&gt;0.5,"; Invalid Discount (Too High)","")&amp;IF(Z177&lt;0,"; Invalid Shipping Record (Ship Before Order)","")&amp;IF(ABS(Q177-W177)&gt;1,"; Sales Mismatch","")&amp;IF(ABS(S177-X177)&gt;1,"; Profit Mismatch","")&amp;IF(COUNTIF($A$2:$A$913,A177)&gt;1,"; Duplicate Order ID Conflict",""),2)="; ",MID(AC177&amp;IF(B177="","; Missing Order Date","")&amp;IF(C177="","; Missing Ship Date","")&amp;IF(P177&lt;0,"; Invalid Discount (Negative)","")&amp;IF(P177&gt;0.5,"; Invalid Discount (Too High)","")&amp;IF(Z177&lt;0,"; Invalid Shipping Record (Ship Before Order)","")&amp;IF(ABS(Q177-W177)&gt;1,"; Sales Mismatch","")&amp;IF(ABS(S177-X177)&gt;1,"; Profit Mismatch","")&amp;IF(COUNTIF($A$2:$A$913,A177)&gt;1,"; Duplicate Order ID Conflict",""),3,500),AC177&amp;IF(B177="","; Missing Order Date","")&amp;IF(C177="","; Missing Ship Date","")&amp;IF(P177&lt;0,"; Invalid Discount (Negative)","")&amp;IF(P177&gt;0.5,"; Invalid Discount (Too High)","")&amp;IF(Z177&lt;0,"; Invalid Shipping Record (Ship Before Order)","")&amp;IF(ABS(Q177-W177)&gt;1,"; Sales Mismatch","")&amp;IF(ABS(S177-X177)&gt;1,"; Profit Mismatch","")&amp;IF(COUNTIF($A$2:$A$913,A177)&gt;1,"; Duplicate Order ID Conflict",""))</f>
        <v/>
      </c>
      <c r="AE177" s="10" t="str">
        <f aca="false">IF(OR(ISNUMBER(SEARCH("Invalid Discount",AD177)),ISNUMBER(SEARCH("Invalid Shipping Record",AD177)),ISNUMBER(SEARCH("Sales Mismatch",AD177)),ISNUMBER(SEARCH("Profit Mismatch",AD177)),ISNUMBER(SEARCH("Duplicate Order ID Conflict",AD177)),ISNUMBER(SEARCH("Missing Order Date",AD177)),ISNUMBER(SEARCH("Missing Ship Date",AD177))),"Invalid",IF(AD177&lt;&gt;"","Warning","Clean"))</f>
        <v>Clean</v>
      </c>
    </row>
    <row r="178" customFormat="false" ht="15" hidden="false" customHeight="true" outlineLevel="0" collapsed="false">
      <c r="A178" s="3" t="s">
        <v>560</v>
      </c>
      <c r="B178" s="4" t="n">
        <v>45734</v>
      </c>
      <c r="C178" s="4" t="n">
        <v>45742</v>
      </c>
      <c r="D178" s="3" t="s">
        <v>561</v>
      </c>
      <c r="E178" s="3" t="str">
        <f aca="false">PROPER(TRIM(SUBSTITUTE(Raw_Text_Fields!B179,CHAR(160)," ")))</f>
        <v>Vikram Iyer</v>
      </c>
      <c r="F178" s="3" t="str">
        <f aca="false">PROPER(TRIM(SUBSTITUTE(Raw_Text_Fields!C179,CHAR(160)," ")))</f>
        <v>Corporate</v>
      </c>
      <c r="G178" s="3" t="str">
        <f aca="false">PROPER(TRIM(SUBSTITUTE(Raw_Text_Fields!D179,CHAR(160)," ")))</f>
        <v>East</v>
      </c>
      <c r="H178" s="3" t="str">
        <f aca="false">PROPER(TRIM(SUBSTITUTE(Raw_Text_Fields!E179,CHAR(160)," ")))</f>
        <v>Jharkhand</v>
      </c>
      <c r="I178" s="3" t="str">
        <f aca="false">PROPER(TRIM(SUBSTITUTE(Raw_Text_Fields!F179,CHAR(160)," ")))</f>
        <v>Ranchi</v>
      </c>
      <c r="J178" s="3" t="str">
        <f aca="false">PROPER(TRIM(SUBSTITUTE(Raw_Text_Fields!G179,CHAR(160)," ")))</f>
        <v>Furniture</v>
      </c>
      <c r="K178" s="3" t="str">
        <f aca="false">PROPER(TRIM(SUBSTITUTE(Raw_Text_Fields!H179,CHAR(160)," ")))</f>
        <v>Bookcases</v>
      </c>
      <c r="L178" s="3" t="s">
        <v>562</v>
      </c>
      <c r="M178" s="3" t="str">
        <f aca="false">PROPER(TRIM(SUBSTITUTE(Raw_Text_Fields!I179,CHAR(160)," ")))</f>
        <v>Standard Class</v>
      </c>
      <c r="N178" s="3" t="n">
        <v>8</v>
      </c>
      <c r="O178" s="5" t="n">
        <v>3563.09</v>
      </c>
      <c r="P178" s="6" t="n">
        <v>0.15</v>
      </c>
      <c r="Q178" s="5" t="n">
        <v>24229.01</v>
      </c>
      <c r="R178" s="5" t="n">
        <v>13910.64</v>
      </c>
      <c r="S178" s="5" t="n">
        <v>10318.37</v>
      </c>
      <c r="T178" s="3" t="str">
        <f aca="false">PROPER(TRIM(SUBSTITUTE(Raw_Text_Fields!J179,CHAR(160)," ")))</f>
        <v>Paid</v>
      </c>
      <c r="U178" s="3" t="str">
        <f aca="false">PROPER(TRIM(SUBSTITUTE(Raw_Text_Fields!K179,CHAR(160)," ")))</f>
        <v>Completed</v>
      </c>
      <c r="V178" s="7" t="n">
        <f aca="false">IF(OR(P178&lt;0,P178&gt;0.5),0,P178)</f>
        <v>0.15</v>
      </c>
      <c r="W178" s="8" t="n">
        <f aca="false">N178*O178*(1-V178)</f>
        <v>24229.012</v>
      </c>
      <c r="X178" s="8" t="n">
        <f aca="false">W178-R178</f>
        <v>10318.372</v>
      </c>
      <c r="Y178" s="7" t="n">
        <f aca="false">IFERROR(X178/W178,0)</f>
        <v>0.425868458854203</v>
      </c>
      <c r="Z178" s="9" t="n">
        <f aca="false">C178-B178</f>
        <v>8</v>
      </c>
      <c r="AA178" s="1" t="str">
        <f aca="false">IF(B178="","",TEXT(B178,"mmm"))</f>
        <v>Mar</v>
      </c>
      <c r="AB178" s="9" t="n">
        <f aca="false">IF(B178="","",YEAR(B178))</f>
        <v>2025</v>
      </c>
      <c r="AC178" s="3"/>
      <c r="AD178" s="3" t="str">
        <f aca="false">IF(LEFT(AC178&amp;IF(B178="","; Missing Order Date","")&amp;IF(C178="","; Missing Ship Date","")&amp;IF(P178&lt;0,"; Invalid Discount (Negative)","")&amp;IF(P178&gt;0.5,"; Invalid Discount (Too High)","")&amp;IF(Z178&lt;0,"; Invalid Shipping Record (Ship Before Order)","")&amp;IF(ABS(Q178-W178)&gt;1,"; Sales Mismatch","")&amp;IF(ABS(S178-X178)&gt;1,"; Profit Mismatch","")&amp;IF(COUNTIF($A$2:$A$913,A178)&gt;1,"; Duplicate Order ID Conflict",""),2)="; ",MID(AC178&amp;IF(B178="","; Missing Order Date","")&amp;IF(C178="","; Missing Ship Date","")&amp;IF(P178&lt;0,"; Invalid Discount (Negative)","")&amp;IF(P178&gt;0.5,"; Invalid Discount (Too High)","")&amp;IF(Z178&lt;0,"; Invalid Shipping Record (Ship Before Order)","")&amp;IF(ABS(Q178-W178)&gt;1,"; Sales Mismatch","")&amp;IF(ABS(S178-X178)&gt;1,"; Profit Mismatch","")&amp;IF(COUNTIF($A$2:$A$913,A178)&gt;1,"; Duplicate Order ID Conflict",""),3,500),AC178&amp;IF(B178="","; Missing Order Date","")&amp;IF(C178="","; Missing Ship Date","")&amp;IF(P178&lt;0,"; Invalid Discount (Negative)","")&amp;IF(P178&gt;0.5,"; Invalid Discount (Too High)","")&amp;IF(Z178&lt;0,"; Invalid Shipping Record (Ship Before Order)","")&amp;IF(ABS(Q178-W178)&gt;1,"; Sales Mismatch","")&amp;IF(ABS(S178-X178)&gt;1,"; Profit Mismatch","")&amp;IF(COUNTIF($A$2:$A$913,A178)&gt;1,"; Duplicate Order ID Conflict",""))</f>
        <v/>
      </c>
      <c r="AE178" s="10" t="str">
        <f aca="false">IF(OR(ISNUMBER(SEARCH("Invalid Discount",AD178)),ISNUMBER(SEARCH("Invalid Shipping Record",AD178)),ISNUMBER(SEARCH("Sales Mismatch",AD178)),ISNUMBER(SEARCH("Profit Mismatch",AD178)),ISNUMBER(SEARCH("Duplicate Order ID Conflict",AD178)),ISNUMBER(SEARCH("Missing Order Date",AD178)),ISNUMBER(SEARCH("Missing Ship Date",AD178))),"Invalid",IF(AD178&lt;&gt;"","Warning","Clean"))</f>
        <v>Clean</v>
      </c>
    </row>
    <row r="179" customFormat="false" ht="15" hidden="false" customHeight="true" outlineLevel="0" collapsed="false">
      <c r="A179" s="3" t="s">
        <v>563</v>
      </c>
      <c r="B179" s="4" t="n">
        <v>45444</v>
      </c>
      <c r="C179" s="4" t="n">
        <v>45446</v>
      </c>
      <c r="D179" s="3" t="s">
        <v>564</v>
      </c>
      <c r="E179" s="3" t="str">
        <f aca="false">PROPER(TRIM(SUBSTITUTE(Raw_Text_Fields!B180,CHAR(160)," ")))</f>
        <v>Sneha Kapoor</v>
      </c>
      <c r="F179" s="3" t="str">
        <f aca="false">PROPER(TRIM(SUBSTITUTE(Raw_Text_Fields!C180,CHAR(160)," ")))</f>
        <v>Home Office</v>
      </c>
      <c r="G179" s="3" t="str">
        <f aca="false">PROPER(TRIM(SUBSTITUTE(Raw_Text_Fields!D180,CHAR(160)," ")))</f>
        <v>Unknown</v>
      </c>
      <c r="H179" s="3" t="str">
        <f aca="false">PROPER(TRIM(SUBSTITUTE(Raw_Text_Fields!E180,CHAR(160)," ")))</f>
        <v>Bihar</v>
      </c>
      <c r="I179" s="3" t="str">
        <f aca="false">PROPER(TRIM(SUBSTITUTE(Raw_Text_Fields!F180,CHAR(160)," ")))</f>
        <v>Patna</v>
      </c>
      <c r="J179" s="3" t="str">
        <f aca="false">PROPER(TRIM(SUBSTITUTE(Raw_Text_Fields!G180,CHAR(160)," ")))</f>
        <v>Office Supplies</v>
      </c>
      <c r="K179" s="3" t="str">
        <f aca="false">PROPER(TRIM(SUBSTITUTE(Raw_Text_Fields!H180,CHAR(160)," ")))</f>
        <v>Art</v>
      </c>
      <c r="L179" s="3" t="s">
        <v>565</v>
      </c>
      <c r="M179" s="3" t="str">
        <f aca="false">PROPER(TRIM(SUBSTITUTE(Raw_Text_Fields!I180,CHAR(160)," ")))</f>
        <v>Same Day</v>
      </c>
      <c r="N179" s="3" t="n">
        <v>8</v>
      </c>
      <c r="O179" s="5" t="n">
        <v>3879.95</v>
      </c>
      <c r="P179" s="6" t="n">
        <v>0</v>
      </c>
      <c r="Q179" s="5" t="n">
        <v>31039.6</v>
      </c>
      <c r="R179" s="5" t="n">
        <v>20866.72</v>
      </c>
      <c r="S179" s="5" t="n">
        <v>10172.88</v>
      </c>
      <c r="T179" s="3" t="str">
        <f aca="false">PROPER(TRIM(SUBSTITUTE(Raw_Text_Fields!J180,CHAR(160)," ")))</f>
        <v>Paid</v>
      </c>
      <c r="U179" s="3" t="str">
        <f aca="false">PROPER(TRIM(SUBSTITUTE(Raw_Text_Fields!K180,CHAR(160)," ")))</f>
        <v>Completed</v>
      </c>
      <c r="V179" s="7" t="n">
        <f aca="false">IF(OR(P179&lt;0,P179&gt;0.5),0,P179)</f>
        <v>0</v>
      </c>
      <c r="W179" s="8" t="n">
        <f aca="false">N179*O179*(1-V179)</f>
        <v>31039.6</v>
      </c>
      <c r="X179" s="8" t="n">
        <f aca="false">W179-R179</f>
        <v>10172.88</v>
      </c>
      <c r="Y179" s="7" t="n">
        <f aca="false">IFERROR(X179/W179,0)</f>
        <v>0.327738759520097</v>
      </c>
      <c r="Z179" s="9" t="n">
        <f aca="false">C179-B179</f>
        <v>2</v>
      </c>
      <c r="AA179" s="1" t="str">
        <f aca="false">IF(B179="","",TEXT(B179,"mmm"))</f>
        <v>Jun</v>
      </c>
      <c r="AB179" s="9" t="n">
        <f aca="false">IF(B179="","",YEAR(B179))</f>
        <v>2024</v>
      </c>
      <c r="AC179" s="3" t="s">
        <v>372</v>
      </c>
      <c r="AD179" s="3" t="str">
        <f aca="false">IF(LEFT(AC179&amp;IF(B179="","; Missing Order Date","")&amp;IF(C179="","; Missing Ship Date","")&amp;IF(P179&lt;0,"; Invalid Discount (Negative)","")&amp;IF(P179&gt;0.5,"; Invalid Discount (Too High)","")&amp;IF(Z179&lt;0,"; Invalid Shipping Record (Ship Before Order)","")&amp;IF(ABS(Q179-W179)&gt;1,"; Sales Mismatch","")&amp;IF(ABS(S179-X179)&gt;1,"; Profit Mismatch","")&amp;IF(COUNTIF($A$2:$A$913,A179)&gt;1,"; Duplicate Order ID Conflict",""),2)="; ",MID(AC179&amp;IF(B179="","; Missing Order Date","")&amp;IF(C179="","; Missing Ship Date","")&amp;IF(P179&lt;0,"; Invalid Discount (Negative)","")&amp;IF(P179&gt;0.5,"; Invalid Discount (Too High)","")&amp;IF(Z179&lt;0,"; Invalid Shipping Record (Ship Before Order)","")&amp;IF(ABS(Q179-W179)&gt;1,"; Sales Mismatch","")&amp;IF(ABS(S179-X179)&gt;1,"; Profit Mismatch","")&amp;IF(COUNTIF($A$2:$A$913,A179)&gt;1,"; Duplicate Order ID Conflict",""),3,500),AC179&amp;IF(B179="","; Missing Order Date","")&amp;IF(C179="","; Missing Ship Date","")&amp;IF(P179&lt;0,"; Invalid Discount (Negative)","")&amp;IF(P179&gt;0.5,"; Invalid Discount (Too High)","")&amp;IF(Z179&lt;0,"; Invalid Shipping Record (Ship Before Order)","")&amp;IF(ABS(Q179-W179)&gt;1,"; Sales Mismatch","")&amp;IF(ABS(S179-X179)&gt;1,"; Profit Mismatch","")&amp;IF(COUNTIF($A$2:$A$913,A179)&gt;1,"; Duplicate Order ID Conflict",""))</f>
        <v>Missing Region (filled Unknown)</v>
      </c>
      <c r="AE179" s="10" t="str">
        <f aca="false">IF(OR(ISNUMBER(SEARCH("Invalid Discount",AD179)),ISNUMBER(SEARCH("Invalid Shipping Record",AD179)),ISNUMBER(SEARCH("Sales Mismatch",AD179)),ISNUMBER(SEARCH("Profit Mismatch",AD179)),ISNUMBER(SEARCH("Duplicate Order ID Conflict",AD179)),ISNUMBER(SEARCH("Missing Order Date",AD179)),ISNUMBER(SEARCH("Missing Ship Date",AD179))),"Invalid",IF(AD179&lt;&gt;"","Warning","Clean"))</f>
        <v>Warning</v>
      </c>
    </row>
    <row r="180" customFormat="false" ht="15" hidden="false" customHeight="true" outlineLevel="0" collapsed="false">
      <c r="A180" s="3" t="s">
        <v>566</v>
      </c>
      <c r="B180" s="4" t="n">
        <v>45565</v>
      </c>
      <c r="C180" s="4" t="n">
        <v>45565</v>
      </c>
      <c r="D180" s="3" t="s">
        <v>567</v>
      </c>
      <c r="E180" s="3" t="str">
        <f aca="false">PROPER(TRIM(SUBSTITUTE(Raw_Text_Fields!B181,CHAR(160)," ")))</f>
        <v>Isha Nair</v>
      </c>
      <c r="F180" s="3" t="str">
        <f aca="false">PROPER(TRIM(SUBSTITUTE(Raw_Text_Fields!C181,CHAR(160)," ")))</f>
        <v>Corporate</v>
      </c>
      <c r="G180" s="3" t="str">
        <f aca="false">PROPER(TRIM(SUBSTITUTE(Raw_Text_Fields!D181,CHAR(160)," ")))</f>
        <v>South</v>
      </c>
      <c r="H180" s="3" t="str">
        <f aca="false">PROPER(TRIM(SUBSTITUTE(Raw_Text_Fields!E181,CHAR(160)," ")))</f>
        <v>Telangana</v>
      </c>
      <c r="I180" s="3" t="str">
        <f aca="false">PROPER(TRIM(SUBSTITUTE(Raw_Text_Fields!F181,CHAR(160)," ")))</f>
        <v>Hyderabad</v>
      </c>
      <c r="J180" s="3" t="str">
        <f aca="false">PROPER(TRIM(SUBSTITUTE(Raw_Text_Fields!G181,CHAR(160)," ")))</f>
        <v>Office Supplies</v>
      </c>
      <c r="K180" s="3" t="str">
        <f aca="false">PROPER(TRIM(SUBSTITUTE(Raw_Text_Fields!H181,CHAR(160)," ")))</f>
        <v>Art</v>
      </c>
      <c r="L180" s="3" t="s">
        <v>568</v>
      </c>
      <c r="M180" s="3" t="str">
        <f aca="false">PROPER(TRIM(SUBSTITUTE(Raw_Text_Fields!I181,CHAR(160)," ")))</f>
        <v>Standard Class</v>
      </c>
      <c r="N180" s="3" t="n">
        <v>4</v>
      </c>
      <c r="O180" s="5" t="n">
        <v>3281.74</v>
      </c>
      <c r="P180" s="6" t="n">
        <v>0</v>
      </c>
      <c r="Q180" s="5" t="n">
        <v>13126.96</v>
      </c>
      <c r="R180" s="5" t="n">
        <v>10732.44</v>
      </c>
      <c r="S180" s="5" t="n">
        <v>2394.52</v>
      </c>
      <c r="T180" s="3" t="str">
        <f aca="false">PROPER(TRIM(SUBSTITUTE(Raw_Text_Fields!J181,CHAR(160)," ")))</f>
        <v>Paid</v>
      </c>
      <c r="U180" s="3" t="str">
        <f aca="false">PROPER(TRIM(SUBSTITUTE(Raw_Text_Fields!K181,CHAR(160)," ")))</f>
        <v>Completed</v>
      </c>
      <c r="V180" s="7" t="n">
        <f aca="false">IF(OR(P180&lt;0,P180&gt;0.5),0,P180)</f>
        <v>0</v>
      </c>
      <c r="W180" s="8" t="n">
        <f aca="false">N180*O180*(1-V180)</f>
        <v>13126.96</v>
      </c>
      <c r="X180" s="8" t="n">
        <f aca="false">W180-R180</f>
        <v>2394.52</v>
      </c>
      <c r="Y180" s="7" t="n">
        <f aca="false">IFERROR(X180/W180,0)</f>
        <v>0.182412378799052</v>
      </c>
      <c r="Z180" s="9" t="n">
        <f aca="false">C180-B180</f>
        <v>0</v>
      </c>
      <c r="AA180" s="1" t="str">
        <f aca="false">IF(B180="","",TEXT(B180,"mmm"))</f>
        <v>Sep</v>
      </c>
      <c r="AB180" s="9" t="n">
        <f aca="false">IF(B180="","",YEAR(B180))</f>
        <v>2024</v>
      </c>
      <c r="AC180" s="3"/>
      <c r="AD180" s="3" t="str">
        <f aca="false">IF(LEFT(AC180&amp;IF(B180="","; Missing Order Date","")&amp;IF(C180="","; Missing Ship Date","")&amp;IF(P180&lt;0,"; Invalid Discount (Negative)","")&amp;IF(P180&gt;0.5,"; Invalid Discount (Too High)","")&amp;IF(Z180&lt;0,"; Invalid Shipping Record (Ship Before Order)","")&amp;IF(ABS(Q180-W180)&gt;1,"; Sales Mismatch","")&amp;IF(ABS(S180-X180)&gt;1,"; Profit Mismatch","")&amp;IF(COUNTIF($A$2:$A$913,A180)&gt;1,"; Duplicate Order ID Conflict",""),2)="; ",MID(AC180&amp;IF(B180="","; Missing Order Date","")&amp;IF(C180="","; Missing Ship Date","")&amp;IF(P180&lt;0,"; Invalid Discount (Negative)","")&amp;IF(P180&gt;0.5,"; Invalid Discount (Too High)","")&amp;IF(Z180&lt;0,"; Invalid Shipping Record (Ship Before Order)","")&amp;IF(ABS(Q180-W180)&gt;1,"; Sales Mismatch","")&amp;IF(ABS(S180-X180)&gt;1,"; Profit Mismatch","")&amp;IF(COUNTIF($A$2:$A$913,A180)&gt;1,"; Duplicate Order ID Conflict",""),3,500),AC180&amp;IF(B180="","; Missing Order Date","")&amp;IF(C180="","; Missing Ship Date","")&amp;IF(P180&lt;0,"; Invalid Discount (Negative)","")&amp;IF(P180&gt;0.5,"; Invalid Discount (Too High)","")&amp;IF(Z180&lt;0,"; Invalid Shipping Record (Ship Before Order)","")&amp;IF(ABS(Q180-W180)&gt;1,"; Sales Mismatch","")&amp;IF(ABS(S180-X180)&gt;1,"; Profit Mismatch","")&amp;IF(COUNTIF($A$2:$A$913,A180)&gt;1,"; Duplicate Order ID Conflict",""))</f>
        <v/>
      </c>
      <c r="AE180" s="10" t="str">
        <f aca="false">IF(OR(ISNUMBER(SEARCH("Invalid Discount",AD180)),ISNUMBER(SEARCH("Invalid Shipping Record",AD180)),ISNUMBER(SEARCH("Sales Mismatch",AD180)),ISNUMBER(SEARCH("Profit Mismatch",AD180)),ISNUMBER(SEARCH("Duplicate Order ID Conflict",AD180)),ISNUMBER(SEARCH("Missing Order Date",AD180)),ISNUMBER(SEARCH("Missing Ship Date",AD180))),"Invalid",IF(AD180&lt;&gt;"","Warning","Clean"))</f>
        <v>Clean</v>
      </c>
    </row>
    <row r="181" customFormat="false" ht="15" hidden="false" customHeight="true" outlineLevel="0" collapsed="false">
      <c r="A181" s="3" t="s">
        <v>569</v>
      </c>
      <c r="B181" s="4" t="n">
        <v>45366</v>
      </c>
      <c r="C181" s="4" t="n">
        <v>45370</v>
      </c>
      <c r="D181" s="3" t="s">
        <v>570</v>
      </c>
      <c r="E181" s="3" t="str">
        <f aca="false">PROPER(TRIM(SUBSTITUTE(Raw_Text_Fields!B182,CHAR(160)," ")))</f>
        <v>Ananya Rao</v>
      </c>
      <c r="F181" s="3" t="str">
        <f aca="false">PROPER(TRIM(SUBSTITUTE(Raw_Text_Fields!C182,CHAR(160)," ")))</f>
        <v>Small Business</v>
      </c>
      <c r="G181" s="3" t="str">
        <f aca="false">PROPER(TRIM(SUBSTITUTE(Raw_Text_Fields!D182,CHAR(160)," ")))</f>
        <v>South</v>
      </c>
      <c r="H181" s="3" t="str">
        <f aca="false">PROPER(TRIM(SUBSTITUTE(Raw_Text_Fields!E182,CHAR(160)," ")))</f>
        <v>Tamil Nadu</v>
      </c>
      <c r="I181" s="3" t="str">
        <f aca="false">PROPER(TRIM(SUBSTITUTE(Raw_Text_Fields!F182,CHAR(160)," ")))</f>
        <v>Chennai</v>
      </c>
      <c r="J181" s="3" t="str">
        <f aca="false">PROPER(TRIM(SUBSTITUTE(Raw_Text_Fields!G182,CHAR(160)," ")))</f>
        <v>Furniture</v>
      </c>
      <c r="K181" s="3" t="str">
        <f aca="false">PROPER(TRIM(SUBSTITUTE(Raw_Text_Fields!H182,CHAR(160)," ")))</f>
        <v>Furnishings</v>
      </c>
      <c r="L181" s="3" t="s">
        <v>571</v>
      </c>
      <c r="M181" s="3" t="str">
        <f aca="false">PROPER(TRIM(SUBSTITUTE(Raw_Text_Fields!I182,CHAR(160)," ")))</f>
        <v>Standard Class</v>
      </c>
      <c r="N181" s="3" t="n">
        <v>4</v>
      </c>
      <c r="O181" s="5" t="n">
        <v>3186.3</v>
      </c>
      <c r="P181" s="6" t="n">
        <v>0.25</v>
      </c>
      <c r="Q181" s="5" t="n">
        <v>9558.9</v>
      </c>
      <c r="R181" s="5" t="n">
        <v>5516.76</v>
      </c>
      <c r="S181" s="5" t="n">
        <v>4042.14</v>
      </c>
      <c r="T181" s="3" t="str">
        <f aca="false">PROPER(TRIM(SUBSTITUTE(Raw_Text_Fields!J182,CHAR(160)," ")))</f>
        <v>Refunded</v>
      </c>
      <c r="U181" s="3" t="str">
        <f aca="false">PROPER(TRIM(SUBSTITUTE(Raw_Text_Fields!K182,CHAR(160)," ")))</f>
        <v>Returned</v>
      </c>
      <c r="V181" s="7" t="n">
        <f aca="false">IF(OR(P181&lt;0,P181&gt;0.5),0,P181)</f>
        <v>0.25</v>
      </c>
      <c r="W181" s="8" t="n">
        <f aca="false">N181*O181*(1-V181)</f>
        <v>9558.9</v>
      </c>
      <c r="X181" s="8" t="n">
        <f aca="false">W181-R181</f>
        <v>4042.14</v>
      </c>
      <c r="Y181" s="7" t="n">
        <f aca="false">IFERROR(X181/W181,0)</f>
        <v>0.422866647836048</v>
      </c>
      <c r="Z181" s="9" t="n">
        <f aca="false">C181-B181</f>
        <v>4</v>
      </c>
      <c r="AA181" s="1" t="str">
        <f aca="false">IF(B181="","",TEXT(B181,"mmm"))</f>
        <v>Mar</v>
      </c>
      <c r="AB181" s="9" t="n">
        <f aca="false">IF(B181="","",YEAR(B181))</f>
        <v>2024</v>
      </c>
      <c r="AC181" s="3"/>
      <c r="AD181" s="3" t="str">
        <f aca="false">IF(LEFT(AC181&amp;IF(B181="","; Missing Order Date","")&amp;IF(C181="","; Missing Ship Date","")&amp;IF(P181&lt;0,"; Invalid Discount (Negative)","")&amp;IF(P181&gt;0.5,"; Invalid Discount (Too High)","")&amp;IF(Z181&lt;0,"; Invalid Shipping Record (Ship Before Order)","")&amp;IF(ABS(Q181-W181)&gt;1,"; Sales Mismatch","")&amp;IF(ABS(S181-X181)&gt;1,"; Profit Mismatch","")&amp;IF(COUNTIF($A$2:$A$913,A181)&gt;1,"; Duplicate Order ID Conflict",""),2)="; ",MID(AC181&amp;IF(B181="","; Missing Order Date","")&amp;IF(C181="","; Missing Ship Date","")&amp;IF(P181&lt;0,"; Invalid Discount (Negative)","")&amp;IF(P181&gt;0.5,"; Invalid Discount (Too High)","")&amp;IF(Z181&lt;0,"; Invalid Shipping Record (Ship Before Order)","")&amp;IF(ABS(Q181-W181)&gt;1,"; Sales Mismatch","")&amp;IF(ABS(S181-X181)&gt;1,"; Profit Mismatch","")&amp;IF(COUNTIF($A$2:$A$913,A181)&gt;1,"; Duplicate Order ID Conflict",""),3,500),AC181&amp;IF(B181="","; Missing Order Date","")&amp;IF(C181="","; Missing Ship Date","")&amp;IF(P181&lt;0,"; Invalid Discount (Negative)","")&amp;IF(P181&gt;0.5,"; Invalid Discount (Too High)","")&amp;IF(Z181&lt;0,"; Invalid Shipping Record (Ship Before Order)","")&amp;IF(ABS(Q181-W181)&gt;1,"; Sales Mismatch","")&amp;IF(ABS(S181-X181)&gt;1,"; Profit Mismatch","")&amp;IF(COUNTIF($A$2:$A$913,A181)&gt;1,"; Duplicate Order ID Conflict",""))</f>
        <v/>
      </c>
      <c r="AE181" s="10" t="str">
        <f aca="false">IF(OR(ISNUMBER(SEARCH("Invalid Discount",AD181)),ISNUMBER(SEARCH("Invalid Shipping Record",AD181)),ISNUMBER(SEARCH("Sales Mismatch",AD181)),ISNUMBER(SEARCH("Profit Mismatch",AD181)),ISNUMBER(SEARCH("Duplicate Order ID Conflict",AD181)),ISNUMBER(SEARCH("Missing Order Date",AD181)),ISNUMBER(SEARCH("Missing Ship Date",AD181))),"Invalid",IF(AD181&lt;&gt;"","Warning","Clean"))</f>
        <v>Clean</v>
      </c>
    </row>
    <row r="182" customFormat="false" ht="15" hidden="false" customHeight="true" outlineLevel="0" collapsed="false">
      <c r="A182" s="3" t="s">
        <v>572</v>
      </c>
      <c r="B182" s="4" t="n">
        <v>45530</v>
      </c>
      <c r="C182" s="4" t="n">
        <v>45530</v>
      </c>
      <c r="D182" s="3" t="s">
        <v>573</v>
      </c>
      <c r="E182" s="3" t="str">
        <f aca="false">PROPER(TRIM(SUBSTITUTE(Raw_Text_Fields!B183,CHAR(160)," ")))</f>
        <v>Mira Das</v>
      </c>
      <c r="F182" s="3" t="str">
        <f aca="false">PROPER(TRIM(SUBSTITUTE(Raw_Text_Fields!C183,CHAR(160)," ")))</f>
        <v>Home Office</v>
      </c>
      <c r="G182" s="3" t="str">
        <f aca="false">PROPER(TRIM(SUBSTITUTE(Raw_Text_Fields!D183,CHAR(160)," ")))</f>
        <v>North</v>
      </c>
      <c r="H182" s="3" t="str">
        <f aca="false">PROPER(TRIM(SUBSTITUTE(Raw_Text_Fields!E183,CHAR(160)," ")))</f>
        <v>Uttar Pradesh</v>
      </c>
      <c r="I182" s="3" t="str">
        <f aca="false">PROPER(TRIM(SUBSTITUTE(Raw_Text_Fields!F183,CHAR(160)," ")))</f>
        <v>Noida</v>
      </c>
      <c r="J182" s="3" t="str">
        <f aca="false">PROPER(TRIM(SUBSTITUTE(Raw_Text_Fields!G183,CHAR(160)," ")))</f>
        <v>Office Supplies</v>
      </c>
      <c r="K182" s="3" t="str">
        <f aca="false">PROPER(TRIM(SUBSTITUTE(Raw_Text_Fields!H183,CHAR(160)," ")))</f>
        <v>Binders</v>
      </c>
      <c r="L182" s="3" t="s">
        <v>574</v>
      </c>
      <c r="M182" s="3" t="str">
        <f aca="false">PROPER(TRIM(SUBSTITUTE(Raw_Text_Fields!I183,CHAR(160)," ")))</f>
        <v>First Class</v>
      </c>
      <c r="N182" s="3" t="n">
        <v>7</v>
      </c>
      <c r="O182" s="5" t="n">
        <v>844.59</v>
      </c>
      <c r="P182" s="6" t="n">
        <v>0.1</v>
      </c>
      <c r="Q182" s="5" t="n">
        <v>5320.92</v>
      </c>
      <c r="R182" s="5" t="n">
        <v>3041.5</v>
      </c>
      <c r="S182" s="5" t="n">
        <v>2279.42</v>
      </c>
      <c r="T182" s="3" t="str">
        <f aca="false">PROPER(TRIM(SUBSTITUTE(Raw_Text_Fields!J183,CHAR(160)," ")))</f>
        <v>Paid</v>
      </c>
      <c r="U182" s="3" t="str">
        <f aca="false">PROPER(TRIM(SUBSTITUTE(Raw_Text_Fields!K183,CHAR(160)," ")))</f>
        <v>Completed</v>
      </c>
      <c r="V182" s="7" t="n">
        <f aca="false">IF(OR(P182&lt;0,P182&gt;0.5),0,P182)</f>
        <v>0.1</v>
      </c>
      <c r="W182" s="8" t="n">
        <f aca="false">N182*O182*(1-V182)</f>
        <v>5320.917</v>
      </c>
      <c r="X182" s="8" t="n">
        <f aca="false">W182-R182</f>
        <v>2279.417</v>
      </c>
      <c r="Y182" s="7" t="n">
        <f aca="false">IFERROR(X182/W182,0)</f>
        <v>0.42838800154184</v>
      </c>
      <c r="Z182" s="9" t="n">
        <f aca="false">C182-B182</f>
        <v>0</v>
      </c>
      <c r="AA182" s="1" t="str">
        <f aca="false">IF(B182="","",TEXT(B182,"mmm"))</f>
        <v>Aug</v>
      </c>
      <c r="AB182" s="9" t="n">
        <f aca="false">IF(B182="","",YEAR(B182))</f>
        <v>2024</v>
      </c>
      <c r="AC182" s="3"/>
      <c r="AD182" s="3" t="str">
        <f aca="false">IF(LEFT(AC182&amp;IF(B182="","; Missing Order Date","")&amp;IF(C182="","; Missing Ship Date","")&amp;IF(P182&lt;0,"; Invalid Discount (Negative)","")&amp;IF(P182&gt;0.5,"; Invalid Discount (Too High)","")&amp;IF(Z182&lt;0,"; Invalid Shipping Record (Ship Before Order)","")&amp;IF(ABS(Q182-W182)&gt;1,"; Sales Mismatch","")&amp;IF(ABS(S182-X182)&gt;1,"; Profit Mismatch","")&amp;IF(COUNTIF($A$2:$A$913,A182)&gt;1,"; Duplicate Order ID Conflict",""),2)="; ",MID(AC182&amp;IF(B182="","; Missing Order Date","")&amp;IF(C182="","; Missing Ship Date","")&amp;IF(P182&lt;0,"; Invalid Discount (Negative)","")&amp;IF(P182&gt;0.5,"; Invalid Discount (Too High)","")&amp;IF(Z182&lt;0,"; Invalid Shipping Record (Ship Before Order)","")&amp;IF(ABS(Q182-W182)&gt;1,"; Sales Mismatch","")&amp;IF(ABS(S182-X182)&gt;1,"; Profit Mismatch","")&amp;IF(COUNTIF($A$2:$A$913,A182)&gt;1,"; Duplicate Order ID Conflict",""),3,500),AC182&amp;IF(B182="","; Missing Order Date","")&amp;IF(C182="","; Missing Ship Date","")&amp;IF(P182&lt;0,"; Invalid Discount (Negative)","")&amp;IF(P182&gt;0.5,"; Invalid Discount (Too High)","")&amp;IF(Z182&lt;0,"; Invalid Shipping Record (Ship Before Order)","")&amp;IF(ABS(Q182-W182)&gt;1,"; Sales Mismatch","")&amp;IF(ABS(S182-X182)&gt;1,"; Profit Mismatch","")&amp;IF(COUNTIF($A$2:$A$913,A182)&gt;1,"; Duplicate Order ID Conflict",""))</f>
        <v/>
      </c>
      <c r="AE182" s="10" t="str">
        <f aca="false">IF(OR(ISNUMBER(SEARCH("Invalid Discount",AD182)),ISNUMBER(SEARCH("Invalid Shipping Record",AD182)),ISNUMBER(SEARCH("Sales Mismatch",AD182)),ISNUMBER(SEARCH("Profit Mismatch",AD182)),ISNUMBER(SEARCH("Duplicate Order ID Conflict",AD182)),ISNUMBER(SEARCH("Missing Order Date",AD182)),ISNUMBER(SEARCH("Missing Ship Date",AD182))),"Invalid",IF(AD182&lt;&gt;"","Warning","Clean"))</f>
        <v>Clean</v>
      </c>
    </row>
    <row r="183" customFormat="false" ht="15" hidden="false" customHeight="true" outlineLevel="0" collapsed="false">
      <c r="A183" s="3" t="s">
        <v>575</v>
      </c>
      <c r="B183" s="4" t="n">
        <v>45909</v>
      </c>
      <c r="C183" s="4" t="n">
        <v>45910</v>
      </c>
      <c r="D183" s="3" t="s">
        <v>576</v>
      </c>
      <c r="E183" s="3" t="str">
        <f aca="false">PROPER(TRIM(SUBSTITUTE(Raw_Text_Fields!B184,CHAR(160)," ")))</f>
        <v>Priya Menon</v>
      </c>
      <c r="F183" s="3" t="str">
        <f aca="false">PROPER(TRIM(SUBSTITUTE(Raw_Text_Fields!C184,CHAR(160)," ")))</f>
        <v>Home Office</v>
      </c>
      <c r="G183" s="3" t="str">
        <f aca="false">PROPER(TRIM(SUBSTITUTE(Raw_Text_Fields!D184,CHAR(160)," ")))</f>
        <v>South</v>
      </c>
      <c r="H183" s="3" t="str">
        <f aca="false">PROPER(TRIM(SUBSTITUTE(Raw_Text_Fields!E184,CHAR(160)," ")))</f>
        <v>Tamil Nadu</v>
      </c>
      <c r="I183" s="3" t="str">
        <f aca="false">PROPER(TRIM(SUBSTITUTE(Raw_Text_Fields!F184,CHAR(160)," ")))</f>
        <v>Chennai</v>
      </c>
      <c r="J183" s="3" t="str">
        <f aca="false">PROPER(TRIM(SUBSTITUTE(Raw_Text_Fields!G184,CHAR(160)," ")))</f>
        <v>Office Supplies</v>
      </c>
      <c r="K183" s="3" t="str">
        <f aca="false">PROPER(TRIM(SUBSTITUTE(Raw_Text_Fields!H184,CHAR(160)," ")))</f>
        <v>Art</v>
      </c>
      <c r="L183" s="3" t="s">
        <v>577</v>
      </c>
      <c r="M183" s="3" t="str">
        <f aca="false">PROPER(TRIM(SUBSTITUTE(Raw_Text_Fields!I184,CHAR(160)," ")))</f>
        <v>Second Class</v>
      </c>
      <c r="N183" s="3" t="n">
        <v>4</v>
      </c>
      <c r="O183" s="5" t="n">
        <v>2551.45</v>
      </c>
      <c r="P183" s="6" t="n">
        <v>0</v>
      </c>
      <c r="Q183" s="5" t="n">
        <v>10205.8</v>
      </c>
      <c r="R183" s="5" t="n">
        <v>5986.31</v>
      </c>
      <c r="S183" s="5" t="n">
        <v>4219.49</v>
      </c>
      <c r="T183" s="3" t="str">
        <f aca="false">PROPER(TRIM(SUBSTITUTE(Raw_Text_Fields!J184,CHAR(160)," ")))</f>
        <v>Paid</v>
      </c>
      <c r="U183" s="3" t="str">
        <f aca="false">PROPER(TRIM(SUBSTITUTE(Raw_Text_Fields!K184,CHAR(160)," ")))</f>
        <v>Completed</v>
      </c>
      <c r="V183" s="7" t="n">
        <f aca="false">IF(OR(P183&lt;0,P183&gt;0.5),0,P183)</f>
        <v>0</v>
      </c>
      <c r="W183" s="8" t="n">
        <f aca="false">N183*O183*(1-V183)</f>
        <v>10205.8</v>
      </c>
      <c r="X183" s="8" t="n">
        <f aca="false">W183-R183</f>
        <v>4219.49</v>
      </c>
      <c r="Y183" s="7" t="n">
        <f aca="false">IFERROR(X183/W183,0)</f>
        <v>0.413440396637206</v>
      </c>
      <c r="Z183" s="9" t="n">
        <f aca="false">C183-B183</f>
        <v>1</v>
      </c>
      <c r="AA183" s="1" t="str">
        <f aca="false">IF(B183="","",TEXT(B183,"mmm"))</f>
        <v>Sep</v>
      </c>
      <c r="AB183" s="9" t="n">
        <f aca="false">IF(B183="","",YEAR(B183))</f>
        <v>2025</v>
      </c>
      <c r="AC183" s="3"/>
      <c r="AD183" s="3" t="str">
        <f aca="false">IF(LEFT(AC183&amp;IF(B183="","; Missing Order Date","")&amp;IF(C183="","; Missing Ship Date","")&amp;IF(P183&lt;0,"; Invalid Discount (Negative)","")&amp;IF(P183&gt;0.5,"; Invalid Discount (Too High)","")&amp;IF(Z183&lt;0,"; Invalid Shipping Record (Ship Before Order)","")&amp;IF(ABS(Q183-W183)&gt;1,"; Sales Mismatch","")&amp;IF(ABS(S183-X183)&gt;1,"; Profit Mismatch","")&amp;IF(COUNTIF($A$2:$A$913,A183)&gt;1,"; Duplicate Order ID Conflict",""),2)="; ",MID(AC183&amp;IF(B183="","; Missing Order Date","")&amp;IF(C183="","; Missing Ship Date","")&amp;IF(P183&lt;0,"; Invalid Discount (Negative)","")&amp;IF(P183&gt;0.5,"; Invalid Discount (Too High)","")&amp;IF(Z183&lt;0,"; Invalid Shipping Record (Ship Before Order)","")&amp;IF(ABS(Q183-W183)&gt;1,"; Sales Mismatch","")&amp;IF(ABS(S183-X183)&gt;1,"; Profit Mismatch","")&amp;IF(COUNTIF($A$2:$A$913,A183)&gt;1,"; Duplicate Order ID Conflict",""),3,500),AC183&amp;IF(B183="","; Missing Order Date","")&amp;IF(C183="","; Missing Ship Date","")&amp;IF(P183&lt;0,"; Invalid Discount (Negative)","")&amp;IF(P183&gt;0.5,"; Invalid Discount (Too High)","")&amp;IF(Z183&lt;0,"; Invalid Shipping Record (Ship Before Order)","")&amp;IF(ABS(Q183-W183)&gt;1,"; Sales Mismatch","")&amp;IF(ABS(S183-X183)&gt;1,"; Profit Mismatch","")&amp;IF(COUNTIF($A$2:$A$913,A183)&gt;1,"; Duplicate Order ID Conflict",""))</f>
        <v/>
      </c>
      <c r="AE183" s="10" t="str">
        <f aca="false">IF(OR(ISNUMBER(SEARCH("Invalid Discount",AD183)),ISNUMBER(SEARCH("Invalid Shipping Record",AD183)),ISNUMBER(SEARCH("Sales Mismatch",AD183)),ISNUMBER(SEARCH("Profit Mismatch",AD183)),ISNUMBER(SEARCH("Duplicate Order ID Conflict",AD183)),ISNUMBER(SEARCH("Missing Order Date",AD183)),ISNUMBER(SEARCH("Missing Ship Date",AD183))),"Invalid",IF(AD183&lt;&gt;"","Warning","Clean"))</f>
        <v>Clean</v>
      </c>
    </row>
    <row r="184" customFormat="false" ht="15" hidden="false" customHeight="true" outlineLevel="0" collapsed="false">
      <c r="A184" s="3" t="s">
        <v>578</v>
      </c>
      <c r="B184" s="4" t="n">
        <v>45581</v>
      </c>
      <c r="C184" s="4" t="n">
        <v>45581</v>
      </c>
      <c r="D184" s="3" t="s">
        <v>579</v>
      </c>
      <c r="E184" s="3" t="str">
        <f aca="false">PROPER(TRIM(SUBSTITUTE(Raw_Text_Fields!B185,CHAR(160)," ")))</f>
        <v>Ananya Rao</v>
      </c>
      <c r="F184" s="3" t="str">
        <f aca="false">PROPER(TRIM(SUBSTITUTE(Raw_Text_Fields!C185,CHAR(160)," ")))</f>
        <v>Home Office</v>
      </c>
      <c r="G184" s="3" t="str">
        <f aca="false">PROPER(TRIM(SUBSTITUTE(Raw_Text_Fields!D185,CHAR(160)," ")))</f>
        <v>East</v>
      </c>
      <c r="H184" s="3" t="str">
        <f aca="false">PROPER(TRIM(SUBSTITUTE(Raw_Text_Fields!E185,CHAR(160)," ")))</f>
        <v>Bihar</v>
      </c>
      <c r="I184" s="3" t="str">
        <f aca="false">PROPER(TRIM(SUBSTITUTE(Raw_Text_Fields!F185,CHAR(160)," ")))</f>
        <v>Patna</v>
      </c>
      <c r="J184" s="3" t="str">
        <f aca="false">PROPER(TRIM(SUBSTITUTE(Raw_Text_Fields!G185,CHAR(160)," ")))</f>
        <v>Technology</v>
      </c>
      <c r="K184" s="3" t="str">
        <f aca="false">PROPER(TRIM(SUBSTITUTE(Raw_Text_Fields!H185,CHAR(160)," ")))</f>
        <v>Machines</v>
      </c>
      <c r="L184" s="3" t="s">
        <v>580</v>
      </c>
      <c r="M184" s="3" t="str">
        <f aca="false">PROPER(TRIM(SUBSTITUTE(Raw_Text_Fields!I185,CHAR(160)," ")))</f>
        <v>Standard Class</v>
      </c>
      <c r="N184" s="3" t="n">
        <v>7</v>
      </c>
      <c r="O184" s="5" t="n">
        <v>775.77</v>
      </c>
      <c r="P184" s="6" t="n">
        <v>0</v>
      </c>
      <c r="Q184" s="5" t="n">
        <v>5430.39</v>
      </c>
      <c r="R184" s="5" t="n">
        <v>3707.66</v>
      </c>
      <c r="S184" s="5" t="n">
        <v>1722.73</v>
      </c>
      <c r="T184" s="3" t="str">
        <f aca="false">PROPER(TRIM(SUBSTITUTE(Raw_Text_Fields!J185,CHAR(160)," ")))</f>
        <v>Paid</v>
      </c>
      <c r="U184" s="3" t="str">
        <f aca="false">PROPER(TRIM(SUBSTITUTE(Raw_Text_Fields!K185,CHAR(160)," ")))</f>
        <v>Completed</v>
      </c>
      <c r="V184" s="7" t="n">
        <f aca="false">IF(OR(P184&lt;0,P184&gt;0.5),0,P184)</f>
        <v>0</v>
      </c>
      <c r="W184" s="8" t="n">
        <f aca="false">N184*O184*(1-V184)</f>
        <v>5430.39</v>
      </c>
      <c r="X184" s="8" t="n">
        <f aca="false">W184-R184</f>
        <v>1722.73</v>
      </c>
      <c r="Y184" s="7" t="n">
        <f aca="false">IFERROR(X184/W184,0)</f>
        <v>0.317238725027116</v>
      </c>
      <c r="Z184" s="9" t="n">
        <f aca="false">C184-B184</f>
        <v>0</v>
      </c>
      <c r="AA184" s="1" t="str">
        <f aca="false">IF(B184="","",TEXT(B184,"mmm"))</f>
        <v>Oct</v>
      </c>
      <c r="AB184" s="9" t="n">
        <f aca="false">IF(B184="","",YEAR(B184))</f>
        <v>2024</v>
      </c>
      <c r="AC184" s="3"/>
      <c r="AD184" s="3" t="str">
        <f aca="false">IF(LEFT(AC184&amp;IF(B184="","; Missing Order Date","")&amp;IF(C184="","; Missing Ship Date","")&amp;IF(P184&lt;0,"; Invalid Discount (Negative)","")&amp;IF(P184&gt;0.5,"; Invalid Discount (Too High)","")&amp;IF(Z184&lt;0,"; Invalid Shipping Record (Ship Before Order)","")&amp;IF(ABS(Q184-W184)&gt;1,"; Sales Mismatch","")&amp;IF(ABS(S184-X184)&gt;1,"; Profit Mismatch","")&amp;IF(COUNTIF($A$2:$A$913,A184)&gt;1,"; Duplicate Order ID Conflict",""),2)="; ",MID(AC184&amp;IF(B184="","; Missing Order Date","")&amp;IF(C184="","; Missing Ship Date","")&amp;IF(P184&lt;0,"; Invalid Discount (Negative)","")&amp;IF(P184&gt;0.5,"; Invalid Discount (Too High)","")&amp;IF(Z184&lt;0,"; Invalid Shipping Record (Ship Before Order)","")&amp;IF(ABS(Q184-W184)&gt;1,"; Sales Mismatch","")&amp;IF(ABS(S184-X184)&gt;1,"; Profit Mismatch","")&amp;IF(COUNTIF($A$2:$A$913,A184)&gt;1,"; Duplicate Order ID Conflict",""),3,500),AC184&amp;IF(B184="","; Missing Order Date","")&amp;IF(C184="","; Missing Ship Date","")&amp;IF(P184&lt;0,"; Invalid Discount (Negative)","")&amp;IF(P184&gt;0.5,"; Invalid Discount (Too High)","")&amp;IF(Z184&lt;0,"; Invalid Shipping Record (Ship Before Order)","")&amp;IF(ABS(Q184-W184)&gt;1,"; Sales Mismatch","")&amp;IF(ABS(S184-X184)&gt;1,"; Profit Mismatch","")&amp;IF(COUNTIF($A$2:$A$913,A184)&gt;1,"; Duplicate Order ID Conflict",""))</f>
        <v/>
      </c>
      <c r="AE184" s="10" t="str">
        <f aca="false">IF(OR(ISNUMBER(SEARCH("Invalid Discount",AD184)),ISNUMBER(SEARCH("Invalid Shipping Record",AD184)),ISNUMBER(SEARCH("Sales Mismatch",AD184)),ISNUMBER(SEARCH("Profit Mismatch",AD184)),ISNUMBER(SEARCH("Duplicate Order ID Conflict",AD184)),ISNUMBER(SEARCH("Missing Order Date",AD184)),ISNUMBER(SEARCH("Missing Ship Date",AD184))),"Invalid",IF(AD184&lt;&gt;"","Warning","Clean"))</f>
        <v>Clean</v>
      </c>
    </row>
    <row r="185" customFormat="false" ht="15" hidden="false" customHeight="true" outlineLevel="0" collapsed="false">
      <c r="A185" s="3" t="s">
        <v>581</v>
      </c>
      <c r="B185" s="4" t="n">
        <v>45832</v>
      </c>
      <c r="C185" s="4" t="n">
        <v>45835</v>
      </c>
      <c r="D185" s="3" t="s">
        <v>582</v>
      </c>
      <c r="E185" s="3" t="str">
        <f aca="false">PROPER(TRIM(SUBSTITUTE(Raw_Text_Fields!B186,CHAR(160)," ")))</f>
        <v>Vikram Iyer</v>
      </c>
      <c r="F185" s="3" t="str">
        <f aca="false">PROPER(TRIM(SUBSTITUTE(Raw_Text_Fields!C186,CHAR(160)," ")))</f>
        <v>Home Office</v>
      </c>
      <c r="G185" s="3" t="str">
        <f aca="false">PROPER(TRIM(SUBSTITUTE(Raw_Text_Fields!D186,CHAR(160)," ")))</f>
        <v>South</v>
      </c>
      <c r="H185" s="3" t="str">
        <f aca="false">PROPER(TRIM(SUBSTITUTE(Raw_Text_Fields!E186,CHAR(160)," ")))</f>
        <v>Telangana</v>
      </c>
      <c r="I185" s="3" t="str">
        <f aca="false">PROPER(TRIM(SUBSTITUTE(Raw_Text_Fields!F186,CHAR(160)," ")))</f>
        <v>Hyderabad</v>
      </c>
      <c r="J185" s="3" t="str">
        <f aca="false">PROPER(TRIM(SUBSTITUTE(Raw_Text_Fields!G186,CHAR(160)," ")))</f>
        <v>Technology</v>
      </c>
      <c r="K185" s="3" t="str">
        <f aca="false">PROPER(TRIM(SUBSTITUTE(Raw_Text_Fields!H186,CHAR(160)," ")))</f>
        <v>Copiers</v>
      </c>
      <c r="L185" s="3" t="s">
        <v>583</v>
      </c>
      <c r="M185" s="3" t="str">
        <f aca="false">PROPER(TRIM(SUBSTITUTE(Raw_Text_Fields!I186,CHAR(160)," ")))</f>
        <v>Standard Class</v>
      </c>
      <c r="N185" s="3" t="n">
        <v>7</v>
      </c>
      <c r="O185" s="5" t="n">
        <v>2304.86</v>
      </c>
      <c r="P185" s="6" t="n">
        <v>0.2</v>
      </c>
      <c r="Q185" s="5" t="n">
        <v>12907.22</v>
      </c>
      <c r="R185" s="5" t="n">
        <v>8327.89</v>
      </c>
      <c r="S185" s="5" t="n">
        <v>4579.33</v>
      </c>
      <c r="T185" s="3" t="str">
        <f aca="false">PROPER(TRIM(SUBSTITUTE(Raw_Text_Fields!J186,CHAR(160)," ")))</f>
        <v>Paid</v>
      </c>
      <c r="U185" s="3" t="str">
        <f aca="false">PROPER(TRIM(SUBSTITUTE(Raw_Text_Fields!K186,CHAR(160)," ")))</f>
        <v>Returned</v>
      </c>
      <c r="V185" s="7" t="n">
        <f aca="false">IF(OR(P185&lt;0,P185&gt;0.5),0,P185)</f>
        <v>0.2</v>
      </c>
      <c r="W185" s="8" t="n">
        <f aca="false">N185*O185*(1-V185)</f>
        <v>12907.216</v>
      </c>
      <c r="X185" s="8" t="n">
        <f aca="false">W185-R185</f>
        <v>4579.326</v>
      </c>
      <c r="Y185" s="7" t="n">
        <f aca="false">IFERROR(X185/W185,0)</f>
        <v>0.354788050343312</v>
      </c>
      <c r="Z185" s="9" t="n">
        <f aca="false">C185-B185</f>
        <v>3</v>
      </c>
      <c r="AA185" s="1" t="str">
        <f aca="false">IF(B185="","",TEXT(B185,"mmm"))</f>
        <v>Jun</v>
      </c>
      <c r="AB185" s="9" t="n">
        <f aca="false">IF(B185="","",YEAR(B185))</f>
        <v>2025</v>
      </c>
      <c r="AC185" s="3"/>
      <c r="AD185" s="3" t="str">
        <f aca="false">IF(LEFT(AC185&amp;IF(B185="","; Missing Order Date","")&amp;IF(C185="","; Missing Ship Date","")&amp;IF(P185&lt;0,"; Invalid Discount (Negative)","")&amp;IF(P185&gt;0.5,"; Invalid Discount (Too High)","")&amp;IF(Z185&lt;0,"; Invalid Shipping Record (Ship Before Order)","")&amp;IF(ABS(Q185-W185)&gt;1,"; Sales Mismatch","")&amp;IF(ABS(S185-X185)&gt;1,"; Profit Mismatch","")&amp;IF(COUNTIF($A$2:$A$913,A185)&gt;1,"; Duplicate Order ID Conflict",""),2)="; ",MID(AC185&amp;IF(B185="","; Missing Order Date","")&amp;IF(C185="","; Missing Ship Date","")&amp;IF(P185&lt;0,"; Invalid Discount (Negative)","")&amp;IF(P185&gt;0.5,"; Invalid Discount (Too High)","")&amp;IF(Z185&lt;0,"; Invalid Shipping Record (Ship Before Order)","")&amp;IF(ABS(Q185-W185)&gt;1,"; Sales Mismatch","")&amp;IF(ABS(S185-X185)&gt;1,"; Profit Mismatch","")&amp;IF(COUNTIF($A$2:$A$913,A185)&gt;1,"; Duplicate Order ID Conflict",""),3,500),AC185&amp;IF(B185="","; Missing Order Date","")&amp;IF(C185="","; Missing Ship Date","")&amp;IF(P185&lt;0,"; Invalid Discount (Negative)","")&amp;IF(P185&gt;0.5,"; Invalid Discount (Too High)","")&amp;IF(Z185&lt;0,"; Invalid Shipping Record (Ship Before Order)","")&amp;IF(ABS(Q185-W185)&gt;1,"; Sales Mismatch","")&amp;IF(ABS(S185-X185)&gt;1,"; Profit Mismatch","")&amp;IF(COUNTIF($A$2:$A$913,A185)&gt;1,"; Duplicate Order ID Conflict",""))</f>
        <v/>
      </c>
      <c r="AE185" s="10" t="str">
        <f aca="false">IF(OR(ISNUMBER(SEARCH("Invalid Discount",AD185)),ISNUMBER(SEARCH("Invalid Shipping Record",AD185)),ISNUMBER(SEARCH("Sales Mismatch",AD185)),ISNUMBER(SEARCH("Profit Mismatch",AD185)),ISNUMBER(SEARCH("Duplicate Order ID Conflict",AD185)),ISNUMBER(SEARCH("Missing Order Date",AD185)),ISNUMBER(SEARCH("Missing Ship Date",AD185))),"Invalid",IF(AD185&lt;&gt;"","Warning","Clean"))</f>
        <v>Clean</v>
      </c>
    </row>
    <row r="186" customFormat="false" ht="15" hidden="false" customHeight="true" outlineLevel="0" collapsed="false">
      <c r="A186" s="3" t="s">
        <v>584</v>
      </c>
      <c r="B186" s="4" t="n">
        <v>45384</v>
      </c>
      <c r="C186" s="4" t="n">
        <v>45388</v>
      </c>
      <c r="D186" s="3" t="s">
        <v>585</v>
      </c>
      <c r="E186" s="3" t="str">
        <f aca="false">PROPER(TRIM(SUBSTITUTE(Raw_Text_Fields!B187,CHAR(160)," ")))</f>
        <v>Vikram Iyer</v>
      </c>
      <c r="F186" s="3" t="str">
        <f aca="false">PROPER(TRIM(SUBSTITUTE(Raw_Text_Fields!C187,CHAR(160)," ")))</f>
        <v>Corporate</v>
      </c>
      <c r="G186" s="3" t="str">
        <f aca="false">PROPER(TRIM(SUBSTITUTE(Raw_Text_Fields!D187,CHAR(160)," ")))</f>
        <v>West</v>
      </c>
      <c r="H186" s="3" t="str">
        <f aca="false">PROPER(TRIM(SUBSTITUTE(Raw_Text_Fields!E187,CHAR(160)," ")))</f>
        <v>Madhya Pradesh</v>
      </c>
      <c r="I186" s="3" t="str">
        <f aca="false">PROPER(TRIM(SUBSTITUTE(Raw_Text_Fields!F187,CHAR(160)," ")))</f>
        <v>Indore</v>
      </c>
      <c r="J186" s="3" t="str">
        <f aca="false">PROPER(TRIM(SUBSTITUTE(Raw_Text_Fields!G187,CHAR(160)," ")))</f>
        <v>Furniture</v>
      </c>
      <c r="K186" s="3" t="str">
        <f aca="false">PROPER(TRIM(SUBSTITUTE(Raw_Text_Fields!H187,CHAR(160)," ")))</f>
        <v>Bookcases</v>
      </c>
      <c r="L186" s="3" t="s">
        <v>586</v>
      </c>
      <c r="M186" s="3" t="str">
        <f aca="false">PROPER(TRIM(SUBSTITUTE(Raw_Text_Fields!I187,CHAR(160)," ")))</f>
        <v>Standard Class</v>
      </c>
      <c r="N186" s="3" t="n">
        <v>2</v>
      </c>
      <c r="O186" s="5" t="n">
        <v>888.98</v>
      </c>
      <c r="P186" s="6" t="n">
        <v>0</v>
      </c>
      <c r="Q186" s="5" t="n">
        <v>1777.96</v>
      </c>
      <c r="R186" s="5" t="n">
        <v>1021.16</v>
      </c>
      <c r="S186" s="5" t="n">
        <v>756.8</v>
      </c>
      <c r="T186" s="3" t="str">
        <f aca="false">PROPER(TRIM(SUBSTITUTE(Raw_Text_Fields!J187,CHAR(160)," ")))</f>
        <v>Refunded</v>
      </c>
      <c r="U186" s="3" t="str">
        <f aca="false">PROPER(TRIM(SUBSTITUTE(Raw_Text_Fields!K187,CHAR(160)," ")))</f>
        <v>Returned</v>
      </c>
      <c r="V186" s="7" t="n">
        <f aca="false">IF(OR(P186&lt;0,P186&gt;0.5),0,P186)</f>
        <v>0</v>
      </c>
      <c r="W186" s="8" t="n">
        <f aca="false">N186*O186*(1-V186)</f>
        <v>1777.96</v>
      </c>
      <c r="X186" s="8" t="n">
        <f aca="false">W186-R186</f>
        <v>756.8</v>
      </c>
      <c r="Y186" s="7" t="n">
        <f aca="false">IFERROR(X186/W186,0)</f>
        <v>0.425656370222052</v>
      </c>
      <c r="Z186" s="9" t="n">
        <f aca="false">C186-B186</f>
        <v>4</v>
      </c>
      <c r="AA186" s="1" t="str">
        <f aca="false">IF(B186="","",TEXT(B186,"mmm"))</f>
        <v>Apr</v>
      </c>
      <c r="AB186" s="9" t="n">
        <f aca="false">IF(B186="","",YEAR(B186))</f>
        <v>2024</v>
      </c>
      <c r="AC186" s="3"/>
      <c r="AD186" s="3" t="str">
        <f aca="false">IF(LEFT(AC186&amp;IF(B186="","; Missing Order Date","")&amp;IF(C186="","; Missing Ship Date","")&amp;IF(P186&lt;0,"; Invalid Discount (Negative)","")&amp;IF(P186&gt;0.5,"; Invalid Discount (Too High)","")&amp;IF(Z186&lt;0,"; Invalid Shipping Record (Ship Before Order)","")&amp;IF(ABS(Q186-W186)&gt;1,"; Sales Mismatch","")&amp;IF(ABS(S186-X186)&gt;1,"; Profit Mismatch","")&amp;IF(COUNTIF($A$2:$A$913,A186)&gt;1,"; Duplicate Order ID Conflict",""),2)="; ",MID(AC186&amp;IF(B186="","; Missing Order Date","")&amp;IF(C186="","; Missing Ship Date","")&amp;IF(P186&lt;0,"; Invalid Discount (Negative)","")&amp;IF(P186&gt;0.5,"; Invalid Discount (Too High)","")&amp;IF(Z186&lt;0,"; Invalid Shipping Record (Ship Before Order)","")&amp;IF(ABS(Q186-W186)&gt;1,"; Sales Mismatch","")&amp;IF(ABS(S186-X186)&gt;1,"; Profit Mismatch","")&amp;IF(COUNTIF($A$2:$A$913,A186)&gt;1,"; Duplicate Order ID Conflict",""),3,500),AC186&amp;IF(B186="","; Missing Order Date","")&amp;IF(C186="","; Missing Ship Date","")&amp;IF(P186&lt;0,"; Invalid Discount (Negative)","")&amp;IF(P186&gt;0.5,"; Invalid Discount (Too High)","")&amp;IF(Z186&lt;0,"; Invalid Shipping Record (Ship Before Order)","")&amp;IF(ABS(Q186-W186)&gt;1,"; Sales Mismatch","")&amp;IF(ABS(S186-X186)&gt;1,"; Profit Mismatch","")&amp;IF(COUNTIF($A$2:$A$913,A186)&gt;1,"; Duplicate Order ID Conflict",""))</f>
        <v/>
      </c>
      <c r="AE186" s="10" t="str">
        <f aca="false">IF(OR(ISNUMBER(SEARCH("Invalid Discount",AD186)),ISNUMBER(SEARCH("Invalid Shipping Record",AD186)),ISNUMBER(SEARCH("Sales Mismatch",AD186)),ISNUMBER(SEARCH("Profit Mismatch",AD186)),ISNUMBER(SEARCH("Duplicate Order ID Conflict",AD186)),ISNUMBER(SEARCH("Missing Order Date",AD186)),ISNUMBER(SEARCH("Missing Ship Date",AD186))),"Invalid",IF(AD186&lt;&gt;"","Warning","Clean"))</f>
        <v>Clean</v>
      </c>
    </row>
    <row r="187" customFormat="false" ht="15" hidden="false" customHeight="true" outlineLevel="0" collapsed="false">
      <c r="A187" s="3" t="s">
        <v>587</v>
      </c>
      <c r="B187" s="4" t="n">
        <v>45601</v>
      </c>
      <c r="C187" s="4" t="n">
        <v>45609</v>
      </c>
      <c r="D187" s="3" t="s">
        <v>588</v>
      </c>
      <c r="E187" s="3" t="str">
        <f aca="false">PROPER(TRIM(SUBSTITUTE(Raw_Text_Fields!B188,CHAR(160)," ")))</f>
        <v>Arjun Bose</v>
      </c>
      <c r="F187" s="3" t="str">
        <f aca="false">PROPER(TRIM(SUBSTITUTE(Raw_Text_Fields!C188,CHAR(160)," ")))</f>
        <v>Consumer</v>
      </c>
      <c r="G187" s="3" t="str">
        <f aca="false">PROPER(TRIM(SUBSTITUTE(Raw_Text_Fields!D188,CHAR(160)," ")))</f>
        <v>Unknown</v>
      </c>
      <c r="H187" s="3" t="str">
        <f aca="false">PROPER(TRIM(SUBSTITUTE(Raw_Text_Fields!E188,CHAR(160)," ")))</f>
        <v>Punjab</v>
      </c>
      <c r="I187" s="3" t="str">
        <f aca="false">PROPER(TRIM(SUBSTITUTE(Raw_Text_Fields!F188,CHAR(160)," ")))</f>
        <v>Ludhiana</v>
      </c>
      <c r="J187" s="3" t="str">
        <f aca="false">PROPER(TRIM(SUBSTITUTE(Raw_Text_Fields!G188,CHAR(160)," ")))</f>
        <v>Office Supplies</v>
      </c>
      <c r="K187" s="3" t="str">
        <f aca="false">PROPER(TRIM(SUBSTITUTE(Raw_Text_Fields!H188,CHAR(160)," ")))</f>
        <v>Labels</v>
      </c>
      <c r="L187" s="3" t="s">
        <v>589</v>
      </c>
      <c r="M187" s="3" t="str">
        <f aca="false">PROPER(TRIM(SUBSTITUTE(Raw_Text_Fields!I188,CHAR(160)," ")))</f>
        <v>Second Class</v>
      </c>
      <c r="N187" s="3" t="n">
        <v>2</v>
      </c>
      <c r="O187" s="5" t="n">
        <v>1003.17</v>
      </c>
      <c r="P187" s="6" t="n">
        <v>0.2</v>
      </c>
      <c r="Q187" s="5" t="n">
        <v>1605.07</v>
      </c>
      <c r="R187" s="5" t="n">
        <v>1337.28</v>
      </c>
      <c r="S187" s="5" t="n">
        <v>267.79</v>
      </c>
      <c r="T187" s="3" t="str">
        <f aca="false">PROPER(TRIM(SUBSTITUTE(Raw_Text_Fields!J188,CHAR(160)," ")))</f>
        <v>Paid</v>
      </c>
      <c r="U187" s="3" t="str">
        <f aca="false">PROPER(TRIM(SUBSTITUTE(Raw_Text_Fields!K188,CHAR(160)," ")))</f>
        <v>Completed</v>
      </c>
      <c r="V187" s="7" t="n">
        <f aca="false">IF(OR(P187&lt;0,P187&gt;0.5),0,P187)</f>
        <v>0.2</v>
      </c>
      <c r="W187" s="8" t="n">
        <f aca="false">N187*O187*(1-V187)</f>
        <v>1605.072</v>
      </c>
      <c r="X187" s="8" t="n">
        <f aca="false">W187-R187</f>
        <v>267.792</v>
      </c>
      <c r="Y187" s="7" t="n">
        <f aca="false">IFERROR(X187/W187,0)</f>
        <v>0.166841113669667</v>
      </c>
      <c r="Z187" s="9" t="n">
        <f aca="false">C187-B187</f>
        <v>8</v>
      </c>
      <c r="AA187" s="1" t="str">
        <f aca="false">IF(B187="","",TEXT(B187,"mmm"))</f>
        <v>Nov</v>
      </c>
      <c r="AB187" s="9" t="n">
        <f aca="false">IF(B187="","",YEAR(B187))</f>
        <v>2024</v>
      </c>
      <c r="AC187" s="3" t="s">
        <v>372</v>
      </c>
      <c r="AD187" s="3" t="str">
        <f aca="false">IF(LEFT(AC187&amp;IF(B187="","; Missing Order Date","")&amp;IF(C187="","; Missing Ship Date","")&amp;IF(P187&lt;0,"; Invalid Discount (Negative)","")&amp;IF(P187&gt;0.5,"; Invalid Discount (Too High)","")&amp;IF(Z187&lt;0,"; Invalid Shipping Record (Ship Before Order)","")&amp;IF(ABS(Q187-W187)&gt;1,"; Sales Mismatch","")&amp;IF(ABS(S187-X187)&gt;1,"; Profit Mismatch","")&amp;IF(COUNTIF($A$2:$A$913,A187)&gt;1,"; Duplicate Order ID Conflict",""),2)="; ",MID(AC187&amp;IF(B187="","; Missing Order Date","")&amp;IF(C187="","; Missing Ship Date","")&amp;IF(P187&lt;0,"; Invalid Discount (Negative)","")&amp;IF(P187&gt;0.5,"; Invalid Discount (Too High)","")&amp;IF(Z187&lt;0,"; Invalid Shipping Record (Ship Before Order)","")&amp;IF(ABS(Q187-W187)&gt;1,"; Sales Mismatch","")&amp;IF(ABS(S187-X187)&gt;1,"; Profit Mismatch","")&amp;IF(COUNTIF($A$2:$A$913,A187)&gt;1,"; Duplicate Order ID Conflict",""),3,500),AC187&amp;IF(B187="","; Missing Order Date","")&amp;IF(C187="","; Missing Ship Date","")&amp;IF(P187&lt;0,"; Invalid Discount (Negative)","")&amp;IF(P187&gt;0.5,"; Invalid Discount (Too High)","")&amp;IF(Z187&lt;0,"; Invalid Shipping Record (Ship Before Order)","")&amp;IF(ABS(Q187-W187)&gt;1,"; Sales Mismatch","")&amp;IF(ABS(S187-X187)&gt;1,"; Profit Mismatch","")&amp;IF(COUNTIF($A$2:$A$913,A187)&gt;1,"; Duplicate Order ID Conflict",""))</f>
        <v>Missing Region (filled Unknown)</v>
      </c>
      <c r="AE187" s="10" t="str">
        <f aca="false">IF(OR(ISNUMBER(SEARCH("Invalid Discount",AD187)),ISNUMBER(SEARCH("Invalid Shipping Record",AD187)),ISNUMBER(SEARCH("Sales Mismatch",AD187)),ISNUMBER(SEARCH("Profit Mismatch",AD187)),ISNUMBER(SEARCH("Duplicate Order ID Conflict",AD187)),ISNUMBER(SEARCH("Missing Order Date",AD187)),ISNUMBER(SEARCH("Missing Ship Date",AD187))),"Invalid",IF(AD187&lt;&gt;"","Warning","Clean"))</f>
        <v>Warning</v>
      </c>
    </row>
    <row r="188" customFormat="false" ht="15" hidden="false" customHeight="true" outlineLevel="0" collapsed="false">
      <c r="A188" s="3" t="s">
        <v>590</v>
      </c>
      <c r="B188" s="4" t="n">
        <v>45492</v>
      </c>
      <c r="C188" s="4" t="n">
        <v>45493</v>
      </c>
      <c r="D188" s="3" t="s">
        <v>190</v>
      </c>
      <c r="E188" s="3" t="str">
        <f aca="false">PROPER(TRIM(SUBSTITUTE(Raw_Text_Fields!B189,CHAR(160)," ")))</f>
        <v>Vikram Iyer</v>
      </c>
      <c r="F188" s="3" t="str">
        <f aca="false">PROPER(TRIM(SUBSTITUTE(Raw_Text_Fields!C189,CHAR(160)," ")))</f>
        <v>Consumer</v>
      </c>
      <c r="G188" s="3" t="str">
        <f aca="false">PROPER(TRIM(SUBSTITUTE(Raw_Text_Fields!D189,CHAR(160)," ")))</f>
        <v>South</v>
      </c>
      <c r="H188" s="3" t="str">
        <f aca="false">PROPER(TRIM(SUBSTITUTE(Raw_Text_Fields!E189,CHAR(160)," ")))</f>
        <v>Tamil Nadu</v>
      </c>
      <c r="I188" s="3" t="str">
        <f aca="false">PROPER(TRIM(SUBSTITUTE(Raw_Text_Fields!F189,CHAR(160)," ")))</f>
        <v>Chennai</v>
      </c>
      <c r="J188" s="3" t="str">
        <f aca="false">PROPER(TRIM(SUBSTITUTE(Raw_Text_Fields!G189,CHAR(160)," ")))</f>
        <v>Furniture</v>
      </c>
      <c r="K188" s="3" t="str">
        <f aca="false">PROPER(TRIM(SUBSTITUTE(Raw_Text_Fields!H189,CHAR(160)," ")))</f>
        <v>Tables</v>
      </c>
      <c r="L188" s="3" t="s">
        <v>591</v>
      </c>
      <c r="M188" s="3" t="str">
        <f aca="false">PROPER(TRIM(SUBSTITUTE(Raw_Text_Fields!I189,CHAR(160)," ")))</f>
        <v>First Class</v>
      </c>
      <c r="N188" s="3" t="n">
        <v>7</v>
      </c>
      <c r="O188" s="5" t="n">
        <v>3608.43</v>
      </c>
      <c r="P188" s="6" t="n">
        <v>0.05</v>
      </c>
      <c r="Q188" s="5" t="n">
        <v>23996.06</v>
      </c>
      <c r="R188" s="5" t="n">
        <v>20167.28</v>
      </c>
      <c r="S188" s="5" t="n">
        <v>3828.78</v>
      </c>
      <c r="T188" s="3" t="str">
        <f aca="false">PROPER(TRIM(SUBSTITUTE(Raw_Text_Fields!J189,CHAR(160)," ")))</f>
        <v>Paid</v>
      </c>
      <c r="U188" s="3" t="str">
        <f aca="false">PROPER(TRIM(SUBSTITUTE(Raw_Text_Fields!K189,CHAR(160)," ")))</f>
        <v>Completed</v>
      </c>
      <c r="V188" s="7" t="n">
        <f aca="false">IF(OR(P188&lt;0,P188&gt;0.5),0,P188)</f>
        <v>0.05</v>
      </c>
      <c r="W188" s="8" t="n">
        <f aca="false">N188*O188*(1-V188)</f>
        <v>23996.0595</v>
      </c>
      <c r="X188" s="8" t="n">
        <f aca="false">W188-R188</f>
        <v>3828.7795</v>
      </c>
      <c r="Y188" s="7" t="n">
        <f aca="false">IFERROR(X188/W188,0)</f>
        <v>0.159558676706898</v>
      </c>
      <c r="Z188" s="9" t="n">
        <f aca="false">C188-B188</f>
        <v>1</v>
      </c>
      <c r="AA188" s="1" t="str">
        <f aca="false">IF(B188="","",TEXT(B188,"mmm"))</f>
        <v>Jul</v>
      </c>
      <c r="AB188" s="9" t="n">
        <f aca="false">IF(B188="","",YEAR(B188))</f>
        <v>2024</v>
      </c>
      <c r="AC188" s="3"/>
      <c r="AD188" s="3" t="str">
        <f aca="false">IF(LEFT(AC188&amp;IF(B188="","; Missing Order Date","")&amp;IF(C188="","; Missing Ship Date","")&amp;IF(P188&lt;0,"; Invalid Discount (Negative)","")&amp;IF(P188&gt;0.5,"; Invalid Discount (Too High)","")&amp;IF(Z188&lt;0,"; Invalid Shipping Record (Ship Before Order)","")&amp;IF(ABS(Q188-W188)&gt;1,"; Sales Mismatch","")&amp;IF(ABS(S188-X188)&gt;1,"; Profit Mismatch","")&amp;IF(COUNTIF($A$2:$A$913,A188)&gt;1,"; Duplicate Order ID Conflict",""),2)="; ",MID(AC188&amp;IF(B188="","; Missing Order Date","")&amp;IF(C188="","; Missing Ship Date","")&amp;IF(P188&lt;0,"; Invalid Discount (Negative)","")&amp;IF(P188&gt;0.5,"; Invalid Discount (Too High)","")&amp;IF(Z188&lt;0,"; Invalid Shipping Record (Ship Before Order)","")&amp;IF(ABS(Q188-W188)&gt;1,"; Sales Mismatch","")&amp;IF(ABS(S188-X188)&gt;1,"; Profit Mismatch","")&amp;IF(COUNTIF($A$2:$A$913,A188)&gt;1,"; Duplicate Order ID Conflict",""),3,500),AC188&amp;IF(B188="","; Missing Order Date","")&amp;IF(C188="","; Missing Ship Date","")&amp;IF(P188&lt;0,"; Invalid Discount (Negative)","")&amp;IF(P188&gt;0.5,"; Invalid Discount (Too High)","")&amp;IF(Z188&lt;0,"; Invalid Shipping Record (Ship Before Order)","")&amp;IF(ABS(Q188-W188)&gt;1,"; Sales Mismatch","")&amp;IF(ABS(S188-X188)&gt;1,"; Profit Mismatch","")&amp;IF(COUNTIF($A$2:$A$913,A188)&gt;1,"; Duplicate Order ID Conflict",""))</f>
        <v/>
      </c>
      <c r="AE188" s="10" t="str">
        <f aca="false">IF(OR(ISNUMBER(SEARCH("Invalid Discount",AD188)),ISNUMBER(SEARCH("Invalid Shipping Record",AD188)),ISNUMBER(SEARCH("Sales Mismatch",AD188)),ISNUMBER(SEARCH("Profit Mismatch",AD188)),ISNUMBER(SEARCH("Duplicate Order ID Conflict",AD188)),ISNUMBER(SEARCH("Missing Order Date",AD188)),ISNUMBER(SEARCH("Missing Ship Date",AD188))),"Invalid",IF(AD188&lt;&gt;"","Warning","Clean"))</f>
        <v>Clean</v>
      </c>
    </row>
    <row r="189" customFormat="false" ht="15" hidden="false" customHeight="true" outlineLevel="0" collapsed="false">
      <c r="A189" s="3" t="s">
        <v>592</v>
      </c>
      <c r="B189" s="4" t="n">
        <v>45778</v>
      </c>
      <c r="C189" s="4" t="n">
        <v>45779</v>
      </c>
      <c r="D189" s="3" t="s">
        <v>593</v>
      </c>
      <c r="E189" s="3" t="str">
        <f aca="false">PROPER(TRIM(SUBSTITUTE(Raw_Text_Fields!B190,CHAR(160)," ")))</f>
        <v>Mira Das</v>
      </c>
      <c r="F189" s="3" t="str">
        <f aca="false">PROPER(TRIM(SUBSTITUTE(Raw_Text_Fields!C190,CHAR(160)," ")))</f>
        <v>Consumer</v>
      </c>
      <c r="G189" s="3" t="str">
        <f aca="false">PROPER(TRIM(SUBSTITUTE(Raw_Text_Fields!D190,CHAR(160)," ")))</f>
        <v>West</v>
      </c>
      <c r="H189" s="3" t="str">
        <f aca="false">PROPER(TRIM(SUBSTITUTE(Raw_Text_Fields!E190,CHAR(160)," ")))</f>
        <v>Madhya Pradesh</v>
      </c>
      <c r="I189" s="3" t="str">
        <f aca="false">PROPER(TRIM(SUBSTITUTE(Raw_Text_Fields!F190,CHAR(160)," ")))</f>
        <v>Indore</v>
      </c>
      <c r="J189" s="3" t="str">
        <f aca="false">PROPER(TRIM(SUBSTITUTE(Raw_Text_Fields!G190,CHAR(160)," ")))</f>
        <v>Furniture</v>
      </c>
      <c r="K189" s="3" t="str">
        <f aca="false">PROPER(TRIM(SUBSTITUTE(Raw_Text_Fields!H190,CHAR(160)," ")))</f>
        <v>Chairs</v>
      </c>
      <c r="L189" s="3" t="s">
        <v>594</v>
      </c>
      <c r="M189" s="3" t="str">
        <f aca="false">PROPER(TRIM(SUBSTITUTE(Raw_Text_Fields!I190,CHAR(160)," ")))</f>
        <v>Same Day</v>
      </c>
      <c r="N189" s="3" t="n">
        <v>3</v>
      </c>
      <c r="O189" s="5" t="n">
        <v>2905.74</v>
      </c>
      <c r="P189" s="6" t="n">
        <v>0</v>
      </c>
      <c r="Q189" s="5" t="n">
        <v>8717.22</v>
      </c>
      <c r="R189" s="5" t="n">
        <v>6215.96</v>
      </c>
      <c r="S189" s="5" t="n">
        <v>2501.26</v>
      </c>
      <c r="T189" s="3" t="str">
        <f aca="false">PROPER(TRIM(SUBSTITUTE(Raw_Text_Fields!J190,CHAR(160)," ")))</f>
        <v>Paid</v>
      </c>
      <c r="U189" s="3" t="str">
        <f aca="false">PROPER(TRIM(SUBSTITUTE(Raw_Text_Fields!K190,CHAR(160)," ")))</f>
        <v>Returned</v>
      </c>
      <c r="V189" s="7" t="n">
        <f aca="false">IF(OR(P189&lt;0,P189&gt;0.5),0,P189)</f>
        <v>0</v>
      </c>
      <c r="W189" s="8" t="n">
        <f aca="false">N189*O189*(1-V189)</f>
        <v>8717.22</v>
      </c>
      <c r="X189" s="8" t="n">
        <f aca="false">W189-R189</f>
        <v>2501.26</v>
      </c>
      <c r="Y189" s="7" t="n">
        <f aca="false">IFERROR(X189/W189,0)</f>
        <v>0.286933219535586</v>
      </c>
      <c r="Z189" s="9" t="n">
        <f aca="false">C189-B189</f>
        <v>1</v>
      </c>
      <c r="AA189" s="1" t="str">
        <f aca="false">IF(B189="","",TEXT(B189,"mmm"))</f>
        <v>May</v>
      </c>
      <c r="AB189" s="9" t="n">
        <f aca="false">IF(B189="","",YEAR(B189))</f>
        <v>2025</v>
      </c>
      <c r="AC189" s="3"/>
      <c r="AD189" s="3" t="str">
        <f aca="false">IF(LEFT(AC189&amp;IF(B189="","; Missing Order Date","")&amp;IF(C189="","; Missing Ship Date","")&amp;IF(P189&lt;0,"; Invalid Discount (Negative)","")&amp;IF(P189&gt;0.5,"; Invalid Discount (Too High)","")&amp;IF(Z189&lt;0,"; Invalid Shipping Record (Ship Before Order)","")&amp;IF(ABS(Q189-W189)&gt;1,"; Sales Mismatch","")&amp;IF(ABS(S189-X189)&gt;1,"; Profit Mismatch","")&amp;IF(COUNTIF($A$2:$A$913,A189)&gt;1,"; Duplicate Order ID Conflict",""),2)="; ",MID(AC189&amp;IF(B189="","; Missing Order Date","")&amp;IF(C189="","; Missing Ship Date","")&amp;IF(P189&lt;0,"; Invalid Discount (Negative)","")&amp;IF(P189&gt;0.5,"; Invalid Discount (Too High)","")&amp;IF(Z189&lt;0,"; Invalid Shipping Record (Ship Before Order)","")&amp;IF(ABS(Q189-W189)&gt;1,"; Sales Mismatch","")&amp;IF(ABS(S189-X189)&gt;1,"; Profit Mismatch","")&amp;IF(COUNTIF($A$2:$A$913,A189)&gt;1,"; Duplicate Order ID Conflict",""),3,500),AC189&amp;IF(B189="","; Missing Order Date","")&amp;IF(C189="","; Missing Ship Date","")&amp;IF(P189&lt;0,"; Invalid Discount (Negative)","")&amp;IF(P189&gt;0.5,"; Invalid Discount (Too High)","")&amp;IF(Z189&lt;0,"; Invalid Shipping Record (Ship Before Order)","")&amp;IF(ABS(Q189-W189)&gt;1,"; Sales Mismatch","")&amp;IF(ABS(S189-X189)&gt;1,"; Profit Mismatch","")&amp;IF(COUNTIF($A$2:$A$913,A189)&gt;1,"; Duplicate Order ID Conflict",""))</f>
        <v/>
      </c>
      <c r="AE189" s="10" t="str">
        <f aca="false">IF(OR(ISNUMBER(SEARCH("Invalid Discount",AD189)),ISNUMBER(SEARCH("Invalid Shipping Record",AD189)),ISNUMBER(SEARCH("Sales Mismatch",AD189)),ISNUMBER(SEARCH("Profit Mismatch",AD189)),ISNUMBER(SEARCH("Duplicate Order ID Conflict",AD189)),ISNUMBER(SEARCH("Missing Order Date",AD189)),ISNUMBER(SEARCH("Missing Ship Date",AD189))),"Invalid",IF(AD189&lt;&gt;"","Warning","Clean"))</f>
        <v>Clean</v>
      </c>
    </row>
    <row r="190" customFormat="false" ht="15" hidden="false" customHeight="true" outlineLevel="0" collapsed="false">
      <c r="A190" s="3" t="s">
        <v>595</v>
      </c>
      <c r="B190" s="4" t="n">
        <v>45798</v>
      </c>
      <c r="C190" s="4" t="n">
        <v>45805</v>
      </c>
      <c r="D190" s="3" t="s">
        <v>596</v>
      </c>
      <c r="E190" s="3" t="str">
        <f aca="false">PROPER(TRIM(SUBSTITUTE(Raw_Text_Fields!B191,CHAR(160)," ")))</f>
        <v>Priya Menon</v>
      </c>
      <c r="F190" s="3" t="str">
        <f aca="false">PROPER(TRIM(SUBSTITUTE(Raw_Text_Fields!C191,CHAR(160)," ")))</f>
        <v>Corporate</v>
      </c>
      <c r="G190" s="3" t="str">
        <f aca="false">PROPER(TRIM(SUBSTITUTE(Raw_Text_Fields!D191,CHAR(160)," ")))</f>
        <v>East</v>
      </c>
      <c r="H190" s="3" t="str">
        <f aca="false">PROPER(TRIM(SUBSTITUTE(Raw_Text_Fields!E191,CHAR(160)," ")))</f>
        <v>West Bengal</v>
      </c>
      <c r="I190" s="3" t="str">
        <f aca="false">PROPER(TRIM(SUBSTITUTE(Raw_Text_Fields!F191,CHAR(160)," ")))</f>
        <v>Kolkata</v>
      </c>
      <c r="J190" s="3" t="str">
        <f aca="false">PROPER(TRIM(SUBSTITUTE(Raw_Text_Fields!G191,CHAR(160)," ")))</f>
        <v>Furniture</v>
      </c>
      <c r="K190" s="3" t="str">
        <f aca="false">PROPER(TRIM(SUBSTITUTE(Raw_Text_Fields!H191,CHAR(160)," ")))</f>
        <v>Bookcases</v>
      </c>
      <c r="L190" s="3" t="s">
        <v>597</v>
      </c>
      <c r="M190" s="3" t="str">
        <f aca="false">PROPER(TRIM(SUBSTITUTE(Raw_Text_Fields!I191,CHAR(160)," ")))</f>
        <v>Same Day</v>
      </c>
      <c r="N190" s="3" t="n">
        <v>2</v>
      </c>
      <c r="O190" s="5" t="n">
        <v>3559.57</v>
      </c>
      <c r="P190" s="6" t="n">
        <v>0.1</v>
      </c>
      <c r="Q190" s="5" t="n">
        <v>6553.95</v>
      </c>
      <c r="R190" s="5" t="n">
        <v>4923.09</v>
      </c>
      <c r="S190" s="5" t="n">
        <v>1484.14</v>
      </c>
      <c r="T190" s="3" t="str">
        <f aca="false">PROPER(TRIM(SUBSTITUTE(Raw_Text_Fields!J191,CHAR(160)," ")))</f>
        <v>Paid</v>
      </c>
      <c r="U190" s="3" t="str">
        <f aca="false">PROPER(TRIM(SUBSTITUTE(Raw_Text_Fields!K191,CHAR(160)," ")))</f>
        <v>Completed</v>
      </c>
      <c r="V190" s="7" t="n">
        <f aca="false">IF(OR(P190&lt;0,P190&gt;0.5),0,P190)</f>
        <v>0.1</v>
      </c>
      <c r="W190" s="8" t="n">
        <f aca="false">N190*O190*(1-V190)</f>
        <v>6407.226</v>
      </c>
      <c r="X190" s="8" t="n">
        <f aca="false">W190-R190</f>
        <v>1484.136</v>
      </c>
      <c r="Y190" s="7" t="n">
        <f aca="false">IFERROR(X190/W190,0)</f>
        <v>0.231634719924036</v>
      </c>
      <c r="Z190" s="9" t="n">
        <f aca="false">C190-B190</f>
        <v>7</v>
      </c>
      <c r="AA190" s="1" t="str">
        <f aca="false">IF(B190="","",TEXT(B190,"mmm"))</f>
        <v>May</v>
      </c>
      <c r="AB190" s="9" t="n">
        <f aca="false">IF(B190="","",YEAR(B190))</f>
        <v>2025</v>
      </c>
      <c r="AC190" s="3"/>
      <c r="AD190" s="3" t="str">
        <f aca="false">IF(LEFT(AC190&amp;IF(B190="","; Missing Order Date","")&amp;IF(C190="","; Missing Ship Date","")&amp;IF(P190&lt;0,"; Invalid Discount (Negative)","")&amp;IF(P190&gt;0.5,"; Invalid Discount (Too High)","")&amp;IF(Z190&lt;0,"; Invalid Shipping Record (Ship Before Order)","")&amp;IF(ABS(Q190-W190)&gt;1,"; Sales Mismatch","")&amp;IF(ABS(S190-X190)&gt;1,"; Profit Mismatch","")&amp;IF(COUNTIF($A$2:$A$913,A190)&gt;1,"; Duplicate Order ID Conflict",""),2)="; ",MID(AC190&amp;IF(B190="","; Missing Order Date","")&amp;IF(C190="","; Missing Ship Date","")&amp;IF(P190&lt;0,"; Invalid Discount (Negative)","")&amp;IF(P190&gt;0.5,"; Invalid Discount (Too High)","")&amp;IF(Z190&lt;0,"; Invalid Shipping Record (Ship Before Order)","")&amp;IF(ABS(Q190-W190)&gt;1,"; Sales Mismatch","")&amp;IF(ABS(S190-X190)&gt;1,"; Profit Mismatch","")&amp;IF(COUNTIF($A$2:$A$913,A190)&gt;1,"; Duplicate Order ID Conflict",""),3,500),AC190&amp;IF(B190="","; Missing Order Date","")&amp;IF(C190="","; Missing Ship Date","")&amp;IF(P190&lt;0,"; Invalid Discount (Negative)","")&amp;IF(P190&gt;0.5,"; Invalid Discount (Too High)","")&amp;IF(Z190&lt;0,"; Invalid Shipping Record (Ship Before Order)","")&amp;IF(ABS(Q190-W190)&gt;1,"; Sales Mismatch","")&amp;IF(ABS(S190-X190)&gt;1,"; Profit Mismatch","")&amp;IF(COUNTIF($A$2:$A$913,A190)&gt;1,"; Duplicate Order ID Conflict",""))</f>
        <v>Sales Mismatch</v>
      </c>
      <c r="AE190" s="10" t="str">
        <f aca="false">IF(OR(ISNUMBER(SEARCH("Invalid Discount",AD190)),ISNUMBER(SEARCH("Invalid Shipping Record",AD190)),ISNUMBER(SEARCH("Sales Mismatch",AD190)),ISNUMBER(SEARCH("Profit Mismatch",AD190)),ISNUMBER(SEARCH("Duplicate Order ID Conflict",AD190)),ISNUMBER(SEARCH("Missing Order Date",AD190)),ISNUMBER(SEARCH("Missing Ship Date",AD190))),"Invalid",IF(AD190&lt;&gt;"","Warning","Clean"))</f>
        <v>Invalid</v>
      </c>
    </row>
    <row r="191" customFormat="false" ht="15" hidden="false" customHeight="true" outlineLevel="0" collapsed="false">
      <c r="A191" s="3" t="s">
        <v>598</v>
      </c>
      <c r="B191" s="4" t="n">
        <v>45783</v>
      </c>
      <c r="C191" s="4" t="n">
        <v>45784</v>
      </c>
      <c r="D191" s="3" t="s">
        <v>599</v>
      </c>
      <c r="E191" s="3" t="str">
        <f aca="false">PROPER(TRIM(SUBSTITUTE(Raw_Text_Fields!B192,CHAR(160)," ")))</f>
        <v>Arjun Bose</v>
      </c>
      <c r="F191" s="3" t="str">
        <f aca="false">PROPER(TRIM(SUBSTITUTE(Raw_Text_Fields!C192,CHAR(160)," ")))</f>
        <v>Consumer</v>
      </c>
      <c r="G191" s="3" t="str">
        <f aca="false">PROPER(TRIM(SUBSTITUTE(Raw_Text_Fields!D192,CHAR(160)," ")))</f>
        <v>West</v>
      </c>
      <c r="H191" s="3" t="str">
        <f aca="false">PROPER(TRIM(SUBSTITUTE(Raw_Text_Fields!E192,CHAR(160)," ")))</f>
        <v>Rajasthan</v>
      </c>
      <c r="I191" s="3" t="str">
        <f aca="false">PROPER(TRIM(SUBSTITUTE(Raw_Text_Fields!F192,CHAR(160)," ")))</f>
        <v>Udaipur</v>
      </c>
      <c r="J191" s="3" t="str">
        <f aca="false">PROPER(TRIM(SUBSTITUTE(Raw_Text_Fields!G192,CHAR(160)," ")))</f>
        <v>Furniture</v>
      </c>
      <c r="K191" s="3" t="str">
        <f aca="false">PROPER(TRIM(SUBSTITUTE(Raw_Text_Fields!H192,CHAR(160)," ")))</f>
        <v>Bookcases</v>
      </c>
      <c r="L191" s="3" t="s">
        <v>600</v>
      </c>
      <c r="M191" s="3" t="str">
        <f aca="false">PROPER(TRIM(SUBSTITUTE(Raw_Text_Fields!I192,CHAR(160)," ")))</f>
        <v>First Class</v>
      </c>
      <c r="N191" s="3" t="n">
        <v>9</v>
      </c>
      <c r="O191" s="5" t="n">
        <v>3318.24</v>
      </c>
      <c r="P191" s="6" t="n">
        <v>0</v>
      </c>
      <c r="Q191" s="5" t="n">
        <v>25384.54</v>
      </c>
      <c r="R191" s="5" t="n">
        <v>16872.39</v>
      </c>
      <c r="S191" s="5" t="n">
        <v>8512.15</v>
      </c>
      <c r="T191" s="3" t="str">
        <f aca="false">PROPER(TRIM(SUBSTITUTE(Raw_Text_Fields!J192,CHAR(160)," ")))</f>
        <v>Paid</v>
      </c>
      <c r="U191" s="3" t="str">
        <f aca="false">PROPER(TRIM(SUBSTITUTE(Raw_Text_Fields!K192,CHAR(160)," ")))</f>
        <v>Completed</v>
      </c>
      <c r="V191" s="7" t="n">
        <f aca="false">IF(OR(P191&lt;0,P191&gt;0.5),0,P191)</f>
        <v>0</v>
      </c>
      <c r="W191" s="8" t="n">
        <f aca="false">N191*O191*(1-V191)</f>
        <v>29864.16</v>
      </c>
      <c r="X191" s="8" t="n">
        <f aca="false">W191-R191</f>
        <v>12991.77</v>
      </c>
      <c r="Y191" s="7" t="n">
        <f aca="false">IFERROR(X191/W191,0)</f>
        <v>0.435028810453735</v>
      </c>
      <c r="Z191" s="9" t="n">
        <f aca="false">C191-B191</f>
        <v>1</v>
      </c>
      <c r="AA191" s="1" t="str">
        <f aca="false">IF(B191="","",TEXT(B191,"mmm"))</f>
        <v>May</v>
      </c>
      <c r="AB191" s="9" t="n">
        <f aca="false">IF(B191="","",YEAR(B191))</f>
        <v>2025</v>
      </c>
      <c r="AC191" s="3" t="s">
        <v>130</v>
      </c>
      <c r="AD191" s="3" t="str">
        <f aca="false">IF(LEFT(AC191&amp;IF(B191="","; Missing Order Date","")&amp;IF(C191="","; Missing Ship Date","")&amp;IF(P191&lt;0,"; Invalid Discount (Negative)","")&amp;IF(P191&gt;0.5,"; Invalid Discount (Too High)","")&amp;IF(Z191&lt;0,"; Invalid Shipping Record (Ship Before Order)","")&amp;IF(ABS(Q191-W191)&gt;1,"; Sales Mismatch","")&amp;IF(ABS(S191-X191)&gt;1,"; Profit Mismatch","")&amp;IF(COUNTIF($A$2:$A$913,A191)&gt;1,"; Duplicate Order ID Conflict",""),2)="; ",MID(AC191&amp;IF(B191="","; Missing Order Date","")&amp;IF(C191="","; Missing Ship Date","")&amp;IF(P191&lt;0,"; Invalid Discount (Negative)","")&amp;IF(P191&gt;0.5,"; Invalid Discount (Too High)","")&amp;IF(Z191&lt;0,"; Invalid Shipping Record (Ship Before Order)","")&amp;IF(ABS(Q191-W191)&gt;1,"; Sales Mismatch","")&amp;IF(ABS(S191-X191)&gt;1,"; Profit Mismatch","")&amp;IF(COUNTIF($A$2:$A$913,A191)&gt;1,"; Duplicate Order ID Conflict",""),3,500),AC191&amp;IF(B191="","; Missing Order Date","")&amp;IF(C191="","; Missing Ship Date","")&amp;IF(P191&lt;0,"; Invalid Discount (Negative)","")&amp;IF(P191&gt;0.5,"; Invalid Discount (Too High)","")&amp;IF(Z191&lt;0,"; Invalid Shipping Record (Ship Before Order)","")&amp;IF(ABS(Q191-W191)&gt;1,"; Sales Mismatch","")&amp;IF(ABS(S191-X191)&gt;1,"; Profit Mismatch","")&amp;IF(COUNTIF($A$2:$A$913,A191)&gt;1,"; Duplicate Order ID Conflict",""))</f>
        <v>Missing Discount (defaulted 0); Sales Mismatch; Profit Mismatch</v>
      </c>
      <c r="AE191" s="10" t="str">
        <f aca="false">IF(OR(ISNUMBER(SEARCH("Invalid Discount",AD191)),ISNUMBER(SEARCH("Invalid Shipping Record",AD191)),ISNUMBER(SEARCH("Sales Mismatch",AD191)),ISNUMBER(SEARCH("Profit Mismatch",AD191)),ISNUMBER(SEARCH("Duplicate Order ID Conflict",AD191)),ISNUMBER(SEARCH("Missing Order Date",AD191)),ISNUMBER(SEARCH("Missing Ship Date",AD191))),"Invalid",IF(AD191&lt;&gt;"","Warning","Clean"))</f>
        <v>Invalid</v>
      </c>
    </row>
    <row r="192" customFormat="false" ht="15" hidden="false" customHeight="true" outlineLevel="0" collapsed="false">
      <c r="A192" s="3" t="s">
        <v>601</v>
      </c>
      <c r="B192" s="4" t="n">
        <v>45767</v>
      </c>
      <c r="C192" s="4" t="n">
        <v>45768</v>
      </c>
      <c r="D192" s="3" t="s">
        <v>602</v>
      </c>
      <c r="E192" s="3" t="str">
        <f aca="false">PROPER(TRIM(SUBSTITUTE(Raw_Text_Fields!B193,CHAR(160)," ")))</f>
        <v>Aditi Sen</v>
      </c>
      <c r="F192" s="3" t="str">
        <f aca="false">PROPER(TRIM(SUBSTITUTE(Raw_Text_Fields!C193,CHAR(160)," ")))</f>
        <v>Consumer</v>
      </c>
      <c r="G192" s="3" t="str">
        <f aca="false">PROPER(TRIM(SUBSTITUTE(Raw_Text_Fields!D193,CHAR(160)," ")))</f>
        <v>South</v>
      </c>
      <c r="H192" s="3" t="str">
        <f aca="false">PROPER(TRIM(SUBSTITUTE(Raw_Text_Fields!E193,CHAR(160)," ")))</f>
        <v>Tamil Nadu</v>
      </c>
      <c r="I192" s="3" t="str">
        <f aca="false">PROPER(TRIM(SUBSTITUTE(Raw_Text_Fields!F193,CHAR(160)," ")))</f>
        <v>Chennai</v>
      </c>
      <c r="J192" s="3" t="str">
        <f aca="false">PROPER(TRIM(SUBSTITUTE(Raw_Text_Fields!G193,CHAR(160)," ")))</f>
        <v>Office Supplies</v>
      </c>
      <c r="K192" s="3" t="str">
        <f aca="false">PROPER(TRIM(SUBSTITUTE(Raw_Text_Fields!H193,CHAR(160)," ")))</f>
        <v>Storage</v>
      </c>
      <c r="L192" s="3" t="s">
        <v>603</v>
      </c>
      <c r="M192" s="3" t="str">
        <f aca="false">PROPER(TRIM(SUBSTITUTE(Raw_Text_Fields!I193,CHAR(160)," ")))</f>
        <v>First Class</v>
      </c>
      <c r="N192" s="3" t="n">
        <v>3</v>
      </c>
      <c r="O192" s="5" t="n">
        <v>540.09</v>
      </c>
      <c r="P192" s="6" t="n">
        <v>0.1</v>
      </c>
      <c r="Q192" s="5" t="n">
        <v>1458.24</v>
      </c>
      <c r="R192" s="5" t="n">
        <v>943.32</v>
      </c>
      <c r="S192" s="5" t="n">
        <v>514.92</v>
      </c>
      <c r="T192" s="3" t="str">
        <f aca="false">PROPER(TRIM(SUBSTITUTE(Raw_Text_Fields!J193,CHAR(160)," ")))</f>
        <v>Paid</v>
      </c>
      <c r="U192" s="3" t="str">
        <f aca="false">PROPER(TRIM(SUBSTITUTE(Raw_Text_Fields!K193,CHAR(160)," ")))</f>
        <v>Completed</v>
      </c>
      <c r="V192" s="7" t="n">
        <f aca="false">IF(OR(P192&lt;0,P192&gt;0.5),0,P192)</f>
        <v>0.1</v>
      </c>
      <c r="W192" s="8" t="n">
        <f aca="false">N192*O192*(1-V192)</f>
        <v>1458.243</v>
      </c>
      <c r="X192" s="8" t="n">
        <f aca="false">W192-R192</f>
        <v>514.923</v>
      </c>
      <c r="Y192" s="7" t="n">
        <f aca="false">IFERROR(X192/W192,0)</f>
        <v>0.353111929904687</v>
      </c>
      <c r="Z192" s="9" t="n">
        <f aca="false">C192-B192</f>
        <v>1</v>
      </c>
      <c r="AA192" s="1" t="str">
        <f aca="false">IF(B192="","",TEXT(B192,"mmm"))</f>
        <v>Apr</v>
      </c>
      <c r="AB192" s="9" t="n">
        <f aca="false">IF(B192="","",YEAR(B192))</f>
        <v>2025</v>
      </c>
      <c r="AC192" s="3"/>
      <c r="AD192" s="3" t="str">
        <f aca="false">IF(LEFT(AC192&amp;IF(B192="","; Missing Order Date","")&amp;IF(C192="","; Missing Ship Date","")&amp;IF(P192&lt;0,"; Invalid Discount (Negative)","")&amp;IF(P192&gt;0.5,"; Invalid Discount (Too High)","")&amp;IF(Z192&lt;0,"; Invalid Shipping Record (Ship Before Order)","")&amp;IF(ABS(Q192-W192)&gt;1,"; Sales Mismatch","")&amp;IF(ABS(S192-X192)&gt;1,"; Profit Mismatch","")&amp;IF(COUNTIF($A$2:$A$913,A192)&gt;1,"; Duplicate Order ID Conflict",""),2)="; ",MID(AC192&amp;IF(B192="","; Missing Order Date","")&amp;IF(C192="","; Missing Ship Date","")&amp;IF(P192&lt;0,"; Invalid Discount (Negative)","")&amp;IF(P192&gt;0.5,"; Invalid Discount (Too High)","")&amp;IF(Z192&lt;0,"; Invalid Shipping Record (Ship Before Order)","")&amp;IF(ABS(Q192-W192)&gt;1,"; Sales Mismatch","")&amp;IF(ABS(S192-X192)&gt;1,"; Profit Mismatch","")&amp;IF(COUNTIF($A$2:$A$913,A192)&gt;1,"; Duplicate Order ID Conflict",""),3,500),AC192&amp;IF(B192="","; Missing Order Date","")&amp;IF(C192="","; Missing Ship Date","")&amp;IF(P192&lt;0,"; Invalid Discount (Negative)","")&amp;IF(P192&gt;0.5,"; Invalid Discount (Too High)","")&amp;IF(Z192&lt;0,"; Invalid Shipping Record (Ship Before Order)","")&amp;IF(ABS(Q192-W192)&gt;1,"; Sales Mismatch","")&amp;IF(ABS(S192-X192)&gt;1,"; Profit Mismatch","")&amp;IF(COUNTIF($A$2:$A$913,A192)&gt;1,"; Duplicate Order ID Conflict",""))</f>
        <v/>
      </c>
      <c r="AE192" s="10" t="str">
        <f aca="false">IF(OR(ISNUMBER(SEARCH("Invalid Discount",AD192)),ISNUMBER(SEARCH("Invalid Shipping Record",AD192)),ISNUMBER(SEARCH("Sales Mismatch",AD192)),ISNUMBER(SEARCH("Profit Mismatch",AD192)),ISNUMBER(SEARCH("Duplicate Order ID Conflict",AD192)),ISNUMBER(SEARCH("Missing Order Date",AD192)),ISNUMBER(SEARCH("Missing Ship Date",AD192))),"Invalid",IF(AD192&lt;&gt;"","Warning","Clean"))</f>
        <v>Clean</v>
      </c>
    </row>
    <row r="193" customFormat="false" ht="15" hidden="false" customHeight="true" outlineLevel="0" collapsed="false">
      <c r="A193" s="3" t="s">
        <v>604</v>
      </c>
      <c r="B193" s="4" t="n">
        <v>45584</v>
      </c>
      <c r="C193" s="4" t="n">
        <v>45589</v>
      </c>
      <c r="D193" s="3" t="s">
        <v>605</v>
      </c>
      <c r="E193" s="3" t="str">
        <f aca="false">PROPER(TRIM(SUBSTITUTE(Raw_Text_Fields!B194,CHAR(160)," ")))</f>
        <v>Sneha Kapoor</v>
      </c>
      <c r="F193" s="3" t="str">
        <f aca="false">PROPER(TRIM(SUBSTITUTE(Raw_Text_Fields!C194,CHAR(160)," ")))</f>
        <v>Small Business</v>
      </c>
      <c r="G193" s="3" t="str">
        <f aca="false">PROPER(TRIM(SUBSTITUTE(Raw_Text_Fields!D194,CHAR(160)," ")))</f>
        <v>South</v>
      </c>
      <c r="H193" s="3" t="str">
        <f aca="false">PROPER(TRIM(SUBSTITUTE(Raw_Text_Fields!E194,CHAR(160)," ")))</f>
        <v>Tamil Nadu</v>
      </c>
      <c r="I193" s="3" t="str">
        <f aca="false">PROPER(TRIM(SUBSTITUTE(Raw_Text_Fields!F194,CHAR(160)," ")))</f>
        <v>Chennai</v>
      </c>
      <c r="J193" s="3" t="str">
        <f aca="false">PROPER(TRIM(SUBSTITUTE(Raw_Text_Fields!G194,CHAR(160)," ")))</f>
        <v>Furniture</v>
      </c>
      <c r="K193" s="3" t="str">
        <f aca="false">PROPER(TRIM(SUBSTITUTE(Raw_Text_Fields!H194,CHAR(160)," ")))</f>
        <v>Bookcases</v>
      </c>
      <c r="L193" s="3" t="s">
        <v>606</v>
      </c>
      <c r="M193" s="3" t="str">
        <f aca="false">PROPER(TRIM(SUBSTITUTE(Raw_Text_Fields!I194,CHAR(160)," ")))</f>
        <v>Second Class</v>
      </c>
      <c r="N193" s="3" t="n">
        <v>6</v>
      </c>
      <c r="O193" s="5" t="n">
        <v>4308.4</v>
      </c>
      <c r="P193" s="6" t="n">
        <v>0.65</v>
      </c>
      <c r="Q193" s="5" t="n">
        <v>25850.4</v>
      </c>
      <c r="R193" s="5" t="n">
        <v>19397.68</v>
      </c>
      <c r="S193" s="5" t="n">
        <v>6452.72</v>
      </c>
      <c r="T193" s="3" t="str">
        <f aca="false">PROPER(TRIM(SUBSTITUTE(Raw_Text_Fields!J194,CHAR(160)," ")))</f>
        <v>Paid</v>
      </c>
      <c r="U193" s="3" t="str">
        <f aca="false">PROPER(TRIM(SUBSTITUTE(Raw_Text_Fields!K194,CHAR(160)," ")))</f>
        <v>Completed</v>
      </c>
      <c r="V193" s="7" t="n">
        <f aca="false">IF(OR(P193&lt;0,P193&gt;0.5),0,P193)</f>
        <v>0</v>
      </c>
      <c r="W193" s="8" t="n">
        <f aca="false">N193*O193*(1-V193)</f>
        <v>25850.4</v>
      </c>
      <c r="X193" s="8" t="n">
        <f aca="false">W193-R193</f>
        <v>6452.72</v>
      </c>
      <c r="Y193" s="7" t="n">
        <f aca="false">IFERROR(X193/W193,0)</f>
        <v>0.249617800885093</v>
      </c>
      <c r="Z193" s="9" t="n">
        <f aca="false">C193-B193</f>
        <v>5</v>
      </c>
      <c r="AA193" s="1" t="str">
        <f aca="false">IF(B193="","",TEXT(B193,"mmm"))</f>
        <v>Oct</v>
      </c>
      <c r="AB193" s="9" t="n">
        <f aca="false">IF(B193="","",YEAR(B193))</f>
        <v>2024</v>
      </c>
      <c r="AC193" s="3"/>
      <c r="AD193" s="3" t="str">
        <f aca="false">IF(LEFT(AC193&amp;IF(B193="","; Missing Order Date","")&amp;IF(C193="","; Missing Ship Date","")&amp;IF(P193&lt;0,"; Invalid Discount (Negative)","")&amp;IF(P193&gt;0.5,"; Invalid Discount (Too High)","")&amp;IF(Z193&lt;0,"; Invalid Shipping Record (Ship Before Order)","")&amp;IF(ABS(Q193-W193)&gt;1,"; Sales Mismatch","")&amp;IF(ABS(S193-X193)&gt;1,"; Profit Mismatch","")&amp;IF(COUNTIF($A$2:$A$913,A193)&gt;1,"; Duplicate Order ID Conflict",""),2)="; ",MID(AC193&amp;IF(B193="","; Missing Order Date","")&amp;IF(C193="","; Missing Ship Date","")&amp;IF(P193&lt;0,"; Invalid Discount (Negative)","")&amp;IF(P193&gt;0.5,"; Invalid Discount (Too High)","")&amp;IF(Z193&lt;0,"; Invalid Shipping Record (Ship Before Order)","")&amp;IF(ABS(Q193-W193)&gt;1,"; Sales Mismatch","")&amp;IF(ABS(S193-X193)&gt;1,"; Profit Mismatch","")&amp;IF(COUNTIF($A$2:$A$913,A193)&gt;1,"; Duplicate Order ID Conflict",""),3,500),AC193&amp;IF(B193="","; Missing Order Date","")&amp;IF(C193="","; Missing Ship Date","")&amp;IF(P193&lt;0,"; Invalid Discount (Negative)","")&amp;IF(P193&gt;0.5,"; Invalid Discount (Too High)","")&amp;IF(Z193&lt;0,"; Invalid Shipping Record (Ship Before Order)","")&amp;IF(ABS(Q193-W193)&gt;1,"; Sales Mismatch","")&amp;IF(ABS(S193-X193)&gt;1,"; Profit Mismatch","")&amp;IF(COUNTIF($A$2:$A$913,A193)&gt;1,"; Duplicate Order ID Conflict",""))</f>
        <v>Invalid Discount (Too High)</v>
      </c>
      <c r="AE193" s="10" t="str">
        <f aca="false">IF(OR(ISNUMBER(SEARCH("Invalid Discount",AD193)),ISNUMBER(SEARCH("Invalid Shipping Record",AD193)),ISNUMBER(SEARCH("Sales Mismatch",AD193)),ISNUMBER(SEARCH("Profit Mismatch",AD193)),ISNUMBER(SEARCH("Duplicate Order ID Conflict",AD193)),ISNUMBER(SEARCH("Missing Order Date",AD193)),ISNUMBER(SEARCH("Missing Ship Date",AD193))),"Invalid",IF(AD193&lt;&gt;"","Warning","Clean"))</f>
        <v>Invalid</v>
      </c>
    </row>
    <row r="194" customFormat="false" ht="15" hidden="false" customHeight="true" outlineLevel="0" collapsed="false">
      <c r="A194" s="3" t="s">
        <v>607</v>
      </c>
      <c r="B194" s="4" t="n">
        <v>45635</v>
      </c>
      <c r="C194" s="4" t="n">
        <v>45642</v>
      </c>
      <c r="D194" s="3" t="s">
        <v>608</v>
      </c>
      <c r="E194" s="3" t="str">
        <f aca="false">PROPER(TRIM(SUBSTITUTE(Raw_Text_Fields!B195,CHAR(160)," ")))</f>
        <v>Isha Nair</v>
      </c>
      <c r="F194" s="3" t="str">
        <f aca="false">PROPER(TRIM(SUBSTITUTE(Raw_Text_Fields!C195,CHAR(160)," ")))</f>
        <v>Home Office</v>
      </c>
      <c r="G194" s="3" t="str">
        <f aca="false">PROPER(TRIM(SUBSTITUTE(Raw_Text_Fields!D195,CHAR(160)," ")))</f>
        <v>West</v>
      </c>
      <c r="H194" s="3" t="str">
        <f aca="false">PROPER(TRIM(SUBSTITUTE(Raw_Text_Fields!E195,CHAR(160)," ")))</f>
        <v>Gujarat</v>
      </c>
      <c r="I194" s="3" t="str">
        <f aca="false">PROPER(TRIM(SUBSTITUTE(Raw_Text_Fields!F195,CHAR(160)," ")))</f>
        <v>Ahmedabad</v>
      </c>
      <c r="J194" s="3" t="str">
        <f aca="false">PROPER(TRIM(SUBSTITUTE(Raw_Text_Fields!G195,CHAR(160)," ")))</f>
        <v>Furniture</v>
      </c>
      <c r="K194" s="3" t="str">
        <f aca="false">PROPER(TRIM(SUBSTITUTE(Raw_Text_Fields!H195,CHAR(160)," ")))</f>
        <v>Chairs</v>
      </c>
      <c r="L194" s="3" t="s">
        <v>609</v>
      </c>
      <c r="M194" s="3" t="str">
        <f aca="false">PROPER(TRIM(SUBSTITUTE(Raw_Text_Fields!I195,CHAR(160)," ")))</f>
        <v>First Class</v>
      </c>
      <c r="N194" s="3" t="n">
        <v>4</v>
      </c>
      <c r="O194" s="5" t="n">
        <v>2191.03</v>
      </c>
      <c r="P194" s="6" t="n">
        <v>0</v>
      </c>
      <c r="Q194" s="5" t="n">
        <v>8764.12</v>
      </c>
      <c r="R194" s="5" t="n">
        <v>7220.05</v>
      </c>
      <c r="S194" s="5" t="n">
        <v>1544.07</v>
      </c>
      <c r="T194" s="3" t="str">
        <f aca="false">PROPER(TRIM(SUBSTITUTE(Raw_Text_Fields!J195,CHAR(160)," ")))</f>
        <v>Paid</v>
      </c>
      <c r="U194" s="3" t="str">
        <f aca="false">PROPER(TRIM(SUBSTITUTE(Raw_Text_Fields!K195,CHAR(160)," ")))</f>
        <v>Completed</v>
      </c>
      <c r="V194" s="7" t="n">
        <f aca="false">IF(OR(P194&lt;0,P194&gt;0.5),0,P194)</f>
        <v>0</v>
      </c>
      <c r="W194" s="8" t="n">
        <f aca="false">N194*O194*(1-V194)</f>
        <v>8764.12</v>
      </c>
      <c r="X194" s="8" t="n">
        <f aca="false">W194-R194</f>
        <v>1544.07</v>
      </c>
      <c r="Y194" s="7" t="n">
        <f aca="false">IFERROR(X194/W194,0)</f>
        <v>0.176180837323086</v>
      </c>
      <c r="Z194" s="9" t="n">
        <f aca="false">C194-B194</f>
        <v>7</v>
      </c>
      <c r="AA194" s="1" t="str">
        <f aca="false">IF(B194="","",TEXT(B194,"mmm"))</f>
        <v>Dec</v>
      </c>
      <c r="AB194" s="9" t="n">
        <f aca="false">IF(B194="","",YEAR(B194))</f>
        <v>2024</v>
      </c>
      <c r="AC194" s="3"/>
      <c r="AD194" s="3" t="str">
        <f aca="false">IF(LEFT(AC194&amp;IF(B194="","; Missing Order Date","")&amp;IF(C194="","; Missing Ship Date","")&amp;IF(P194&lt;0,"; Invalid Discount (Negative)","")&amp;IF(P194&gt;0.5,"; Invalid Discount (Too High)","")&amp;IF(Z194&lt;0,"; Invalid Shipping Record (Ship Before Order)","")&amp;IF(ABS(Q194-W194)&gt;1,"; Sales Mismatch","")&amp;IF(ABS(S194-X194)&gt;1,"; Profit Mismatch","")&amp;IF(COUNTIF($A$2:$A$913,A194)&gt;1,"; Duplicate Order ID Conflict",""),2)="; ",MID(AC194&amp;IF(B194="","; Missing Order Date","")&amp;IF(C194="","; Missing Ship Date","")&amp;IF(P194&lt;0,"; Invalid Discount (Negative)","")&amp;IF(P194&gt;0.5,"; Invalid Discount (Too High)","")&amp;IF(Z194&lt;0,"; Invalid Shipping Record (Ship Before Order)","")&amp;IF(ABS(Q194-W194)&gt;1,"; Sales Mismatch","")&amp;IF(ABS(S194-X194)&gt;1,"; Profit Mismatch","")&amp;IF(COUNTIF($A$2:$A$913,A194)&gt;1,"; Duplicate Order ID Conflict",""),3,500),AC194&amp;IF(B194="","; Missing Order Date","")&amp;IF(C194="","; Missing Ship Date","")&amp;IF(P194&lt;0,"; Invalid Discount (Negative)","")&amp;IF(P194&gt;0.5,"; Invalid Discount (Too High)","")&amp;IF(Z194&lt;0,"; Invalid Shipping Record (Ship Before Order)","")&amp;IF(ABS(Q194-W194)&gt;1,"; Sales Mismatch","")&amp;IF(ABS(S194-X194)&gt;1,"; Profit Mismatch","")&amp;IF(COUNTIF($A$2:$A$913,A194)&gt;1,"; Duplicate Order ID Conflict",""))</f>
        <v/>
      </c>
      <c r="AE194" s="10" t="str">
        <f aca="false">IF(OR(ISNUMBER(SEARCH("Invalid Discount",AD194)),ISNUMBER(SEARCH("Invalid Shipping Record",AD194)),ISNUMBER(SEARCH("Sales Mismatch",AD194)),ISNUMBER(SEARCH("Profit Mismatch",AD194)),ISNUMBER(SEARCH("Duplicate Order ID Conflict",AD194)),ISNUMBER(SEARCH("Missing Order Date",AD194)),ISNUMBER(SEARCH("Missing Ship Date",AD194))),"Invalid",IF(AD194&lt;&gt;"","Warning","Clean"))</f>
        <v>Clean</v>
      </c>
    </row>
    <row r="195" customFormat="false" ht="15" hidden="false" customHeight="true" outlineLevel="0" collapsed="false">
      <c r="A195" s="3" t="s">
        <v>610</v>
      </c>
      <c r="B195" s="4" t="n">
        <v>45466</v>
      </c>
      <c r="C195" s="4" t="n">
        <v>45471</v>
      </c>
      <c r="D195" s="3" t="s">
        <v>611</v>
      </c>
      <c r="E195" s="3" t="str">
        <f aca="false">PROPER(TRIM(SUBSTITUTE(Raw_Text_Fields!B196,CHAR(160)," ")))</f>
        <v>Priya Menon</v>
      </c>
      <c r="F195" s="3" t="str">
        <f aca="false">PROPER(TRIM(SUBSTITUTE(Raw_Text_Fields!C196,CHAR(160)," ")))</f>
        <v>Small Business</v>
      </c>
      <c r="G195" s="3" t="str">
        <f aca="false">PROPER(TRIM(SUBSTITUTE(Raw_Text_Fields!D196,CHAR(160)," ")))</f>
        <v>North</v>
      </c>
      <c r="H195" s="3" t="str">
        <f aca="false">PROPER(TRIM(SUBSTITUTE(Raw_Text_Fields!E196,CHAR(160)," ")))</f>
        <v>Punjab</v>
      </c>
      <c r="I195" s="3" t="str">
        <f aca="false">PROPER(TRIM(SUBSTITUTE(Raw_Text_Fields!F196,CHAR(160)," ")))</f>
        <v>Ludhiana</v>
      </c>
      <c r="J195" s="3" t="str">
        <f aca="false">PROPER(TRIM(SUBSTITUTE(Raw_Text_Fields!G196,CHAR(160)," ")))</f>
        <v>Technology</v>
      </c>
      <c r="K195" s="3" t="str">
        <f aca="false">PROPER(TRIM(SUBSTITUTE(Raw_Text_Fields!H196,CHAR(160)," ")))</f>
        <v>Copiers</v>
      </c>
      <c r="L195" s="3" t="s">
        <v>612</v>
      </c>
      <c r="M195" s="3" t="str">
        <f aca="false">PROPER(TRIM(SUBSTITUTE(Raw_Text_Fields!I196,CHAR(160)," ")))</f>
        <v>Same Day</v>
      </c>
      <c r="N195" s="3" t="n">
        <v>6</v>
      </c>
      <c r="O195" s="5" t="n">
        <v>1956.63</v>
      </c>
      <c r="P195" s="6" t="n">
        <v>0.2</v>
      </c>
      <c r="Q195" s="5" t="n">
        <v>9391.82</v>
      </c>
      <c r="R195" s="5" t="n">
        <v>6013.22</v>
      </c>
      <c r="S195" s="5" t="n">
        <v>3378.6</v>
      </c>
      <c r="T195" s="3" t="str">
        <f aca="false">PROPER(TRIM(SUBSTITUTE(Raw_Text_Fields!J196,CHAR(160)," ")))</f>
        <v>Refunded</v>
      </c>
      <c r="U195" s="3" t="str">
        <f aca="false">PROPER(TRIM(SUBSTITUTE(Raw_Text_Fields!K196,CHAR(160)," ")))</f>
        <v>Returned</v>
      </c>
      <c r="V195" s="7" t="n">
        <f aca="false">IF(OR(P195&lt;0,P195&gt;0.5),0,P195)</f>
        <v>0.2</v>
      </c>
      <c r="W195" s="8" t="n">
        <f aca="false">N195*O195*(1-V195)</f>
        <v>9391.824</v>
      </c>
      <c r="X195" s="8" t="n">
        <f aca="false">W195-R195</f>
        <v>3378.604</v>
      </c>
      <c r="Y195" s="7" t="n">
        <f aca="false">IFERROR(X195/W195,0)</f>
        <v>0.359738853709354</v>
      </c>
      <c r="Z195" s="9" t="n">
        <f aca="false">C195-B195</f>
        <v>5</v>
      </c>
      <c r="AA195" s="1" t="str">
        <f aca="false">IF(B195="","",TEXT(B195,"mmm"))</f>
        <v>Jun</v>
      </c>
      <c r="AB195" s="9" t="n">
        <f aca="false">IF(B195="","",YEAR(B195))</f>
        <v>2024</v>
      </c>
      <c r="AC195" s="3"/>
      <c r="AD195" s="3" t="str">
        <f aca="false">IF(LEFT(AC195&amp;IF(B195="","; Missing Order Date","")&amp;IF(C195="","; Missing Ship Date","")&amp;IF(P195&lt;0,"; Invalid Discount (Negative)","")&amp;IF(P195&gt;0.5,"; Invalid Discount (Too High)","")&amp;IF(Z195&lt;0,"; Invalid Shipping Record (Ship Before Order)","")&amp;IF(ABS(Q195-W195)&gt;1,"; Sales Mismatch","")&amp;IF(ABS(S195-X195)&gt;1,"; Profit Mismatch","")&amp;IF(COUNTIF($A$2:$A$913,A195)&gt;1,"; Duplicate Order ID Conflict",""),2)="; ",MID(AC195&amp;IF(B195="","; Missing Order Date","")&amp;IF(C195="","; Missing Ship Date","")&amp;IF(P195&lt;0,"; Invalid Discount (Negative)","")&amp;IF(P195&gt;0.5,"; Invalid Discount (Too High)","")&amp;IF(Z195&lt;0,"; Invalid Shipping Record (Ship Before Order)","")&amp;IF(ABS(Q195-W195)&gt;1,"; Sales Mismatch","")&amp;IF(ABS(S195-X195)&gt;1,"; Profit Mismatch","")&amp;IF(COUNTIF($A$2:$A$913,A195)&gt;1,"; Duplicate Order ID Conflict",""),3,500),AC195&amp;IF(B195="","; Missing Order Date","")&amp;IF(C195="","; Missing Ship Date","")&amp;IF(P195&lt;0,"; Invalid Discount (Negative)","")&amp;IF(P195&gt;0.5,"; Invalid Discount (Too High)","")&amp;IF(Z195&lt;0,"; Invalid Shipping Record (Ship Before Order)","")&amp;IF(ABS(Q195-W195)&gt;1,"; Sales Mismatch","")&amp;IF(ABS(S195-X195)&gt;1,"; Profit Mismatch","")&amp;IF(COUNTIF($A$2:$A$913,A195)&gt;1,"; Duplicate Order ID Conflict",""))</f>
        <v/>
      </c>
      <c r="AE195" s="10" t="str">
        <f aca="false">IF(OR(ISNUMBER(SEARCH("Invalid Discount",AD195)),ISNUMBER(SEARCH("Invalid Shipping Record",AD195)),ISNUMBER(SEARCH("Sales Mismatch",AD195)),ISNUMBER(SEARCH("Profit Mismatch",AD195)),ISNUMBER(SEARCH("Duplicate Order ID Conflict",AD195)),ISNUMBER(SEARCH("Missing Order Date",AD195)),ISNUMBER(SEARCH("Missing Ship Date",AD195))),"Invalid",IF(AD195&lt;&gt;"","Warning","Clean"))</f>
        <v>Clean</v>
      </c>
    </row>
    <row r="196" customFormat="false" ht="15" hidden="false" customHeight="true" outlineLevel="0" collapsed="false">
      <c r="A196" s="3" t="s">
        <v>613</v>
      </c>
      <c r="B196" s="4" t="n">
        <v>45685</v>
      </c>
      <c r="C196" s="4" t="n">
        <v>45688</v>
      </c>
      <c r="D196" s="3" t="s">
        <v>614</v>
      </c>
      <c r="E196" s="3" t="str">
        <f aca="false">PROPER(TRIM(SUBSTITUTE(Raw_Text_Fields!B197,CHAR(160)," ")))</f>
        <v>Priya Menon</v>
      </c>
      <c r="F196" s="3" t="str">
        <f aca="false">PROPER(TRIM(SUBSTITUTE(Raw_Text_Fields!C197,CHAR(160)," ")))</f>
        <v>Consumer</v>
      </c>
      <c r="G196" s="3" t="str">
        <f aca="false">PROPER(TRIM(SUBSTITUTE(Raw_Text_Fields!D197,CHAR(160)," ")))</f>
        <v>West</v>
      </c>
      <c r="H196" s="3" t="str">
        <f aca="false">PROPER(TRIM(SUBSTITUTE(Raw_Text_Fields!E197,CHAR(160)," ")))</f>
        <v>Maharashtra</v>
      </c>
      <c r="I196" s="3" t="str">
        <f aca="false">PROPER(TRIM(SUBSTITUTE(Raw_Text_Fields!F197,CHAR(160)," ")))</f>
        <v>Mumbai</v>
      </c>
      <c r="J196" s="3" t="str">
        <f aca="false">PROPER(TRIM(SUBSTITUTE(Raw_Text_Fields!G197,CHAR(160)," ")))</f>
        <v>Furniture</v>
      </c>
      <c r="K196" s="3" t="str">
        <f aca="false">PROPER(TRIM(SUBSTITUTE(Raw_Text_Fields!H197,CHAR(160)," ")))</f>
        <v>Furnishings</v>
      </c>
      <c r="L196" s="3" t="s">
        <v>615</v>
      </c>
      <c r="M196" s="3" t="str">
        <f aca="false">PROPER(TRIM(SUBSTITUTE(Raw_Text_Fields!I197,CHAR(160)," ")))</f>
        <v>First Class</v>
      </c>
      <c r="N196" s="3" t="n">
        <v>9</v>
      </c>
      <c r="O196" s="5" t="n">
        <v>858.39</v>
      </c>
      <c r="P196" s="6" t="n">
        <v>0.05</v>
      </c>
      <c r="Q196" s="5" t="n">
        <v>7339.23</v>
      </c>
      <c r="R196" s="5" t="n">
        <v>5434.12</v>
      </c>
      <c r="S196" s="5" t="n">
        <v>1905.11</v>
      </c>
      <c r="T196" s="3" t="str">
        <f aca="false">PROPER(TRIM(SUBSTITUTE(Raw_Text_Fields!J197,CHAR(160)," ")))</f>
        <v>Pending</v>
      </c>
      <c r="U196" s="3" t="str">
        <f aca="false">PROPER(TRIM(SUBSTITUTE(Raw_Text_Fields!K197,CHAR(160)," ")))</f>
        <v>Returned</v>
      </c>
      <c r="V196" s="7" t="n">
        <f aca="false">IF(OR(P196&lt;0,P196&gt;0.5),0,P196)</f>
        <v>0.05</v>
      </c>
      <c r="W196" s="8" t="n">
        <f aca="false">N196*O196*(1-V196)</f>
        <v>7339.2345</v>
      </c>
      <c r="X196" s="8" t="n">
        <f aca="false">W196-R196</f>
        <v>1905.1145</v>
      </c>
      <c r="Y196" s="7" t="n">
        <f aca="false">IFERROR(X196/W196,0)</f>
        <v>0.259579456140828</v>
      </c>
      <c r="Z196" s="9" t="n">
        <f aca="false">C196-B196</f>
        <v>3</v>
      </c>
      <c r="AA196" s="1" t="str">
        <f aca="false">IF(B196="","",TEXT(B196,"mmm"))</f>
        <v>Jan</v>
      </c>
      <c r="AB196" s="9" t="n">
        <f aca="false">IF(B196="","",YEAR(B196))</f>
        <v>2025</v>
      </c>
      <c r="AC196" s="3"/>
      <c r="AD196" s="3" t="str">
        <f aca="false">IF(LEFT(AC196&amp;IF(B196="","; Missing Order Date","")&amp;IF(C196="","; Missing Ship Date","")&amp;IF(P196&lt;0,"; Invalid Discount (Negative)","")&amp;IF(P196&gt;0.5,"; Invalid Discount (Too High)","")&amp;IF(Z196&lt;0,"; Invalid Shipping Record (Ship Before Order)","")&amp;IF(ABS(Q196-W196)&gt;1,"; Sales Mismatch","")&amp;IF(ABS(S196-X196)&gt;1,"; Profit Mismatch","")&amp;IF(COUNTIF($A$2:$A$913,A196)&gt;1,"; Duplicate Order ID Conflict",""),2)="; ",MID(AC196&amp;IF(B196="","; Missing Order Date","")&amp;IF(C196="","; Missing Ship Date","")&amp;IF(P196&lt;0,"; Invalid Discount (Negative)","")&amp;IF(P196&gt;0.5,"; Invalid Discount (Too High)","")&amp;IF(Z196&lt;0,"; Invalid Shipping Record (Ship Before Order)","")&amp;IF(ABS(Q196-W196)&gt;1,"; Sales Mismatch","")&amp;IF(ABS(S196-X196)&gt;1,"; Profit Mismatch","")&amp;IF(COUNTIF($A$2:$A$913,A196)&gt;1,"; Duplicate Order ID Conflict",""),3,500),AC196&amp;IF(B196="","; Missing Order Date","")&amp;IF(C196="","; Missing Ship Date","")&amp;IF(P196&lt;0,"; Invalid Discount (Negative)","")&amp;IF(P196&gt;0.5,"; Invalid Discount (Too High)","")&amp;IF(Z196&lt;0,"; Invalid Shipping Record (Ship Before Order)","")&amp;IF(ABS(Q196-W196)&gt;1,"; Sales Mismatch","")&amp;IF(ABS(S196-X196)&gt;1,"; Profit Mismatch","")&amp;IF(COUNTIF($A$2:$A$913,A196)&gt;1,"; Duplicate Order ID Conflict",""))</f>
        <v/>
      </c>
      <c r="AE196" s="10" t="str">
        <f aca="false">IF(OR(ISNUMBER(SEARCH("Invalid Discount",AD196)),ISNUMBER(SEARCH("Invalid Shipping Record",AD196)),ISNUMBER(SEARCH("Sales Mismatch",AD196)),ISNUMBER(SEARCH("Profit Mismatch",AD196)),ISNUMBER(SEARCH("Duplicate Order ID Conflict",AD196)),ISNUMBER(SEARCH("Missing Order Date",AD196)),ISNUMBER(SEARCH("Missing Ship Date",AD196))),"Invalid",IF(AD196&lt;&gt;"","Warning","Clean"))</f>
        <v>Clean</v>
      </c>
    </row>
    <row r="197" customFormat="false" ht="15" hidden="false" customHeight="true" outlineLevel="0" collapsed="false">
      <c r="A197" s="3" t="s">
        <v>616</v>
      </c>
      <c r="B197" s="4" t="n">
        <v>45860</v>
      </c>
      <c r="C197" s="4" t="n">
        <v>45862</v>
      </c>
      <c r="D197" s="3" t="s">
        <v>617</v>
      </c>
      <c r="E197" s="3" t="str">
        <f aca="false">PROPER(TRIM(SUBSTITUTE(Raw_Text_Fields!B198,CHAR(160)," ")))</f>
        <v>Neha Gupta</v>
      </c>
      <c r="F197" s="3" t="str">
        <f aca="false">PROPER(TRIM(SUBSTITUTE(Raw_Text_Fields!C198,CHAR(160)," ")))</f>
        <v>Home Office</v>
      </c>
      <c r="G197" s="3" t="str">
        <f aca="false">PROPER(TRIM(SUBSTITUTE(Raw_Text_Fields!D198,CHAR(160)," ")))</f>
        <v>South</v>
      </c>
      <c r="H197" s="3" t="str">
        <f aca="false">PROPER(TRIM(SUBSTITUTE(Raw_Text_Fields!E198,CHAR(160)," ")))</f>
        <v>Andhra Pradesh</v>
      </c>
      <c r="I197" s="3" t="str">
        <f aca="false">PROPER(TRIM(SUBSTITUTE(Raw_Text_Fields!F198,CHAR(160)," ")))</f>
        <v>Vijayawada</v>
      </c>
      <c r="J197" s="3" t="str">
        <f aca="false">PROPER(TRIM(SUBSTITUTE(Raw_Text_Fields!G198,CHAR(160)," ")))</f>
        <v>Furniture</v>
      </c>
      <c r="K197" s="3" t="str">
        <f aca="false">PROPER(TRIM(SUBSTITUTE(Raw_Text_Fields!H198,CHAR(160)," ")))</f>
        <v>Furnishings</v>
      </c>
      <c r="L197" s="3" t="s">
        <v>618</v>
      </c>
      <c r="M197" s="3" t="str">
        <f aca="false">PROPER(TRIM(SUBSTITUTE(Raw_Text_Fields!I198,CHAR(160)," ")))</f>
        <v>Same Day</v>
      </c>
      <c r="N197" s="3" t="n">
        <v>5</v>
      </c>
      <c r="O197" s="5" t="n">
        <v>1922.83</v>
      </c>
      <c r="P197" s="6" t="n">
        <v>0</v>
      </c>
      <c r="Q197" s="5" t="n">
        <v>9614.15</v>
      </c>
      <c r="R197" s="5" t="n">
        <v>7576.84</v>
      </c>
      <c r="S197" s="5" t="n">
        <v>2037.31</v>
      </c>
      <c r="T197" s="3" t="str">
        <f aca="false">PROPER(TRIM(SUBSTITUTE(Raw_Text_Fields!J198,CHAR(160)," ")))</f>
        <v>Paid</v>
      </c>
      <c r="U197" s="3" t="str">
        <f aca="false">PROPER(TRIM(SUBSTITUTE(Raw_Text_Fields!K198,CHAR(160)," ")))</f>
        <v>Completed</v>
      </c>
      <c r="V197" s="7" t="n">
        <f aca="false">IF(OR(P197&lt;0,P197&gt;0.5),0,P197)</f>
        <v>0</v>
      </c>
      <c r="W197" s="8" t="n">
        <f aca="false">N197*O197*(1-V197)</f>
        <v>9614.15</v>
      </c>
      <c r="X197" s="8" t="n">
        <f aca="false">W197-R197</f>
        <v>2037.31</v>
      </c>
      <c r="Y197" s="7" t="n">
        <f aca="false">IFERROR(X197/W197,0)</f>
        <v>0.211907448916441</v>
      </c>
      <c r="Z197" s="9" t="n">
        <f aca="false">C197-B197</f>
        <v>2</v>
      </c>
      <c r="AA197" s="1" t="str">
        <f aca="false">IF(B197="","",TEXT(B197,"mmm"))</f>
        <v>Jul</v>
      </c>
      <c r="AB197" s="9" t="n">
        <f aca="false">IF(B197="","",YEAR(B197))</f>
        <v>2025</v>
      </c>
      <c r="AC197" s="3"/>
      <c r="AD197" s="3" t="str">
        <f aca="false">IF(LEFT(AC197&amp;IF(B197="","; Missing Order Date","")&amp;IF(C197="","; Missing Ship Date","")&amp;IF(P197&lt;0,"; Invalid Discount (Negative)","")&amp;IF(P197&gt;0.5,"; Invalid Discount (Too High)","")&amp;IF(Z197&lt;0,"; Invalid Shipping Record (Ship Before Order)","")&amp;IF(ABS(Q197-W197)&gt;1,"; Sales Mismatch","")&amp;IF(ABS(S197-X197)&gt;1,"; Profit Mismatch","")&amp;IF(COUNTIF($A$2:$A$913,A197)&gt;1,"; Duplicate Order ID Conflict",""),2)="; ",MID(AC197&amp;IF(B197="","; Missing Order Date","")&amp;IF(C197="","; Missing Ship Date","")&amp;IF(P197&lt;0,"; Invalid Discount (Negative)","")&amp;IF(P197&gt;0.5,"; Invalid Discount (Too High)","")&amp;IF(Z197&lt;0,"; Invalid Shipping Record (Ship Before Order)","")&amp;IF(ABS(Q197-W197)&gt;1,"; Sales Mismatch","")&amp;IF(ABS(S197-X197)&gt;1,"; Profit Mismatch","")&amp;IF(COUNTIF($A$2:$A$913,A197)&gt;1,"; Duplicate Order ID Conflict",""),3,500),AC197&amp;IF(B197="","; Missing Order Date","")&amp;IF(C197="","; Missing Ship Date","")&amp;IF(P197&lt;0,"; Invalid Discount (Negative)","")&amp;IF(P197&gt;0.5,"; Invalid Discount (Too High)","")&amp;IF(Z197&lt;0,"; Invalid Shipping Record (Ship Before Order)","")&amp;IF(ABS(Q197-W197)&gt;1,"; Sales Mismatch","")&amp;IF(ABS(S197-X197)&gt;1,"; Profit Mismatch","")&amp;IF(COUNTIF($A$2:$A$913,A197)&gt;1,"; Duplicate Order ID Conflict",""))</f>
        <v/>
      </c>
      <c r="AE197" s="10" t="str">
        <f aca="false">IF(OR(ISNUMBER(SEARCH("Invalid Discount",AD197)),ISNUMBER(SEARCH("Invalid Shipping Record",AD197)),ISNUMBER(SEARCH("Sales Mismatch",AD197)),ISNUMBER(SEARCH("Profit Mismatch",AD197)),ISNUMBER(SEARCH("Duplicate Order ID Conflict",AD197)),ISNUMBER(SEARCH("Missing Order Date",AD197)),ISNUMBER(SEARCH("Missing Ship Date",AD197))),"Invalid",IF(AD197&lt;&gt;"","Warning","Clean"))</f>
        <v>Clean</v>
      </c>
    </row>
    <row r="198" customFormat="false" ht="15" hidden="false" customHeight="true" outlineLevel="0" collapsed="false">
      <c r="A198" s="3" t="s">
        <v>619</v>
      </c>
      <c r="B198" s="4" t="n">
        <v>45313</v>
      </c>
      <c r="C198" s="4" t="n">
        <v>45316</v>
      </c>
      <c r="D198" s="3" t="s">
        <v>620</v>
      </c>
      <c r="E198" s="3" t="str">
        <f aca="false">PROPER(TRIM(SUBSTITUTE(Raw_Text_Fields!B199,CHAR(160)," ")))</f>
        <v>Kabir Singh</v>
      </c>
      <c r="F198" s="3" t="str">
        <f aca="false">PROPER(TRIM(SUBSTITUTE(Raw_Text_Fields!C199,CHAR(160)," ")))</f>
        <v>Home Office</v>
      </c>
      <c r="G198" s="3" t="str">
        <f aca="false">PROPER(TRIM(SUBSTITUTE(Raw_Text_Fields!D199,CHAR(160)," ")))</f>
        <v>North</v>
      </c>
      <c r="H198" s="3" t="str">
        <f aca="false">PROPER(TRIM(SUBSTITUTE(Raw_Text_Fields!E199,CHAR(160)," ")))</f>
        <v>Uttar Pradesh</v>
      </c>
      <c r="I198" s="3" t="str">
        <f aca="false">PROPER(TRIM(SUBSTITUTE(Raw_Text_Fields!F199,CHAR(160)," ")))</f>
        <v>Noida</v>
      </c>
      <c r="J198" s="3" t="str">
        <f aca="false">PROPER(TRIM(SUBSTITUTE(Raw_Text_Fields!G199,CHAR(160)," ")))</f>
        <v>Office Supplies</v>
      </c>
      <c r="K198" s="3" t="str">
        <f aca="false">PROPER(TRIM(SUBSTITUTE(Raw_Text_Fields!H199,CHAR(160)," ")))</f>
        <v>Storage</v>
      </c>
      <c r="L198" s="3" t="s">
        <v>621</v>
      </c>
      <c r="M198" s="3" t="str">
        <f aca="false">PROPER(TRIM(SUBSTITUTE(Raw_Text_Fields!I199,CHAR(160)," ")))</f>
        <v>First Class</v>
      </c>
      <c r="N198" s="3" t="n">
        <v>3</v>
      </c>
      <c r="O198" s="5" t="n">
        <v>1212.03</v>
      </c>
      <c r="P198" s="6" t="n">
        <v>0.1</v>
      </c>
      <c r="Q198" s="5" t="n">
        <v>3272.48</v>
      </c>
      <c r="R198" s="5" t="n">
        <v>2517.44</v>
      </c>
      <c r="S198" s="5" t="n">
        <v>755.04</v>
      </c>
      <c r="T198" s="3" t="str">
        <f aca="false">PROPER(TRIM(SUBSTITUTE(Raw_Text_Fields!J199,CHAR(160)," ")))</f>
        <v>Paid</v>
      </c>
      <c r="U198" s="3" t="str">
        <f aca="false">PROPER(TRIM(SUBSTITUTE(Raw_Text_Fields!K199,CHAR(160)," ")))</f>
        <v>Completed</v>
      </c>
      <c r="V198" s="7" t="n">
        <f aca="false">IF(OR(P198&lt;0,P198&gt;0.5),0,P198)</f>
        <v>0.1</v>
      </c>
      <c r="W198" s="8" t="n">
        <f aca="false">N198*O198*(1-V198)</f>
        <v>3272.481</v>
      </c>
      <c r="X198" s="8" t="n">
        <f aca="false">W198-R198</f>
        <v>755.041</v>
      </c>
      <c r="Y198" s="7" t="n">
        <f aca="false">IFERROR(X198/W198,0)</f>
        <v>0.230724334228373</v>
      </c>
      <c r="Z198" s="9" t="n">
        <f aca="false">C198-B198</f>
        <v>3</v>
      </c>
      <c r="AA198" s="1" t="str">
        <f aca="false">IF(B198="","",TEXT(B198,"mmm"))</f>
        <v>Jan</v>
      </c>
      <c r="AB198" s="9" t="n">
        <f aca="false">IF(B198="","",YEAR(B198))</f>
        <v>2024</v>
      </c>
      <c r="AC198" s="3"/>
      <c r="AD198" s="3" t="str">
        <f aca="false">IF(LEFT(AC198&amp;IF(B198="","; Missing Order Date","")&amp;IF(C198="","; Missing Ship Date","")&amp;IF(P198&lt;0,"; Invalid Discount (Negative)","")&amp;IF(P198&gt;0.5,"; Invalid Discount (Too High)","")&amp;IF(Z198&lt;0,"; Invalid Shipping Record (Ship Before Order)","")&amp;IF(ABS(Q198-W198)&gt;1,"; Sales Mismatch","")&amp;IF(ABS(S198-X198)&gt;1,"; Profit Mismatch","")&amp;IF(COUNTIF($A$2:$A$913,A198)&gt;1,"; Duplicate Order ID Conflict",""),2)="; ",MID(AC198&amp;IF(B198="","; Missing Order Date","")&amp;IF(C198="","; Missing Ship Date","")&amp;IF(P198&lt;0,"; Invalid Discount (Negative)","")&amp;IF(P198&gt;0.5,"; Invalid Discount (Too High)","")&amp;IF(Z198&lt;0,"; Invalid Shipping Record (Ship Before Order)","")&amp;IF(ABS(Q198-W198)&gt;1,"; Sales Mismatch","")&amp;IF(ABS(S198-X198)&gt;1,"; Profit Mismatch","")&amp;IF(COUNTIF($A$2:$A$913,A198)&gt;1,"; Duplicate Order ID Conflict",""),3,500),AC198&amp;IF(B198="","; Missing Order Date","")&amp;IF(C198="","; Missing Ship Date","")&amp;IF(P198&lt;0,"; Invalid Discount (Negative)","")&amp;IF(P198&gt;0.5,"; Invalid Discount (Too High)","")&amp;IF(Z198&lt;0,"; Invalid Shipping Record (Ship Before Order)","")&amp;IF(ABS(Q198-W198)&gt;1,"; Sales Mismatch","")&amp;IF(ABS(S198-X198)&gt;1,"; Profit Mismatch","")&amp;IF(COUNTIF($A$2:$A$913,A198)&gt;1,"; Duplicate Order ID Conflict",""))</f>
        <v/>
      </c>
      <c r="AE198" s="10" t="str">
        <f aca="false">IF(OR(ISNUMBER(SEARCH("Invalid Discount",AD198)),ISNUMBER(SEARCH("Invalid Shipping Record",AD198)),ISNUMBER(SEARCH("Sales Mismatch",AD198)),ISNUMBER(SEARCH("Profit Mismatch",AD198)),ISNUMBER(SEARCH("Duplicate Order ID Conflict",AD198)),ISNUMBER(SEARCH("Missing Order Date",AD198)),ISNUMBER(SEARCH("Missing Ship Date",AD198))),"Invalid",IF(AD198&lt;&gt;"","Warning","Clean"))</f>
        <v>Clean</v>
      </c>
    </row>
    <row r="199" customFormat="false" ht="15" hidden="false" customHeight="true" outlineLevel="0" collapsed="false">
      <c r="A199" s="3" t="s">
        <v>622</v>
      </c>
      <c r="B199" s="4" t="n">
        <v>45747</v>
      </c>
      <c r="C199" s="4" t="n">
        <v>45754</v>
      </c>
      <c r="D199" s="3" t="s">
        <v>313</v>
      </c>
      <c r="E199" s="3" t="str">
        <f aca="false">PROPER(TRIM(SUBSTITUTE(Raw_Text_Fields!B200,CHAR(160)," ")))</f>
        <v>Rahul Verma</v>
      </c>
      <c r="F199" s="3" t="str">
        <f aca="false">PROPER(TRIM(SUBSTITUTE(Raw_Text_Fields!C200,CHAR(160)," ")))</f>
        <v>Small Business</v>
      </c>
      <c r="G199" s="3" t="str">
        <f aca="false">PROPER(TRIM(SUBSTITUTE(Raw_Text_Fields!D200,CHAR(160)," ")))</f>
        <v>East</v>
      </c>
      <c r="H199" s="3" t="str">
        <f aca="false">PROPER(TRIM(SUBSTITUTE(Raw_Text_Fields!E200,CHAR(160)," ")))</f>
        <v>Bihar</v>
      </c>
      <c r="I199" s="3" t="str">
        <f aca="false">PROPER(TRIM(SUBSTITUTE(Raw_Text_Fields!F200,CHAR(160)," ")))</f>
        <v>Patna</v>
      </c>
      <c r="J199" s="3" t="str">
        <f aca="false">PROPER(TRIM(SUBSTITUTE(Raw_Text_Fields!G200,CHAR(160)," ")))</f>
        <v>Office Supplies</v>
      </c>
      <c r="K199" s="3" t="str">
        <f aca="false">PROPER(TRIM(SUBSTITUTE(Raw_Text_Fields!H200,CHAR(160)," ")))</f>
        <v>Storage</v>
      </c>
      <c r="L199" s="3" t="s">
        <v>623</v>
      </c>
      <c r="M199" s="3" t="str">
        <f aca="false">PROPER(TRIM(SUBSTITUTE(Raw_Text_Fields!I200,CHAR(160)," ")))</f>
        <v>Second Class</v>
      </c>
      <c r="N199" s="3" t="n">
        <v>5</v>
      </c>
      <c r="O199" s="5" t="n">
        <v>4096.44</v>
      </c>
      <c r="P199" s="6" t="n">
        <v>0.15</v>
      </c>
      <c r="Q199" s="5" t="n">
        <v>17409.87</v>
      </c>
      <c r="R199" s="5" t="n">
        <v>14076.25</v>
      </c>
      <c r="S199" s="5" t="n">
        <v>3333.62</v>
      </c>
      <c r="T199" s="3" t="str">
        <f aca="false">PROPER(TRIM(SUBSTITUTE(Raw_Text_Fields!J200,CHAR(160)," ")))</f>
        <v>Paid</v>
      </c>
      <c r="U199" s="3" t="str">
        <f aca="false">PROPER(TRIM(SUBSTITUTE(Raw_Text_Fields!K200,CHAR(160)," ")))</f>
        <v>Completed</v>
      </c>
      <c r="V199" s="7" t="n">
        <f aca="false">IF(OR(P199&lt;0,P199&gt;0.5),0,P199)</f>
        <v>0.15</v>
      </c>
      <c r="W199" s="8" t="n">
        <f aca="false">N199*O199*(1-V199)</f>
        <v>17409.87</v>
      </c>
      <c r="X199" s="8" t="n">
        <f aca="false">W199-R199</f>
        <v>3333.62</v>
      </c>
      <c r="Y199" s="7" t="n">
        <f aca="false">IFERROR(X199/W199,0)</f>
        <v>0.191478741656313</v>
      </c>
      <c r="Z199" s="9" t="n">
        <f aca="false">C199-B199</f>
        <v>7</v>
      </c>
      <c r="AA199" s="1" t="str">
        <f aca="false">IF(B199="","",TEXT(B199,"mmm"))</f>
        <v>Mar</v>
      </c>
      <c r="AB199" s="9" t="n">
        <f aca="false">IF(B199="","",YEAR(B199))</f>
        <v>2025</v>
      </c>
      <c r="AC199" s="3"/>
      <c r="AD199" s="3" t="str">
        <f aca="false">IF(LEFT(AC199&amp;IF(B199="","; Missing Order Date","")&amp;IF(C199="","; Missing Ship Date","")&amp;IF(P199&lt;0,"; Invalid Discount (Negative)","")&amp;IF(P199&gt;0.5,"; Invalid Discount (Too High)","")&amp;IF(Z199&lt;0,"; Invalid Shipping Record (Ship Before Order)","")&amp;IF(ABS(Q199-W199)&gt;1,"; Sales Mismatch","")&amp;IF(ABS(S199-X199)&gt;1,"; Profit Mismatch","")&amp;IF(COUNTIF($A$2:$A$913,A199)&gt;1,"; Duplicate Order ID Conflict",""),2)="; ",MID(AC199&amp;IF(B199="","; Missing Order Date","")&amp;IF(C199="","; Missing Ship Date","")&amp;IF(P199&lt;0,"; Invalid Discount (Negative)","")&amp;IF(P199&gt;0.5,"; Invalid Discount (Too High)","")&amp;IF(Z199&lt;0,"; Invalid Shipping Record (Ship Before Order)","")&amp;IF(ABS(Q199-W199)&gt;1,"; Sales Mismatch","")&amp;IF(ABS(S199-X199)&gt;1,"; Profit Mismatch","")&amp;IF(COUNTIF($A$2:$A$913,A199)&gt;1,"; Duplicate Order ID Conflict",""),3,500),AC199&amp;IF(B199="","; Missing Order Date","")&amp;IF(C199="","; Missing Ship Date","")&amp;IF(P199&lt;0,"; Invalid Discount (Negative)","")&amp;IF(P199&gt;0.5,"; Invalid Discount (Too High)","")&amp;IF(Z199&lt;0,"; Invalid Shipping Record (Ship Before Order)","")&amp;IF(ABS(Q199-W199)&gt;1,"; Sales Mismatch","")&amp;IF(ABS(S199-X199)&gt;1,"; Profit Mismatch","")&amp;IF(COUNTIF($A$2:$A$913,A199)&gt;1,"; Duplicate Order ID Conflict",""))</f>
        <v/>
      </c>
      <c r="AE199" s="10" t="str">
        <f aca="false">IF(OR(ISNUMBER(SEARCH("Invalid Discount",AD199)),ISNUMBER(SEARCH("Invalid Shipping Record",AD199)),ISNUMBER(SEARCH("Sales Mismatch",AD199)),ISNUMBER(SEARCH("Profit Mismatch",AD199)),ISNUMBER(SEARCH("Duplicate Order ID Conflict",AD199)),ISNUMBER(SEARCH("Missing Order Date",AD199)),ISNUMBER(SEARCH("Missing Ship Date",AD199))),"Invalid",IF(AD199&lt;&gt;"","Warning","Clean"))</f>
        <v>Clean</v>
      </c>
    </row>
    <row r="200" customFormat="false" ht="15" hidden="false" customHeight="true" outlineLevel="0" collapsed="false">
      <c r="A200" s="3" t="s">
        <v>624</v>
      </c>
      <c r="B200" s="4" t="n">
        <v>45448</v>
      </c>
      <c r="C200" s="4" t="n">
        <v>45449</v>
      </c>
      <c r="D200" s="3" t="s">
        <v>625</v>
      </c>
      <c r="E200" s="3" t="str">
        <f aca="false">PROPER(TRIM(SUBSTITUTE(Raw_Text_Fields!B201,CHAR(160)," ")))</f>
        <v>Sneha Kapoor</v>
      </c>
      <c r="F200" s="3" t="str">
        <f aca="false">PROPER(TRIM(SUBSTITUTE(Raw_Text_Fields!C201,CHAR(160)," ")))</f>
        <v>Consumer</v>
      </c>
      <c r="G200" s="3" t="str">
        <f aca="false">PROPER(TRIM(SUBSTITUTE(Raw_Text_Fields!D201,CHAR(160)," ")))</f>
        <v>West</v>
      </c>
      <c r="H200" s="3" t="str">
        <f aca="false">PROPER(TRIM(SUBSTITUTE(Raw_Text_Fields!E201,CHAR(160)," ")))</f>
        <v>Gujarat</v>
      </c>
      <c r="I200" s="3" t="str">
        <f aca="false">PROPER(TRIM(SUBSTITUTE(Raw_Text_Fields!F201,CHAR(160)," ")))</f>
        <v>Ahmedabad</v>
      </c>
      <c r="J200" s="3" t="str">
        <f aca="false">PROPER(TRIM(SUBSTITUTE(Raw_Text_Fields!G201,CHAR(160)," ")))</f>
        <v>Office Supplies</v>
      </c>
      <c r="K200" s="3" t="str">
        <f aca="false">PROPER(TRIM(SUBSTITUTE(Raw_Text_Fields!H201,CHAR(160)," ")))</f>
        <v>Art</v>
      </c>
      <c r="L200" s="3" t="s">
        <v>626</v>
      </c>
      <c r="M200" s="3" t="str">
        <f aca="false">PROPER(TRIM(SUBSTITUTE(Raw_Text_Fields!I201,CHAR(160)," ")))</f>
        <v>Second Class</v>
      </c>
      <c r="N200" s="3" t="n">
        <v>1</v>
      </c>
      <c r="O200" s="5" t="n">
        <v>1184.58</v>
      </c>
      <c r="P200" s="6" t="n">
        <v>0.05</v>
      </c>
      <c r="Q200" s="5" t="n">
        <v>1125.35</v>
      </c>
      <c r="R200" s="5" t="n">
        <v>676.97</v>
      </c>
      <c r="S200" s="5" t="n">
        <v>448.38</v>
      </c>
      <c r="T200" s="3" t="str">
        <f aca="false">PROPER(TRIM(SUBSTITUTE(Raw_Text_Fields!J201,CHAR(160)," ")))</f>
        <v>Failed</v>
      </c>
      <c r="U200" s="3" t="str">
        <f aca="false">PROPER(TRIM(SUBSTITUTE(Raw_Text_Fields!K201,CHAR(160)," ")))</f>
        <v>Cancelled</v>
      </c>
      <c r="V200" s="7" t="n">
        <f aca="false">IF(OR(P200&lt;0,P200&gt;0.5),0,P200)</f>
        <v>0.05</v>
      </c>
      <c r="W200" s="8" t="n">
        <f aca="false">N200*O200*(1-V200)</f>
        <v>1125.351</v>
      </c>
      <c r="X200" s="8" t="n">
        <f aca="false">W200-R200</f>
        <v>448.381</v>
      </c>
      <c r="Y200" s="7" t="n">
        <f aca="false">IFERROR(X200/W200,0)</f>
        <v>0.398436576676966</v>
      </c>
      <c r="Z200" s="9" t="n">
        <f aca="false">C200-B200</f>
        <v>1</v>
      </c>
      <c r="AA200" s="1" t="str">
        <f aca="false">IF(B200="","",TEXT(B200,"mmm"))</f>
        <v>Jun</v>
      </c>
      <c r="AB200" s="9" t="n">
        <f aca="false">IF(B200="","",YEAR(B200))</f>
        <v>2024</v>
      </c>
      <c r="AC200" s="3"/>
      <c r="AD200" s="3" t="str">
        <f aca="false">IF(LEFT(AC200&amp;IF(B200="","; Missing Order Date","")&amp;IF(C200="","; Missing Ship Date","")&amp;IF(P200&lt;0,"; Invalid Discount (Negative)","")&amp;IF(P200&gt;0.5,"; Invalid Discount (Too High)","")&amp;IF(Z200&lt;0,"; Invalid Shipping Record (Ship Before Order)","")&amp;IF(ABS(Q200-W200)&gt;1,"; Sales Mismatch","")&amp;IF(ABS(S200-X200)&gt;1,"; Profit Mismatch","")&amp;IF(COUNTIF($A$2:$A$913,A200)&gt;1,"; Duplicate Order ID Conflict",""),2)="; ",MID(AC200&amp;IF(B200="","; Missing Order Date","")&amp;IF(C200="","; Missing Ship Date","")&amp;IF(P200&lt;0,"; Invalid Discount (Negative)","")&amp;IF(P200&gt;0.5,"; Invalid Discount (Too High)","")&amp;IF(Z200&lt;0,"; Invalid Shipping Record (Ship Before Order)","")&amp;IF(ABS(Q200-W200)&gt;1,"; Sales Mismatch","")&amp;IF(ABS(S200-X200)&gt;1,"; Profit Mismatch","")&amp;IF(COUNTIF($A$2:$A$913,A200)&gt;1,"; Duplicate Order ID Conflict",""),3,500),AC200&amp;IF(B200="","; Missing Order Date","")&amp;IF(C200="","; Missing Ship Date","")&amp;IF(P200&lt;0,"; Invalid Discount (Negative)","")&amp;IF(P200&gt;0.5,"; Invalid Discount (Too High)","")&amp;IF(Z200&lt;0,"; Invalid Shipping Record (Ship Before Order)","")&amp;IF(ABS(Q200-W200)&gt;1,"; Sales Mismatch","")&amp;IF(ABS(S200-X200)&gt;1,"; Profit Mismatch","")&amp;IF(COUNTIF($A$2:$A$913,A200)&gt;1,"; Duplicate Order ID Conflict",""))</f>
        <v/>
      </c>
      <c r="AE200" s="10" t="str">
        <f aca="false">IF(OR(ISNUMBER(SEARCH("Invalid Discount",AD200)),ISNUMBER(SEARCH("Invalid Shipping Record",AD200)),ISNUMBER(SEARCH("Sales Mismatch",AD200)),ISNUMBER(SEARCH("Profit Mismatch",AD200)),ISNUMBER(SEARCH("Duplicate Order ID Conflict",AD200)),ISNUMBER(SEARCH("Missing Order Date",AD200)),ISNUMBER(SEARCH("Missing Ship Date",AD200))),"Invalid",IF(AD200&lt;&gt;"","Warning","Clean"))</f>
        <v>Clean</v>
      </c>
    </row>
    <row r="201" customFormat="false" ht="15" hidden="false" customHeight="true" outlineLevel="0" collapsed="false">
      <c r="A201" s="3" t="s">
        <v>627</v>
      </c>
      <c r="B201" s="4" t="n">
        <v>45363</v>
      </c>
      <c r="C201" s="4" t="n">
        <v>45363</v>
      </c>
      <c r="D201" s="3" t="s">
        <v>628</v>
      </c>
      <c r="E201" s="3" t="str">
        <f aca="false">PROPER(TRIM(SUBSTITUTE(Raw_Text_Fields!B202,CHAR(160)," ")))</f>
        <v>Rahul Verma</v>
      </c>
      <c r="F201" s="3" t="str">
        <f aca="false">PROPER(TRIM(SUBSTITUTE(Raw_Text_Fields!C202,CHAR(160)," ")))</f>
        <v>Home Office</v>
      </c>
      <c r="G201" s="3" t="str">
        <f aca="false">PROPER(TRIM(SUBSTITUTE(Raw_Text_Fields!D202,CHAR(160)," ")))</f>
        <v>East</v>
      </c>
      <c r="H201" s="3" t="str">
        <f aca="false">PROPER(TRIM(SUBSTITUTE(Raw_Text_Fields!E202,CHAR(160)," ")))</f>
        <v>Bihar</v>
      </c>
      <c r="I201" s="3" t="str">
        <f aca="false">PROPER(TRIM(SUBSTITUTE(Raw_Text_Fields!F202,CHAR(160)," ")))</f>
        <v>Patna</v>
      </c>
      <c r="J201" s="3" t="str">
        <f aca="false">PROPER(TRIM(SUBSTITUTE(Raw_Text_Fields!G202,CHAR(160)," ")))</f>
        <v>Technology</v>
      </c>
      <c r="K201" s="3" t="str">
        <f aca="false">PROPER(TRIM(SUBSTITUTE(Raw_Text_Fields!H202,CHAR(160)," ")))</f>
        <v>Machines</v>
      </c>
      <c r="L201" s="3" t="s">
        <v>629</v>
      </c>
      <c r="M201" s="3" t="str">
        <f aca="false">PROPER(TRIM(SUBSTITUTE(Raw_Text_Fields!I202,CHAR(160)," ")))</f>
        <v>Unknown</v>
      </c>
      <c r="N201" s="3" t="n">
        <v>6</v>
      </c>
      <c r="O201" s="5" t="n">
        <v>2185.58</v>
      </c>
      <c r="P201" s="6" t="n">
        <v>0.25</v>
      </c>
      <c r="Q201" s="5" t="n">
        <v>9835.11</v>
      </c>
      <c r="R201" s="5" t="n">
        <v>5437.64</v>
      </c>
      <c r="S201" s="5" t="n">
        <v>4397.47</v>
      </c>
      <c r="T201" s="3" t="str">
        <f aca="false">PROPER(TRIM(SUBSTITUTE(Raw_Text_Fields!J202,CHAR(160)," ")))</f>
        <v>Paid</v>
      </c>
      <c r="U201" s="3" t="str">
        <f aca="false">PROPER(TRIM(SUBSTITUTE(Raw_Text_Fields!K202,CHAR(160)," ")))</f>
        <v>Completed</v>
      </c>
      <c r="V201" s="7" t="n">
        <f aca="false">IF(OR(P201&lt;0,P201&gt;0.5),0,P201)</f>
        <v>0.25</v>
      </c>
      <c r="W201" s="8" t="n">
        <f aca="false">N201*O201*(1-V201)</f>
        <v>9835.11</v>
      </c>
      <c r="X201" s="8" t="n">
        <f aca="false">W201-R201</f>
        <v>4397.47</v>
      </c>
      <c r="Y201" s="7" t="n">
        <f aca="false">IFERROR(X201/W201,0)</f>
        <v>0.44711955433137</v>
      </c>
      <c r="Z201" s="9" t="n">
        <f aca="false">C201-B201</f>
        <v>0</v>
      </c>
      <c r="AA201" s="1" t="str">
        <f aca="false">IF(B201="","",TEXT(B201,"mmm"))</f>
        <v>Mar</v>
      </c>
      <c r="AB201" s="9" t="n">
        <f aca="false">IF(B201="","",YEAR(B201))</f>
        <v>2024</v>
      </c>
      <c r="AC201" s="3" t="s">
        <v>137</v>
      </c>
      <c r="AD201" s="3" t="str">
        <f aca="false">IF(LEFT(AC201&amp;IF(B201="","; Missing Order Date","")&amp;IF(C201="","; Missing Ship Date","")&amp;IF(P201&lt;0,"; Invalid Discount (Negative)","")&amp;IF(P201&gt;0.5,"; Invalid Discount (Too High)","")&amp;IF(Z201&lt;0,"; Invalid Shipping Record (Ship Before Order)","")&amp;IF(ABS(Q201-W201)&gt;1,"; Sales Mismatch","")&amp;IF(ABS(S201-X201)&gt;1,"; Profit Mismatch","")&amp;IF(COUNTIF($A$2:$A$913,A201)&gt;1,"; Duplicate Order ID Conflict",""),2)="; ",MID(AC201&amp;IF(B201="","; Missing Order Date","")&amp;IF(C201="","; Missing Ship Date","")&amp;IF(P201&lt;0,"; Invalid Discount (Negative)","")&amp;IF(P201&gt;0.5,"; Invalid Discount (Too High)","")&amp;IF(Z201&lt;0,"; Invalid Shipping Record (Ship Before Order)","")&amp;IF(ABS(Q201-W201)&gt;1,"; Sales Mismatch","")&amp;IF(ABS(S201-X201)&gt;1,"; Profit Mismatch","")&amp;IF(COUNTIF($A$2:$A$913,A201)&gt;1,"; Duplicate Order ID Conflict",""),3,500),AC201&amp;IF(B201="","; Missing Order Date","")&amp;IF(C201="","; Missing Ship Date","")&amp;IF(P201&lt;0,"; Invalid Discount (Negative)","")&amp;IF(P201&gt;0.5,"; Invalid Discount (Too High)","")&amp;IF(Z201&lt;0,"; Invalid Shipping Record (Ship Before Order)","")&amp;IF(ABS(Q201-W201)&gt;1,"; Sales Mismatch","")&amp;IF(ABS(S201-X201)&gt;1,"; Profit Mismatch","")&amp;IF(COUNTIF($A$2:$A$913,A201)&gt;1,"; Duplicate Order ID Conflict",""))</f>
        <v>Missing Ship Mode (filled Unknown)</v>
      </c>
      <c r="AE201" s="10" t="str">
        <f aca="false">IF(OR(ISNUMBER(SEARCH("Invalid Discount",AD201)),ISNUMBER(SEARCH("Invalid Shipping Record",AD201)),ISNUMBER(SEARCH("Sales Mismatch",AD201)),ISNUMBER(SEARCH("Profit Mismatch",AD201)),ISNUMBER(SEARCH("Duplicate Order ID Conflict",AD201)),ISNUMBER(SEARCH("Missing Order Date",AD201)),ISNUMBER(SEARCH("Missing Ship Date",AD201))),"Invalid",IF(AD201&lt;&gt;"","Warning","Clean"))</f>
        <v>Warning</v>
      </c>
    </row>
    <row r="202" customFormat="false" ht="15" hidden="false" customHeight="true" outlineLevel="0" collapsed="false">
      <c r="A202" s="3" t="s">
        <v>630</v>
      </c>
      <c r="B202" s="4" t="n">
        <v>45835</v>
      </c>
      <c r="C202" s="4" t="n">
        <v>45843</v>
      </c>
      <c r="D202" s="3" t="s">
        <v>631</v>
      </c>
      <c r="E202" s="3" t="str">
        <f aca="false">PROPER(TRIM(SUBSTITUTE(Raw_Text_Fields!B203,CHAR(160)," ")))</f>
        <v>Priya Menon</v>
      </c>
      <c r="F202" s="3" t="str">
        <f aca="false">PROPER(TRIM(SUBSTITUTE(Raw_Text_Fields!C203,CHAR(160)," ")))</f>
        <v>Small Business</v>
      </c>
      <c r="G202" s="3" t="str">
        <f aca="false">PROPER(TRIM(SUBSTITUTE(Raw_Text_Fields!D203,CHAR(160)," ")))</f>
        <v>North</v>
      </c>
      <c r="H202" s="3" t="str">
        <f aca="false">PROPER(TRIM(SUBSTITUTE(Raw_Text_Fields!E203,CHAR(160)," ")))</f>
        <v>Rajasthan</v>
      </c>
      <c r="I202" s="3" t="str">
        <f aca="false">PROPER(TRIM(SUBSTITUTE(Raw_Text_Fields!F203,CHAR(160)," ")))</f>
        <v>Jaipur</v>
      </c>
      <c r="J202" s="3" t="str">
        <f aca="false">PROPER(TRIM(SUBSTITUTE(Raw_Text_Fields!G203,CHAR(160)," ")))</f>
        <v>Technology</v>
      </c>
      <c r="K202" s="3" t="str">
        <f aca="false">PROPER(TRIM(SUBSTITUTE(Raw_Text_Fields!H203,CHAR(160)," ")))</f>
        <v>Copiers</v>
      </c>
      <c r="L202" s="3" t="s">
        <v>632</v>
      </c>
      <c r="M202" s="3" t="str">
        <f aca="false">PROPER(TRIM(SUBSTITUTE(Raw_Text_Fields!I203,CHAR(160)," ")))</f>
        <v>First Class</v>
      </c>
      <c r="N202" s="3" t="n">
        <v>5</v>
      </c>
      <c r="O202" s="5" t="n">
        <v>2868.44</v>
      </c>
      <c r="P202" s="6" t="n">
        <v>0.1</v>
      </c>
      <c r="Q202" s="5" t="n">
        <v>12907.98</v>
      </c>
      <c r="R202" s="5" t="n">
        <v>9197.08</v>
      </c>
      <c r="S202" s="5" t="n">
        <v>3710.9</v>
      </c>
      <c r="T202" s="3" t="str">
        <f aca="false">PROPER(TRIM(SUBSTITUTE(Raw_Text_Fields!J203,CHAR(160)," ")))</f>
        <v>Pending</v>
      </c>
      <c r="U202" s="3" t="str">
        <f aca="false">PROPER(TRIM(SUBSTITUTE(Raw_Text_Fields!K203,CHAR(160)," ")))</f>
        <v>Cancelled</v>
      </c>
      <c r="V202" s="7" t="n">
        <f aca="false">IF(OR(P202&lt;0,P202&gt;0.5),0,P202)</f>
        <v>0.1</v>
      </c>
      <c r="W202" s="8" t="n">
        <f aca="false">N202*O202*(1-V202)</f>
        <v>12907.98</v>
      </c>
      <c r="X202" s="8" t="n">
        <f aca="false">W202-R202</f>
        <v>3710.9</v>
      </c>
      <c r="Y202" s="7" t="n">
        <f aca="false">IFERROR(X202/W202,0)</f>
        <v>0.287488824742524</v>
      </c>
      <c r="Z202" s="9" t="n">
        <f aca="false">C202-B202</f>
        <v>8</v>
      </c>
      <c r="AA202" s="1" t="str">
        <f aca="false">IF(B202="","",TEXT(B202,"mmm"))</f>
        <v>Jun</v>
      </c>
      <c r="AB202" s="9" t="n">
        <f aca="false">IF(B202="","",YEAR(B202))</f>
        <v>2025</v>
      </c>
      <c r="AC202" s="3"/>
      <c r="AD202" s="3" t="str">
        <f aca="false">IF(LEFT(AC202&amp;IF(B202="","; Missing Order Date","")&amp;IF(C202="","; Missing Ship Date","")&amp;IF(P202&lt;0,"; Invalid Discount (Negative)","")&amp;IF(P202&gt;0.5,"; Invalid Discount (Too High)","")&amp;IF(Z202&lt;0,"; Invalid Shipping Record (Ship Before Order)","")&amp;IF(ABS(Q202-W202)&gt;1,"; Sales Mismatch","")&amp;IF(ABS(S202-X202)&gt;1,"; Profit Mismatch","")&amp;IF(COUNTIF($A$2:$A$913,A202)&gt;1,"; Duplicate Order ID Conflict",""),2)="; ",MID(AC202&amp;IF(B202="","; Missing Order Date","")&amp;IF(C202="","; Missing Ship Date","")&amp;IF(P202&lt;0,"; Invalid Discount (Negative)","")&amp;IF(P202&gt;0.5,"; Invalid Discount (Too High)","")&amp;IF(Z202&lt;0,"; Invalid Shipping Record (Ship Before Order)","")&amp;IF(ABS(Q202-W202)&gt;1,"; Sales Mismatch","")&amp;IF(ABS(S202-X202)&gt;1,"; Profit Mismatch","")&amp;IF(COUNTIF($A$2:$A$913,A202)&gt;1,"; Duplicate Order ID Conflict",""),3,500),AC202&amp;IF(B202="","; Missing Order Date","")&amp;IF(C202="","; Missing Ship Date","")&amp;IF(P202&lt;0,"; Invalid Discount (Negative)","")&amp;IF(P202&gt;0.5,"; Invalid Discount (Too High)","")&amp;IF(Z202&lt;0,"; Invalid Shipping Record (Ship Before Order)","")&amp;IF(ABS(Q202-W202)&gt;1,"; Sales Mismatch","")&amp;IF(ABS(S202-X202)&gt;1,"; Profit Mismatch","")&amp;IF(COUNTIF($A$2:$A$913,A202)&gt;1,"; Duplicate Order ID Conflict",""))</f>
        <v/>
      </c>
      <c r="AE202" s="10" t="str">
        <f aca="false">IF(OR(ISNUMBER(SEARCH("Invalid Discount",AD202)),ISNUMBER(SEARCH("Invalid Shipping Record",AD202)),ISNUMBER(SEARCH("Sales Mismatch",AD202)),ISNUMBER(SEARCH("Profit Mismatch",AD202)),ISNUMBER(SEARCH("Duplicate Order ID Conflict",AD202)),ISNUMBER(SEARCH("Missing Order Date",AD202)),ISNUMBER(SEARCH("Missing Ship Date",AD202))),"Invalid",IF(AD202&lt;&gt;"","Warning","Clean"))</f>
        <v>Clean</v>
      </c>
    </row>
    <row r="203" customFormat="false" ht="15" hidden="false" customHeight="true" outlineLevel="0" collapsed="false">
      <c r="A203" s="3" t="s">
        <v>633</v>
      </c>
      <c r="B203" s="4" t="n">
        <v>45864</v>
      </c>
      <c r="C203" s="4" t="n">
        <v>45872</v>
      </c>
      <c r="D203" s="3" t="s">
        <v>634</v>
      </c>
      <c r="E203" s="3" t="str">
        <f aca="false">PROPER(TRIM(SUBSTITUTE(Raw_Text_Fields!B204,CHAR(160)," ")))</f>
        <v>Vikram Iyer</v>
      </c>
      <c r="F203" s="3" t="str">
        <f aca="false">PROPER(TRIM(SUBSTITUTE(Raw_Text_Fields!C204,CHAR(160)," ")))</f>
        <v>Consumer</v>
      </c>
      <c r="G203" s="3" t="str">
        <f aca="false">PROPER(TRIM(SUBSTITUTE(Raw_Text_Fields!D204,CHAR(160)," ")))</f>
        <v>West</v>
      </c>
      <c r="H203" s="3" t="str">
        <f aca="false">PROPER(TRIM(SUBSTITUTE(Raw_Text_Fields!E204,CHAR(160)," ")))</f>
        <v>Madhya Pradesh</v>
      </c>
      <c r="I203" s="3" t="str">
        <f aca="false">PROPER(TRIM(SUBSTITUTE(Raw_Text_Fields!F204,CHAR(160)," ")))</f>
        <v>Indore</v>
      </c>
      <c r="J203" s="3" t="str">
        <f aca="false">PROPER(TRIM(SUBSTITUTE(Raw_Text_Fields!G204,CHAR(160)," ")))</f>
        <v>Office Supplies</v>
      </c>
      <c r="K203" s="3" t="str">
        <f aca="false">PROPER(TRIM(SUBSTITUTE(Raw_Text_Fields!H204,CHAR(160)," ")))</f>
        <v>Labels</v>
      </c>
      <c r="L203" s="3" t="s">
        <v>635</v>
      </c>
      <c r="M203" s="3" t="str">
        <f aca="false">PROPER(TRIM(SUBSTITUTE(Raw_Text_Fields!I204,CHAR(160)," ")))</f>
        <v>Second Class</v>
      </c>
      <c r="N203" s="3" t="n">
        <v>2</v>
      </c>
      <c r="O203" s="5" t="n">
        <v>2503.53</v>
      </c>
      <c r="P203" s="6" t="n">
        <v>-0.16</v>
      </c>
      <c r="Q203" s="5" t="n">
        <v>4756.71</v>
      </c>
      <c r="R203" s="5" t="n">
        <v>2954.86</v>
      </c>
      <c r="S203" s="5" t="n">
        <v>1801.85</v>
      </c>
      <c r="T203" s="3" t="str">
        <f aca="false">PROPER(TRIM(SUBSTITUTE(Raw_Text_Fields!J204,CHAR(160)," ")))</f>
        <v>Refunded</v>
      </c>
      <c r="U203" s="3" t="str">
        <f aca="false">PROPER(TRIM(SUBSTITUTE(Raw_Text_Fields!K204,CHAR(160)," ")))</f>
        <v>Cancelled</v>
      </c>
      <c r="V203" s="7" t="n">
        <f aca="false">IF(OR(P203&lt;0,P203&gt;0.5),0,P203)</f>
        <v>0</v>
      </c>
      <c r="W203" s="8" t="n">
        <f aca="false">N203*O203*(1-V203)</f>
        <v>5007.06</v>
      </c>
      <c r="X203" s="8" t="n">
        <f aca="false">W203-R203</f>
        <v>2052.2</v>
      </c>
      <c r="Y203" s="7" t="n">
        <f aca="false">IFERROR(X203/W203,0)</f>
        <v>0.40986127587846</v>
      </c>
      <c r="Z203" s="9" t="n">
        <f aca="false">C203-B203</f>
        <v>8</v>
      </c>
      <c r="AA203" s="1" t="str">
        <f aca="false">IF(B203="","",TEXT(B203,"mmm"))</f>
        <v>Jul</v>
      </c>
      <c r="AB203" s="9" t="n">
        <f aca="false">IF(B203="","",YEAR(B203))</f>
        <v>2025</v>
      </c>
      <c r="AC203" s="3"/>
      <c r="AD203" s="3" t="str">
        <f aca="false">IF(LEFT(AC203&amp;IF(B203="","; Missing Order Date","")&amp;IF(C203="","; Missing Ship Date","")&amp;IF(P203&lt;0,"; Invalid Discount (Negative)","")&amp;IF(P203&gt;0.5,"; Invalid Discount (Too High)","")&amp;IF(Z203&lt;0,"; Invalid Shipping Record (Ship Before Order)","")&amp;IF(ABS(Q203-W203)&gt;1,"; Sales Mismatch","")&amp;IF(ABS(S203-X203)&gt;1,"; Profit Mismatch","")&amp;IF(COUNTIF($A$2:$A$913,A203)&gt;1,"; Duplicate Order ID Conflict",""),2)="; ",MID(AC203&amp;IF(B203="","; Missing Order Date","")&amp;IF(C203="","; Missing Ship Date","")&amp;IF(P203&lt;0,"; Invalid Discount (Negative)","")&amp;IF(P203&gt;0.5,"; Invalid Discount (Too High)","")&amp;IF(Z203&lt;0,"; Invalid Shipping Record (Ship Before Order)","")&amp;IF(ABS(Q203-W203)&gt;1,"; Sales Mismatch","")&amp;IF(ABS(S203-X203)&gt;1,"; Profit Mismatch","")&amp;IF(COUNTIF($A$2:$A$913,A203)&gt;1,"; Duplicate Order ID Conflict",""),3,500),AC203&amp;IF(B203="","; Missing Order Date","")&amp;IF(C203="","; Missing Ship Date","")&amp;IF(P203&lt;0,"; Invalid Discount (Negative)","")&amp;IF(P203&gt;0.5,"; Invalid Discount (Too High)","")&amp;IF(Z203&lt;0,"; Invalid Shipping Record (Ship Before Order)","")&amp;IF(ABS(Q203-W203)&gt;1,"; Sales Mismatch","")&amp;IF(ABS(S203-X203)&gt;1,"; Profit Mismatch","")&amp;IF(COUNTIF($A$2:$A$913,A203)&gt;1,"; Duplicate Order ID Conflict",""))</f>
        <v>Invalid Discount (Negative); Sales Mismatch; Profit Mismatch</v>
      </c>
      <c r="AE203" s="10" t="str">
        <f aca="false">IF(OR(ISNUMBER(SEARCH("Invalid Discount",AD203)),ISNUMBER(SEARCH("Invalid Shipping Record",AD203)),ISNUMBER(SEARCH("Sales Mismatch",AD203)),ISNUMBER(SEARCH("Profit Mismatch",AD203)),ISNUMBER(SEARCH("Duplicate Order ID Conflict",AD203)),ISNUMBER(SEARCH("Missing Order Date",AD203)),ISNUMBER(SEARCH("Missing Ship Date",AD203))),"Invalid",IF(AD203&lt;&gt;"","Warning","Clean"))</f>
        <v>Invalid</v>
      </c>
    </row>
    <row r="204" customFormat="false" ht="15" hidden="false" customHeight="true" outlineLevel="0" collapsed="false">
      <c r="A204" s="3" t="s">
        <v>636</v>
      </c>
      <c r="B204" s="4" t="n">
        <v>45744</v>
      </c>
      <c r="C204" s="4" t="n">
        <v>45744</v>
      </c>
      <c r="D204" s="3" t="s">
        <v>637</v>
      </c>
      <c r="E204" s="3" t="str">
        <f aca="false">PROPER(TRIM(SUBSTITUTE(Raw_Text_Fields!B205,CHAR(160)," ")))</f>
        <v>Sneha Kapoor</v>
      </c>
      <c r="F204" s="3" t="str">
        <f aca="false">PROPER(TRIM(SUBSTITUTE(Raw_Text_Fields!C205,CHAR(160)," ")))</f>
        <v>Corporate</v>
      </c>
      <c r="G204" s="3" t="str">
        <f aca="false">PROPER(TRIM(SUBSTITUTE(Raw_Text_Fields!D205,CHAR(160)," ")))</f>
        <v>West</v>
      </c>
      <c r="H204" s="3" t="str">
        <f aca="false">PROPER(TRIM(SUBSTITUTE(Raw_Text_Fields!E205,CHAR(160)," ")))</f>
        <v>Goa</v>
      </c>
      <c r="I204" s="3" t="str">
        <f aca="false">PROPER(TRIM(SUBSTITUTE(Raw_Text_Fields!F205,CHAR(160)," ")))</f>
        <v>Panaji</v>
      </c>
      <c r="J204" s="3" t="str">
        <f aca="false">PROPER(TRIM(SUBSTITUTE(Raw_Text_Fields!G205,CHAR(160)," ")))</f>
        <v>Technology</v>
      </c>
      <c r="K204" s="3" t="str">
        <f aca="false">PROPER(TRIM(SUBSTITUTE(Raw_Text_Fields!H205,CHAR(160)," ")))</f>
        <v>Accessories</v>
      </c>
      <c r="L204" s="3" t="s">
        <v>638</v>
      </c>
      <c r="M204" s="3" t="str">
        <f aca="false">PROPER(TRIM(SUBSTITUTE(Raw_Text_Fields!I205,CHAR(160)," ")))</f>
        <v>Standard Class</v>
      </c>
      <c r="N204" s="3" t="n">
        <v>8</v>
      </c>
      <c r="O204" s="5" t="n">
        <v>1740.94</v>
      </c>
      <c r="P204" s="6" t="n">
        <v>0.05</v>
      </c>
      <c r="Q204" s="5" t="n">
        <v>13231.14</v>
      </c>
      <c r="R204" s="5" t="n">
        <v>11290.06</v>
      </c>
      <c r="S204" s="5" t="n">
        <v>1941.08</v>
      </c>
      <c r="T204" s="3" t="str">
        <f aca="false">PROPER(TRIM(SUBSTITUTE(Raw_Text_Fields!J205,CHAR(160)," ")))</f>
        <v>Paid</v>
      </c>
      <c r="U204" s="3" t="str">
        <f aca="false">PROPER(TRIM(SUBSTITUTE(Raw_Text_Fields!K205,CHAR(160)," ")))</f>
        <v>Completed</v>
      </c>
      <c r="V204" s="7" t="n">
        <f aca="false">IF(OR(P204&lt;0,P204&gt;0.5),0,P204)</f>
        <v>0.05</v>
      </c>
      <c r="W204" s="8" t="n">
        <f aca="false">N204*O204*(1-V204)</f>
        <v>13231.144</v>
      </c>
      <c r="X204" s="8" t="n">
        <f aca="false">W204-R204</f>
        <v>1941.084</v>
      </c>
      <c r="Y204" s="7" t="n">
        <f aca="false">IFERROR(X204/W204,0)</f>
        <v>0.146705681685575</v>
      </c>
      <c r="Z204" s="9" t="n">
        <f aca="false">C204-B204</f>
        <v>0</v>
      </c>
      <c r="AA204" s="1" t="str">
        <f aca="false">IF(B204="","",TEXT(B204,"mmm"))</f>
        <v>Mar</v>
      </c>
      <c r="AB204" s="9" t="n">
        <f aca="false">IF(B204="","",YEAR(B204))</f>
        <v>2025</v>
      </c>
      <c r="AC204" s="3"/>
      <c r="AD204" s="3" t="str">
        <f aca="false">IF(LEFT(AC204&amp;IF(B204="","; Missing Order Date","")&amp;IF(C204="","; Missing Ship Date","")&amp;IF(P204&lt;0,"; Invalid Discount (Negative)","")&amp;IF(P204&gt;0.5,"; Invalid Discount (Too High)","")&amp;IF(Z204&lt;0,"; Invalid Shipping Record (Ship Before Order)","")&amp;IF(ABS(Q204-W204)&gt;1,"; Sales Mismatch","")&amp;IF(ABS(S204-X204)&gt;1,"; Profit Mismatch","")&amp;IF(COUNTIF($A$2:$A$913,A204)&gt;1,"; Duplicate Order ID Conflict",""),2)="; ",MID(AC204&amp;IF(B204="","; Missing Order Date","")&amp;IF(C204="","; Missing Ship Date","")&amp;IF(P204&lt;0,"; Invalid Discount (Negative)","")&amp;IF(P204&gt;0.5,"; Invalid Discount (Too High)","")&amp;IF(Z204&lt;0,"; Invalid Shipping Record (Ship Before Order)","")&amp;IF(ABS(Q204-W204)&gt;1,"; Sales Mismatch","")&amp;IF(ABS(S204-X204)&gt;1,"; Profit Mismatch","")&amp;IF(COUNTIF($A$2:$A$913,A204)&gt;1,"; Duplicate Order ID Conflict",""),3,500),AC204&amp;IF(B204="","; Missing Order Date","")&amp;IF(C204="","; Missing Ship Date","")&amp;IF(P204&lt;0,"; Invalid Discount (Negative)","")&amp;IF(P204&gt;0.5,"; Invalid Discount (Too High)","")&amp;IF(Z204&lt;0,"; Invalid Shipping Record (Ship Before Order)","")&amp;IF(ABS(Q204-W204)&gt;1,"; Sales Mismatch","")&amp;IF(ABS(S204-X204)&gt;1,"; Profit Mismatch","")&amp;IF(COUNTIF($A$2:$A$913,A204)&gt;1,"; Duplicate Order ID Conflict",""))</f>
        <v/>
      </c>
      <c r="AE204" s="10" t="str">
        <f aca="false">IF(OR(ISNUMBER(SEARCH("Invalid Discount",AD204)),ISNUMBER(SEARCH("Invalid Shipping Record",AD204)),ISNUMBER(SEARCH("Sales Mismatch",AD204)),ISNUMBER(SEARCH("Profit Mismatch",AD204)),ISNUMBER(SEARCH("Duplicate Order ID Conflict",AD204)),ISNUMBER(SEARCH("Missing Order Date",AD204)),ISNUMBER(SEARCH("Missing Ship Date",AD204))),"Invalid",IF(AD204&lt;&gt;"","Warning","Clean"))</f>
        <v>Clean</v>
      </c>
    </row>
    <row r="205" customFormat="false" ht="15" hidden="false" customHeight="true" outlineLevel="0" collapsed="false">
      <c r="A205" s="3" t="s">
        <v>639</v>
      </c>
      <c r="B205" s="4" t="n">
        <v>45379</v>
      </c>
      <c r="C205" s="4" t="n">
        <v>45381</v>
      </c>
      <c r="D205" s="3" t="s">
        <v>640</v>
      </c>
      <c r="E205" s="3" t="str">
        <f aca="false">PROPER(TRIM(SUBSTITUTE(Raw_Text_Fields!B206,CHAR(160)," ")))</f>
        <v>Sneha Kapoor</v>
      </c>
      <c r="F205" s="3" t="str">
        <f aca="false">PROPER(TRIM(SUBSTITUTE(Raw_Text_Fields!C206,CHAR(160)," ")))</f>
        <v>Corporate</v>
      </c>
      <c r="G205" s="3" t="str">
        <f aca="false">PROPER(TRIM(SUBSTITUTE(Raw_Text_Fields!D206,CHAR(160)," ")))</f>
        <v>West</v>
      </c>
      <c r="H205" s="3" t="str">
        <f aca="false">PROPER(TRIM(SUBSTITUTE(Raw_Text_Fields!E206,CHAR(160)," ")))</f>
        <v>Rajasthan</v>
      </c>
      <c r="I205" s="3" t="str">
        <f aca="false">PROPER(TRIM(SUBSTITUTE(Raw_Text_Fields!F206,CHAR(160)," ")))</f>
        <v>Udaipur</v>
      </c>
      <c r="J205" s="3" t="str">
        <f aca="false">PROPER(TRIM(SUBSTITUTE(Raw_Text_Fields!G206,CHAR(160)," ")))</f>
        <v>Technology</v>
      </c>
      <c r="K205" s="3" t="str">
        <f aca="false">PROPER(TRIM(SUBSTITUTE(Raw_Text_Fields!H206,CHAR(160)," ")))</f>
        <v>Accessories</v>
      </c>
      <c r="L205" s="3" t="s">
        <v>641</v>
      </c>
      <c r="M205" s="3" t="str">
        <f aca="false">PROPER(TRIM(SUBSTITUTE(Raw_Text_Fields!I206,CHAR(160)," ")))</f>
        <v>Second Class</v>
      </c>
      <c r="N205" s="3" t="n">
        <v>1</v>
      </c>
      <c r="O205" s="5" t="n">
        <v>570.34</v>
      </c>
      <c r="P205" s="6" t="n">
        <v>0.15</v>
      </c>
      <c r="Q205" s="5" t="n">
        <v>484.79</v>
      </c>
      <c r="R205" s="5" t="n">
        <v>333.54</v>
      </c>
      <c r="S205" s="5" t="n">
        <v>151.25</v>
      </c>
      <c r="T205" s="3" t="str">
        <f aca="false">PROPER(TRIM(SUBSTITUTE(Raw_Text_Fields!J206,CHAR(160)," ")))</f>
        <v>Paid</v>
      </c>
      <c r="U205" s="3" t="str">
        <f aca="false">PROPER(TRIM(SUBSTITUTE(Raw_Text_Fields!K206,CHAR(160)," ")))</f>
        <v>Completed</v>
      </c>
      <c r="V205" s="7" t="n">
        <f aca="false">IF(OR(P205&lt;0,P205&gt;0.5),0,P205)</f>
        <v>0.15</v>
      </c>
      <c r="W205" s="8" t="n">
        <f aca="false">N205*O205*(1-V205)</f>
        <v>484.789</v>
      </c>
      <c r="X205" s="8" t="n">
        <f aca="false">W205-R205</f>
        <v>151.249</v>
      </c>
      <c r="Y205" s="7" t="n">
        <f aca="false">IFERROR(X205/W205,0)</f>
        <v>0.311989339692113</v>
      </c>
      <c r="Z205" s="9" t="n">
        <f aca="false">C205-B205</f>
        <v>2</v>
      </c>
      <c r="AA205" s="1" t="str">
        <f aca="false">IF(B205="","",TEXT(B205,"mmm"))</f>
        <v>Mar</v>
      </c>
      <c r="AB205" s="9" t="n">
        <f aca="false">IF(B205="","",YEAR(B205))</f>
        <v>2024</v>
      </c>
      <c r="AC205" s="3"/>
      <c r="AD205" s="3" t="str">
        <f aca="false">IF(LEFT(AC205&amp;IF(B205="","; Missing Order Date","")&amp;IF(C205="","; Missing Ship Date","")&amp;IF(P205&lt;0,"; Invalid Discount (Negative)","")&amp;IF(P205&gt;0.5,"; Invalid Discount (Too High)","")&amp;IF(Z205&lt;0,"; Invalid Shipping Record (Ship Before Order)","")&amp;IF(ABS(Q205-W205)&gt;1,"; Sales Mismatch","")&amp;IF(ABS(S205-X205)&gt;1,"; Profit Mismatch","")&amp;IF(COUNTIF($A$2:$A$913,A205)&gt;1,"; Duplicate Order ID Conflict",""),2)="; ",MID(AC205&amp;IF(B205="","; Missing Order Date","")&amp;IF(C205="","; Missing Ship Date","")&amp;IF(P205&lt;0,"; Invalid Discount (Negative)","")&amp;IF(P205&gt;0.5,"; Invalid Discount (Too High)","")&amp;IF(Z205&lt;0,"; Invalid Shipping Record (Ship Before Order)","")&amp;IF(ABS(Q205-W205)&gt;1,"; Sales Mismatch","")&amp;IF(ABS(S205-X205)&gt;1,"; Profit Mismatch","")&amp;IF(COUNTIF($A$2:$A$913,A205)&gt;1,"; Duplicate Order ID Conflict",""),3,500),AC205&amp;IF(B205="","; Missing Order Date","")&amp;IF(C205="","; Missing Ship Date","")&amp;IF(P205&lt;0,"; Invalid Discount (Negative)","")&amp;IF(P205&gt;0.5,"; Invalid Discount (Too High)","")&amp;IF(Z205&lt;0,"; Invalid Shipping Record (Ship Before Order)","")&amp;IF(ABS(Q205-W205)&gt;1,"; Sales Mismatch","")&amp;IF(ABS(S205-X205)&gt;1,"; Profit Mismatch","")&amp;IF(COUNTIF($A$2:$A$913,A205)&gt;1,"; Duplicate Order ID Conflict",""))</f>
        <v/>
      </c>
      <c r="AE205" s="10" t="str">
        <f aca="false">IF(OR(ISNUMBER(SEARCH("Invalid Discount",AD205)),ISNUMBER(SEARCH("Invalid Shipping Record",AD205)),ISNUMBER(SEARCH("Sales Mismatch",AD205)),ISNUMBER(SEARCH("Profit Mismatch",AD205)),ISNUMBER(SEARCH("Duplicate Order ID Conflict",AD205)),ISNUMBER(SEARCH("Missing Order Date",AD205)),ISNUMBER(SEARCH("Missing Ship Date",AD205))),"Invalid",IF(AD205&lt;&gt;"","Warning","Clean"))</f>
        <v>Clean</v>
      </c>
    </row>
    <row r="206" customFormat="false" ht="15" hidden="false" customHeight="true" outlineLevel="0" collapsed="false">
      <c r="A206" s="3" t="s">
        <v>642</v>
      </c>
      <c r="B206" s="4" t="n">
        <v>45858</v>
      </c>
      <c r="C206" s="4" t="n">
        <v>45861</v>
      </c>
      <c r="D206" s="3" t="s">
        <v>643</v>
      </c>
      <c r="E206" s="3" t="str">
        <f aca="false">PROPER(TRIM(SUBSTITUTE(Raw_Text_Fields!B207,CHAR(160)," ")))</f>
        <v>Mira Das</v>
      </c>
      <c r="F206" s="3" t="str">
        <f aca="false">PROPER(TRIM(SUBSTITUTE(Raw_Text_Fields!C207,CHAR(160)," ")))</f>
        <v>Home Office</v>
      </c>
      <c r="G206" s="3" t="str">
        <f aca="false">PROPER(TRIM(SUBSTITUTE(Raw_Text_Fields!D207,CHAR(160)," ")))</f>
        <v>East</v>
      </c>
      <c r="H206" s="3" t="str">
        <f aca="false">PROPER(TRIM(SUBSTITUTE(Raw_Text_Fields!E207,CHAR(160)," ")))</f>
        <v>West Bengal</v>
      </c>
      <c r="I206" s="3" t="str">
        <f aca="false">PROPER(TRIM(SUBSTITUTE(Raw_Text_Fields!F207,CHAR(160)," ")))</f>
        <v>Kolkata</v>
      </c>
      <c r="J206" s="3" t="str">
        <f aca="false">PROPER(TRIM(SUBSTITUTE(Raw_Text_Fields!G207,CHAR(160)," ")))</f>
        <v>Furniture</v>
      </c>
      <c r="K206" s="3" t="str">
        <f aca="false">PROPER(TRIM(SUBSTITUTE(Raw_Text_Fields!H207,CHAR(160)," ")))</f>
        <v>Tables</v>
      </c>
      <c r="L206" s="3" t="s">
        <v>644</v>
      </c>
      <c r="M206" s="3" t="str">
        <f aca="false">PROPER(TRIM(SUBSTITUTE(Raw_Text_Fields!I207,CHAR(160)," ")))</f>
        <v>Second Class</v>
      </c>
      <c r="N206" s="3" t="n">
        <v>4</v>
      </c>
      <c r="O206" s="5" t="n">
        <v>477.69</v>
      </c>
      <c r="P206" s="6" t="n">
        <v>0.15</v>
      </c>
      <c r="Q206" s="5" t="n">
        <v>1624.15</v>
      </c>
      <c r="R206" s="5" t="n">
        <v>1217.99</v>
      </c>
      <c r="S206" s="5" t="n">
        <v>406.16</v>
      </c>
      <c r="T206" s="3" t="str">
        <f aca="false">PROPER(TRIM(SUBSTITUTE(Raw_Text_Fields!J207,CHAR(160)," ")))</f>
        <v>Paid</v>
      </c>
      <c r="U206" s="3" t="str">
        <f aca="false">PROPER(TRIM(SUBSTITUTE(Raw_Text_Fields!K207,CHAR(160)," ")))</f>
        <v>Completed</v>
      </c>
      <c r="V206" s="7" t="n">
        <f aca="false">IF(OR(P206&lt;0,P206&gt;0.5),0,P206)</f>
        <v>0.15</v>
      </c>
      <c r="W206" s="8" t="n">
        <f aca="false">N206*O206*(1-V206)</f>
        <v>1624.146</v>
      </c>
      <c r="X206" s="8" t="n">
        <f aca="false">W206-R206</f>
        <v>406.156</v>
      </c>
      <c r="Y206" s="7" t="n">
        <f aca="false">IFERROR(X206/W206,0)</f>
        <v>0.25007357712915</v>
      </c>
      <c r="Z206" s="9" t="n">
        <f aca="false">C206-B206</f>
        <v>3</v>
      </c>
      <c r="AA206" s="1" t="str">
        <f aca="false">IF(B206="","",TEXT(B206,"mmm"))</f>
        <v>Jul</v>
      </c>
      <c r="AB206" s="9" t="n">
        <f aca="false">IF(B206="","",YEAR(B206))</f>
        <v>2025</v>
      </c>
      <c r="AC206" s="3"/>
      <c r="AD206" s="3" t="str">
        <f aca="false">IF(LEFT(AC206&amp;IF(B206="","; Missing Order Date","")&amp;IF(C206="","; Missing Ship Date","")&amp;IF(P206&lt;0,"; Invalid Discount (Negative)","")&amp;IF(P206&gt;0.5,"; Invalid Discount (Too High)","")&amp;IF(Z206&lt;0,"; Invalid Shipping Record (Ship Before Order)","")&amp;IF(ABS(Q206-W206)&gt;1,"; Sales Mismatch","")&amp;IF(ABS(S206-X206)&gt;1,"; Profit Mismatch","")&amp;IF(COUNTIF($A$2:$A$913,A206)&gt;1,"; Duplicate Order ID Conflict",""),2)="; ",MID(AC206&amp;IF(B206="","; Missing Order Date","")&amp;IF(C206="","; Missing Ship Date","")&amp;IF(P206&lt;0,"; Invalid Discount (Negative)","")&amp;IF(P206&gt;0.5,"; Invalid Discount (Too High)","")&amp;IF(Z206&lt;0,"; Invalid Shipping Record (Ship Before Order)","")&amp;IF(ABS(Q206-W206)&gt;1,"; Sales Mismatch","")&amp;IF(ABS(S206-X206)&gt;1,"; Profit Mismatch","")&amp;IF(COUNTIF($A$2:$A$913,A206)&gt;1,"; Duplicate Order ID Conflict",""),3,500),AC206&amp;IF(B206="","; Missing Order Date","")&amp;IF(C206="","; Missing Ship Date","")&amp;IF(P206&lt;0,"; Invalid Discount (Negative)","")&amp;IF(P206&gt;0.5,"; Invalid Discount (Too High)","")&amp;IF(Z206&lt;0,"; Invalid Shipping Record (Ship Before Order)","")&amp;IF(ABS(Q206-W206)&gt;1,"; Sales Mismatch","")&amp;IF(ABS(S206-X206)&gt;1,"; Profit Mismatch","")&amp;IF(COUNTIF($A$2:$A$913,A206)&gt;1,"; Duplicate Order ID Conflict",""))</f>
        <v/>
      </c>
      <c r="AE206" s="10" t="str">
        <f aca="false">IF(OR(ISNUMBER(SEARCH("Invalid Discount",AD206)),ISNUMBER(SEARCH("Invalid Shipping Record",AD206)),ISNUMBER(SEARCH("Sales Mismatch",AD206)),ISNUMBER(SEARCH("Profit Mismatch",AD206)),ISNUMBER(SEARCH("Duplicate Order ID Conflict",AD206)),ISNUMBER(SEARCH("Missing Order Date",AD206)),ISNUMBER(SEARCH("Missing Ship Date",AD206))),"Invalid",IF(AD206&lt;&gt;"","Warning","Clean"))</f>
        <v>Clean</v>
      </c>
    </row>
    <row r="207" customFormat="false" ht="15" hidden="false" customHeight="true" outlineLevel="0" collapsed="false">
      <c r="A207" s="3" t="s">
        <v>645</v>
      </c>
      <c r="B207" s="4" t="n">
        <v>45768</v>
      </c>
      <c r="C207" s="4" t="n">
        <v>45773</v>
      </c>
      <c r="D207" s="3" t="s">
        <v>646</v>
      </c>
      <c r="E207" s="3" t="str">
        <f aca="false">PROPER(TRIM(SUBSTITUTE(Raw_Text_Fields!B208,CHAR(160)," ")))</f>
        <v>Ananya Rao</v>
      </c>
      <c r="F207" s="3" t="str">
        <f aca="false">PROPER(TRIM(SUBSTITUTE(Raw_Text_Fields!C208,CHAR(160)," ")))</f>
        <v>Consumer</v>
      </c>
      <c r="G207" s="3" t="str">
        <f aca="false">PROPER(TRIM(SUBSTITUTE(Raw_Text_Fields!D208,CHAR(160)," ")))</f>
        <v>West</v>
      </c>
      <c r="H207" s="3" t="str">
        <f aca="false">PROPER(TRIM(SUBSTITUTE(Raw_Text_Fields!E208,CHAR(160)," ")))</f>
        <v>Maharashtra</v>
      </c>
      <c r="I207" s="3" t="str">
        <f aca="false">PROPER(TRIM(SUBSTITUTE(Raw_Text_Fields!F208,CHAR(160)," ")))</f>
        <v>Mumbai</v>
      </c>
      <c r="J207" s="3" t="str">
        <f aca="false">PROPER(TRIM(SUBSTITUTE(Raw_Text_Fields!G208,CHAR(160)," ")))</f>
        <v>Office Supplies</v>
      </c>
      <c r="K207" s="3" t="str">
        <f aca="false">PROPER(TRIM(SUBSTITUTE(Raw_Text_Fields!H208,CHAR(160)," ")))</f>
        <v>Labels</v>
      </c>
      <c r="L207" s="3" t="s">
        <v>647</v>
      </c>
      <c r="M207" s="3" t="str">
        <f aca="false">PROPER(TRIM(SUBSTITUTE(Raw_Text_Fields!I208,CHAR(160)," ")))</f>
        <v>Same Day</v>
      </c>
      <c r="N207" s="3" t="n">
        <v>6</v>
      </c>
      <c r="O207" s="5" t="n">
        <v>873.59</v>
      </c>
      <c r="P207" s="6" t="n">
        <v>0.2</v>
      </c>
      <c r="Q207" s="5" t="n">
        <v>4193.23</v>
      </c>
      <c r="R207" s="5" t="n">
        <v>3329.99</v>
      </c>
      <c r="S207" s="5" t="n">
        <v>863.24</v>
      </c>
      <c r="T207" s="3" t="str">
        <f aca="false">PROPER(TRIM(SUBSTITUTE(Raw_Text_Fields!J208,CHAR(160)," ")))</f>
        <v>Paid</v>
      </c>
      <c r="U207" s="3" t="str">
        <f aca="false">PROPER(TRIM(SUBSTITUTE(Raw_Text_Fields!K208,CHAR(160)," ")))</f>
        <v>Completed</v>
      </c>
      <c r="V207" s="7" t="n">
        <f aca="false">IF(OR(P207&lt;0,P207&gt;0.5),0,P207)</f>
        <v>0.2</v>
      </c>
      <c r="W207" s="8" t="n">
        <f aca="false">N207*O207*(1-V207)</f>
        <v>4193.232</v>
      </c>
      <c r="X207" s="8" t="n">
        <f aca="false">W207-R207</f>
        <v>863.242</v>
      </c>
      <c r="Y207" s="7" t="n">
        <f aca="false">IFERROR(X207/W207,0)</f>
        <v>0.205865547148357</v>
      </c>
      <c r="Z207" s="9" t="n">
        <f aca="false">C207-B207</f>
        <v>5</v>
      </c>
      <c r="AA207" s="1" t="str">
        <f aca="false">IF(B207="","",TEXT(B207,"mmm"))</f>
        <v>Apr</v>
      </c>
      <c r="AB207" s="9" t="n">
        <f aca="false">IF(B207="","",YEAR(B207))</f>
        <v>2025</v>
      </c>
      <c r="AC207" s="3"/>
      <c r="AD207" s="3" t="str">
        <f aca="false">IF(LEFT(AC207&amp;IF(B207="","; Missing Order Date","")&amp;IF(C207="","; Missing Ship Date","")&amp;IF(P207&lt;0,"; Invalid Discount (Negative)","")&amp;IF(P207&gt;0.5,"; Invalid Discount (Too High)","")&amp;IF(Z207&lt;0,"; Invalid Shipping Record (Ship Before Order)","")&amp;IF(ABS(Q207-W207)&gt;1,"; Sales Mismatch","")&amp;IF(ABS(S207-X207)&gt;1,"; Profit Mismatch","")&amp;IF(COUNTIF($A$2:$A$913,A207)&gt;1,"; Duplicate Order ID Conflict",""),2)="; ",MID(AC207&amp;IF(B207="","; Missing Order Date","")&amp;IF(C207="","; Missing Ship Date","")&amp;IF(P207&lt;0,"; Invalid Discount (Negative)","")&amp;IF(P207&gt;0.5,"; Invalid Discount (Too High)","")&amp;IF(Z207&lt;0,"; Invalid Shipping Record (Ship Before Order)","")&amp;IF(ABS(Q207-W207)&gt;1,"; Sales Mismatch","")&amp;IF(ABS(S207-X207)&gt;1,"; Profit Mismatch","")&amp;IF(COUNTIF($A$2:$A$913,A207)&gt;1,"; Duplicate Order ID Conflict",""),3,500),AC207&amp;IF(B207="","; Missing Order Date","")&amp;IF(C207="","; Missing Ship Date","")&amp;IF(P207&lt;0,"; Invalid Discount (Negative)","")&amp;IF(P207&gt;0.5,"; Invalid Discount (Too High)","")&amp;IF(Z207&lt;0,"; Invalid Shipping Record (Ship Before Order)","")&amp;IF(ABS(Q207-W207)&gt;1,"; Sales Mismatch","")&amp;IF(ABS(S207-X207)&gt;1,"; Profit Mismatch","")&amp;IF(COUNTIF($A$2:$A$913,A207)&gt;1,"; Duplicate Order ID Conflict",""))</f>
        <v/>
      </c>
      <c r="AE207" s="10" t="str">
        <f aca="false">IF(OR(ISNUMBER(SEARCH("Invalid Discount",AD207)),ISNUMBER(SEARCH("Invalid Shipping Record",AD207)),ISNUMBER(SEARCH("Sales Mismatch",AD207)),ISNUMBER(SEARCH("Profit Mismatch",AD207)),ISNUMBER(SEARCH("Duplicate Order ID Conflict",AD207)),ISNUMBER(SEARCH("Missing Order Date",AD207)),ISNUMBER(SEARCH("Missing Ship Date",AD207))),"Invalid",IF(AD207&lt;&gt;"","Warning","Clean"))</f>
        <v>Clean</v>
      </c>
    </row>
    <row r="208" customFormat="false" ht="15" hidden="false" customHeight="true" outlineLevel="0" collapsed="false">
      <c r="A208" s="3" t="s">
        <v>648</v>
      </c>
      <c r="B208" s="4" t="n">
        <v>45795</v>
      </c>
      <c r="C208" s="4" t="n">
        <v>45797</v>
      </c>
      <c r="D208" s="3" t="s">
        <v>649</v>
      </c>
      <c r="E208" s="3" t="str">
        <f aca="false">PROPER(TRIM(SUBSTITUTE(Raw_Text_Fields!B209,CHAR(160)," ")))</f>
        <v>Diya Patel</v>
      </c>
      <c r="F208" s="3" t="str">
        <f aca="false">PROPER(TRIM(SUBSTITUTE(Raw_Text_Fields!C209,CHAR(160)," ")))</f>
        <v>Small Business</v>
      </c>
      <c r="G208" s="3" t="str">
        <f aca="false">PROPER(TRIM(SUBSTITUTE(Raw_Text_Fields!D209,CHAR(160)," ")))</f>
        <v>North</v>
      </c>
      <c r="H208" s="3" t="str">
        <f aca="false">PROPER(TRIM(SUBSTITUTE(Raw_Text_Fields!E209,CHAR(160)," ")))</f>
        <v>Uttar Pradesh</v>
      </c>
      <c r="I208" s="3" t="str">
        <f aca="false">PROPER(TRIM(SUBSTITUTE(Raw_Text_Fields!F209,CHAR(160)," ")))</f>
        <v>Noida</v>
      </c>
      <c r="J208" s="3" t="str">
        <f aca="false">PROPER(TRIM(SUBSTITUTE(Raw_Text_Fields!G209,CHAR(160)," ")))</f>
        <v>Furniture</v>
      </c>
      <c r="K208" s="3" t="str">
        <f aca="false">PROPER(TRIM(SUBSTITUTE(Raw_Text_Fields!H209,CHAR(160)," ")))</f>
        <v>Furnishings</v>
      </c>
      <c r="L208" s="3" t="s">
        <v>650</v>
      </c>
      <c r="M208" s="3" t="str">
        <f aca="false">PROPER(TRIM(SUBSTITUTE(Raw_Text_Fields!I209,CHAR(160)," ")))</f>
        <v>First Class</v>
      </c>
      <c r="N208" s="3" t="n">
        <v>2</v>
      </c>
      <c r="O208" s="5" t="n">
        <v>215.13</v>
      </c>
      <c r="P208" s="6" t="n">
        <v>0</v>
      </c>
      <c r="Q208" s="5" t="n">
        <v>430.26</v>
      </c>
      <c r="R208" s="5" t="n">
        <v>286.38</v>
      </c>
      <c r="S208" s="5" t="n">
        <v>143.88</v>
      </c>
      <c r="T208" s="3" t="str">
        <f aca="false">PROPER(TRIM(SUBSTITUTE(Raw_Text_Fields!J209,CHAR(160)," ")))</f>
        <v>Paid</v>
      </c>
      <c r="U208" s="3" t="str">
        <f aca="false">PROPER(TRIM(SUBSTITUTE(Raw_Text_Fields!K209,CHAR(160)," ")))</f>
        <v>Completed</v>
      </c>
      <c r="V208" s="7" t="n">
        <f aca="false">IF(OR(P208&lt;0,P208&gt;0.5),0,P208)</f>
        <v>0</v>
      </c>
      <c r="W208" s="8" t="n">
        <f aca="false">N208*O208*(1-V208)</f>
        <v>430.26</v>
      </c>
      <c r="X208" s="8" t="n">
        <f aca="false">W208-R208</f>
        <v>143.88</v>
      </c>
      <c r="Y208" s="7" t="n">
        <f aca="false">IFERROR(X208/W208,0)</f>
        <v>0.33440245432994</v>
      </c>
      <c r="Z208" s="9" t="n">
        <f aca="false">C208-B208</f>
        <v>2</v>
      </c>
      <c r="AA208" s="1" t="str">
        <f aca="false">IF(B208="","",TEXT(B208,"mmm"))</f>
        <v>May</v>
      </c>
      <c r="AB208" s="9" t="n">
        <f aca="false">IF(B208="","",YEAR(B208))</f>
        <v>2025</v>
      </c>
      <c r="AC208" s="3"/>
      <c r="AD208" s="3" t="str">
        <f aca="false">IF(LEFT(AC208&amp;IF(B208="","; Missing Order Date","")&amp;IF(C208="","; Missing Ship Date","")&amp;IF(P208&lt;0,"; Invalid Discount (Negative)","")&amp;IF(P208&gt;0.5,"; Invalid Discount (Too High)","")&amp;IF(Z208&lt;0,"; Invalid Shipping Record (Ship Before Order)","")&amp;IF(ABS(Q208-W208)&gt;1,"; Sales Mismatch","")&amp;IF(ABS(S208-X208)&gt;1,"; Profit Mismatch","")&amp;IF(COUNTIF($A$2:$A$913,A208)&gt;1,"; Duplicate Order ID Conflict",""),2)="; ",MID(AC208&amp;IF(B208="","; Missing Order Date","")&amp;IF(C208="","; Missing Ship Date","")&amp;IF(P208&lt;0,"; Invalid Discount (Negative)","")&amp;IF(P208&gt;0.5,"; Invalid Discount (Too High)","")&amp;IF(Z208&lt;0,"; Invalid Shipping Record (Ship Before Order)","")&amp;IF(ABS(Q208-W208)&gt;1,"; Sales Mismatch","")&amp;IF(ABS(S208-X208)&gt;1,"; Profit Mismatch","")&amp;IF(COUNTIF($A$2:$A$913,A208)&gt;1,"; Duplicate Order ID Conflict",""),3,500),AC208&amp;IF(B208="","; Missing Order Date","")&amp;IF(C208="","; Missing Ship Date","")&amp;IF(P208&lt;0,"; Invalid Discount (Negative)","")&amp;IF(P208&gt;0.5,"; Invalid Discount (Too High)","")&amp;IF(Z208&lt;0,"; Invalid Shipping Record (Ship Before Order)","")&amp;IF(ABS(Q208-W208)&gt;1,"; Sales Mismatch","")&amp;IF(ABS(S208-X208)&gt;1,"; Profit Mismatch","")&amp;IF(COUNTIF($A$2:$A$913,A208)&gt;1,"; Duplicate Order ID Conflict",""))</f>
        <v/>
      </c>
      <c r="AE208" s="10" t="str">
        <f aca="false">IF(OR(ISNUMBER(SEARCH("Invalid Discount",AD208)),ISNUMBER(SEARCH("Invalid Shipping Record",AD208)),ISNUMBER(SEARCH("Sales Mismatch",AD208)),ISNUMBER(SEARCH("Profit Mismatch",AD208)),ISNUMBER(SEARCH("Duplicate Order ID Conflict",AD208)),ISNUMBER(SEARCH("Missing Order Date",AD208)),ISNUMBER(SEARCH("Missing Ship Date",AD208))),"Invalid",IF(AD208&lt;&gt;"","Warning","Clean"))</f>
        <v>Clean</v>
      </c>
    </row>
    <row r="209" customFormat="false" ht="15" hidden="false" customHeight="true" outlineLevel="0" collapsed="false">
      <c r="A209" s="3" t="s">
        <v>651</v>
      </c>
      <c r="B209" s="4" t="n">
        <v>45483</v>
      </c>
      <c r="C209" s="4" t="n">
        <v>45489</v>
      </c>
      <c r="D209" s="3" t="s">
        <v>652</v>
      </c>
      <c r="E209" s="3" t="str">
        <f aca="false">PROPER(TRIM(SUBSTITUTE(Raw_Text_Fields!B210,CHAR(160)," ")))</f>
        <v>Aarav Sharma</v>
      </c>
      <c r="F209" s="3" t="str">
        <f aca="false">PROPER(TRIM(SUBSTITUTE(Raw_Text_Fields!C210,CHAR(160)," ")))</f>
        <v>Home Office</v>
      </c>
      <c r="G209" s="3" t="str">
        <f aca="false">PROPER(TRIM(SUBSTITUTE(Raw_Text_Fields!D210,CHAR(160)," ")))</f>
        <v>West</v>
      </c>
      <c r="H209" s="3" t="str">
        <f aca="false">PROPER(TRIM(SUBSTITUTE(Raw_Text_Fields!E210,CHAR(160)," ")))</f>
        <v>Goa</v>
      </c>
      <c r="I209" s="3" t="str">
        <f aca="false">PROPER(TRIM(SUBSTITUTE(Raw_Text_Fields!F210,CHAR(160)," ")))</f>
        <v>Panaji</v>
      </c>
      <c r="J209" s="3" t="str">
        <f aca="false">PROPER(TRIM(SUBSTITUTE(Raw_Text_Fields!G210,CHAR(160)," ")))</f>
        <v>Furniture</v>
      </c>
      <c r="K209" s="3" t="str">
        <f aca="false">PROPER(TRIM(SUBSTITUTE(Raw_Text_Fields!H210,CHAR(160)," ")))</f>
        <v>Bookcases</v>
      </c>
      <c r="L209" s="3" t="s">
        <v>653</v>
      </c>
      <c r="M209" s="3" t="str">
        <f aca="false">PROPER(TRIM(SUBSTITUTE(Raw_Text_Fields!I210,CHAR(160)," ")))</f>
        <v>Second Class</v>
      </c>
      <c r="N209" s="3" t="n">
        <v>2</v>
      </c>
      <c r="O209" s="5" t="n">
        <v>1095.45</v>
      </c>
      <c r="P209" s="6" t="n">
        <v>0.2</v>
      </c>
      <c r="Q209" s="5" t="n">
        <v>1752.72</v>
      </c>
      <c r="R209" s="5" t="n">
        <v>996.41</v>
      </c>
      <c r="S209" s="5" t="n">
        <v>756.31</v>
      </c>
      <c r="T209" s="3" t="str">
        <f aca="false">PROPER(TRIM(SUBSTITUTE(Raw_Text_Fields!J210,CHAR(160)," ")))</f>
        <v>Paid</v>
      </c>
      <c r="U209" s="3" t="str">
        <f aca="false">PROPER(TRIM(SUBSTITUTE(Raw_Text_Fields!K210,CHAR(160)," ")))</f>
        <v>Completed</v>
      </c>
      <c r="V209" s="7" t="n">
        <f aca="false">IF(OR(P209&lt;0,P209&gt;0.5),0,P209)</f>
        <v>0.2</v>
      </c>
      <c r="W209" s="8" t="n">
        <f aca="false">N209*O209*(1-V209)</f>
        <v>1752.72</v>
      </c>
      <c r="X209" s="8" t="n">
        <f aca="false">W209-R209</f>
        <v>756.31</v>
      </c>
      <c r="Y209" s="7" t="n">
        <f aca="false">IFERROR(X209/W209,0)</f>
        <v>0.431506458533023</v>
      </c>
      <c r="Z209" s="9" t="n">
        <f aca="false">C209-B209</f>
        <v>6</v>
      </c>
      <c r="AA209" s="1" t="str">
        <f aca="false">IF(B209="","",TEXT(B209,"mmm"))</f>
        <v>Jul</v>
      </c>
      <c r="AB209" s="9" t="n">
        <f aca="false">IF(B209="","",YEAR(B209))</f>
        <v>2024</v>
      </c>
      <c r="AC209" s="3"/>
      <c r="AD209" s="3" t="str">
        <f aca="false">IF(LEFT(AC209&amp;IF(B209="","; Missing Order Date","")&amp;IF(C209="","; Missing Ship Date","")&amp;IF(P209&lt;0,"; Invalid Discount (Negative)","")&amp;IF(P209&gt;0.5,"; Invalid Discount (Too High)","")&amp;IF(Z209&lt;0,"; Invalid Shipping Record (Ship Before Order)","")&amp;IF(ABS(Q209-W209)&gt;1,"; Sales Mismatch","")&amp;IF(ABS(S209-X209)&gt;1,"; Profit Mismatch","")&amp;IF(COUNTIF($A$2:$A$913,A209)&gt;1,"; Duplicate Order ID Conflict",""),2)="; ",MID(AC209&amp;IF(B209="","; Missing Order Date","")&amp;IF(C209="","; Missing Ship Date","")&amp;IF(P209&lt;0,"; Invalid Discount (Negative)","")&amp;IF(P209&gt;0.5,"; Invalid Discount (Too High)","")&amp;IF(Z209&lt;0,"; Invalid Shipping Record (Ship Before Order)","")&amp;IF(ABS(Q209-W209)&gt;1,"; Sales Mismatch","")&amp;IF(ABS(S209-X209)&gt;1,"; Profit Mismatch","")&amp;IF(COUNTIF($A$2:$A$913,A209)&gt;1,"; Duplicate Order ID Conflict",""),3,500),AC209&amp;IF(B209="","; Missing Order Date","")&amp;IF(C209="","; Missing Ship Date","")&amp;IF(P209&lt;0,"; Invalid Discount (Negative)","")&amp;IF(P209&gt;0.5,"; Invalid Discount (Too High)","")&amp;IF(Z209&lt;0,"; Invalid Shipping Record (Ship Before Order)","")&amp;IF(ABS(Q209-W209)&gt;1,"; Sales Mismatch","")&amp;IF(ABS(S209-X209)&gt;1,"; Profit Mismatch","")&amp;IF(COUNTIF($A$2:$A$913,A209)&gt;1,"; Duplicate Order ID Conflict",""))</f>
        <v/>
      </c>
      <c r="AE209" s="10" t="str">
        <f aca="false">IF(OR(ISNUMBER(SEARCH("Invalid Discount",AD209)),ISNUMBER(SEARCH("Invalid Shipping Record",AD209)),ISNUMBER(SEARCH("Sales Mismatch",AD209)),ISNUMBER(SEARCH("Profit Mismatch",AD209)),ISNUMBER(SEARCH("Duplicate Order ID Conflict",AD209)),ISNUMBER(SEARCH("Missing Order Date",AD209)),ISNUMBER(SEARCH("Missing Ship Date",AD209))),"Invalid",IF(AD209&lt;&gt;"","Warning","Clean"))</f>
        <v>Clean</v>
      </c>
    </row>
    <row r="210" customFormat="false" ht="15" hidden="false" customHeight="true" outlineLevel="0" collapsed="false">
      <c r="A210" s="3" t="s">
        <v>654</v>
      </c>
      <c r="B210" s="4" t="n">
        <v>45837</v>
      </c>
      <c r="C210" s="4" t="n">
        <v>45843</v>
      </c>
      <c r="D210" s="3" t="s">
        <v>655</v>
      </c>
      <c r="E210" s="3" t="str">
        <f aca="false">PROPER(TRIM(SUBSTITUTE(Raw_Text_Fields!B211,CHAR(160)," ")))</f>
        <v>Diya Patel</v>
      </c>
      <c r="F210" s="3" t="str">
        <f aca="false">PROPER(TRIM(SUBSTITUTE(Raw_Text_Fields!C211,CHAR(160)," ")))</f>
        <v>Consumer</v>
      </c>
      <c r="G210" s="3" t="str">
        <f aca="false">PROPER(TRIM(SUBSTITUTE(Raw_Text_Fields!D211,CHAR(160)," ")))</f>
        <v>North</v>
      </c>
      <c r="H210" s="3" t="str">
        <f aca="false">PROPER(TRIM(SUBSTITUTE(Raw_Text_Fields!E211,CHAR(160)," ")))</f>
        <v>Punjab</v>
      </c>
      <c r="I210" s="3" t="str">
        <f aca="false">PROPER(TRIM(SUBSTITUTE(Raw_Text_Fields!F211,CHAR(160)," ")))</f>
        <v>Ludhiana</v>
      </c>
      <c r="J210" s="3" t="str">
        <f aca="false">PROPER(TRIM(SUBSTITUTE(Raw_Text_Fields!G211,CHAR(160)," ")))</f>
        <v>Furniture</v>
      </c>
      <c r="K210" s="3" t="str">
        <f aca="false">PROPER(TRIM(SUBSTITUTE(Raw_Text_Fields!H211,CHAR(160)," ")))</f>
        <v>Chairs</v>
      </c>
      <c r="L210" s="3" t="s">
        <v>656</v>
      </c>
      <c r="M210" s="3" t="str">
        <f aca="false">PROPER(TRIM(SUBSTITUTE(Raw_Text_Fields!I211,CHAR(160)," ")))</f>
        <v>Same Day</v>
      </c>
      <c r="N210" s="3" t="n">
        <v>1</v>
      </c>
      <c r="O210" s="5" t="n">
        <v>999.83</v>
      </c>
      <c r="P210" s="6" t="n">
        <v>0</v>
      </c>
      <c r="Q210" s="5" t="n">
        <v>999.83</v>
      </c>
      <c r="R210" s="5" t="n">
        <v>634.91</v>
      </c>
      <c r="S210" s="5" t="n">
        <v>364.92</v>
      </c>
      <c r="T210" s="3" t="str">
        <f aca="false">PROPER(TRIM(SUBSTITUTE(Raw_Text_Fields!J211,CHAR(160)," ")))</f>
        <v>Paid</v>
      </c>
      <c r="U210" s="3" t="str">
        <f aca="false">PROPER(TRIM(SUBSTITUTE(Raw_Text_Fields!K211,CHAR(160)," ")))</f>
        <v>Completed</v>
      </c>
      <c r="V210" s="7" t="n">
        <f aca="false">IF(OR(P210&lt;0,P210&gt;0.5),0,P210)</f>
        <v>0</v>
      </c>
      <c r="W210" s="8" t="n">
        <f aca="false">N210*O210*(1-V210)</f>
        <v>999.83</v>
      </c>
      <c r="X210" s="8" t="n">
        <f aca="false">W210-R210</f>
        <v>364.92</v>
      </c>
      <c r="Y210" s="7" t="n">
        <f aca="false">IFERROR(X210/W210,0)</f>
        <v>0.364982046947981</v>
      </c>
      <c r="Z210" s="9" t="n">
        <f aca="false">C210-B210</f>
        <v>6</v>
      </c>
      <c r="AA210" s="1" t="str">
        <f aca="false">IF(B210="","",TEXT(B210,"mmm"))</f>
        <v>Jun</v>
      </c>
      <c r="AB210" s="9" t="n">
        <f aca="false">IF(B210="","",YEAR(B210))</f>
        <v>2025</v>
      </c>
      <c r="AC210" s="3"/>
      <c r="AD210" s="3" t="str">
        <f aca="false">IF(LEFT(AC210&amp;IF(B210="","; Missing Order Date","")&amp;IF(C210="","; Missing Ship Date","")&amp;IF(P210&lt;0,"; Invalid Discount (Negative)","")&amp;IF(P210&gt;0.5,"; Invalid Discount (Too High)","")&amp;IF(Z210&lt;0,"; Invalid Shipping Record (Ship Before Order)","")&amp;IF(ABS(Q210-W210)&gt;1,"; Sales Mismatch","")&amp;IF(ABS(S210-X210)&gt;1,"; Profit Mismatch","")&amp;IF(COUNTIF($A$2:$A$913,A210)&gt;1,"; Duplicate Order ID Conflict",""),2)="; ",MID(AC210&amp;IF(B210="","; Missing Order Date","")&amp;IF(C210="","; Missing Ship Date","")&amp;IF(P210&lt;0,"; Invalid Discount (Negative)","")&amp;IF(P210&gt;0.5,"; Invalid Discount (Too High)","")&amp;IF(Z210&lt;0,"; Invalid Shipping Record (Ship Before Order)","")&amp;IF(ABS(Q210-W210)&gt;1,"; Sales Mismatch","")&amp;IF(ABS(S210-X210)&gt;1,"; Profit Mismatch","")&amp;IF(COUNTIF($A$2:$A$913,A210)&gt;1,"; Duplicate Order ID Conflict",""),3,500),AC210&amp;IF(B210="","; Missing Order Date","")&amp;IF(C210="","; Missing Ship Date","")&amp;IF(P210&lt;0,"; Invalid Discount (Negative)","")&amp;IF(P210&gt;0.5,"; Invalid Discount (Too High)","")&amp;IF(Z210&lt;0,"; Invalid Shipping Record (Ship Before Order)","")&amp;IF(ABS(Q210-W210)&gt;1,"; Sales Mismatch","")&amp;IF(ABS(S210-X210)&gt;1,"; Profit Mismatch","")&amp;IF(COUNTIF($A$2:$A$913,A210)&gt;1,"; Duplicate Order ID Conflict",""))</f>
        <v/>
      </c>
      <c r="AE210" s="10" t="str">
        <f aca="false">IF(OR(ISNUMBER(SEARCH("Invalid Discount",AD210)),ISNUMBER(SEARCH("Invalid Shipping Record",AD210)),ISNUMBER(SEARCH("Sales Mismatch",AD210)),ISNUMBER(SEARCH("Profit Mismatch",AD210)),ISNUMBER(SEARCH("Duplicate Order ID Conflict",AD210)),ISNUMBER(SEARCH("Missing Order Date",AD210)),ISNUMBER(SEARCH("Missing Ship Date",AD210))),"Invalid",IF(AD210&lt;&gt;"","Warning","Clean"))</f>
        <v>Clean</v>
      </c>
    </row>
    <row r="211" customFormat="false" ht="15" hidden="false" customHeight="true" outlineLevel="0" collapsed="false">
      <c r="A211" s="3" t="s">
        <v>657</v>
      </c>
      <c r="B211" s="4" t="n">
        <v>45882</v>
      </c>
      <c r="C211" s="4" t="n">
        <v>45883</v>
      </c>
      <c r="D211" s="3" t="s">
        <v>658</v>
      </c>
      <c r="E211" s="3" t="str">
        <f aca="false">PROPER(TRIM(SUBSTITUTE(Raw_Text_Fields!B212,CHAR(160)," ")))</f>
        <v>Rohan Mehta</v>
      </c>
      <c r="F211" s="3" t="str">
        <f aca="false">PROPER(TRIM(SUBSTITUTE(Raw_Text_Fields!C212,CHAR(160)," ")))</f>
        <v>Small Business</v>
      </c>
      <c r="G211" s="3" t="str">
        <f aca="false">PROPER(TRIM(SUBSTITUTE(Raw_Text_Fields!D212,CHAR(160)," ")))</f>
        <v>South</v>
      </c>
      <c r="H211" s="3" t="str">
        <f aca="false">PROPER(TRIM(SUBSTITUTE(Raw_Text_Fields!E212,CHAR(160)," ")))</f>
        <v>Andhra Pradesh</v>
      </c>
      <c r="I211" s="3" t="str">
        <f aca="false">PROPER(TRIM(SUBSTITUTE(Raw_Text_Fields!F212,CHAR(160)," ")))</f>
        <v>Vijayawada</v>
      </c>
      <c r="J211" s="3" t="str">
        <f aca="false">PROPER(TRIM(SUBSTITUTE(Raw_Text_Fields!G212,CHAR(160)," ")))</f>
        <v>Office Supplies</v>
      </c>
      <c r="K211" s="3" t="str">
        <f aca="false">PROPER(TRIM(SUBSTITUTE(Raw_Text_Fields!H212,CHAR(160)," ")))</f>
        <v>Paper</v>
      </c>
      <c r="L211" s="3" t="s">
        <v>659</v>
      </c>
      <c r="M211" s="3" t="str">
        <f aca="false">PROPER(TRIM(SUBSTITUTE(Raw_Text_Fields!I212,CHAR(160)," ")))</f>
        <v>First Class</v>
      </c>
      <c r="N211" s="3" t="n">
        <v>9</v>
      </c>
      <c r="O211" s="5" t="n">
        <v>864.98</v>
      </c>
      <c r="P211" s="6" t="n">
        <v>0.1</v>
      </c>
      <c r="Q211" s="5" t="n">
        <v>7006.34</v>
      </c>
      <c r="R211" s="5" t="n">
        <v>4640.88</v>
      </c>
      <c r="S211" s="5" t="n">
        <v>2365.46</v>
      </c>
      <c r="T211" s="3" t="str">
        <f aca="false">PROPER(TRIM(SUBSTITUTE(Raw_Text_Fields!J212,CHAR(160)," ")))</f>
        <v>Paid</v>
      </c>
      <c r="U211" s="3" t="str">
        <f aca="false">PROPER(TRIM(SUBSTITUTE(Raw_Text_Fields!K212,CHAR(160)," ")))</f>
        <v>Completed</v>
      </c>
      <c r="V211" s="7" t="n">
        <f aca="false">IF(OR(P211&lt;0,P211&gt;0.5),0,P211)</f>
        <v>0.1</v>
      </c>
      <c r="W211" s="8" t="n">
        <f aca="false">N211*O211*(1-V211)</f>
        <v>7006.338</v>
      </c>
      <c r="X211" s="8" t="n">
        <f aca="false">W211-R211</f>
        <v>2365.458</v>
      </c>
      <c r="Y211" s="7" t="n">
        <f aca="false">IFERROR(X211/W211,0)</f>
        <v>0.337616883456094</v>
      </c>
      <c r="Z211" s="9" t="n">
        <f aca="false">C211-B211</f>
        <v>1</v>
      </c>
      <c r="AA211" s="1" t="str">
        <f aca="false">IF(B211="","",TEXT(B211,"mmm"))</f>
        <v>Aug</v>
      </c>
      <c r="AB211" s="9" t="n">
        <f aca="false">IF(B211="","",YEAR(B211))</f>
        <v>2025</v>
      </c>
      <c r="AC211" s="3"/>
      <c r="AD211" s="3" t="str">
        <f aca="false">IF(LEFT(AC211&amp;IF(B211="","; Missing Order Date","")&amp;IF(C211="","; Missing Ship Date","")&amp;IF(P211&lt;0,"; Invalid Discount (Negative)","")&amp;IF(P211&gt;0.5,"; Invalid Discount (Too High)","")&amp;IF(Z211&lt;0,"; Invalid Shipping Record (Ship Before Order)","")&amp;IF(ABS(Q211-W211)&gt;1,"; Sales Mismatch","")&amp;IF(ABS(S211-X211)&gt;1,"; Profit Mismatch","")&amp;IF(COUNTIF($A$2:$A$913,A211)&gt;1,"; Duplicate Order ID Conflict",""),2)="; ",MID(AC211&amp;IF(B211="","; Missing Order Date","")&amp;IF(C211="","; Missing Ship Date","")&amp;IF(P211&lt;0,"; Invalid Discount (Negative)","")&amp;IF(P211&gt;0.5,"; Invalid Discount (Too High)","")&amp;IF(Z211&lt;0,"; Invalid Shipping Record (Ship Before Order)","")&amp;IF(ABS(Q211-W211)&gt;1,"; Sales Mismatch","")&amp;IF(ABS(S211-X211)&gt;1,"; Profit Mismatch","")&amp;IF(COUNTIF($A$2:$A$913,A211)&gt;1,"; Duplicate Order ID Conflict",""),3,500),AC211&amp;IF(B211="","; Missing Order Date","")&amp;IF(C211="","; Missing Ship Date","")&amp;IF(P211&lt;0,"; Invalid Discount (Negative)","")&amp;IF(P211&gt;0.5,"; Invalid Discount (Too High)","")&amp;IF(Z211&lt;0,"; Invalid Shipping Record (Ship Before Order)","")&amp;IF(ABS(Q211-W211)&gt;1,"; Sales Mismatch","")&amp;IF(ABS(S211-X211)&gt;1,"; Profit Mismatch","")&amp;IF(COUNTIF($A$2:$A$913,A211)&gt;1,"; Duplicate Order ID Conflict",""))</f>
        <v/>
      </c>
      <c r="AE211" s="10" t="str">
        <f aca="false">IF(OR(ISNUMBER(SEARCH("Invalid Discount",AD211)),ISNUMBER(SEARCH("Invalid Shipping Record",AD211)),ISNUMBER(SEARCH("Sales Mismatch",AD211)),ISNUMBER(SEARCH("Profit Mismatch",AD211)),ISNUMBER(SEARCH("Duplicate Order ID Conflict",AD211)),ISNUMBER(SEARCH("Missing Order Date",AD211)),ISNUMBER(SEARCH("Missing Ship Date",AD211))),"Invalid",IF(AD211&lt;&gt;"","Warning","Clean"))</f>
        <v>Clean</v>
      </c>
    </row>
    <row r="212" customFormat="false" ht="15" hidden="false" customHeight="true" outlineLevel="0" collapsed="false">
      <c r="A212" s="3" t="s">
        <v>660</v>
      </c>
      <c r="B212" s="4" t="n">
        <v>45366</v>
      </c>
      <c r="C212" s="4" t="n">
        <v>45369</v>
      </c>
      <c r="D212" s="3" t="s">
        <v>661</v>
      </c>
      <c r="E212" s="3" t="str">
        <f aca="false">PROPER(TRIM(SUBSTITUTE(Raw_Text_Fields!B213,CHAR(160)," ")))</f>
        <v>Kabir Singh</v>
      </c>
      <c r="F212" s="3" t="str">
        <f aca="false">PROPER(TRIM(SUBSTITUTE(Raw_Text_Fields!C213,CHAR(160)," ")))</f>
        <v>Home Office</v>
      </c>
      <c r="G212" s="3" t="str">
        <f aca="false">PROPER(TRIM(SUBSTITUTE(Raw_Text_Fields!D213,CHAR(160)," ")))</f>
        <v>South</v>
      </c>
      <c r="H212" s="3" t="str">
        <f aca="false">PROPER(TRIM(SUBSTITUTE(Raw_Text_Fields!E213,CHAR(160)," ")))</f>
        <v>Karnataka</v>
      </c>
      <c r="I212" s="3" t="str">
        <f aca="false">PROPER(TRIM(SUBSTITUTE(Raw_Text_Fields!F213,CHAR(160)," ")))</f>
        <v>Bengaluru</v>
      </c>
      <c r="J212" s="3" t="str">
        <f aca="false">PROPER(TRIM(SUBSTITUTE(Raw_Text_Fields!G213,CHAR(160)," ")))</f>
        <v>Technology</v>
      </c>
      <c r="K212" s="3" t="str">
        <f aca="false">PROPER(TRIM(SUBSTITUTE(Raw_Text_Fields!H213,CHAR(160)," ")))</f>
        <v>Machines</v>
      </c>
      <c r="L212" s="3" t="s">
        <v>662</v>
      </c>
      <c r="M212" s="3" t="str">
        <f aca="false">PROPER(TRIM(SUBSTITUTE(Raw_Text_Fields!I213,CHAR(160)," ")))</f>
        <v>Second Class</v>
      </c>
      <c r="N212" s="3" t="n">
        <v>1</v>
      </c>
      <c r="O212" s="5" t="n">
        <v>4131.36</v>
      </c>
      <c r="P212" s="6" t="n">
        <v>0</v>
      </c>
      <c r="Q212" s="5" t="n">
        <v>4131.36</v>
      </c>
      <c r="R212" s="5" t="n">
        <v>2937.07</v>
      </c>
      <c r="S212" s="5" t="n">
        <v>1194.29</v>
      </c>
      <c r="T212" s="3" t="str">
        <f aca="false">PROPER(TRIM(SUBSTITUTE(Raw_Text_Fields!J213,CHAR(160)," ")))</f>
        <v>Failed</v>
      </c>
      <c r="U212" s="3" t="str">
        <f aca="false">PROPER(TRIM(SUBSTITUTE(Raw_Text_Fields!K213,CHAR(160)," ")))</f>
        <v>Returned</v>
      </c>
      <c r="V212" s="7" t="n">
        <f aca="false">IF(OR(P212&lt;0,P212&gt;0.5),0,P212)</f>
        <v>0</v>
      </c>
      <c r="W212" s="8" t="n">
        <f aca="false">N212*O212*(1-V212)</f>
        <v>4131.36</v>
      </c>
      <c r="X212" s="8" t="n">
        <f aca="false">W212-R212</f>
        <v>1194.29</v>
      </c>
      <c r="Y212" s="7" t="n">
        <f aca="false">IFERROR(X212/W212,0)</f>
        <v>0.289079141009256</v>
      </c>
      <c r="Z212" s="9" t="n">
        <f aca="false">C212-B212</f>
        <v>3</v>
      </c>
      <c r="AA212" s="1" t="str">
        <f aca="false">IF(B212="","",TEXT(B212,"mmm"))</f>
        <v>Mar</v>
      </c>
      <c r="AB212" s="9" t="n">
        <f aca="false">IF(B212="","",YEAR(B212))</f>
        <v>2024</v>
      </c>
      <c r="AC212" s="3"/>
      <c r="AD212" s="3" t="str">
        <f aca="false">IF(LEFT(AC212&amp;IF(B212="","; Missing Order Date","")&amp;IF(C212="","; Missing Ship Date","")&amp;IF(P212&lt;0,"; Invalid Discount (Negative)","")&amp;IF(P212&gt;0.5,"; Invalid Discount (Too High)","")&amp;IF(Z212&lt;0,"; Invalid Shipping Record (Ship Before Order)","")&amp;IF(ABS(Q212-W212)&gt;1,"; Sales Mismatch","")&amp;IF(ABS(S212-X212)&gt;1,"; Profit Mismatch","")&amp;IF(COUNTIF($A$2:$A$913,A212)&gt;1,"; Duplicate Order ID Conflict",""),2)="; ",MID(AC212&amp;IF(B212="","; Missing Order Date","")&amp;IF(C212="","; Missing Ship Date","")&amp;IF(P212&lt;0,"; Invalid Discount (Negative)","")&amp;IF(P212&gt;0.5,"; Invalid Discount (Too High)","")&amp;IF(Z212&lt;0,"; Invalid Shipping Record (Ship Before Order)","")&amp;IF(ABS(Q212-W212)&gt;1,"; Sales Mismatch","")&amp;IF(ABS(S212-X212)&gt;1,"; Profit Mismatch","")&amp;IF(COUNTIF($A$2:$A$913,A212)&gt;1,"; Duplicate Order ID Conflict",""),3,500),AC212&amp;IF(B212="","; Missing Order Date","")&amp;IF(C212="","; Missing Ship Date","")&amp;IF(P212&lt;0,"; Invalid Discount (Negative)","")&amp;IF(P212&gt;0.5,"; Invalid Discount (Too High)","")&amp;IF(Z212&lt;0,"; Invalid Shipping Record (Ship Before Order)","")&amp;IF(ABS(Q212-W212)&gt;1,"; Sales Mismatch","")&amp;IF(ABS(S212-X212)&gt;1,"; Profit Mismatch","")&amp;IF(COUNTIF($A$2:$A$913,A212)&gt;1,"; Duplicate Order ID Conflict",""))</f>
        <v/>
      </c>
      <c r="AE212" s="10" t="str">
        <f aca="false">IF(OR(ISNUMBER(SEARCH("Invalid Discount",AD212)),ISNUMBER(SEARCH("Invalid Shipping Record",AD212)),ISNUMBER(SEARCH("Sales Mismatch",AD212)),ISNUMBER(SEARCH("Profit Mismatch",AD212)),ISNUMBER(SEARCH("Duplicate Order ID Conflict",AD212)),ISNUMBER(SEARCH("Missing Order Date",AD212)),ISNUMBER(SEARCH("Missing Ship Date",AD212))),"Invalid",IF(AD212&lt;&gt;"","Warning","Clean"))</f>
        <v>Clean</v>
      </c>
    </row>
    <row r="213" customFormat="false" ht="15" hidden="false" customHeight="true" outlineLevel="0" collapsed="false">
      <c r="A213" s="3" t="s">
        <v>663</v>
      </c>
      <c r="B213" s="4" t="n">
        <v>45428</v>
      </c>
      <c r="C213" s="4" t="n">
        <v>45429</v>
      </c>
      <c r="D213" s="3" t="s">
        <v>664</v>
      </c>
      <c r="E213" s="3" t="str">
        <f aca="false">PROPER(TRIM(SUBSTITUTE(Raw_Text_Fields!B214,CHAR(160)," ")))</f>
        <v>Rohan Mehta</v>
      </c>
      <c r="F213" s="3" t="str">
        <f aca="false">PROPER(TRIM(SUBSTITUTE(Raw_Text_Fields!C214,CHAR(160)," ")))</f>
        <v>Corporate</v>
      </c>
      <c r="G213" s="3" t="str">
        <f aca="false">PROPER(TRIM(SUBSTITUTE(Raw_Text_Fields!D214,CHAR(160)," ")))</f>
        <v>East</v>
      </c>
      <c r="H213" s="3" t="str">
        <f aca="false">PROPER(TRIM(SUBSTITUTE(Raw_Text_Fields!E214,CHAR(160)," ")))</f>
        <v>West Bengal</v>
      </c>
      <c r="I213" s="3" t="str">
        <f aca="false">PROPER(TRIM(SUBSTITUTE(Raw_Text_Fields!F214,CHAR(160)," ")))</f>
        <v>Kolkata</v>
      </c>
      <c r="J213" s="3" t="str">
        <f aca="false">PROPER(TRIM(SUBSTITUTE(Raw_Text_Fields!G214,CHAR(160)," ")))</f>
        <v>Technology</v>
      </c>
      <c r="K213" s="3" t="str">
        <f aca="false">PROPER(TRIM(SUBSTITUTE(Raw_Text_Fields!H214,CHAR(160)," ")))</f>
        <v>Copiers</v>
      </c>
      <c r="L213" s="3" t="s">
        <v>665</v>
      </c>
      <c r="M213" s="3" t="str">
        <f aca="false">PROPER(TRIM(SUBSTITUTE(Raw_Text_Fields!I214,CHAR(160)," ")))</f>
        <v>Second Class</v>
      </c>
      <c r="N213" s="3" t="n">
        <v>8</v>
      </c>
      <c r="O213" s="5" t="n">
        <v>4221.95</v>
      </c>
      <c r="P213" s="6" t="n">
        <v>0.2</v>
      </c>
      <c r="Q213" s="5" t="n">
        <v>27020.48</v>
      </c>
      <c r="R213" s="5" t="n">
        <v>22885.24</v>
      </c>
      <c r="S213" s="5" t="n">
        <v>4135.24</v>
      </c>
      <c r="T213" s="3" t="str">
        <f aca="false">PROPER(TRIM(SUBSTITUTE(Raw_Text_Fields!J214,CHAR(160)," ")))</f>
        <v>Paid</v>
      </c>
      <c r="U213" s="3" t="str">
        <f aca="false">PROPER(TRIM(SUBSTITUTE(Raw_Text_Fields!K214,CHAR(160)," ")))</f>
        <v>Completed</v>
      </c>
      <c r="V213" s="7" t="n">
        <f aca="false">IF(OR(P213&lt;0,P213&gt;0.5),0,P213)</f>
        <v>0.2</v>
      </c>
      <c r="W213" s="8" t="n">
        <f aca="false">N213*O213*(1-V213)</f>
        <v>27020.48</v>
      </c>
      <c r="X213" s="8" t="n">
        <f aca="false">W213-R213</f>
        <v>4135.24</v>
      </c>
      <c r="Y213" s="7" t="n">
        <f aca="false">IFERROR(X213/W213,0)</f>
        <v>0.153040952640368</v>
      </c>
      <c r="Z213" s="9" t="n">
        <f aca="false">C213-B213</f>
        <v>1</v>
      </c>
      <c r="AA213" s="1" t="str">
        <f aca="false">IF(B213="","",TEXT(B213,"mmm"))</f>
        <v>May</v>
      </c>
      <c r="AB213" s="9" t="n">
        <f aca="false">IF(B213="","",YEAR(B213))</f>
        <v>2024</v>
      </c>
      <c r="AC213" s="3"/>
      <c r="AD213" s="3" t="str">
        <f aca="false">IF(LEFT(AC213&amp;IF(B213="","; Missing Order Date","")&amp;IF(C213="","; Missing Ship Date","")&amp;IF(P213&lt;0,"; Invalid Discount (Negative)","")&amp;IF(P213&gt;0.5,"; Invalid Discount (Too High)","")&amp;IF(Z213&lt;0,"; Invalid Shipping Record (Ship Before Order)","")&amp;IF(ABS(Q213-W213)&gt;1,"; Sales Mismatch","")&amp;IF(ABS(S213-X213)&gt;1,"; Profit Mismatch","")&amp;IF(COUNTIF($A$2:$A$913,A213)&gt;1,"; Duplicate Order ID Conflict",""),2)="; ",MID(AC213&amp;IF(B213="","; Missing Order Date","")&amp;IF(C213="","; Missing Ship Date","")&amp;IF(P213&lt;0,"; Invalid Discount (Negative)","")&amp;IF(P213&gt;0.5,"; Invalid Discount (Too High)","")&amp;IF(Z213&lt;0,"; Invalid Shipping Record (Ship Before Order)","")&amp;IF(ABS(Q213-W213)&gt;1,"; Sales Mismatch","")&amp;IF(ABS(S213-X213)&gt;1,"; Profit Mismatch","")&amp;IF(COUNTIF($A$2:$A$913,A213)&gt;1,"; Duplicate Order ID Conflict",""),3,500),AC213&amp;IF(B213="","; Missing Order Date","")&amp;IF(C213="","; Missing Ship Date","")&amp;IF(P213&lt;0,"; Invalid Discount (Negative)","")&amp;IF(P213&gt;0.5,"; Invalid Discount (Too High)","")&amp;IF(Z213&lt;0,"; Invalid Shipping Record (Ship Before Order)","")&amp;IF(ABS(Q213-W213)&gt;1,"; Sales Mismatch","")&amp;IF(ABS(S213-X213)&gt;1,"; Profit Mismatch","")&amp;IF(COUNTIF($A$2:$A$913,A213)&gt;1,"; Duplicate Order ID Conflict",""))</f>
        <v/>
      </c>
      <c r="AE213" s="10" t="str">
        <f aca="false">IF(OR(ISNUMBER(SEARCH("Invalid Discount",AD213)),ISNUMBER(SEARCH("Invalid Shipping Record",AD213)),ISNUMBER(SEARCH("Sales Mismatch",AD213)),ISNUMBER(SEARCH("Profit Mismatch",AD213)),ISNUMBER(SEARCH("Duplicate Order ID Conflict",AD213)),ISNUMBER(SEARCH("Missing Order Date",AD213)),ISNUMBER(SEARCH("Missing Ship Date",AD213))),"Invalid",IF(AD213&lt;&gt;"","Warning","Clean"))</f>
        <v>Clean</v>
      </c>
    </row>
    <row r="214" customFormat="false" ht="15" hidden="false" customHeight="true" outlineLevel="0" collapsed="false">
      <c r="A214" s="3" t="s">
        <v>666</v>
      </c>
      <c r="B214" s="4" t="n">
        <v>45556</v>
      </c>
      <c r="C214" s="4" t="n">
        <v>45556</v>
      </c>
      <c r="D214" s="3" t="s">
        <v>667</v>
      </c>
      <c r="E214" s="3" t="str">
        <f aca="false">PROPER(TRIM(SUBSTITUTE(Raw_Text_Fields!B215,CHAR(160)," ")))</f>
        <v>Ananya Rao</v>
      </c>
      <c r="F214" s="3" t="str">
        <f aca="false">PROPER(TRIM(SUBSTITUTE(Raw_Text_Fields!C215,CHAR(160)," ")))</f>
        <v>Small Business</v>
      </c>
      <c r="G214" s="3" t="str">
        <f aca="false">PROPER(TRIM(SUBSTITUTE(Raw_Text_Fields!D215,CHAR(160)," ")))</f>
        <v>East</v>
      </c>
      <c r="H214" s="3" t="str">
        <f aca="false">PROPER(TRIM(SUBSTITUTE(Raw_Text_Fields!E215,CHAR(160)," ")))</f>
        <v>Odisha</v>
      </c>
      <c r="I214" s="3" t="str">
        <f aca="false">PROPER(TRIM(SUBSTITUTE(Raw_Text_Fields!F215,CHAR(160)," ")))</f>
        <v>Bhubaneswar</v>
      </c>
      <c r="J214" s="3" t="str">
        <f aca="false">PROPER(TRIM(SUBSTITUTE(Raw_Text_Fields!G215,CHAR(160)," ")))</f>
        <v>Technology</v>
      </c>
      <c r="K214" s="3" t="str">
        <f aca="false">PROPER(TRIM(SUBSTITUTE(Raw_Text_Fields!H215,CHAR(160)," ")))</f>
        <v>Phones</v>
      </c>
      <c r="L214" s="3" t="s">
        <v>668</v>
      </c>
      <c r="M214" s="3" t="str">
        <f aca="false">PROPER(TRIM(SUBSTITUTE(Raw_Text_Fields!I215,CHAR(160)," ")))</f>
        <v>Same Day</v>
      </c>
      <c r="N214" s="3" t="n">
        <v>2</v>
      </c>
      <c r="O214" s="5" t="n">
        <v>214.5</v>
      </c>
      <c r="P214" s="6" t="n">
        <v>0.15</v>
      </c>
      <c r="Q214" s="5" t="n">
        <v>364.65</v>
      </c>
      <c r="R214" s="5" t="n">
        <v>280.74</v>
      </c>
      <c r="S214" s="5" t="n">
        <v>83.91</v>
      </c>
      <c r="T214" s="3" t="str">
        <f aca="false">PROPER(TRIM(SUBSTITUTE(Raw_Text_Fields!J215,CHAR(160)," ")))</f>
        <v>Paid</v>
      </c>
      <c r="U214" s="3" t="str">
        <f aca="false">PROPER(TRIM(SUBSTITUTE(Raw_Text_Fields!K215,CHAR(160)," ")))</f>
        <v>Completed</v>
      </c>
      <c r="V214" s="7" t="n">
        <f aca="false">IF(OR(P214&lt;0,P214&gt;0.5),0,P214)</f>
        <v>0.15</v>
      </c>
      <c r="W214" s="8" t="n">
        <f aca="false">N214*O214*(1-V214)</f>
        <v>364.65</v>
      </c>
      <c r="X214" s="8" t="n">
        <f aca="false">W214-R214</f>
        <v>83.91</v>
      </c>
      <c r="Y214" s="7" t="n">
        <f aca="false">IFERROR(X214/W214,0)</f>
        <v>0.230111065405183</v>
      </c>
      <c r="Z214" s="9" t="n">
        <f aca="false">C214-B214</f>
        <v>0</v>
      </c>
      <c r="AA214" s="1" t="str">
        <f aca="false">IF(B214="","",TEXT(B214,"mmm"))</f>
        <v>Sep</v>
      </c>
      <c r="AB214" s="9" t="n">
        <f aca="false">IF(B214="","",YEAR(B214))</f>
        <v>2024</v>
      </c>
      <c r="AC214" s="3"/>
      <c r="AD214" s="3" t="str">
        <f aca="false">IF(LEFT(AC214&amp;IF(B214="","; Missing Order Date","")&amp;IF(C214="","; Missing Ship Date","")&amp;IF(P214&lt;0,"; Invalid Discount (Negative)","")&amp;IF(P214&gt;0.5,"; Invalid Discount (Too High)","")&amp;IF(Z214&lt;0,"; Invalid Shipping Record (Ship Before Order)","")&amp;IF(ABS(Q214-W214)&gt;1,"; Sales Mismatch","")&amp;IF(ABS(S214-X214)&gt;1,"; Profit Mismatch","")&amp;IF(COUNTIF($A$2:$A$913,A214)&gt;1,"; Duplicate Order ID Conflict",""),2)="; ",MID(AC214&amp;IF(B214="","; Missing Order Date","")&amp;IF(C214="","; Missing Ship Date","")&amp;IF(P214&lt;0,"; Invalid Discount (Negative)","")&amp;IF(P214&gt;0.5,"; Invalid Discount (Too High)","")&amp;IF(Z214&lt;0,"; Invalid Shipping Record (Ship Before Order)","")&amp;IF(ABS(Q214-W214)&gt;1,"; Sales Mismatch","")&amp;IF(ABS(S214-X214)&gt;1,"; Profit Mismatch","")&amp;IF(COUNTIF($A$2:$A$913,A214)&gt;1,"; Duplicate Order ID Conflict",""),3,500),AC214&amp;IF(B214="","; Missing Order Date","")&amp;IF(C214="","; Missing Ship Date","")&amp;IF(P214&lt;0,"; Invalid Discount (Negative)","")&amp;IF(P214&gt;0.5,"; Invalid Discount (Too High)","")&amp;IF(Z214&lt;0,"; Invalid Shipping Record (Ship Before Order)","")&amp;IF(ABS(Q214-W214)&gt;1,"; Sales Mismatch","")&amp;IF(ABS(S214-X214)&gt;1,"; Profit Mismatch","")&amp;IF(COUNTIF($A$2:$A$913,A214)&gt;1,"; Duplicate Order ID Conflict",""))</f>
        <v/>
      </c>
      <c r="AE214" s="10" t="str">
        <f aca="false">IF(OR(ISNUMBER(SEARCH("Invalid Discount",AD214)),ISNUMBER(SEARCH("Invalid Shipping Record",AD214)),ISNUMBER(SEARCH("Sales Mismatch",AD214)),ISNUMBER(SEARCH("Profit Mismatch",AD214)),ISNUMBER(SEARCH("Duplicate Order ID Conflict",AD214)),ISNUMBER(SEARCH("Missing Order Date",AD214)),ISNUMBER(SEARCH("Missing Ship Date",AD214))),"Invalid",IF(AD214&lt;&gt;"","Warning","Clean"))</f>
        <v>Clean</v>
      </c>
    </row>
    <row r="215" customFormat="false" ht="15" hidden="false" customHeight="true" outlineLevel="0" collapsed="false">
      <c r="A215" s="3" t="s">
        <v>669</v>
      </c>
      <c r="B215" s="4" t="n">
        <v>45427</v>
      </c>
      <c r="C215" s="4" t="n">
        <v>45433</v>
      </c>
      <c r="D215" s="3" t="s">
        <v>670</v>
      </c>
      <c r="E215" s="3" t="str">
        <f aca="false">PROPER(TRIM(SUBSTITUTE(Raw_Text_Fields!B216,CHAR(160)," ")))</f>
        <v>Isha Nair</v>
      </c>
      <c r="F215" s="3" t="str">
        <f aca="false">PROPER(TRIM(SUBSTITUTE(Raw_Text_Fields!C216,CHAR(160)," ")))</f>
        <v>Small Business</v>
      </c>
      <c r="G215" s="3" t="str">
        <f aca="false">PROPER(TRIM(SUBSTITUTE(Raw_Text_Fields!D216,CHAR(160)," ")))</f>
        <v>East</v>
      </c>
      <c r="H215" s="3" t="str">
        <f aca="false">PROPER(TRIM(SUBSTITUTE(Raw_Text_Fields!E216,CHAR(160)," ")))</f>
        <v>Bihar</v>
      </c>
      <c r="I215" s="3" t="str">
        <f aca="false">PROPER(TRIM(SUBSTITUTE(Raw_Text_Fields!F216,CHAR(160)," ")))</f>
        <v>Patna</v>
      </c>
      <c r="J215" s="3" t="str">
        <f aca="false">PROPER(TRIM(SUBSTITUTE(Raw_Text_Fields!G216,CHAR(160)," ")))</f>
        <v>Technology</v>
      </c>
      <c r="K215" s="3" t="str">
        <f aca="false">PROPER(TRIM(SUBSTITUTE(Raw_Text_Fields!H216,CHAR(160)," ")))</f>
        <v>Accessories</v>
      </c>
      <c r="L215" s="3" t="s">
        <v>671</v>
      </c>
      <c r="M215" s="3" t="str">
        <f aca="false">PROPER(TRIM(SUBSTITUTE(Raw_Text_Fields!I216,CHAR(160)," ")))</f>
        <v>Second Class</v>
      </c>
      <c r="N215" s="3" t="n">
        <v>4</v>
      </c>
      <c r="O215" s="5" t="n">
        <v>4332.73</v>
      </c>
      <c r="P215" s="6" t="n">
        <v>0.2</v>
      </c>
      <c r="Q215" s="5" t="n">
        <v>13864.74</v>
      </c>
      <c r="R215" s="5" t="n">
        <v>11294.06</v>
      </c>
      <c r="S215" s="5" t="n">
        <v>2570.68</v>
      </c>
      <c r="T215" s="3" t="str">
        <f aca="false">PROPER(TRIM(SUBSTITUTE(Raw_Text_Fields!J216,CHAR(160)," ")))</f>
        <v>Paid</v>
      </c>
      <c r="U215" s="3" t="str">
        <f aca="false">PROPER(TRIM(SUBSTITUTE(Raw_Text_Fields!K216,CHAR(160)," ")))</f>
        <v>Completed</v>
      </c>
      <c r="V215" s="7" t="n">
        <f aca="false">IF(OR(P215&lt;0,P215&gt;0.5),0,P215)</f>
        <v>0.2</v>
      </c>
      <c r="W215" s="8" t="n">
        <f aca="false">N215*O215*(1-V215)</f>
        <v>13864.736</v>
      </c>
      <c r="X215" s="8" t="n">
        <f aca="false">W215-R215</f>
        <v>2570.676</v>
      </c>
      <c r="Y215" s="7" t="n">
        <f aca="false">IFERROR(X215/W215,0)</f>
        <v>0.185411103392088</v>
      </c>
      <c r="Z215" s="9" t="n">
        <f aca="false">C215-B215</f>
        <v>6</v>
      </c>
      <c r="AA215" s="1" t="str">
        <f aca="false">IF(B215="","",TEXT(B215,"mmm"))</f>
        <v>May</v>
      </c>
      <c r="AB215" s="9" t="n">
        <f aca="false">IF(B215="","",YEAR(B215))</f>
        <v>2024</v>
      </c>
      <c r="AC215" s="3"/>
      <c r="AD215" s="3" t="str">
        <f aca="false">IF(LEFT(AC215&amp;IF(B215="","; Missing Order Date","")&amp;IF(C215="","; Missing Ship Date","")&amp;IF(P215&lt;0,"; Invalid Discount (Negative)","")&amp;IF(P215&gt;0.5,"; Invalid Discount (Too High)","")&amp;IF(Z215&lt;0,"; Invalid Shipping Record (Ship Before Order)","")&amp;IF(ABS(Q215-W215)&gt;1,"; Sales Mismatch","")&amp;IF(ABS(S215-X215)&gt;1,"; Profit Mismatch","")&amp;IF(COUNTIF($A$2:$A$913,A215)&gt;1,"; Duplicate Order ID Conflict",""),2)="; ",MID(AC215&amp;IF(B215="","; Missing Order Date","")&amp;IF(C215="","; Missing Ship Date","")&amp;IF(P215&lt;0,"; Invalid Discount (Negative)","")&amp;IF(P215&gt;0.5,"; Invalid Discount (Too High)","")&amp;IF(Z215&lt;0,"; Invalid Shipping Record (Ship Before Order)","")&amp;IF(ABS(Q215-W215)&gt;1,"; Sales Mismatch","")&amp;IF(ABS(S215-X215)&gt;1,"; Profit Mismatch","")&amp;IF(COUNTIF($A$2:$A$913,A215)&gt;1,"; Duplicate Order ID Conflict",""),3,500),AC215&amp;IF(B215="","; Missing Order Date","")&amp;IF(C215="","; Missing Ship Date","")&amp;IF(P215&lt;0,"; Invalid Discount (Negative)","")&amp;IF(P215&gt;0.5,"; Invalid Discount (Too High)","")&amp;IF(Z215&lt;0,"; Invalid Shipping Record (Ship Before Order)","")&amp;IF(ABS(Q215-W215)&gt;1,"; Sales Mismatch","")&amp;IF(ABS(S215-X215)&gt;1,"; Profit Mismatch","")&amp;IF(COUNTIF($A$2:$A$913,A215)&gt;1,"; Duplicate Order ID Conflict",""))</f>
        <v/>
      </c>
      <c r="AE215" s="10" t="str">
        <f aca="false">IF(OR(ISNUMBER(SEARCH("Invalid Discount",AD215)),ISNUMBER(SEARCH("Invalid Shipping Record",AD215)),ISNUMBER(SEARCH("Sales Mismatch",AD215)),ISNUMBER(SEARCH("Profit Mismatch",AD215)),ISNUMBER(SEARCH("Duplicate Order ID Conflict",AD215)),ISNUMBER(SEARCH("Missing Order Date",AD215)),ISNUMBER(SEARCH("Missing Ship Date",AD215))),"Invalid",IF(AD215&lt;&gt;"","Warning","Clean"))</f>
        <v>Clean</v>
      </c>
    </row>
    <row r="216" customFormat="false" ht="15" hidden="false" customHeight="true" outlineLevel="0" collapsed="false">
      <c r="A216" s="3" t="s">
        <v>672</v>
      </c>
      <c r="B216" s="4" t="n">
        <v>45368</v>
      </c>
      <c r="C216" s="4" t="n">
        <v>45374</v>
      </c>
      <c r="D216" s="3" t="s">
        <v>673</v>
      </c>
      <c r="E216" s="3" t="str">
        <f aca="false">PROPER(TRIM(SUBSTITUTE(Raw_Text_Fields!B217,CHAR(160)," ")))</f>
        <v>Rahul Verma</v>
      </c>
      <c r="F216" s="3" t="str">
        <f aca="false">PROPER(TRIM(SUBSTITUTE(Raw_Text_Fields!C217,CHAR(160)," ")))</f>
        <v>Consumer</v>
      </c>
      <c r="G216" s="3" t="str">
        <f aca="false">PROPER(TRIM(SUBSTITUTE(Raw_Text_Fields!D217,CHAR(160)," ")))</f>
        <v>North</v>
      </c>
      <c r="H216" s="3" t="str">
        <f aca="false">PROPER(TRIM(SUBSTITUTE(Raw_Text_Fields!E217,CHAR(160)," ")))</f>
        <v>Haryana</v>
      </c>
      <c r="I216" s="3" t="str">
        <f aca="false">PROPER(TRIM(SUBSTITUTE(Raw_Text_Fields!F217,CHAR(160)," ")))</f>
        <v>Gurugram</v>
      </c>
      <c r="J216" s="3" t="str">
        <f aca="false">PROPER(TRIM(SUBSTITUTE(Raw_Text_Fields!G217,CHAR(160)," ")))</f>
        <v>Technology</v>
      </c>
      <c r="K216" s="3" t="str">
        <f aca="false">PROPER(TRIM(SUBSTITUTE(Raw_Text_Fields!H217,CHAR(160)," ")))</f>
        <v>Accessories</v>
      </c>
      <c r="L216" s="3" t="s">
        <v>674</v>
      </c>
      <c r="M216" s="3" t="str">
        <f aca="false">PROPER(TRIM(SUBSTITUTE(Raw_Text_Fields!I217,CHAR(160)," ")))</f>
        <v>First Class</v>
      </c>
      <c r="N216" s="3" t="n">
        <v>3</v>
      </c>
      <c r="O216" s="5" t="n">
        <v>248.18</v>
      </c>
      <c r="P216" s="6" t="n">
        <v>0.05</v>
      </c>
      <c r="Q216" s="5" t="n">
        <v>707.31</v>
      </c>
      <c r="R216" s="5" t="n">
        <v>569</v>
      </c>
      <c r="S216" s="5" t="n">
        <v>138.31</v>
      </c>
      <c r="T216" s="3" t="str">
        <f aca="false">PROPER(TRIM(SUBSTITUTE(Raw_Text_Fields!J217,CHAR(160)," ")))</f>
        <v>Paid</v>
      </c>
      <c r="U216" s="3" t="str">
        <f aca="false">PROPER(TRIM(SUBSTITUTE(Raw_Text_Fields!K217,CHAR(160)," ")))</f>
        <v>Completed</v>
      </c>
      <c r="V216" s="7" t="n">
        <f aca="false">IF(OR(P216&lt;0,P216&gt;0.5),0,P216)</f>
        <v>0.05</v>
      </c>
      <c r="W216" s="8" t="n">
        <f aca="false">N216*O216*(1-V216)</f>
        <v>707.313</v>
      </c>
      <c r="X216" s="8" t="n">
        <f aca="false">W216-R216</f>
        <v>138.313</v>
      </c>
      <c r="Y216" s="7" t="n">
        <f aca="false">IFERROR(X216/W216,0)</f>
        <v>0.195547091598769</v>
      </c>
      <c r="Z216" s="9" t="n">
        <f aca="false">C216-B216</f>
        <v>6</v>
      </c>
      <c r="AA216" s="1" t="str">
        <f aca="false">IF(B216="","",TEXT(B216,"mmm"))</f>
        <v>Mar</v>
      </c>
      <c r="AB216" s="9" t="n">
        <f aca="false">IF(B216="","",YEAR(B216))</f>
        <v>2024</v>
      </c>
      <c r="AC216" s="3"/>
      <c r="AD216" s="3" t="str">
        <f aca="false">IF(LEFT(AC216&amp;IF(B216="","; Missing Order Date","")&amp;IF(C216="","; Missing Ship Date","")&amp;IF(P216&lt;0,"; Invalid Discount (Negative)","")&amp;IF(P216&gt;0.5,"; Invalid Discount (Too High)","")&amp;IF(Z216&lt;0,"; Invalid Shipping Record (Ship Before Order)","")&amp;IF(ABS(Q216-W216)&gt;1,"; Sales Mismatch","")&amp;IF(ABS(S216-X216)&gt;1,"; Profit Mismatch","")&amp;IF(COUNTIF($A$2:$A$913,A216)&gt;1,"; Duplicate Order ID Conflict",""),2)="; ",MID(AC216&amp;IF(B216="","; Missing Order Date","")&amp;IF(C216="","; Missing Ship Date","")&amp;IF(P216&lt;0,"; Invalid Discount (Negative)","")&amp;IF(P216&gt;0.5,"; Invalid Discount (Too High)","")&amp;IF(Z216&lt;0,"; Invalid Shipping Record (Ship Before Order)","")&amp;IF(ABS(Q216-W216)&gt;1,"; Sales Mismatch","")&amp;IF(ABS(S216-X216)&gt;1,"; Profit Mismatch","")&amp;IF(COUNTIF($A$2:$A$913,A216)&gt;1,"; Duplicate Order ID Conflict",""),3,500),AC216&amp;IF(B216="","; Missing Order Date","")&amp;IF(C216="","; Missing Ship Date","")&amp;IF(P216&lt;0,"; Invalid Discount (Negative)","")&amp;IF(P216&gt;0.5,"; Invalid Discount (Too High)","")&amp;IF(Z216&lt;0,"; Invalid Shipping Record (Ship Before Order)","")&amp;IF(ABS(Q216-W216)&gt;1,"; Sales Mismatch","")&amp;IF(ABS(S216-X216)&gt;1,"; Profit Mismatch","")&amp;IF(COUNTIF($A$2:$A$913,A216)&gt;1,"; Duplicate Order ID Conflict",""))</f>
        <v/>
      </c>
      <c r="AE216" s="10" t="str">
        <f aca="false">IF(OR(ISNUMBER(SEARCH("Invalid Discount",AD216)),ISNUMBER(SEARCH("Invalid Shipping Record",AD216)),ISNUMBER(SEARCH("Sales Mismatch",AD216)),ISNUMBER(SEARCH("Profit Mismatch",AD216)),ISNUMBER(SEARCH("Duplicate Order ID Conflict",AD216)),ISNUMBER(SEARCH("Missing Order Date",AD216)),ISNUMBER(SEARCH("Missing Ship Date",AD216))),"Invalid",IF(AD216&lt;&gt;"","Warning","Clean"))</f>
        <v>Clean</v>
      </c>
    </row>
    <row r="217" customFormat="false" ht="15" hidden="false" customHeight="true" outlineLevel="0" collapsed="false">
      <c r="A217" s="3" t="s">
        <v>675</v>
      </c>
      <c r="B217" s="4" t="n">
        <v>45352</v>
      </c>
      <c r="C217" s="4" t="n">
        <v>45355</v>
      </c>
      <c r="D217" s="3" t="s">
        <v>676</v>
      </c>
      <c r="E217" s="3" t="str">
        <f aca="false">PROPER(TRIM(SUBSTITUTE(Raw_Text_Fields!B218,CHAR(160)," ")))</f>
        <v>Mira Das</v>
      </c>
      <c r="F217" s="3" t="str">
        <f aca="false">PROPER(TRIM(SUBSTITUTE(Raw_Text_Fields!C218,CHAR(160)," ")))</f>
        <v>Consumer</v>
      </c>
      <c r="G217" s="3" t="str">
        <f aca="false">PROPER(TRIM(SUBSTITUTE(Raw_Text_Fields!D218,CHAR(160)," ")))</f>
        <v>West</v>
      </c>
      <c r="H217" s="3" t="str">
        <f aca="false">PROPER(TRIM(SUBSTITUTE(Raw_Text_Fields!E218,CHAR(160)," ")))</f>
        <v>Madhya Pradesh</v>
      </c>
      <c r="I217" s="3" t="str">
        <f aca="false">PROPER(TRIM(SUBSTITUTE(Raw_Text_Fields!F218,CHAR(160)," ")))</f>
        <v>Indore</v>
      </c>
      <c r="J217" s="3" t="str">
        <f aca="false">PROPER(TRIM(SUBSTITUTE(Raw_Text_Fields!G218,CHAR(160)," ")))</f>
        <v>Office Supplies</v>
      </c>
      <c r="K217" s="3" t="str">
        <f aca="false">PROPER(TRIM(SUBSTITUTE(Raw_Text_Fields!H218,CHAR(160)," ")))</f>
        <v>Paper</v>
      </c>
      <c r="L217" s="3" t="s">
        <v>677</v>
      </c>
      <c r="M217" s="3" t="str">
        <f aca="false">PROPER(TRIM(SUBSTITUTE(Raw_Text_Fields!I218,CHAR(160)," ")))</f>
        <v>First Class</v>
      </c>
      <c r="N217" s="3" t="n">
        <v>8</v>
      </c>
      <c r="O217" s="5" t="n">
        <v>3202.4</v>
      </c>
      <c r="P217" s="6" t="n">
        <v>0.25</v>
      </c>
      <c r="Q217" s="5" t="n">
        <v>19214.4</v>
      </c>
      <c r="R217" s="5" t="n">
        <v>10916.01</v>
      </c>
      <c r="S217" s="5" t="n">
        <v>8298.39</v>
      </c>
      <c r="T217" s="3" t="str">
        <f aca="false">PROPER(TRIM(SUBSTITUTE(Raw_Text_Fields!J218,CHAR(160)," ")))</f>
        <v>Paid</v>
      </c>
      <c r="U217" s="3" t="str">
        <f aca="false">PROPER(TRIM(SUBSTITUTE(Raw_Text_Fields!K218,CHAR(160)," ")))</f>
        <v>Completed</v>
      </c>
      <c r="V217" s="7" t="n">
        <f aca="false">IF(OR(P217&lt;0,P217&gt;0.5),0,P217)</f>
        <v>0.25</v>
      </c>
      <c r="W217" s="8" t="n">
        <f aca="false">N217*O217*(1-V217)</f>
        <v>19214.4</v>
      </c>
      <c r="X217" s="8" t="n">
        <f aca="false">W217-R217</f>
        <v>8298.39</v>
      </c>
      <c r="Y217" s="7" t="n">
        <f aca="false">IFERROR(X217/W217,0)</f>
        <v>0.431883899575319</v>
      </c>
      <c r="Z217" s="9" t="n">
        <f aca="false">C217-B217</f>
        <v>3</v>
      </c>
      <c r="AA217" s="1" t="str">
        <f aca="false">IF(B217="","",TEXT(B217,"mmm"))</f>
        <v>Mar</v>
      </c>
      <c r="AB217" s="9" t="n">
        <f aca="false">IF(B217="","",YEAR(B217))</f>
        <v>2024</v>
      </c>
      <c r="AC217" s="3"/>
      <c r="AD217" s="3" t="str">
        <f aca="false">IF(LEFT(AC217&amp;IF(B217="","; Missing Order Date","")&amp;IF(C217="","; Missing Ship Date","")&amp;IF(P217&lt;0,"; Invalid Discount (Negative)","")&amp;IF(P217&gt;0.5,"; Invalid Discount (Too High)","")&amp;IF(Z217&lt;0,"; Invalid Shipping Record (Ship Before Order)","")&amp;IF(ABS(Q217-W217)&gt;1,"; Sales Mismatch","")&amp;IF(ABS(S217-X217)&gt;1,"; Profit Mismatch","")&amp;IF(COUNTIF($A$2:$A$913,A217)&gt;1,"; Duplicate Order ID Conflict",""),2)="; ",MID(AC217&amp;IF(B217="","; Missing Order Date","")&amp;IF(C217="","; Missing Ship Date","")&amp;IF(P217&lt;0,"; Invalid Discount (Negative)","")&amp;IF(P217&gt;0.5,"; Invalid Discount (Too High)","")&amp;IF(Z217&lt;0,"; Invalid Shipping Record (Ship Before Order)","")&amp;IF(ABS(Q217-W217)&gt;1,"; Sales Mismatch","")&amp;IF(ABS(S217-X217)&gt;1,"; Profit Mismatch","")&amp;IF(COUNTIF($A$2:$A$913,A217)&gt;1,"; Duplicate Order ID Conflict",""),3,500),AC217&amp;IF(B217="","; Missing Order Date","")&amp;IF(C217="","; Missing Ship Date","")&amp;IF(P217&lt;0,"; Invalid Discount (Negative)","")&amp;IF(P217&gt;0.5,"; Invalid Discount (Too High)","")&amp;IF(Z217&lt;0,"; Invalid Shipping Record (Ship Before Order)","")&amp;IF(ABS(Q217-W217)&gt;1,"; Sales Mismatch","")&amp;IF(ABS(S217-X217)&gt;1,"; Profit Mismatch","")&amp;IF(COUNTIF($A$2:$A$913,A217)&gt;1,"; Duplicate Order ID Conflict",""))</f>
        <v/>
      </c>
      <c r="AE217" s="10" t="str">
        <f aca="false">IF(OR(ISNUMBER(SEARCH("Invalid Discount",AD217)),ISNUMBER(SEARCH("Invalid Shipping Record",AD217)),ISNUMBER(SEARCH("Sales Mismatch",AD217)),ISNUMBER(SEARCH("Profit Mismatch",AD217)),ISNUMBER(SEARCH("Duplicate Order ID Conflict",AD217)),ISNUMBER(SEARCH("Missing Order Date",AD217)),ISNUMBER(SEARCH("Missing Ship Date",AD217))),"Invalid",IF(AD217&lt;&gt;"","Warning","Clean"))</f>
        <v>Clean</v>
      </c>
    </row>
    <row r="218" customFormat="false" ht="15" hidden="false" customHeight="true" outlineLevel="0" collapsed="false">
      <c r="A218" s="3" t="s">
        <v>678</v>
      </c>
      <c r="B218" s="4" t="n">
        <v>45757</v>
      </c>
      <c r="C218" s="4" t="n">
        <v>45762</v>
      </c>
      <c r="D218" s="3" t="s">
        <v>679</v>
      </c>
      <c r="E218" s="3" t="str">
        <f aca="false">PROPER(TRIM(SUBSTITUTE(Raw_Text_Fields!B219,CHAR(160)," ")))</f>
        <v>Isha Nair</v>
      </c>
      <c r="F218" s="3" t="str">
        <f aca="false">PROPER(TRIM(SUBSTITUTE(Raw_Text_Fields!C219,CHAR(160)," ")))</f>
        <v>Consumer</v>
      </c>
      <c r="G218" s="3" t="str">
        <f aca="false">PROPER(TRIM(SUBSTITUTE(Raw_Text_Fields!D219,CHAR(160)," ")))</f>
        <v>West</v>
      </c>
      <c r="H218" s="3" t="str">
        <f aca="false">PROPER(TRIM(SUBSTITUTE(Raw_Text_Fields!E219,CHAR(160)," ")))</f>
        <v>Gujarat</v>
      </c>
      <c r="I218" s="3" t="str">
        <f aca="false">PROPER(TRIM(SUBSTITUTE(Raw_Text_Fields!F219,CHAR(160)," ")))</f>
        <v>Ahmedabad</v>
      </c>
      <c r="J218" s="3" t="str">
        <f aca="false">PROPER(TRIM(SUBSTITUTE(Raw_Text_Fields!G219,CHAR(160)," ")))</f>
        <v>Furniture</v>
      </c>
      <c r="K218" s="3" t="str">
        <f aca="false">PROPER(TRIM(SUBSTITUTE(Raw_Text_Fields!H219,CHAR(160)," ")))</f>
        <v>Tables</v>
      </c>
      <c r="L218" s="3" t="s">
        <v>680</v>
      </c>
      <c r="M218" s="3" t="str">
        <f aca="false">PROPER(TRIM(SUBSTITUTE(Raw_Text_Fields!I219,CHAR(160)," ")))</f>
        <v>Standard Class</v>
      </c>
      <c r="N218" s="3" t="n">
        <v>8</v>
      </c>
      <c r="O218" s="5" t="n">
        <v>1839.87</v>
      </c>
      <c r="P218" s="6" t="n">
        <v>0.25</v>
      </c>
      <c r="Q218" s="5" t="n">
        <v>11039.22</v>
      </c>
      <c r="R218" s="5" t="n">
        <v>7642.91</v>
      </c>
      <c r="S218" s="5" t="n">
        <v>3396.31</v>
      </c>
      <c r="T218" s="3" t="str">
        <f aca="false">PROPER(TRIM(SUBSTITUTE(Raw_Text_Fields!J219,CHAR(160)," ")))</f>
        <v>Failed</v>
      </c>
      <c r="U218" s="3" t="str">
        <f aca="false">PROPER(TRIM(SUBSTITUTE(Raw_Text_Fields!K219,CHAR(160)," ")))</f>
        <v>Returned</v>
      </c>
      <c r="V218" s="7" t="n">
        <f aca="false">IF(OR(P218&lt;0,P218&gt;0.5),0,P218)</f>
        <v>0.25</v>
      </c>
      <c r="W218" s="8" t="n">
        <f aca="false">N218*O218*(1-V218)</f>
        <v>11039.22</v>
      </c>
      <c r="X218" s="8" t="n">
        <f aca="false">W218-R218</f>
        <v>3396.31</v>
      </c>
      <c r="Y218" s="7" t="n">
        <f aca="false">IFERROR(X218/W218,0)</f>
        <v>0.307658512105022</v>
      </c>
      <c r="Z218" s="9" t="n">
        <f aca="false">C218-B218</f>
        <v>5</v>
      </c>
      <c r="AA218" s="1" t="str">
        <f aca="false">IF(B218="","",TEXT(B218,"mmm"))</f>
        <v>Apr</v>
      </c>
      <c r="AB218" s="9" t="n">
        <f aca="false">IF(B218="","",YEAR(B218))</f>
        <v>2025</v>
      </c>
      <c r="AC218" s="3"/>
      <c r="AD218" s="3" t="str">
        <f aca="false">IF(LEFT(AC218&amp;IF(B218="","; Missing Order Date","")&amp;IF(C218="","; Missing Ship Date","")&amp;IF(P218&lt;0,"; Invalid Discount (Negative)","")&amp;IF(P218&gt;0.5,"; Invalid Discount (Too High)","")&amp;IF(Z218&lt;0,"; Invalid Shipping Record (Ship Before Order)","")&amp;IF(ABS(Q218-W218)&gt;1,"; Sales Mismatch","")&amp;IF(ABS(S218-X218)&gt;1,"; Profit Mismatch","")&amp;IF(COUNTIF($A$2:$A$913,A218)&gt;1,"; Duplicate Order ID Conflict",""),2)="; ",MID(AC218&amp;IF(B218="","; Missing Order Date","")&amp;IF(C218="","; Missing Ship Date","")&amp;IF(P218&lt;0,"; Invalid Discount (Negative)","")&amp;IF(P218&gt;0.5,"; Invalid Discount (Too High)","")&amp;IF(Z218&lt;0,"; Invalid Shipping Record (Ship Before Order)","")&amp;IF(ABS(Q218-W218)&gt;1,"; Sales Mismatch","")&amp;IF(ABS(S218-X218)&gt;1,"; Profit Mismatch","")&amp;IF(COUNTIF($A$2:$A$913,A218)&gt;1,"; Duplicate Order ID Conflict",""),3,500),AC218&amp;IF(B218="","; Missing Order Date","")&amp;IF(C218="","; Missing Ship Date","")&amp;IF(P218&lt;0,"; Invalid Discount (Negative)","")&amp;IF(P218&gt;0.5,"; Invalid Discount (Too High)","")&amp;IF(Z218&lt;0,"; Invalid Shipping Record (Ship Before Order)","")&amp;IF(ABS(Q218-W218)&gt;1,"; Sales Mismatch","")&amp;IF(ABS(S218-X218)&gt;1,"; Profit Mismatch","")&amp;IF(COUNTIF($A$2:$A$913,A218)&gt;1,"; Duplicate Order ID Conflict",""))</f>
        <v/>
      </c>
      <c r="AE218" s="10" t="str">
        <f aca="false">IF(OR(ISNUMBER(SEARCH("Invalid Discount",AD218)),ISNUMBER(SEARCH("Invalid Shipping Record",AD218)),ISNUMBER(SEARCH("Sales Mismatch",AD218)),ISNUMBER(SEARCH("Profit Mismatch",AD218)),ISNUMBER(SEARCH("Duplicate Order ID Conflict",AD218)),ISNUMBER(SEARCH("Missing Order Date",AD218)),ISNUMBER(SEARCH("Missing Ship Date",AD218))),"Invalid",IF(AD218&lt;&gt;"","Warning","Clean"))</f>
        <v>Clean</v>
      </c>
    </row>
    <row r="219" customFormat="false" ht="15" hidden="false" customHeight="true" outlineLevel="0" collapsed="false">
      <c r="A219" s="3" t="s">
        <v>681</v>
      </c>
      <c r="B219" s="4" t="n">
        <v>45748</v>
      </c>
      <c r="C219" s="4" t="n">
        <v>45755</v>
      </c>
      <c r="D219" s="3" t="s">
        <v>682</v>
      </c>
      <c r="E219" s="3" t="str">
        <f aca="false">PROPER(TRIM(SUBSTITUTE(Raw_Text_Fields!B220,CHAR(160)," ")))</f>
        <v>Aditi Sen</v>
      </c>
      <c r="F219" s="3" t="str">
        <f aca="false">PROPER(TRIM(SUBSTITUTE(Raw_Text_Fields!C220,CHAR(160)," ")))</f>
        <v>Consumer</v>
      </c>
      <c r="G219" s="3" t="str">
        <f aca="false">PROPER(TRIM(SUBSTITUTE(Raw_Text_Fields!D220,CHAR(160)," ")))</f>
        <v>East</v>
      </c>
      <c r="H219" s="3" t="str">
        <f aca="false">PROPER(TRIM(SUBSTITUTE(Raw_Text_Fields!E220,CHAR(160)," ")))</f>
        <v>Odisha</v>
      </c>
      <c r="I219" s="3" t="str">
        <f aca="false">PROPER(TRIM(SUBSTITUTE(Raw_Text_Fields!F220,CHAR(160)," ")))</f>
        <v>Bhubaneswar</v>
      </c>
      <c r="J219" s="3" t="str">
        <f aca="false">PROPER(TRIM(SUBSTITUTE(Raw_Text_Fields!G220,CHAR(160)," ")))</f>
        <v>Furniture</v>
      </c>
      <c r="K219" s="3" t="str">
        <f aca="false">PROPER(TRIM(SUBSTITUTE(Raw_Text_Fields!H220,CHAR(160)," ")))</f>
        <v>Bookcases</v>
      </c>
      <c r="L219" s="3" t="s">
        <v>683</v>
      </c>
      <c r="M219" s="3" t="str">
        <f aca="false">PROPER(TRIM(SUBSTITUTE(Raw_Text_Fields!I220,CHAR(160)," ")))</f>
        <v>Second Class</v>
      </c>
      <c r="N219" s="3" t="n">
        <v>5</v>
      </c>
      <c r="O219" s="5" t="n">
        <v>1021.28</v>
      </c>
      <c r="P219" s="6" t="n">
        <v>0.1</v>
      </c>
      <c r="Q219" s="5" t="n">
        <v>4595.76</v>
      </c>
      <c r="R219" s="5" t="n">
        <v>3396.8</v>
      </c>
      <c r="S219" s="5" t="n">
        <v>1198.96</v>
      </c>
      <c r="T219" s="3" t="str">
        <f aca="false">PROPER(TRIM(SUBSTITUTE(Raw_Text_Fields!J220,CHAR(160)," ")))</f>
        <v>Refunded</v>
      </c>
      <c r="U219" s="3" t="str">
        <f aca="false">PROPER(TRIM(SUBSTITUTE(Raw_Text_Fields!K220,CHAR(160)," ")))</f>
        <v>Cancelled</v>
      </c>
      <c r="V219" s="7" t="n">
        <f aca="false">IF(OR(P219&lt;0,P219&gt;0.5),0,P219)</f>
        <v>0.1</v>
      </c>
      <c r="W219" s="8" t="n">
        <f aca="false">N219*O219*(1-V219)</f>
        <v>4595.76</v>
      </c>
      <c r="X219" s="8" t="n">
        <f aca="false">W219-R219</f>
        <v>1198.96</v>
      </c>
      <c r="Y219" s="7" t="n">
        <f aca="false">IFERROR(X219/W219,0)</f>
        <v>0.260883945201664</v>
      </c>
      <c r="Z219" s="9" t="n">
        <f aca="false">C219-B219</f>
        <v>7</v>
      </c>
      <c r="AA219" s="1" t="str">
        <f aca="false">IF(B219="","",TEXT(B219,"mmm"))</f>
        <v>Apr</v>
      </c>
      <c r="AB219" s="9" t="n">
        <f aca="false">IF(B219="","",YEAR(B219))</f>
        <v>2025</v>
      </c>
      <c r="AC219" s="3"/>
      <c r="AD219" s="3" t="str">
        <f aca="false">IF(LEFT(AC219&amp;IF(B219="","; Missing Order Date","")&amp;IF(C219="","; Missing Ship Date","")&amp;IF(P219&lt;0,"; Invalid Discount (Negative)","")&amp;IF(P219&gt;0.5,"; Invalid Discount (Too High)","")&amp;IF(Z219&lt;0,"; Invalid Shipping Record (Ship Before Order)","")&amp;IF(ABS(Q219-W219)&gt;1,"; Sales Mismatch","")&amp;IF(ABS(S219-X219)&gt;1,"; Profit Mismatch","")&amp;IF(COUNTIF($A$2:$A$913,A219)&gt;1,"; Duplicate Order ID Conflict",""),2)="; ",MID(AC219&amp;IF(B219="","; Missing Order Date","")&amp;IF(C219="","; Missing Ship Date","")&amp;IF(P219&lt;0,"; Invalid Discount (Negative)","")&amp;IF(P219&gt;0.5,"; Invalid Discount (Too High)","")&amp;IF(Z219&lt;0,"; Invalid Shipping Record (Ship Before Order)","")&amp;IF(ABS(Q219-W219)&gt;1,"; Sales Mismatch","")&amp;IF(ABS(S219-X219)&gt;1,"; Profit Mismatch","")&amp;IF(COUNTIF($A$2:$A$913,A219)&gt;1,"; Duplicate Order ID Conflict",""),3,500),AC219&amp;IF(B219="","; Missing Order Date","")&amp;IF(C219="","; Missing Ship Date","")&amp;IF(P219&lt;0,"; Invalid Discount (Negative)","")&amp;IF(P219&gt;0.5,"; Invalid Discount (Too High)","")&amp;IF(Z219&lt;0,"; Invalid Shipping Record (Ship Before Order)","")&amp;IF(ABS(Q219-W219)&gt;1,"; Sales Mismatch","")&amp;IF(ABS(S219-X219)&gt;1,"; Profit Mismatch","")&amp;IF(COUNTIF($A$2:$A$913,A219)&gt;1,"; Duplicate Order ID Conflict",""))</f>
        <v/>
      </c>
      <c r="AE219" s="10" t="str">
        <f aca="false">IF(OR(ISNUMBER(SEARCH("Invalid Discount",AD219)),ISNUMBER(SEARCH("Invalid Shipping Record",AD219)),ISNUMBER(SEARCH("Sales Mismatch",AD219)),ISNUMBER(SEARCH("Profit Mismatch",AD219)),ISNUMBER(SEARCH("Duplicate Order ID Conflict",AD219)),ISNUMBER(SEARCH("Missing Order Date",AD219)),ISNUMBER(SEARCH("Missing Ship Date",AD219))),"Invalid",IF(AD219&lt;&gt;"","Warning","Clean"))</f>
        <v>Clean</v>
      </c>
    </row>
    <row r="220" customFormat="false" ht="15" hidden="false" customHeight="true" outlineLevel="0" collapsed="false">
      <c r="A220" s="3" t="s">
        <v>684</v>
      </c>
      <c r="B220" s="4" t="n">
        <v>45714</v>
      </c>
      <c r="C220" s="4" t="n">
        <v>45715</v>
      </c>
      <c r="D220" s="3" t="s">
        <v>685</v>
      </c>
      <c r="E220" s="3" t="str">
        <f aca="false">PROPER(TRIM(SUBSTITUTE(Raw_Text_Fields!B221,CHAR(160)," ")))</f>
        <v>Priya Menon</v>
      </c>
      <c r="F220" s="3" t="str">
        <f aca="false">PROPER(TRIM(SUBSTITUTE(Raw_Text_Fields!C221,CHAR(160)," ")))</f>
        <v>Corporate</v>
      </c>
      <c r="G220" s="3" t="str">
        <f aca="false">PROPER(TRIM(SUBSTITUTE(Raw_Text_Fields!D221,CHAR(160)," ")))</f>
        <v>West</v>
      </c>
      <c r="H220" s="3" t="str">
        <f aca="false">PROPER(TRIM(SUBSTITUTE(Raw_Text_Fields!E221,CHAR(160)," ")))</f>
        <v>Gujarat</v>
      </c>
      <c r="I220" s="3" t="str">
        <f aca="false">PROPER(TRIM(SUBSTITUTE(Raw_Text_Fields!F221,CHAR(160)," ")))</f>
        <v>Ahmedabad</v>
      </c>
      <c r="J220" s="3" t="str">
        <f aca="false">PROPER(TRIM(SUBSTITUTE(Raw_Text_Fields!G221,CHAR(160)," ")))</f>
        <v>Furniture</v>
      </c>
      <c r="K220" s="3" t="str">
        <f aca="false">PROPER(TRIM(SUBSTITUTE(Raw_Text_Fields!H221,CHAR(160)," ")))</f>
        <v>Bookcases</v>
      </c>
      <c r="L220" s="3" t="s">
        <v>686</v>
      </c>
      <c r="M220" s="3" t="str">
        <f aca="false">PROPER(TRIM(SUBSTITUTE(Raw_Text_Fields!I221,CHAR(160)," ")))</f>
        <v>Standard Class</v>
      </c>
      <c r="N220" s="3" t="n">
        <v>5</v>
      </c>
      <c r="O220" s="5" t="n">
        <v>258.28</v>
      </c>
      <c r="P220" s="6" t="n">
        <v>0</v>
      </c>
      <c r="Q220" s="5" t="n">
        <v>1291.4</v>
      </c>
      <c r="R220" s="5" t="n">
        <v>756.93</v>
      </c>
      <c r="S220" s="5" t="n">
        <v>534.47</v>
      </c>
      <c r="T220" s="3" t="str">
        <f aca="false">PROPER(TRIM(SUBSTITUTE(Raw_Text_Fields!J221,CHAR(160)," ")))</f>
        <v>Paid</v>
      </c>
      <c r="U220" s="3" t="str">
        <f aca="false">PROPER(TRIM(SUBSTITUTE(Raw_Text_Fields!K221,CHAR(160)," ")))</f>
        <v>Completed</v>
      </c>
      <c r="V220" s="7" t="n">
        <f aca="false">IF(OR(P220&lt;0,P220&gt;0.5),0,P220)</f>
        <v>0</v>
      </c>
      <c r="W220" s="8" t="n">
        <f aca="false">N220*O220*(1-V220)</f>
        <v>1291.4</v>
      </c>
      <c r="X220" s="8" t="n">
        <f aca="false">W220-R220</f>
        <v>534.47</v>
      </c>
      <c r="Y220" s="7" t="n">
        <f aca="false">IFERROR(X220/W220,0)</f>
        <v>0.413868669660833</v>
      </c>
      <c r="Z220" s="9" t="n">
        <f aca="false">C220-B220</f>
        <v>1</v>
      </c>
      <c r="AA220" s="1" t="str">
        <f aca="false">IF(B220="","",TEXT(B220,"mmm"))</f>
        <v>Feb</v>
      </c>
      <c r="AB220" s="9" t="n">
        <f aca="false">IF(B220="","",YEAR(B220))</f>
        <v>2025</v>
      </c>
      <c r="AC220" s="3"/>
      <c r="AD220" s="3" t="str">
        <f aca="false">IF(LEFT(AC220&amp;IF(B220="","; Missing Order Date","")&amp;IF(C220="","; Missing Ship Date","")&amp;IF(P220&lt;0,"; Invalid Discount (Negative)","")&amp;IF(P220&gt;0.5,"; Invalid Discount (Too High)","")&amp;IF(Z220&lt;0,"; Invalid Shipping Record (Ship Before Order)","")&amp;IF(ABS(Q220-W220)&gt;1,"; Sales Mismatch","")&amp;IF(ABS(S220-X220)&gt;1,"; Profit Mismatch","")&amp;IF(COUNTIF($A$2:$A$913,A220)&gt;1,"; Duplicate Order ID Conflict",""),2)="; ",MID(AC220&amp;IF(B220="","; Missing Order Date","")&amp;IF(C220="","; Missing Ship Date","")&amp;IF(P220&lt;0,"; Invalid Discount (Negative)","")&amp;IF(P220&gt;0.5,"; Invalid Discount (Too High)","")&amp;IF(Z220&lt;0,"; Invalid Shipping Record (Ship Before Order)","")&amp;IF(ABS(Q220-W220)&gt;1,"; Sales Mismatch","")&amp;IF(ABS(S220-X220)&gt;1,"; Profit Mismatch","")&amp;IF(COUNTIF($A$2:$A$913,A220)&gt;1,"; Duplicate Order ID Conflict",""),3,500),AC220&amp;IF(B220="","; Missing Order Date","")&amp;IF(C220="","; Missing Ship Date","")&amp;IF(P220&lt;0,"; Invalid Discount (Negative)","")&amp;IF(P220&gt;0.5,"; Invalid Discount (Too High)","")&amp;IF(Z220&lt;0,"; Invalid Shipping Record (Ship Before Order)","")&amp;IF(ABS(Q220-W220)&gt;1,"; Sales Mismatch","")&amp;IF(ABS(S220-X220)&gt;1,"; Profit Mismatch","")&amp;IF(COUNTIF($A$2:$A$913,A220)&gt;1,"; Duplicate Order ID Conflict",""))</f>
        <v/>
      </c>
      <c r="AE220" s="10" t="str">
        <f aca="false">IF(OR(ISNUMBER(SEARCH("Invalid Discount",AD220)),ISNUMBER(SEARCH("Invalid Shipping Record",AD220)),ISNUMBER(SEARCH("Sales Mismatch",AD220)),ISNUMBER(SEARCH("Profit Mismatch",AD220)),ISNUMBER(SEARCH("Duplicate Order ID Conflict",AD220)),ISNUMBER(SEARCH("Missing Order Date",AD220)),ISNUMBER(SEARCH("Missing Ship Date",AD220))),"Invalid",IF(AD220&lt;&gt;"","Warning","Clean"))</f>
        <v>Clean</v>
      </c>
    </row>
    <row r="221" customFormat="false" ht="15" hidden="false" customHeight="true" outlineLevel="0" collapsed="false">
      <c r="A221" s="3" t="s">
        <v>687</v>
      </c>
      <c r="B221" s="4" t="n">
        <v>45461</v>
      </c>
      <c r="C221" s="4" t="n">
        <v>45462</v>
      </c>
      <c r="D221" s="3" t="s">
        <v>688</v>
      </c>
      <c r="E221" s="3" t="str">
        <f aca="false">PROPER(TRIM(SUBSTITUTE(Raw_Text_Fields!B222,CHAR(160)," ")))</f>
        <v>Rahul Verma</v>
      </c>
      <c r="F221" s="3" t="str">
        <f aca="false">PROPER(TRIM(SUBSTITUTE(Raw_Text_Fields!C222,CHAR(160)," ")))</f>
        <v>Consumer</v>
      </c>
      <c r="G221" s="3" t="str">
        <f aca="false">PROPER(TRIM(SUBSTITUTE(Raw_Text_Fields!D222,CHAR(160)," ")))</f>
        <v>East</v>
      </c>
      <c r="H221" s="3" t="str">
        <f aca="false">PROPER(TRIM(SUBSTITUTE(Raw_Text_Fields!E222,CHAR(160)," ")))</f>
        <v>Bihar</v>
      </c>
      <c r="I221" s="3" t="str">
        <f aca="false">PROPER(TRIM(SUBSTITUTE(Raw_Text_Fields!F222,CHAR(160)," ")))</f>
        <v>Patna</v>
      </c>
      <c r="J221" s="3" t="str">
        <f aca="false">PROPER(TRIM(SUBSTITUTE(Raw_Text_Fields!G222,CHAR(160)," ")))</f>
        <v>Technology</v>
      </c>
      <c r="K221" s="3" t="str">
        <f aca="false">PROPER(TRIM(SUBSTITUTE(Raw_Text_Fields!H222,CHAR(160)," ")))</f>
        <v>Machines</v>
      </c>
      <c r="L221" s="3" t="s">
        <v>689</v>
      </c>
      <c r="M221" s="3" t="str">
        <f aca="false">PROPER(TRIM(SUBSTITUTE(Raw_Text_Fields!I222,CHAR(160)," ")))</f>
        <v>First Class</v>
      </c>
      <c r="N221" s="3" t="n">
        <v>2</v>
      </c>
      <c r="O221" s="5" t="n">
        <v>121.49</v>
      </c>
      <c r="P221" s="6" t="n">
        <v>0.85</v>
      </c>
      <c r="Q221" s="5" t="n">
        <v>242.98</v>
      </c>
      <c r="R221" s="5" t="n">
        <v>161.42</v>
      </c>
      <c r="S221" s="5" t="n">
        <v>81.56</v>
      </c>
      <c r="T221" s="3" t="str">
        <f aca="false">PROPER(TRIM(SUBSTITUTE(Raw_Text_Fields!J222,CHAR(160)," ")))</f>
        <v>Paid</v>
      </c>
      <c r="U221" s="3" t="str">
        <f aca="false">PROPER(TRIM(SUBSTITUTE(Raw_Text_Fields!K222,CHAR(160)," ")))</f>
        <v>Completed</v>
      </c>
      <c r="V221" s="7" t="n">
        <f aca="false">IF(OR(P221&lt;0,P221&gt;0.5),0,P221)</f>
        <v>0</v>
      </c>
      <c r="W221" s="8" t="n">
        <f aca="false">N221*O221*(1-V221)</f>
        <v>242.98</v>
      </c>
      <c r="X221" s="8" t="n">
        <f aca="false">W221-R221</f>
        <v>81.56</v>
      </c>
      <c r="Y221" s="7" t="n">
        <f aca="false">IFERROR(X221/W221,0)</f>
        <v>0.335665486871347</v>
      </c>
      <c r="Z221" s="9" t="n">
        <f aca="false">C221-B221</f>
        <v>1</v>
      </c>
      <c r="AA221" s="1" t="str">
        <f aca="false">IF(B221="","",TEXT(B221,"mmm"))</f>
        <v>Jun</v>
      </c>
      <c r="AB221" s="9" t="n">
        <f aca="false">IF(B221="","",YEAR(B221))</f>
        <v>2024</v>
      </c>
      <c r="AC221" s="3"/>
      <c r="AD221" s="3" t="str">
        <f aca="false">IF(LEFT(AC221&amp;IF(B221="","; Missing Order Date","")&amp;IF(C221="","; Missing Ship Date","")&amp;IF(P221&lt;0,"; Invalid Discount (Negative)","")&amp;IF(P221&gt;0.5,"; Invalid Discount (Too High)","")&amp;IF(Z221&lt;0,"; Invalid Shipping Record (Ship Before Order)","")&amp;IF(ABS(Q221-W221)&gt;1,"; Sales Mismatch","")&amp;IF(ABS(S221-X221)&gt;1,"; Profit Mismatch","")&amp;IF(COUNTIF($A$2:$A$913,A221)&gt;1,"; Duplicate Order ID Conflict",""),2)="; ",MID(AC221&amp;IF(B221="","; Missing Order Date","")&amp;IF(C221="","; Missing Ship Date","")&amp;IF(P221&lt;0,"; Invalid Discount (Negative)","")&amp;IF(P221&gt;0.5,"; Invalid Discount (Too High)","")&amp;IF(Z221&lt;0,"; Invalid Shipping Record (Ship Before Order)","")&amp;IF(ABS(Q221-W221)&gt;1,"; Sales Mismatch","")&amp;IF(ABS(S221-X221)&gt;1,"; Profit Mismatch","")&amp;IF(COUNTIF($A$2:$A$913,A221)&gt;1,"; Duplicate Order ID Conflict",""),3,500),AC221&amp;IF(B221="","; Missing Order Date","")&amp;IF(C221="","; Missing Ship Date","")&amp;IF(P221&lt;0,"; Invalid Discount (Negative)","")&amp;IF(P221&gt;0.5,"; Invalid Discount (Too High)","")&amp;IF(Z221&lt;0,"; Invalid Shipping Record (Ship Before Order)","")&amp;IF(ABS(Q221-W221)&gt;1,"; Sales Mismatch","")&amp;IF(ABS(S221-X221)&gt;1,"; Profit Mismatch","")&amp;IF(COUNTIF($A$2:$A$913,A221)&gt;1,"; Duplicate Order ID Conflict",""))</f>
        <v>Invalid Discount (Too High)</v>
      </c>
      <c r="AE221" s="10" t="str">
        <f aca="false">IF(OR(ISNUMBER(SEARCH("Invalid Discount",AD221)),ISNUMBER(SEARCH("Invalid Shipping Record",AD221)),ISNUMBER(SEARCH("Sales Mismatch",AD221)),ISNUMBER(SEARCH("Profit Mismatch",AD221)),ISNUMBER(SEARCH("Duplicate Order ID Conflict",AD221)),ISNUMBER(SEARCH("Missing Order Date",AD221)),ISNUMBER(SEARCH("Missing Ship Date",AD221))),"Invalid",IF(AD221&lt;&gt;"","Warning","Clean"))</f>
        <v>Invalid</v>
      </c>
    </row>
    <row r="222" customFormat="false" ht="15" hidden="false" customHeight="true" outlineLevel="0" collapsed="false">
      <c r="A222" s="3" t="s">
        <v>690</v>
      </c>
      <c r="B222" s="4" t="n">
        <v>45538</v>
      </c>
      <c r="C222" s="4" t="n">
        <v>45538</v>
      </c>
      <c r="D222" s="3" t="s">
        <v>691</v>
      </c>
      <c r="E222" s="3" t="str">
        <f aca="false">PROPER(TRIM(SUBSTITUTE(Raw_Text_Fields!B223,CHAR(160)," ")))</f>
        <v>Sneha Kapoor</v>
      </c>
      <c r="F222" s="3" t="str">
        <f aca="false">PROPER(TRIM(SUBSTITUTE(Raw_Text_Fields!C223,CHAR(160)," ")))</f>
        <v>Consumer</v>
      </c>
      <c r="G222" s="3" t="str">
        <f aca="false">PROPER(TRIM(SUBSTITUTE(Raw_Text_Fields!D223,CHAR(160)," ")))</f>
        <v>South</v>
      </c>
      <c r="H222" s="3" t="str">
        <f aca="false">PROPER(TRIM(SUBSTITUTE(Raw_Text_Fields!E223,CHAR(160)," ")))</f>
        <v>Kerala</v>
      </c>
      <c r="I222" s="3" t="str">
        <f aca="false">PROPER(TRIM(SUBSTITUTE(Raw_Text_Fields!F223,CHAR(160)," ")))</f>
        <v>Kochi</v>
      </c>
      <c r="J222" s="3" t="str">
        <f aca="false">PROPER(TRIM(SUBSTITUTE(Raw_Text_Fields!G223,CHAR(160)," ")))</f>
        <v>Office Supplies</v>
      </c>
      <c r="K222" s="3" t="str">
        <f aca="false">PROPER(TRIM(SUBSTITUTE(Raw_Text_Fields!H223,CHAR(160)," ")))</f>
        <v>Storage</v>
      </c>
      <c r="L222" s="3" t="s">
        <v>692</v>
      </c>
      <c r="M222" s="3" t="str">
        <f aca="false">PROPER(TRIM(SUBSTITUTE(Raw_Text_Fields!I223,CHAR(160)," ")))</f>
        <v>First Class</v>
      </c>
      <c r="N222" s="3" t="n">
        <v>4</v>
      </c>
      <c r="O222" s="5" t="n">
        <v>2810.17</v>
      </c>
      <c r="P222" s="6" t="n">
        <v>0.15</v>
      </c>
      <c r="Q222" s="5" t="n">
        <v>9554.58</v>
      </c>
      <c r="R222" s="5" t="n">
        <v>6068.47</v>
      </c>
      <c r="S222" s="5" t="n">
        <v>3486.11</v>
      </c>
      <c r="T222" s="3" t="str">
        <f aca="false">PROPER(TRIM(SUBSTITUTE(Raw_Text_Fields!J223,CHAR(160)," ")))</f>
        <v>Refunded</v>
      </c>
      <c r="U222" s="3" t="str">
        <f aca="false">PROPER(TRIM(SUBSTITUTE(Raw_Text_Fields!K223,CHAR(160)," ")))</f>
        <v>Cancelled</v>
      </c>
      <c r="V222" s="7" t="n">
        <f aca="false">IF(OR(P222&lt;0,P222&gt;0.5),0,P222)</f>
        <v>0.15</v>
      </c>
      <c r="W222" s="8" t="n">
        <f aca="false">N222*O222*(1-V222)</f>
        <v>9554.578</v>
      </c>
      <c r="X222" s="8" t="n">
        <f aca="false">W222-R222</f>
        <v>3486.108</v>
      </c>
      <c r="Y222" s="7" t="n">
        <f aca="false">IFERROR(X222/W222,0)</f>
        <v>0.36486258210462</v>
      </c>
      <c r="Z222" s="9" t="n">
        <f aca="false">C222-B222</f>
        <v>0</v>
      </c>
      <c r="AA222" s="1" t="str">
        <f aca="false">IF(B222="","",TEXT(B222,"mmm"))</f>
        <v>Sep</v>
      </c>
      <c r="AB222" s="9" t="n">
        <f aca="false">IF(B222="","",YEAR(B222))</f>
        <v>2024</v>
      </c>
      <c r="AC222" s="3"/>
      <c r="AD222" s="3" t="str">
        <f aca="false">IF(LEFT(AC222&amp;IF(B222="","; Missing Order Date","")&amp;IF(C222="","; Missing Ship Date","")&amp;IF(P222&lt;0,"; Invalid Discount (Negative)","")&amp;IF(P222&gt;0.5,"; Invalid Discount (Too High)","")&amp;IF(Z222&lt;0,"; Invalid Shipping Record (Ship Before Order)","")&amp;IF(ABS(Q222-W222)&gt;1,"; Sales Mismatch","")&amp;IF(ABS(S222-X222)&gt;1,"; Profit Mismatch","")&amp;IF(COUNTIF($A$2:$A$913,A222)&gt;1,"; Duplicate Order ID Conflict",""),2)="; ",MID(AC222&amp;IF(B222="","; Missing Order Date","")&amp;IF(C222="","; Missing Ship Date","")&amp;IF(P222&lt;0,"; Invalid Discount (Negative)","")&amp;IF(P222&gt;0.5,"; Invalid Discount (Too High)","")&amp;IF(Z222&lt;0,"; Invalid Shipping Record (Ship Before Order)","")&amp;IF(ABS(Q222-W222)&gt;1,"; Sales Mismatch","")&amp;IF(ABS(S222-X222)&gt;1,"; Profit Mismatch","")&amp;IF(COUNTIF($A$2:$A$913,A222)&gt;1,"; Duplicate Order ID Conflict",""),3,500),AC222&amp;IF(B222="","; Missing Order Date","")&amp;IF(C222="","; Missing Ship Date","")&amp;IF(P222&lt;0,"; Invalid Discount (Negative)","")&amp;IF(P222&gt;0.5,"; Invalid Discount (Too High)","")&amp;IF(Z222&lt;0,"; Invalid Shipping Record (Ship Before Order)","")&amp;IF(ABS(Q222-W222)&gt;1,"; Sales Mismatch","")&amp;IF(ABS(S222-X222)&gt;1,"; Profit Mismatch","")&amp;IF(COUNTIF($A$2:$A$913,A222)&gt;1,"; Duplicate Order ID Conflict",""))</f>
        <v/>
      </c>
      <c r="AE222" s="10" t="str">
        <f aca="false">IF(OR(ISNUMBER(SEARCH("Invalid Discount",AD222)),ISNUMBER(SEARCH("Invalid Shipping Record",AD222)),ISNUMBER(SEARCH("Sales Mismatch",AD222)),ISNUMBER(SEARCH("Profit Mismatch",AD222)),ISNUMBER(SEARCH("Duplicate Order ID Conflict",AD222)),ISNUMBER(SEARCH("Missing Order Date",AD222)),ISNUMBER(SEARCH("Missing Ship Date",AD222))),"Invalid",IF(AD222&lt;&gt;"","Warning","Clean"))</f>
        <v>Clean</v>
      </c>
    </row>
    <row r="223" customFormat="false" ht="15" hidden="false" customHeight="true" outlineLevel="0" collapsed="false">
      <c r="A223" s="3" t="s">
        <v>693</v>
      </c>
      <c r="B223" s="4" t="n">
        <v>45669</v>
      </c>
      <c r="C223" s="4" t="n">
        <v>45672</v>
      </c>
      <c r="D223" s="3" t="s">
        <v>694</v>
      </c>
      <c r="E223" s="3" t="str">
        <f aca="false">PROPER(TRIM(SUBSTITUTE(Raw_Text_Fields!B224,CHAR(160)," ")))</f>
        <v>Mira Das</v>
      </c>
      <c r="F223" s="3" t="str">
        <f aca="false">PROPER(TRIM(SUBSTITUTE(Raw_Text_Fields!C224,CHAR(160)," ")))</f>
        <v>Corporate</v>
      </c>
      <c r="G223" s="3" t="str">
        <f aca="false">PROPER(TRIM(SUBSTITUTE(Raw_Text_Fields!D224,CHAR(160)," ")))</f>
        <v>South</v>
      </c>
      <c r="H223" s="3" t="str">
        <f aca="false">PROPER(TRIM(SUBSTITUTE(Raw_Text_Fields!E224,CHAR(160)," ")))</f>
        <v>Karnataka</v>
      </c>
      <c r="I223" s="3" t="str">
        <f aca="false">PROPER(TRIM(SUBSTITUTE(Raw_Text_Fields!F224,CHAR(160)," ")))</f>
        <v>Bengaluru</v>
      </c>
      <c r="J223" s="3" t="str">
        <f aca="false">PROPER(TRIM(SUBSTITUTE(Raw_Text_Fields!G224,CHAR(160)," ")))</f>
        <v>Furniture</v>
      </c>
      <c r="K223" s="3" t="str">
        <f aca="false">PROPER(TRIM(SUBSTITUTE(Raw_Text_Fields!H224,CHAR(160)," ")))</f>
        <v>Chairs</v>
      </c>
      <c r="L223" s="3" t="s">
        <v>695</v>
      </c>
      <c r="M223" s="3" t="str">
        <f aca="false">PROPER(TRIM(SUBSTITUTE(Raw_Text_Fields!I224,CHAR(160)," ")))</f>
        <v>Same Day</v>
      </c>
      <c r="N223" s="3" t="n">
        <v>4</v>
      </c>
      <c r="O223" s="5" t="n">
        <v>1531.53</v>
      </c>
      <c r="P223" s="6" t="n">
        <v>0.2</v>
      </c>
      <c r="Q223" s="5" t="n">
        <v>4900.9</v>
      </c>
      <c r="R223" s="5" t="n">
        <v>3552.69</v>
      </c>
      <c r="S223" s="5" t="n">
        <v>1348.21</v>
      </c>
      <c r="T223" s="3" t="str">
        <f aca="false">PROPER(TRIM(SUBSTITUTE(Raw_Text_Fields!J224,CHAR(160)," ")))</f>
        <v>Paid</v>
      </c>
      <c r="U223" s="3" t="str">
        <f aca="false">PROPER(TRIM(SUBSTITUTE(Raw_Text_Fields!K224,CHAR(160)," ")))</f>
        <v>Completed</v>
      </c>
      <c r="V223" s="7" t="n">
        <f aca="false">IF(OR(P223&lt;0,P223&gt;0.5),0,P223)</f>
        <v>0.2</v>
      </c>
      <c r="W223" s="8" t="n">
        <f aca="false">N223*O223*(1-V223)</f>
        <v>4900.896</v>
      </c>
      <c r="X223" s="8" t="n">
        <f aca="false">W223-R223</f>
        <v>1348.206</v>
      </c>
      <c r="Y223" s="7" t="n">
        <f aca="false">IFERROR(X223/W223,0)</f>
        <v>0.275093778770249</v>
      </c>
      <c r="Z223" s="9" t="n">
        <f aca="false">C223-B223</f>
        <v>3</v>
      </c>
      <c r="AA223" s="1" t="str">
        <f aca="false">IF(B223="","",TEXT(B223,"mmm"))</f>
        <v>Jan</v>
      </c>
      <c r="AB223" s="9" t="n">
        <f aca="false">IF(B223="","",YEAR(B223))</f>
        <v>2025</v>
      </c>
      <c r="AC223" s="3"/>
      <c r="AD223" s="3" t="str">
        <f aca="false">IF(LEFT(AC223&amp;IF(B223="","; Missing Order Date","")&amp;IF(C223="","; Missing Ship Date","")&amp;IF(P223&lt;0,"; Invalid Discount (Negative)","")&amp;IF(P223&gt;0.5,"; Invalid Discount (Too High)","")&amp;IF(Z223&lt;0,"; Invalid Shipping Record (Ship Before Order)","")&amp;IF(ABS(Q223-W223)&gt;1,"; Sales Mismatch","")&amp;IF(ABS(S223-X223)&gt;1,"; Profit Mismatch","")&amp;IF(COUNTIF($A$2:$A$913,A223)&gt;1,"; Duplicate Order ID Conflict",""),2)="; ",MID(AC223&amp;IF(B223="","; Missing Order Date","")&amp;IF(C223="","; Missing Ship Date","")&amp;IF(P223&lt;0,"; Invalid Discount (Negative)","")&amp;IF(P223&gt;0.5,"; Invalid Discount (Too High)","")&amp;IF(Z223&lt;0,"; Invalid Shipping Record (Ship Before Order)","")&amp;IF(ABS(Q223-W223)&gt;1,"; Sales Mismatch","")&amp;IF(ABS(S223-X223)&gt;1,"; Profit Mismatch","")&amp;IF(COUNTIF($A$2:$A$913,A223)&gt;1,"; Duplicate Order ID Conflict",""),3,500),AC223&amp;IF(B223="","; Missing Order Date","")&amp;IF(C223="","; Missing Ship Date","")&amp;IF(P223&lt;0,"; Invalid Discount (Negative)","")&amp;IF(P223&gt;0.5,"; Invalid Discount (Too High)","")&amp;IF(Z223&lt;0,"; Invalid Shipping Record (Ship Before Order)","")&amp;IF(ABS(Q223-W223)&gt;1,"; Sales Mismatch","")&amp;IF(ABS(S223-X223)&gt;1,"; Profit Mismatch","")&amp;IF(COUNTIF($A$2:$A$913,A223)&gt;1,"; Duplicate Order ID Conflict",""))</f>
        <v/>
      </c>
      <c r="AE223" s="10" t="str">
        <f aca="false">IF(OR(ISNUMBER(SEARCH("Invalid Discount",AD223)),ISNUMBER(SEARCH("Invalid Shipping Record",AD223)),ISNUMBER(SEARCH("Sales Mismatch",AD223)),ISNUMBER(SEARCH("Profit Mismatch",AD223)),ISNUMBER(SEARCH("Duplicate Order ID Conflict",AD223)),ISNUMBER(SEARCH("Missing Order Date",AD223)),ISNUMBER(SEARCH("Missing Ship Date",AD223))),"Invalid",IF(AD223&lt;&gt;"","Warning","Clean"))</f>
        <v>Clean</v>
      </c>
    </row>
    <row r="224" customFormat="false" ht="15" hidden="false" customHeight="true" outlineLevel="0" collapsed="false">
      <c r="A224" s="3" t="s">
        <v>696</v>
      </c>
      <c r="B224" s="4" t="n">
        <v>45776</v>
      </c>
      <c r="C224" s="4" t="n">
        <v>45779</v>
      </c>
      <c r="D224" s="3" t="s">
        <v>697</v>
      </c>
      <c r="E224" s="3" t="str">
        <f aca="false">PROPER(TRIM(SUBSTITUTE(Raw_Text_Fields!B225,CHAR(160)," ")))</f>
        <v>Vikram Iyer</v>
      </c>
      <c r="F224" s="3" t="str">
        <f aca="false">PROPER(TRIM(SUBSTITUTE(Raw_Text_Fields!C225,CHAR(160)," ")))</f>
        <v>Small Business</v>
      </c>
      <c r="G224" s="3" t="str">
        <f aca="false">PROPER(TRIM(SUBSTITUTE(Raw_Text_Fields!D225,CHAR(160)," ")))</f>
        <v>West</v>
      </c>
      <c r="H224" s="3" t="str">
        <f aca="false">PROPER(TRIM(SUBSTITUTE(Raw_Text_Fields!E225,CHAR(160)," ")))</f>
        <v>Goa</v>
      </c>
      <c r="I224" s="3" t="str">
        <f aca="false">PROPER(TRIM(SUBSTITUTE(Raw_Text_Fields!F225,CHAR(160)," ")))</f>
        <v>Panaji</v>
      </c>
      <c r="J224" s="3" t="str">
        <f aca="false">PROPER(TRIM(SUBSTITUTE(Raw_Text_Fields!G225,CHAR(160)," ")))</f>
        <v>Office Supplies</v>
      </c>
      <c r="K224" s="3" t="str">
        <f aca="false">PROPER(TRIM(SUBSTITUTE(Raw_Text_Fields!H225,CHAR(160)," ")))</f>
        <v>Storage</v>
      </c>
      <c r="L224" s="3" t="s">
        <v>698</v>
      </c>
      <c r="M224" s="3" t="str">
        <f aca="false">PROPER(TRIM(SUBSTITUTE(Raw_Text_Fields!I225,CHAR(160)," ")))</f>
        <v>First Class</v>
      </c>
      <c r="N224" s="3" t="n">
        <v>6</v>
      </c>
      <c r="O224" s="5" t="n">
        <v>4308.09</v>
      </c>
      <c r="P224" s="6" t="n">
        <v>0</v>
      </c>
      <c r="Q224" s="5" t="n">
        <v>25848.54</v>
      </c>
      <c r="R224" s="5" t="n">
        <v>17729.09</v>
      </c>
      <c r="S224" s="5" t="n">
        <v>8119.45</v>
      </c>
      <c r="T224" s="3" t="str">
        <f aca="false">PROPER(TRIM(SUBSTITUTE(Raw_Text_Fields!J225,CHAR(160)," ")))</f>
        <v>Paid</v>
      </c>
      <c r="U224" s="3" t="str">
        <f aca="false">PROPER(TRIM(SUBSTITUTE(Raw_Text_Fields!K225,CHAR(160)," ")))</f>
        <v>Completed</v>
      </c>
      <c r="V224" s="7" t="n">
        <f aca="false">IF(OR(P224&lt;0,P224&gt;0.5),0,P224)</f>
        <v>0</v>
      </c>
      <c r="W224" s="8" t="n">
        <f aca="false">N224*O224*(1-V224)</f>
        <v>25848.54</v>
      </c>
      <c r="X224" s="8" t="n">
        <f aca="false">W224-R224</f>
        <v>8119.45</v>
      </c>
      <c r="Y224" s="7" t="n">
        <f aca="false">IFERROR(X224/W224,0)</f>
        <v>0.314116387231155</v>
      </c>
      <c r="Z224" s="9" t="n">
        <f aca="false">C224-B224</f>
        <v>3</v>
      </c>
      <c r="AA224" s="1" t="str">
        <f aca="false">IF(B224="","",TEXT(B224,"mmm"))</f>
        <v>Apr</v>
      </c>
      <c r="AB224" s="9" t="n">
        <f aca="false">IF(B224="","",YEAR(B224))</f>
        <v>2025</v>
      </c>
      <c r="AC224" s="3"/>
      <c r="AD224" s="3" t="str">
        <f aca="false">IF(LEFT(AC224&amp;IF(B224="","; Missing Order Date","")&amp;IF(C224="","; Missing Ship Date","")&amp;IF(P224&lt;0,"; Invalid Discount (Negative)","")&amp;IF(P224&gt;0.5,"; Invalid Discount (Too High)","")&amp;IF(Z224&lt;0,"; Invalid Shipping Record (Ship Before Order)","")&amp;IF(ABS(Q224-W224)&gt;1,"; Sales Mismatch","")&amp;IF(ABS(S224-X224)&gt;1,"; Profit Mismatch","")&amp;IF(COUNTIF($A$2:$A$913,A224)&gt;1,"; Duplicate Order ID Conflict",""),2)="; ",MID(AC224&amp;IF(B224="","; Missing Order Date","")&amp;IF(C224="","; Missing Ship Date","")&amp;IF(P224&lt;0,"; Invalid Discount (Negative)","")&amp;IF(P224&gt;0.5,"; Invalid Discount (Too High)","")&amp;IF(Z224&lt;0,"; Invalid Shipping Record (Ship Before Order)","")&amp;IF(ABS(Q224-W224)&gt;1,"; Sales Mismatch","")&amp;IF(ABS(S224-X224)&gt;1,"; Profit Mismatch","")&amp;IF(COUNTIF($A$2:$A$913,A224)&gt;1,"; Duplicate Order ID Conflict",""),3,500),AC224&amp;IF(B224="","; Missing Order Date","")&amp;IF(C224="","; Missing Ship Date","")&amp;IF(P224&lt;0,"; Invalid Discount (Negative)","")&amp;IF(P224&gt;0.5,"; Invalid Discount (Too High)","")&amp;IF(Z224&lt;0,"; Invalid Shipping Record (Ship Before Order)","")&amp;IF(ABS(Q224-W224)&gt;1,"; Sales Mismatch","")&amp;IF(ABS(S224-X224)&gt;1,"; Profit Mismatch","")&amp;IF(COUNTIF($A$2:$A$913,A224)&gt;1,"; Duplicate Order ID Conflict",""))</f>
        <v/>
      </c>
      <c r="AE224" s="10" t="str">
        <f aca="false">IF(OR(ISNUMBER(SEARCH("Invalid Discount",AD224)),ISNUMBER(SEARCH("Invalid Shipping Record",AD224)),ISNUMBER(SEARCH("Sales Mismatch",AD224)),ISNUMBER(SEARCH("Profit Mismatch",AD224)),ISNUMBER(SEARCH("Duplicate Order ID Conflict",AD224)),ISNUMBER(SEARCH("Missing Order Date",AD224)),ISNUMBER(SEARCH("Missing Ship Date",AD224))),"Invalid",IF(AD224&lt;&gt;"","Warning","Clean"))</f>
        <v>Clean</v>
      </c>
    </row>
    <row r="225" customFormat="false" ht="15" hidden="false" customHeight="true" outlineLevel="0" collapsed="false">
      <c r="A225" s="3" t="s">
        <v>699</v>
      </c>
      <c r="B225" s="4" t="n">
        <v>45707</v>
      </c>
      <c r="C225" s="4" t="n">
        <v>45714</v>
      </c>
      <c r="D225" s="3" t="s">
        <v>700</v>
      </c>
      <c r="E225" s="3" t="str">
        <f aca="false">PROPER(TRIM(SUBSTITUTE(Raw_Text_Fields!B226,CHAR(160)," ")))</f>
        <v>Mira Das</v>
      </c>
      <c r="F225" s="3" t="str">
        <f aca="false">PROPER(TRIM(SUBSTITUTE(Raw_Text_Fields!C226,CHAR(160)," ")))</f>
        <v>Corporate</v>
      </c>
      <c r="G225" s="3" t="str">
        <f aca="false">PROPER(TRIM(SUBSTITUTE(Raw_Text_Fields!D226,CHAR(160)," ")))</f>
        <v>West</v>
      </c>
      <c r="H225" s="3" t="str">
        <f aca="false">PROPER(TRIM(SUBSTITUTE(Raw_Text_Fields!E226,CHAR(160)," ")))</f>
        <v>Maharashtra</v>
      </c>
      <c r="I225" s="3" t="str">
        <f aca="false">PROPER(TRIM(SUBSTITUTE(Raw_Text_Fields!F226,CHAR(160)," ")))</f>
        <v>Mumbai</v>
      </c>
      <c r="J225" s="3" t="str">
        <f aca="false">PROPER(TRIM(SUBSTITUTE(Raw_Text_Fields!G226,CHAR(160)," ")))</f>
        <v>Furniture</v>
      </c>
      <c r="K225" s="3" t="str">
        <f aca="false">PROPER(TRIM(SUBSTITUTE(Raw_Text_Fields!H226,CHAR(160)," ")))</f>
        <v>Furnishings</v>
      </c>
      <c r="L225" s="3" t="s">
        <v>701</v>
      </c>
      <c r="M225" s="3" t="str">
        <f aca="false">PROPER(TRIM(SUBSTITUTE(Raw_Text_Fields!I226,CHAR(160)," ")))</f>
        <v>First Class</v>
      </c>
      <c r="N225" s="3" t="n">
        <v>3</v>
      </c>
      <c r="O225" s="5" t="n">
        <v>490.3</v>
      </c>
      <c r="P225" s="6" t="n">
        <v>0.2</v>
      </c>
      <c r="Q225" s="5" t="n">
        <v>1176.72</v>
      </c>
      <c r="R225" s="5" t="n">
        <v>654.33</v>
      </c>
      <c r="S225" s="5" t="n">
        <v>522.39</v>
      </c>
      <c r="T225" s="3" t="str">
        <f aca="false">PROPER(TRIM(SUBSTITUTE(Raw_Text_Fields!J226,CHAR(160)," ")))</f>
        <v>Pending</v>
      </c>
      <c r="U225" s="3" t="str">
        <f aca="false">PROPER(TRIM(SUBSTITUTE(Raw_Text_Fields!K226,CHAR(160)," ")))</f>
        <v>Returned</v>
      </c>
      <c r="V225" s="7" t="n">
        <f aca="false">IF(OR(P225&lt;0,P225&gt;0.5),0,P225)</f>
        <v>0.2</v>
      </c>
      <c r="W225" s="8" t="n">
        <f aca="false">N225*O225*(1-V225)</f>
        <v>1176.72</v>
      </c>
      <c r="X225" s="8" t="n">
        <f aca="false">W225-R225</f>
        <v>522.39</v>
      </c>
      <c r="Y225" s="7" t="n">
        <f aca="false">IFERROR(X225/W225,0)</f>
        <v>0.443937385274322</v>
      </c>
      <c r="Z225" s="9" t="n">
        <f aca="false">C225-B225</f>
        <v>7</v>
      </c>
      <c r="AA225" s="1" t="str">
        <f aca="false">IF(B225="","",TEXT(B225,"mmm"))</f>
        <v>Feb</v>
      </c>
      <c r="AB225" s="9" t="n">
        <f aca="false">IF(B225="","",YEAR(B225))</f>
        <v>2025</v>
      </c>
      <c r="AC225" s="3"/>
      <c r="AD225" s="3" t="str">
        <f aca="false">IF(LEFT(AC225&amp;IF(B225="","; Missing Order Date","")&amp;IF(C225="","; Missing Ship Date","")&amp;IF(P225&lt;0,"; Invalid Discount (Negative)","")&amp;IF(P225&gt;0.5,"; Invalid Discount (Too High)","")&amp;IF(Z225&lt;0,"; Invalid Shipping Record (Ship Before Order)","")&amp;IF(ABS(Q225-W225)&gt;1,"; Sales Mismatch","")&amp;IF(ABS(S225-X225)&gt;1,"; Profit Mismatch","")&amp;IF(COUNTIF($A$2:$A$913,A225)&gt;1,"; Duplicate Order ID Conflict",""),2)="; ",MID(AC225&amp;IF(B225="","; Missing Order Date","")&amp;IF(C225="","; Missing Ship Date","")&amp;IF(P225&lt;0,"; Invalid Discount (Negative)","")&amp;IF(P225&gt;0.5,"; Invalid Discount (Too High)","")&amp;IF(Z225&lt;0,"; Invalid Shipping Record (Ship Before Order)","")&amp;IF(ABS(Q225-W225)&gt;1,"; Sales Mismatch","")&amp;IF(ABS(S225-X225)&gt;1,"; Profit Mismatch","")&amp;IF(COUNTIF($A$2:$A$913,A225)&gt;1,"; Duplicate Order ID Conflict",""),3,500),AC225&amp;IF(B225="","; Missing Order Date","")&amp;IF(C225="","; Missing Ship Date","")&amp;IF(P225&lt;0,"; Invalid Discount (Negative)","")&amp;IF(P225&gt;0.5,"; Invalid Discount (Too High)","")&amp;IF(Z225&lt;0,"; Invalid Shipping Record (Ship Before Order)","")&amp;IF(ABS(Q225-W225)&gt;1,"; Sales Mismatch","")&amp;IF(ABS(S225-X225)&gt;1,"; Profit Mismatch","")&amp;IF(COUNTIF($A$2:$A$913,A225)&gt;1,"; Duplicate Order ID Conflict",""))</f>
        <v/>
      </c>
      <c r="AE225" s="10" t="str">
        <f aca="false">IF(OR(ISNUMBER(SEARCH("Invalid Discount",AD225)),ISNUMBER(SEARCH("Invalid Shipping Record",AD225)),ISNUMBER(SEARCH("Sales Mismatch",AD225)),ISNUMBER(SEARCH("Profit Mismatch",AD225)),ISNUMBER(SEARCH("Duplicate Order ID Conflict",AD225)),ISNUMBER(SEARCH("Missing Order Date",AD225)),ISNUMBER(SEARCH("Missing Ship Date",AD225))),"Invalid",IF(AD225&lt;&gt;"","Warning","Clean"))</f>
        <v>Clean</v>
      </c>
    </row>
    <row r="226" customFormat="false" ht="15" hidden="false" customHeight="true" outlineLevel="0" collapsed="false">
      <c r="A226" s="3" t="s">
        <v>702</v>
      </c>
      <c r="B226" s="4" t="n">
        <v>45932</v>
      </c>
      <c r="C226" s="4" t="n">
        <v>45938</v>
      </c>
      <c r="D226" s="3" t="s">
        <v>703</v>
      </c>
      <c r="E226" s="3" t="str">
        <f aca="false">PROPER(TRIM(SUBSTITUTE(Raw_Text_Fields!B227,CHAR(160)," ")))</f>
        <v>Isha Nair</v>
      </c>
      <c r="F226" s="3" t="str">
        <f aca="false">PROPER(TRIM(SUBSTITUTE(Raw_Text_Fields!C227,CHAR(160)," ")))</f>
        <v>Small Business</v>
      </c>
      <c r="G226" s="3" t="str">
        <f aca="false">PROPER(TRIM(SUBSTITUTE(Raw_Text_Fields!D227,CHAR(160)," ")))</f>
        <v>North</v>
      </c>
      <c r="H226" s="3" t="str">
        <f aca="false">PROPER(TRIM(SUBSTITUTE(Raw_Text_Fields!E227,CHAR(160)," ")))</f>
        <v>Punjab</v>
      </c>
      <c r="I226" s="3" t="str">
        <f aca="false">PROPER(TRIM(SUBSTITUTE(Raw_Text_Fields!F227,CHAR(160)," ")))</f>
        <v>Ludhiana</v>
      </c>
      <c r="J226" s="3" t="str">
        <f aca="false">PROPER(TRIM(SUBSTITUTE(Raw_Text_Fields!G227,CHAR(160)," ")))</f>
        <v>Furniture</v>
      </c>
      <c r="K226" s="3" t="str">
        <f aca="false">PROPER(TRIM(SUBSTITUTE(Raw_Text_Fields!H227,CHAR(160)," ")))</f>
        <v>Furnishings</v>
      </c>
      <c r="L226" s="3" t="s">
        <v>704</v>
      </c>
      <c r="M226" s="3" t="str">
        <f aca="false">PROPER(TRIM(SUBSTITUTE(Raw_Text_Fields!I227,CHAR(160)," ")))</f>
        <v>Standard Class</v>
      </c>
      <c r="N226" s="3" t="n">
        <v>4</v>
      </c>
      <c r="O226" s="5" t="n">
        <v>3944.64</v>
      </c>
      <c r="P226" s="6" t="n">
        <v>0.25</v>
      </c>
      <c r="Q226" s="5" t="n">
        <v>11833.92</v>
      </c>
      <c r="R226" s="5" t="n">
        <v>6682.92</v>
      </c>
      <c r="S226" s="5" t="n">
        <v>5151</v>
      </c>
      <c r="T226" s="3" t="str">
        <f aca="false">PROPER(TRIM(SUBSTITUTE(Raw_Text_Fields!J227,CHAR(160)," ")))</f>
        <v>Paid</v>
      </c>
      <c r="U226" s="3" t="str">
        <f aca="false">PROPER(TRIM(SUBSTITUTE(Raw_Text_Fields!K227,CHAR(160)," ")))</f>
        <v>Cancelled</v>
      </c>
      <c r="V226" s="7" t="n">
        <f aca="false">IF(OR(P226&lt;0,P226&gt;0.5),0,P226)</f>
        <v>0.25</v>
      </c>
      <c r="W226" s="8" t="n">
        <f aca="false">N226*O226*(1-V226)</f>
        <v>11833.92</v>
      </c>
      <c r="X226" s="8" t="n">
        <f aca="false">W226-R226</f>
        <v>5151</v>
      </c>
      <c r="Y226" s="7" t="n">
        <f aca="false">IFERROR(X226/W226,0)</f>
        <v>0.435274194856818</v>
      </c>
      <c r="Z226" s="9" t="n">
        <f aca="false">C226-B226</f>
        <v>6</v>
      </c>
      <c r="AA226" s="1" t="str">
        <f aca="false">IF(B226="","",TEXT(B226,"mmm"))</f>
        <v>Oct</v>
      </c>
      <c r="AB226" s="9" t="n">
        <f aca="false">IF(B226="","",YEAR(B226))</f>
        <v>2025</v>
      </c>
      <c r="AC226" s="3"/>
      <c r="AD226" s="3" t="str">
        <f aca="false">IF(LEFT(AC226&amp;IF(B226="","; Missing Order Date","")&amp;IF(C226="","; Missing Ship Date","")&amp;IF(P226&lt;0,"; Invalid Discount (Negative)","")&amp;IF(P226&gt;0.5,"; Invalid Discount (Too High)","")&amp;IF(Z226&lt;0,"; Invalid Shipping Record (Ship Before Order)","")&amp;IF(ABS(Q226-W226)&gt;1,"; Sales Mismatch","")&amp;IF(ABS(S226-X226)&gt;1,"; Profit Mismatch","")&amp;IF(COUNTIF($A$2:$A$913,A226)&gt;1,"; Duplicate Order ID Conflict",""),2)="; ",MID(AC226&amp;IF(B226="","; Missing Order Date","")&amp;IF(C226="","; Missing Ship Date","")&amp;IF(P226&lt;0,"; Invalid Discount (Negative)","")&amp;IF(P226&gt;0.5,"; Invalid Discount (Too High)","")&amp;IF(Z226&lt;0,"; Invalid Shipping Record (Ship Before Order)","")&amp;IF(ABS(Q226-W226)&gt;1,"; Sales Mismatch","")&amp;IF(ABS(S226-X226)&gt;1,"; Profit Mismatch","")&amp;IF(COUNTIF($A$2:$A$913,A226)&gt;1,"; Duplicate Order ID Conflict",""),3,500),AC226&amp;IF(B226="","; Missing Order Date","")&amp;IF(C226="","; Missing Ship Date","")&amp;IF(P226&lt;0,"; Invalid Discount (Negative)","")&amp;IF(P226&gt;0.5,"; Invalid Discount (Too High)","")&amp;IF(Z226&lt;0,"; Invalid Shipping Record (Ship Before Order)","")&amp;IF(ABS(Q226-W226)&gt;1,"; Sales Mismatch","")&amp;IF(ABS(S226-X226)&gt;1,"; Profit Mismatch","")&amp;IF(COUNTIF($A$2:$A$913,A226)&gt;1,"; Duplicate Order ID Conflict",""))</f>
        <v>Duplicate Order ID Conflict</v>
      </c>
      <c r="AE226" s="10" t="str">
        <f aca="false">IF(OR(ISNUMBER(SEARCH("Invalid Discount",AD226)),ISNUMBER(SEARCH("Invalid Shipping Record",AD226)),ISNUMBER(SEARCH("Sales Mismatch",AD226)),ISNUMBER(SEARCH("Profit Mismatch",AD226)),ISNUMBER(SEARCH("Duplicate Order ID Conflict",AD226)),ISNUMBER(SEARCH("Missing Order Date",AD226)),ISNUMBER(SEARCH("Missing Ship Date",AD226))),"Invalid",IF(AD226&lt;&gt;"","Warning","Clean"))</f>
        <v>Invalid</v>
      </c>
    </row>
    <row r="227" customFormat="false" ht="15" hidden="false" customHeight="true" outlineLevel="0" collapsed="false">
      <c r="A227" s="3" t="s">
        <v>705</v>
      </c>
      <c r="B227" s="4" t="n">
        <v>45537</v>
      </c>
      <c r="C227" s="4" t="n">
        <v>45545</v>
      </c>
      <c r="D227" s="3" t="s">
        <v>706</v>
      </c>
      <c r="E227" s="3" t="str">
        <f aca="false">PROPER(TRIM(SUBSTITUTE(Raw_Text_Fields!B228,CHAR(160)," ")))</f>
        <v>Mira Das</v>
      </c>
      <c r="F227" s="3" t="str">
        <f aca="false">PROPER(TRIM(SUBSTITUTE(Raw_Text_Fields!C228,CHAR(160)," ")))</f>
        <v>Corporate</v>
      </c>
      <c r="G227" s="3" t="str">
        <f aca="false">PROPER(TRIM(SUBSTITUTE(Raw_Text_Fields!D228,CHAR(160)," ")))</f>
        <v>West</v>
      </c>
      <c r="H227" s="3" t="str">
        <f aca="false">PROPER(TRIM(SUBSTITUTE(Raw_Text_Fields!E228,CHAR(160)," ")))</f>
        <v>Goa</v>
      </c>
      <c r="I227" s="3" t="str">
        <f aca="false">PROPER(TRIM(SUBSTITUTE(Raw_Text_Fields!F228,CHAR(160)," ")))</f>
        <v>Panaji</v>
      </c>
      <c r="J227" s="3" t="str">
        <f aca="false">PROPER(TRIM(SUBSTITUTE(Raw_Text_Fields!G228,CHAR(160)," ")))</f>
        <v>Technology</v>
      </c>
      <c r="K227" s="3" t="str">
        <f aca="false">PROPER(TRIM(SUBSTITUTE(Raw_Text_Fields!H228,CHAR(160)," ")))</f>
        <v>Phones</v>
      </c>
      <c r="L227" s="3" t="s">
        <v>707</v>
      </c>
      <c r="M227" s="3" t="str">
        <f aca="false">PROPER(TRIM(SUBSTITUTE(Raw_Text_Fields!I228,CHAR(160)," ")))</f>
        <v>Standard Class</v>
      </c>
      <c r="N227" s="3" t="n">
        <v>6</v>
      </c>
      <c r="O227" s="5" t="n">
        <v>1032.47</v>
      </c>
      <c r="P227" s="6" t="n">
        <v>0.15</v>
      </c>
      <c r="Q227" s="5" t="n">
        <v>5265.6</v>
      </c>
      <c r="R227" s="5" t="n">
        <v>4293.11</v>
      </c>
      <c r="S227" s="5" t="n">
        <v>787.57</v>
      </c>
      <c r="T227" s="3" t="str">
        <f aca="false">PROPER(TRIM(SUBSTITUTE(Raw_Text_Fields!J228,CHAR(160)," ")))</f>
        <v>Paid</v>
      </c>
      <c r="U227" s="3" t="str">
        <f aca="false">PROPER(TRIM(SUBSTITUTE(Raw_Text_Fields!K228,CHAR(160)," ")))</f>
        <v>Completed</v>
      </c>
      <c r="V227" s="7" t="n">
        <f aca="false">IF(OR(P227&lt;0,P227&gt;0.5),0,P227)</f>
        <v>0.15</v>
      </c>
      <c r="W227" s="8" t="n">
        <f aca="false">N227*O227*(1-V227)</f>
        <v>5265.597</v>
      </c>
      <c r="X227" s="8" t="n">
        <f aca="false">W227-R227</f>
        <v>972.487</v>
      </c>
      <c r="Y227" s="7" t="n">
        <f aca="false">IFERROR(X227/W227,0)</f>
        <v>0.18468694053115</v>
      </c>
      <c r="Z227" s="9" t="n">
        <f aca="false">C227-B227</f>
        <v>8</v>
      </c>
      <c r="AA227" s="1" t="str">
        <f aca="false">IF(B227="","",TEXT(B227,"mmm"))</f>
        <v>Sep</v>
      </c>
      <c r="AB227" s="9" t="n">
        <f aca="false">IF(B227="","",YEAR(B227))</f>
        <v>2024</v>
      </c>
      <c r="AC227" s="3"/>
      <c r="AD227" s="3" t="str">
        <f aca="false">IF(LEFT(AC227&amp;IF(B227="","; Missing Order Date","")&amp;IF(C227="","; Missing Ship Date","")&amp;IF(P227&lt;0,"; Invalid Discount (Negative)","")&amp;IF(P227&gt;0.5,"; Invalid Discount (Too High)","")&amp;IF(Z227&lt;0,"; Invalid Shipping Record (Ship Before Order)","")&amp;IF(ABS(Q227-W227)&gt;1,"; Sales Mismatch","")&amp;IF(ABS(S227-X227)&gt;1,"; Profit Mismatch","")&amp;IF(COUNTIF($A$2:$A$913,A227)&gt;1,"; Duplicate Order ID Conflict",""),2)="; ",MID(AC227&amp;IF(B227="","; Missing Order Date","")&amp;IF(C227="","; Missing Ship Date","")&amp;IF(P227&lt;0,"; Invalid Discount (Negative)","")&amp;IF(P227&gt;0.5,"; Invalid Discount (Too High)","")&amp;IF(Z227&lt;0,"; Invalid Shipping Record (Ship Before Order)","")&amp;IF(ABS(Q227-W227)&gt;1,"; Sales Mismatch","")&amp;IF(ABS(S227-X227)&gt;1,"; Profit Mismatch","")&amp;IF(COUNTIF($A$2:$A$913,A227)&gt;1,"; Duplicate Order ID Conflict",""),3,500),AC227&amp;IF(B227="","; Missing Order Date","")&amp;IF(C227="","; Missing Ship Date","")&amp;IF(P227&lt;0,"; Invalid Discount (Negative)","")&amp;IF(P227&gt;0.5,"; Invalid Discount (Too High)","")&amp;IF(Z227&lt;0,"; Invalid Shipping Record (Ship Before Order)","")&amp;IF(ABS(Q227-W227)&gt;1,"; Sales Mismatch","")&amp;IF(ABS(S227-X227)&gt;1,"; Profit Mismatch","")&amp;IF(COUNTIF($A$2:$A$913,A227)&gt;1,"; Duplicate Order ID Conflict",""))</f>
        <v>Profit Mismatch</v>
      </c>
      <c r="AE227" s="10" t="str">
        <f aca="false">IF(OR(ISNUMBER(SEARCH("Invalid Discount",AD227)),ISNUMBER(SEARCH("Invalid Shipping Record",AD227)),ISNUMBER(SEARCH("Sales Mismatch",AD227)),ISNUMBER(SEARCH("Profit Mismatch",AD227)),ISNUMBER(SEARCH("Duplicate Order ID Conflict",AD227)),ISNUMBER(SEARCH("Missing Order Date",AD227)),ISNUMBER(SEARCH("Missing Ship Date",AD227))),"Invalid",IF(AD227&lt;&gt;"","Warning","Clean"))</f>
        <v>Invalid</v>
      </c>
    </row>
    <row r="228" customFormat="false" ht="15" hidden="false" customHeight="true" outlineLevel="0" collapsed="false">
      <c r="A228" s="3" t="s">
        <v>708</v>
      </c>
      <c r="B228" s="4" t="n">
        <v>45757</v>
      </c>
      <c r="C228" s="4" t="n">
        <v>45762</v>
      </c>
      <c r="D228" s="3" t="s">
        <v>709</v>
      </c>
      <c r="E228" s="3" t="str">
        <f aca="false">PROPER(TRIM(SUBSTITUTE(Raw_Text_Fields!B229,CHAR(160)," ")))</f>
        <v>Diya Patel</v>
      </c>
      <c r="F228" s="3" t="str">
        <f aca="false">PROPER(TRIM(SUBSTITUTE(Raw_Text_Fields!C229,CHAR(160)," ")))</f>
        <v>Home Office</v>
      </c>
      <c r="G228" s="3" t="str">
        <f aca="false">PROPER(TRIM(SUBSTITUTE(Raw_Text_Fields!D229,CHAR(160)," ")))</f>
        <v>Unknown</v>
      </c>
      <c r="H228" s="3" t="str">
        <f aca="false">PROPER(TRIM(SUBSTITUTE(Raw_Text_Fields!E229,CHAR(160)," ")))</f>
        <v>Kerala</v>
      </c>
      <c r="I228" s="3" t="str">
        <f aca="false">PROPER(TRIM(SUBSTITUTE(Raw_Text_Fields!F229,CHAR(160)," ")))</f>
        <v>Kochi</v>
      </c>
      <c r="J228" s="3" t="str">
        <f aca="false">PROPER(TRIM(SUBSTITUTE(Raw_Text_Fields!G229,CHAR(160)," ")))</f>
        <v>Technology</v>
      </c>
      <c r="K228" s="3" t="str">
        <f aca="false">PROPER(TRIM(SUBSTITUTE(Raw_Text_Fields!H229,CHAR(160)," ")))</f>
        <v>Copiers</v>
      </c>
      <c r="L228" s="3" t="s">
        <v>710</v>
      </c>
      <c r="M228" s="3" t="str">
        <f aca="false">PROPER(TRIM(SUBSTITUTE(Raw_Text_Fields!I229,CHAR(160)," ")))</f>
        <v>Same Day</v>
      </c>
      <c r="N228" s="3" t="n">
        <v>1</v>
      </c>
      <c r="O228" s="5" t="n">
        <v>2208.27</v>
      </c>
      <c r="P228" s="6" t="n">
        <v>0.1</v>
      </c>
      <c r="Q228" s="5" t="n">
        <v>1987.44</v>
      </c>
      <c r="R228" s="5" t="n">
        <v>1110.23</v>
      </c>
      <c r="S228" s="5" t="n">
        <v>877.21</v>
      </c>
      <c r="T228" s="3" t="str">
        <f aca="false">PROPER(TRIM(SUBSTITUTE(Raw_Text_Fields!J229,CHAR(160)," ")))</f>
        <v>Paid</v>
      </c>
      <c r="U228" s="3" t="str">
        <f aca="false">PROPER(TRIM(SUBSTITUTE(Raw_Text_Fields!K229,CHAR(160)," ")))</f>
        <v>Completed</v>
      </c>
      <c r="V228" s="7" t="n">
        <f aca="false">IF(OR(P228&lt;0,P228&gt;0.5),0,P228)</f>
        <v>0.1</v>
      </c>
      <c r="W228" s="8" t="n">
        <f aca="false">N228*O228*(1-V228)</f>
        <v>1987.443</v>
      </c>
      <c r="X228" s="8" t="n">
        <f aca="false">W228-R228</f>
        <v>877.213</v>
      </c>
      <c r="Y228" s="7" t="n">
        <f aca="false">IFERROR(X228/W228,0)</f>
        <v>0.44137768982557</v>
      </c>
      <c r="Z228" s="9" t="n">
        <f aca="false">C228-B228</f>
        <v>5</v>
      </c>
      <c r="AA228" s="1" t="str">
        <f aca="false">IF(B228="","",TEXT(B228,"mmm"))</f>
        <v>Apr</v>
      </c>
      <c r="AB228" s="9" t="n">
        <f aca="false">IF(B228="","",YEAR(B228))</f>
        <v>2025</v>
      </c>
      <c r="AC228" s="3" t="s">
        <v>372</v>
      </c>
      <c r="AD228" s="3" t="str">
        <f aca="false">IF(LEFT(AC228&amp;IF(B228="","; Missing Order Date","")&amp;IF(C228="","; Missing Ship Date","")&amp;IF(P228&lt;0,"; Invalid Discount (Negative)","")&amp;IF(P228&gt;0.5,"; Invalid Discount (Too High)","")&amp;IF(Z228&lt;0,"; Invalid Shipping Record (Ship Before Order)","")&amp;IF(ABS(Q228-W228)&gt;1,"; Sales Mismatch","")&amp;IF(ABS(S228-X228)&gt;1,"; Profit Mismatch","")&amp;IF(COUNTIF($A$2:$A$913,A228)&gt;1,"; Duplicate Order ID Conflict",""),2)="; ",MID(AC228&amp;IF(B228="","; Missing Order Date","")&amp;IF(C228="","; Missing Ship Date","")&amp;IF(P228&lt;0,"; Invalid Discount (Negative)","")&amp;IF(P228&gt;0.5,"; Invalid Discount (Too High)","")&amp;IF(Z228&lt;0,"; Invalid Shipping Record (Ship Before Order)","")&amp;IF(ABS(Q228-W228)&gt;1,"; Sales Mismatch","")&amp;IF(ABS(S228-X228)&gt;1,"; Profit Mismatch","")&amp;IF(COUNTIF($A$2:$A$913,A228)&gt;1,"; Duplicate Order ID Conflict",""),3,500),AC228&amp;IF(B228="","; Missing Order Date","")&amp;IF(C228="","; Missing Ship Date","")&amp;IF(P228&lt;0,"; Invalid Discount (Negative)","")&amp;IF(P228&gt;0.5,"; Invalid Discount (Too High)","")&amp;IF(Z228&lt;0,"; Invalid Shipping Record (Ship Before Order)","")&amp;IF(ABS(Q228-W228)&gt;1,"; Sales Mismatch","")&amp;IF(ABS(S228-X228)&gt;1,"; Profit Mismatch","")&amp;IF(COUNTIF($A$2:$A$913,A228)&gt;1,"; Duplicate Order ID Conflict",""))</f>
        <v>Missing Region (filled Unknown)</v>
      </c>
      <c r="AE228" s="10" t="str">
        <f aca="false">IF(OR(ISNUMBER(SEARCH("Invalid Discount",AD228)),ISNUMBER(SEARCH("Invalid Shipping Record",AD228)),ISNUMBER(SEARCH("Sales Mismatch",AD228)),ISNUMBER(SEARCH("Profit Mismatch",AD228)),ISNUMBER(SEARCH("Duplicate Order ID Conflict",AD228)),ISNUMBER(SEARCH("Missing Order Date",AD228)),ISNUMBER(SEARCH("Missing Ship Date",AD228))),"Invalid",IF(AD228&lt;&gt;"","Warning","Clean"))</f>
        <v>Warning</v>
      </c>
    </row>
    <row r="229" customFormat="false" ht="15" hidden="false" customHeight="true" outlineLevel="0" collapsed="false">
      <c r="A229" s="3" t="s">
        <v>711</v>
      </c>
      <c r="B229" s="4" t="n">
        <v>45478</v>
      </c>
      <c r="C229" s="4" t="n">
        <v>45485</v>
      </c>
      <c r="D229" s="3" t="s">
        <v>712</v>
      </c>
      <c r="E229" s="3" t="str">
        <f aca="false">PROPER(TRIM(SUBSTITUTE(Raw_Text_Fields!B230,CHAR(160)," ")))</f>
        <v>Ananya Rao</v>
      </c>
      <c r="F229" s="3" t="str">
        <f aca="false">PROPER(TRIM(SUBSTITUTE(Raw_Text_Fields!C230,CHAR(160)," ")))</f>
        <v>Small Business</v>
      </c>
      <c r="G229" s="3" t="str">
        <f aca="false">PROPER(TRIM(SUBSTITUTE(Raw_Text_Fields!D230,CHAR(160)," ")))</f>
        <v>West</v>
      </c>
      <c r="H229" s="3" t="str">
        <f aca="false">PROPER(TRIM(SUBSTITUTE(Raw_Text_Fields!E230,CHAR(160)," ")))</f>
        <v>Goa</v>
      </c>
      <c r="I229" s="3" t="str">
        <f aca="false">PROPER(TRIM(SUBSTITUTE(Raw_Text_Fields!F230,CHAR(160)," ")))</f>
        <v>Panaji</v>
      </c>
      <c r="J229" s="3" t="str">
        <f aca="false">PROPER(TRIM(SUBSTITUTE(Raw_Text_Fields!G230,CHAR(160)," ")))</f>
        <v>Office Supplies</v>
      </c>
      <c r="K229" s="3" t="str">
        <f aca="false">PROPER(TRIM(SUBSTITUTE(Raw_Text_Fields!H230,CHAR(160)," ")))</f>
        <v>Binders</v>
      </c>
      <c r="L229" s="3" t="s">
        <v>713</v>
      </c>
      <c r="M229" s="3" t="str">
        <f aca="false">PROPER(TRIM(SUBSTITUTE(Raw_Text_Fields!I230,CHAR(160)," ")))</f>
        <v>First Class</v>
      </c>
      <c r="N229" s="3" t="n">
        <v>3</v>
      </c>
      <c r="O229" s="5" t="n">
        <v>577.75</v>
      </c>
      <c r="P229" s="6" t="n">
        <v>0.15</v>
      </c>
      <c r="Q229" s="5" t="n">
        <v>1473.26</v>
      </c>
      <c r="R229" s="5" t="n">
        <v>899.86</v>
      </c>
      <c r="S229" s="5" t="n">
        <v>573.4</v>
      </c>
      <c r="T229" s="3" t="str">
        <f aca="false">PROPER(TRIM(SUBSTITUTE(Raw_Text_Fields!J230,CHAR(160)," ")))</f>
        <v>Paid</v>
      </c>
      <c r="U229" s="3" t="str">
        <f aca="false">PROPER(TRIM(SUBSTITUTE(Raw_Text_Fields!K230,CHAR(160)," ")))</f>
        <v>Completed</v>
      </c>
      <c r="V229" s="7" t="n">
        <f aca="false">IF(OR(P229&lt;0,P229&gt;0.5),0,P229)</f>
        <v>0.15</v>
      </c>
      <c r="W229" s="8" t="n">
        <f aca="false">N229*O229*(1-V229)</f>
        <v>1473.2625</v>
      </c>
      <c r="X229" s="8" t="n">
        <f aca="false">W229-R229</f>
        <v>573.4025</v>
      </c>
      <c r="Y229" s="7" t="n">
        <f aca="false">IFERROR(X229/W229,0)</f>
        <v>0.389205929018081</v>
      </c>
      <c r="Z229" s="9" t="n">
        <f aca="false">C229-B229</f>
        <v>7</v>
      </c>
      <c r="AA229" s="1" t="str">
        <f aca="false">IF(B229="","",TEXT(B229,"mmm"))</f>
        <v>Jul</v>
      </c>
      <c r="AB229" s="9" t="n">
        <f aca="false">IF(B229="","",YEAR(B229))</f>
        <v>2024</v>
      </c>
      <c r="AC229" s="3"/>
      <c r="AD229" s="3" t="str">
        <f aca="false">IF(LEFT(AC229&amp;IF(B229="","; Missing Order Date","")&amp;IF(C229="","; Missing Ship Date","")&amp;IF(P229&lt;0,"; Invalid Discount (Negative)","")&amp;IF(P229&gt;0.5,"; Invalid Discount (Too High)","")&amp;IF(Z229&lt;0,"; Invalid Shipping Record (Ship Before Order)","")&amp;IF(ABS(Q229-W229)&gt;1,"; Sales Mismatch","")&amp;IF(ABS(S229-X229)&gt;1,"; Profit Mismatch","")&amp;IF(COUNTIF($A$2:$A$913,A229)&gt;1,"; Duplicate Order ID Conflict",""),2)="; ",MID(AC229&amp;IF(B229="","; Missing Order Date","")&amp;IF(C229="","; Missing Ship Date","")&amp;IF(P229&lt;0,"; Invalid Discount (Negative)","")&amp;IF(P229&gt;0.5,"; Invalid Discount (Too High)","")&amp;IF(Z229&lt;0,"; Invalid Shipping Record (Ship Before Order)","")&amp;IF(ABS(Q229-W229)&gt;1,"; Sales Mismatch","")&amp;IF(ABS(S229-X229)&gt;1,"; Profit Mismatch","")&amp;IF(COUNTIF($A$2:$A$913,A229)&gt;1,"; Duplicate Order ID Conflict",""),3,500),AC229&amp;IF(B229="","; Missing Order Date","")&amp;IF(C229="","; Missing Ship Date","")&amp;IF(P229&lt;0,"; Invalid Discount (Negative)","")&amp;IF(P229&gt;0.5,"; Invalid Discount (Too High)","")&amp;IF(Z229&lt;0,"; Invalid Shipping Record (Ship Before Order)","")&amp;IF(ABS(Q229-W229)&gt;1,"; Sales Mismatch","")&amp;IF(ABS(S229-X229)&gt;1,"; Profit Mismatch","")&amp;IF(COUNTIF($A$2:$A$913,A229)&gt;1,"; Duplicate Order ID Conflict",""))</f>
        <v/>
      </c>
      <c r="AE229" s="10" t="str">
        <f aca="false">IF(OR(ISNUMBER(SEARCH("Invalid Discount",AD229)),ISNUMBER(SEARCH("Invalid Shipping Record",AD229)),ISNUMBER(SEARCH("Sales Mismatch",AD229)),ISNUMBER(SEARCH("Profit Mismatch",AD229)),ISNUMBER(SEARCH("Duplicate Order ID Conflict",AD229)),ISNUMBER(SEARCH("Missing Order Date",AD229)),ISNUMBER(SEARCH("Missing Ship Date",AD229))),"Invalid",IF(AD229&lt;&gt;"","Warning","Clean"))</f>
        <v>Clean</v>
      </c>
    </row>
    <row r="230" customFormat="false" ht="15" hidden="false" customHeight="true" outlineLevel="0" collapsed="false">
      <c r="A230" s="3" t="s">
        <v>714</v>
      </c>
      <c r="B230" s="4" t="n">
        <v>45406</v>
      </c>
      <c r="C230" s="4" t="n">
        <v>45410</v>
      </c>
      <c r="D230" s="3" t="s">
        <v>715</v>
      </c>
      <c r="E230" s="3" t="str">
        <f aca="false">PROPER(TRIM(SUBSTITUTE(Raw_Text_Fields!B231,CHAR(160)," ")))</f>
        <v>Karan Malhotra</v>
      </c>
      <c r="F230" s="3" t="str">
        <f aca="false">PROPER(TRIM(SUBSTITUTE(Raw_Text_Fields!C231,CHAR(160)," ")))</f>
        <v>Small Business</v>
      </c>
      <c r="G230" s="3" t="str">
        <f aca="false">PROPER(TRIM(SUBSTITUTE(Raw_Text_Fields!D231,CHAR(160)," ")))</f>
        <v>South</v>
      </c>
      <c r="H230" s="3" t="str">
        <f aca="false">PROPER(TRIM(SUBSTITUTE(Raw_Text_Fields!E231,CHAR(160)," ")))</f>
        <v>Telangana</v>
      </c>
      <c r="I230" s="3" t="str">
        <f aca="false">PROPER(TRIM(SUBSTITUTE(Raw_Text_Fields!F231,CHAR(160)," ")))</f>
        <v>Hyderabad</v>
      </c>
      <c r="J230" s="3" t="str">
        <f aca="false">PROPER(TRIM(SUBSTITUTE(Raw_Text_Fields!G231,CHAR(160)," ")))</f>
        <v>Office Supplies</v>
      </c>
      <c r="K230" s="3" t="str">
        <f aca="false">PROPER(TRIM(SUBSTITUTE(Raw_Text_Fields!H231,CHAR(160)," ")))</f>
        <v>Labels</v>
      </c>
      <c r="L230" s="3" t="s">
        <v>716</v>
      </c>
      <c r="M230" s="3" t="str">
        <f aca="false">PROPER(TRIM(SUBSTITUTE(Raw_Text_Fields!I231,CHAR(160)," ")))</f>
        <v>Second Class</v>
      </c>
      <c r="N230" s="3" t="n">
        <v>1</v>
      </c>
      <c r="O230" s="5" t="n">
        <v>3194.37</v>
      </c>
      <c r="P230" s="6" t="n">
        <v>0.15</v>
      </c>
      <c r="Q230" s="5" t="n">
        <v>2715.21</v>
      </c>
      <c r="R230" s="5" t="n">
        <v>1551.55</v>
      </c>
      <c r="S230" s="5" t="n">
        <v>1163.66</v>
      </c>
      <c r="T230" s="3" t="str">
        <f aca="false">PROPER(TRIM(SUBSTITUTE(Raw_Text_Fields!J231,CHAR(160)," ")))</f>
        <v>Paid</v>
      </c>
      <c r="U230" s="3" t="str">
        <f aca="false">PROPER(TRIM(SUBSTITUTE(Raw_Text_Fields!K231,CHAR(160)," ")))</f>
        <v>Completed</v>
      </c>
      <c r="V230" s="7" t="n">
        <f aca="false">IF(OR(P230&lt;0,P230&gt;0.5),0,P230)</f>
        <v>0.15</v>
      </c>
      <c r="W230" s="8" t="n">
        <f aca="false">N230*O230*(1-V230)</f>
        <v>2715.2145</v>
      </c>
      <c r="X230" s="8" t="n">
        <f aca="false">W230-R230</f>
        <v>1163.6645</v>
      </c>
      <c r="Y230" s="7" t="n">
        <f aca="false">IFERROR(X230/W230,0)</f>
        <v>0.428571849480032</v>
      </c>
      <c r="Z230" s="9" t="n">
        <f aca="false">C230-B230</f>
        <v>4</v>
      </c>
      <c r="AA230" s="1" t="str">
        <f aca="false">IF(B230="","",TEXT(B230,"mmm"))</f>
        <v>Apr</v>
      </c>
      <c r="AB230" s="9" t="n">
        <f aca="false">IF(B230="","",YEAR(B230))</f>
        <v>2024</v>
      </c>
      <c r="AC230" s="3"/>
      <c r="AD230" s="3" t="str">
        <f aca="false">IF(LEFT(AC230&amp;IF(B230="","; Missing Order Date","")&amp;IF(C230="","; Missing Ship Date","")&amp;IF(P230&lt;0,"; Invalid Discount (Negative)","")&amp;IF(P230&gt;0.5,"; Invalid Discount (Too High)","")&amp;IF(Z230&lt;0,"; Invalid Shipping Record (Ship Before Order)","")&amp;IF(ABS(Q230-W230)&gt;1,"; Sales Mismatch","")&amp;IF(ABS(S230-X230)&gt;1,"; Profit Mismatch","")&amp;IF(COUNTIF($A$2:$A$913,A230)&gt;1,"; Duplicate Order ID Conflict",""),2)="; ",MID(AC230&amp;IF(B230="","; Missing Order Date","")&amp;IF(C230="","; Missing Ship Date","")&amp;IF(P230&lt;0,"; Invalid Discount (Negative)","")&amp;IF(P230&gt;0.5,"; Invalid Discount (Too High)","")&amp;IF(Z230&lt;0,"; Invalid Shipping Record (Ship Before Order)","")&amp;IF(ABS(Q230-W230)&gt;1,"; Sales Mismatch","")&amp;IF(ABS(S230-X230)&gt;1,"; Profit Mismatch","")&amp;IF(COUNTIF($A$2:$A$913,A230)&gt;1,"; Duplicate Order ID Conflict",""),3,500),AC230&amp;IF(B230="","; Missing Order Date","")&amp;IF(C230="","; Missing Ship Date","")&amp;IF(P230&lt;0,"; Invalid Discount (Negative)","")&amp;IF(P230&gt;0.5,"; Invalid Discount (Too High)","")&amp;IF(Z230&lt;0,"; Invalid Shipping Record (Ship Before Order)","")&amp;IF(ABS(Q230-W230)&gt;1,"; Sales Mismatch","")&amp;IF(ABS(S230-X230)&gt;1,"; Profit Mismatch","")&amp;IF(COUNTIF($A$2:$A$913,A230)&gt;1,"; Duplicate Order ID Conflict",""))</f>
        <v/>
      </c>
      <c r="AE230" s="10" t="str">
        <f aca="false">IF(OR(ISNUMBER(SEARCH("Invalid Discount",AD230)),ISNUMBER(SEARCH("Invalid Shipping Record",AD230)),ISNUMBER(SEARCH("Sales Mismatch",AD230)),ISNUMBER(SEARCH("Profit Mismatch",AD230)),ISNUMBER(SEARCH("Duplicate Order ID Conflict",AD230)),ISNUMBER(SEARCH("Missing Order Date",AD230)),ISNUMBER(SEARCH("Missing Ship Date",AD230))),"Invalid",IF(AD230&lt;&gt;"","Warning","Clean"))</f>
        <v>Clean</v>
      </c>
    </row>
    <row r="231" customFormat="false" ht="15" hidden="false" customHeight="true" outlineLevel="0" collapsed="false">
      <c r="A231" s="3" t="s">
        <v>717</v>
      </c>
      <c r="B231" s="4" t="n">
        <v>45836</v>
      </c>
      <c r="C231" s="4" t="n">
        <v>45842</v>
      </c>
      <c r="D231" s="3" t="s">
        <v>718</v>
      </c>
      <c r="E231" s="3" t="str">
        <f aca="false">PROPER(TRIM(SUBSTITUTE(Raw_Text_Fields!B232,CHAR(160)," ")))</f>
        <v>Rohan Mehta</v>
      </c>
      <c r="F231" s="3" t="str">
        <f aca="false">PROPER(TRIM(SUBSTITUTE(Raw_Text_Fields!C232,CHAR(160)," ")))</f>
        <v>Consumer</v>
      </c>
      <c r="G231" s="3" t="str">
        <f aca="false">PROPER(TRIM(SUBSTITUTE(Raw_Text_Fields!D232,CHAR(160)," ")))</f>
        <v>South</v>
      </c>
      <c r="H231" s="3" t="str">
        <f aca="false">PROPER(TRIM(SUBSTITUTE(Raw_Text_Fields!E232,CHAR(160)," ")))</f>
        <v>Telangana</v>
      </c>
      <c r="I231" s="3" t="str">
        <f aca="false">PROPER(TRIM(SUBSTITUTE(Raw_Text_Fields!F232,CHAR(160)," ")))</f>
        <v>Hyderabad</v>
      </c>
      <c r="J231" s="3" t="str">
        <f aca="false">PROPER(TRIM(SUBSTITUTE(Raw_Text_Fields!G232,CHAR(160)," ")))</f>
        <v>Furniture</v>
      </c>
      <c r="K231" s="3" t="str">
        <f aca="false">PROPER(TRIM(SUBSTITUTE(Raw_Text_Fields!H232,CHAR(160)," ")))</f>
        <v>Bookcases</v>
      </c>
      <c r="L231" s="3" t="s">
        <v>719</v>
      </c>
      <c r="M231" s="3" t="str">
        <f aca="false">PROPER(TRIM(SUBSTITUTE(Raw_Text_Fields!I232,CHAR(160)," ")))</f>
        <v>First Class</v>
      </c>
      <c r="N231" s="3" t="n">
        <v>3</v>
      </c>
      <c r="O231" s="5" t="n">
        <v>2886.23</v>
      </c>
      <c r="P231" s="6" t="n">
        <v>0</v>
      </c>
      <c r="Q231" s="5" t="n">
        <v>8658.69</v>
      </c>
      <c r="R231" s="5" t="n">
        <v>5535.94</v>
      </c>
      <c r="S231" s="5" t="n">
        <v>3122.75</v>
      </c>
      <c r="T231" s="3" t="str">
        <f aca="false">PROPER(TRIM(SUBSTITUTE(Raw_Text_Fields!J232,CHAR(160)," ")))</f>
        <v>Refunded</v>
      </c>
      <c r="U231" s="3" t="str">
        <f aca="false">PROPER(TRIM(SUBSTITUTE(Raw_Text_Fields!K232,CHAR(160)," ")))</f>
        <v>Returned</v>
      </c>
      <c r="V231" s="7" t="n">
        <f aca="false">IF(OR(P231&lt;0,P231&gt;0.5),0,P231)</f>
        <v>0</v>
      </c>
      <c r="W231" s="8" t="n">
        <f aca="false">N231*O231*(1-V231)</f>
        <v>8658.69</v>
      </c>
      <c r="X231" s="8" t="n">
        <f aca="false">W231-R231</f>
        <v>3122.75</v>
      </c>
      <c r="Y231" s="7" t="n">
        <f aca="false">IFERROR(X231/W231,0)</f>
        <v>0.360649243707767</v>
      </c>
      <c r="Z231" s="9" t="n">
        <f aca="false">C231-B231</f>
        <v>6</v>
      </c>
      <c r="AA231" s="1" t="str">
        <f aca="false">IF(B231="","",TEXT(B231,"mmm"))</f>
        <v>Jun</v>
      </c>
      <c r="AB231" s="9" t="n">
        <f aca="false">IF(B231="","",YEAR(B231))</f>
        <v>2025</v>
      </c>
      <c r="AC231" s="3"/>
      <c r="AD231" s="3" t="str">
        <f aca="false">IF(LEFT(AC231&amp;IF(B231="","; Missing Order Date","")&amp;IF(C231="","; Missing Ship Date","")&amp;IF(P231&lt;0,"; Invalid Discount (Negative)","")&amp;IF(P231&gt;0.5,"; Invalid Discount (Too High)","")&amp;IF(Z231&lt;0,"; Invalid Shipping Record (Ship Before Order)","")&amp;IF(ABS(Q231-W231)&gt;1,"; Sales Mismatch","")&amp;IF(ABS(S231-X231)&gt;1,"; Profit Mismatch","")&amp;IF(COUNTIF($A$2:$A$913,A231)&gt;1,"; Duplicate Order ID Conflict",""),2)="; ",MID(AC231&amp;IF(B231="","; Missing Order Date","")&amp;IF(C231="","; Missing Ship Date","")&amp;IF(P231&lt;0,"; Invalid Discount (Negative)","")&amp;IF(P231&gt;0.5,"; Invalid Discount (Too High)","")&amp;IF(Z231&lt;0,"; Invalid Shipping Record (Ship Before Order)","")&amp;IF(ABS(Q231-W231)&gt;1,"; Sales Mismatch","")&amp;IF(ABS(S231-X231)&gt;1,"; Profit Mismatch","")&amp;IF(COUNTIF($A$2:$A$913,A231)&gt;1,"; Duplicate Order ID Conflict",""),3,500),AC231&amp;IF(B231="","; Missing Order Date","")&amp;IF(C231="","; Missing Ship Date","")&amp;IF(P231&lt;0,"; Invalid Discount (Negative)","")&amp;IF(P231&gt;0.5,"; Invalid Discount (Too High)","")&amp;IF(Z231&lt;0,"; Invalid Shipping Record (Ship Before Order)","")&amp;IF(ABS(Q231-W231)&gt;1,"; Sales Mismatch","")&amp;IF(ABS(S231-X231)&gt;1,"; Profit Mismatch","")&amp;IF(COUNTIF($A$2:$A$913,A231)&gt;1,"; Duplicate Order ID Conflict",""))</f>
        <v/>
      </c>
      <c r="AE231" s="10" t="str">
        <f aca="false">IF(OR(ISNUMBER(SEARCH("Invalid Discount",AD231)),ISNUMBER(SEARCH("Invalid Shipping Record",AD231)),ISNUMBER(SEARCH("Sales Mismatch",AD231)),ISNUMBER(SEARCH("Profit Mismatch",AD231)),ISNUMBER(SEARCH("Duplicate Order ID Conflict",AD231)),ISNUMBER(SEARCH("Missing Order Date",AD231)),ISNUMBER(SEARCH("Missing Ship Date",AD231))),"Invalid",IF(AD231&lt;&gt;"","Warning","Clean"))</f>
        <v>Clean</v>
      </c>
    </row>
    <row r="232" customFormat="false" ht="15" hidden="false" customHeight="true" outlineLevel="0" collapsed="false">
      <c r="A232" s="3" t="s">
        <v>720</v>
      </c>
      <c r="B232" s="4" t="n">
        <v>45440</v>
      </c>
      <c r="C232" s="4" t="n">
        <v>45446</v>
      </c>
      <c r="D232" s="3" t="s">
        <v>721</v>
      </c>
      <c r="E232" s="3" t="str">
        <f aca="false">PROPER(TRIM(SUBSTITUTE(Raw_Text_Fields!B233,CHAR(160)," ")))</f>
        <v>Neha Gupta</v>
      </c>
      <c r="F232" s="3" t="str">
        <f aca="false">PROPER(TRIM(SUBSTITUTE(Raw_Text_Fields!C233,CHAR(160)," ")))</f>
        <v>Small Business</v>
      </c>
      <c r="G232" s="3" t="str">
        <f aca="false">PROPER(TRIM(SUBSTITUTE(Raw_Text_Fields!D233,CHAR(160)," ")))</f>
        <v>North</v>
      </c>
      <c r="H232" s="3" t="str">
        <f aca="false">PROPER(TRIM(SUBSTITUTE(Raw_Text_Fields!E233,CHAR(160)," ")))</f>
        <v>Rajasthan</v>
      </c>
      <c r="I232" s="3" t="str">
        <f aca="false">PROPER(TRIM(SUBSTITUTE(Raw_Text_Fields!F233,CHAR(160)," ")))</f>
        <v>Jaipur</v>
      </c>
      <c r="J232" s="3" t="str">
        <f aca="false">PROPER(TRIM(SUBSTITUTE(Raw_Text_Fields!G233,CHAR(160)," ")))</f>
        <v>Office Supplies</v>
      </c>
      <c r="K232" s="3" t="str">
        <f aca="false">PROPER(TRIM(SUBSTITUTE(Raw_Text_Fields!H233,CHAR(160)," ")))</f>
        <v>Paper</v>
      </c>
      <c r="L232" s="3" t="s">
        <v>722</v>
      </c>
      <c r="M232" s="3" t="str">
        <f aca="false">PROPER(TRIM(SUBSTITUTE(Raw_Text_Fields!I233,CHAR(160)," ")))</f>
        <v>Standard Class</v>
      </c>
      <c r="N232" s="3" t="n">
        <v>8</v>
      </c>
      <c r="O232" s="5" t="n">
        <v>1540.33</v>
      </c>
      <c r="P232" s="6" t="n">
        <v>0.1</v>
      </c>
      <c r="Q232" s="5" t="n">
        <v>11090.38</v>
      </c>
      <c r="R232" s="5" t="n">
        <v>8840.95</v>
      </c>
      <c r="S232" s="5" t="n">
        <v>2249.43</v>
      </c>
      <c r="T232" s="3" t="str">
        <f aca="false">PROPER(TRIM(SUBSTITUTE(Raw_Text_Fields!J233,CHAR(160)," ")))</f>
        <v>Paid</v>
      </c>
      <c r="U232" s="3" t="str">
        <f aca="false">PROPER(TRIM(SUBSTITUTE(Raw_Text_Fields!K233,CHAR(160)," ")))</f>
        <v>Completed</v>
      </c>
      <c r="V232" s="7" t="n">
        <f aca="false">IF(OR(P232&lt;0,P232&gt;0.5),0,P232)</f>
        <v>0.1</v>
      </c>
      <c r="W232" s="8" t="n">
        <f aca="false">N232*O232*(1-V232)</f>
        <v>11090.376</v>
      </c>
      <c r="X232" s="8" t="n">
        <f aca="false">W232-R232</f>
        <v>2249.426</v>
      </c>
      <c r="Y232" s="7" t="n">
        <f aca="false">IFERROR(X232/W232,0)</f>
        <v>0.20282684734945</v>
      </c>
      <c r="Z232" s="9" t="n">
        <f aca="false">C232-B232</f>
        <v>6</v>
      </c>
      <c r="AA232" s="1" t="str">
        <f aca="false">IF(B232="","",TEXT(B232,"mmm"))</f>
        <v>May</v>
      </c>
      <c r="AB232" s="9" t="n">
        <f aca="false">IF(B232="","",YEAR(B232))</f>
        <v>2024</v>
      </c>
      <c r="AC232" s="3"/>
      <c r="AD232" s="3" t="str">
        <f aca="false">IF(LEFT(AC232&amp;IF(B232="","; Missing Order Date","")&amp;IF(C232="","; Missing Ship Date","")&amp;IF(P232&lt;0,"; Invalid Discount (Negative)","")&amp;IF(P232&gt;0.5,"; Invalid Discount (Too High)","")&amp;IF(Z232&lt;0,"; Invalid Shipping Record (Ship Before Order)","")&amp;IF(ABS(Q232-W232)&gt;1,"; Sales Mismatch","")&amp;IF(ABS(S232-X232)&gt;1,"; Profit Mismatch","")&amp;IF(COUNTIF($A$2:$A$913,A232)&gt;1,"; Duplicate Order ID Conflict",""),2)="; ",MID(AC232&amp;IF(B232="","; Missing Order Date","")&amp;IF(C232="","; Missing Ship Date","")&amp;IF(P232&lt;0,"; Invalid Discount (Negative)","")&amp;IF(P232&gt;0.5,"; Invalid Discount (Too High)","")&amp;IF(Z232&lt;0,"; Invalid Shipping Record (Ship Before Order)","")&amp;IF(ABS(Q232-W232)&gt;1,"; Sales Mismatch","")&amp;IF(ABS(S232-X232)&gt;1,"; Profit Mismatch","")&amp;IF(COUNTIF($A$2:$A$913,A232)&gt;1,"; Duplicate Order ID Conflict",""),3,500),AC232&amp;IF(B232="","; Missing Order Date","")&amp;IF(C232="","; Missing Ship Date","")&amp;IF(P232&lt;0,"; Invalid Discount (Negative)","")&amp;IF(P232&gt;0.5,"; Invalid Discount (Too High)","")&amp;IF(Z232&lt;0,"; Invalid Shipping Record (Ship Before Order)","")&amp;IF(ABS(Q232-W232)&gt;1,"; Sales Mismatch","")&amp;IF(ABS(S232-X232)&gt;1,"; Profit Mismatch","")&amp;IF(COUNTIF($A$2:$A$913,A232)&gt;1,"; Duplicate Order ID Conflict",""))</f>
        <v/>
      </c>
      <c r="AE232" s="10" t="str">
        <f aca="false">IF(OR(ISNUMBER(SEARCH("Invalid Discount",AD232)),ISNUMBER(SEARCH("Invalid Shipping Record",AD232)),ISNUMBER(SEARCH("Sales Mismatch",AD232)),ISNUMBER(SEARCH("Profit Mismatch",AD232)),ISNUMBER(SEARCH("Duplicate Order ID Conflict",AD232)),ISNUMBER(SEARCH("Missing Order Date",AD232)),ISNUMBER(SEARCH("Missing Ship Date",AD232))),"Invalid",IF(AD232&lt;&gt;"","Warning","Clean"))</f>
        <v>Clean</v>
      </c>
    </row>
    <row r="233" customFormat="false" ht="15" hidden="false" customHeight="true" outlineLevel="0" collapsed="false">
      <c r="A233" s="3" t="s">
        <v>723</v>
      </c>
      <c r="B233" s="4" t="n">
        <v>45414</v>
      </c>
      <c r="C233" s="4" t="n">
        <v>45414</v>
      </c>
      <c r="D233" s="3" t="s">
        <v>724</v>
      </c>
      <c r="E233" s="3" t="str">
        <f aca="false">PROPER(TRIM(SUBSTITUTE(Raw_Text_Fields!B234,CHAR(160)," ")))</f>
        <v>Ananya Rao</v>
      </c>
      <c r="F233" s="3" t="str">
        <f aca="false">PROPER(TRIM(SUBSTITUTE(Raw_Text_Fields!C234,CHAR(160)," ")))</f>
        <v>Corporate</v>
      </c>
      <c r="G233" s="3" t="str">
        <f aca="false">PROPER(TRIM(SUBSTITUTE(Raw_Text_Fields!D234,CHAR(160)," ")))</f>
        <v>North</v>
      </c>
      <c r="H233" s="3" t="str">
        <f aca="false">PROPER(TRIM(SUBSTITUTE(Raw_Text_Fields!E234,CHAR(160)," ")))</f>
        <v>Rajasthan</v>
      </c>
      <c r="I233" s="3" t="str">
        <f aca="false">PROPER(TRIM(SUBSTITUTE(Raw_Text_Fields!F234,CHAR(160)," ")))</f>
        <v>Jaipur</v>
      </c>
      <c r="J233" s="3" t="str">
        <f aca="false">PROPER(TRIM(SUBSTITUTE(Raw_Text_Fields!G234,CHAR(160)," ")))</f>
        <v>Office Supplies</v>
      </c>
      <c r="K233" s="3" t="str">
        <f aca="false">PROPER(TRIM(SUBSTITUTE(Raw_Text_Fields!H234,CHAR(160)," ")))</f>
        <v>Labels</v>
      </c>
      <c r="L233" s="3" t="s">
        <v>725</v>
      </c>
      <c r="M233" s="3" t="str">
        <f aca="false">PROPER(TRIM(SUBSTITUTE(Raw_Text_Fields!I234,CHAR(160)," ")))</f>
        <v>First Class</v>
      </c>
      <c r="N233" s="3" t="n">
        <v>7</v>
      </c>
      <c r="O233" s="5" t="n">
        <v>2183.38</v>
      </c>
      <c r="P233" s="6" t="n">
        <v>0.25</v>
      </c>
      <c r="Q233" s="5" t="n">
        <v>11462.74</v>
      </c>
      <c r="R233" s="5" t="n">
        <v>7163.54</v>
      </c>
      <c r="S233" s="5" t="n">
        <v>4299.2</v>
      </c>
      <c r="T233" s="3" t="str">
        <f aca="false">PROPER(TRIM(SUBSTITUTE(Raw_Text_Fields!J234,CHAR(160)," ")))</f>
        <v>Refunded</v>
      </c>
      <c r="U233" s="3" t="str">
        <f aca="false">PROPER(TRIM(SUBSTITUTE(Raw_Text_Fields!K234,CHAR(160)," ")))</f>
        <v>Cancelled</v>
      </c>
      <c r="V233" s="7" t="n">
        <f aca="false">IF(OR(P233&lt;0,P233&gt;0.5),0,P233)</f>
        <v>0.25</v>
      </c>
      <c r="W233" s="8" t="n">
        <f aca="false">N233*O233*(1-V233)</f>
        <v>11462.745</v>
      </c>
      <c r="X233" s="8" t="n">
        <f aca="false">W233-R233</f>
        <v>4299.205</v>
      </c>
      <c r="Y233" s="7" t="n">
        <f aca="false">IFERROR(X233/W233,0)</f>
        <v>0.375058940943029</v>
      </c>
      <c r="Z233" s="9" t="n">
        <f aca="false">C233-B233</f>
        <v>0</v>
      </c>
      <c r="AA233" s="1" t="str">
        <f aca="false">IF(B233="","",TEXT(B233,"mmm"))</f>
        <v>May</v>
      </c>
      <c r="AB233" s="9" t="n">
        <f aca="false">IF(B233="","",YEAR(B233))</f>
        <v>2024</v>
      </c>
      <c r="AC233" s="3"/>
      <c r="AD233" s="3" t="str">
        <f aca="false">IF(LEFT(AC233&amp;IF(B233="","; Missing Order Date","")&amp;IF(C233="","; Missing Ship Date","")&amp;IF(P233&lt;0,"; Invalid Discount (Negative)","")&amp;IF(P233&gt;0.5,"; Invalid Discount (Too High)","")&amp;IF(Z233&lt;0,"; Invalid Shipping Record (Ship Before Order)","")&amp;IF(ABS(Q233-W233)&gt;1,"; Sales Mismatch","")&amp;IF(ABS(S233-X233)&gt;1,"; Profit Mismatch","")&amp;IF(COUNTIF($A$2:$A$913,A233)&gt;1,"; Duplicate Order ID Conflict",""),2)="; ",MID(AC233&amp;IF(B233="","; Missing Order Date","")&amp;IF(C233="","; Missing Ship Date","")&amp;IF(P233&lt;0,"; Invalid Discount (Negative)","")&amp;IF(P233&gt;0.5,"; Invalid Discount (Too High)","")&amp;IF(Z233&lt;0,"; Invalid Shipping Record (Ship Before Order)","")&amp;IF(ABS(Q233-W233)&gt;1,"; Sales Mismatch","")&amp;IF(ABS(S233-X233)&gt;1,"; Profit Mismatch","")&amp;IF(COUNTIF($A$2:$A$913,A233)&gt;1,"; Duplicate Order ID Conflict",""),3,500),AC233&amp;IF(B233="","; Missing Order Date","")&amp;IF(C233="","; Missing Ship Date","")&amp;IF(P233&lt;0,"; Invalid Discount (Negative)","")&amp;IF(P233&gt;0.5,"; Invalid Discount (Too High)","")&amp;IF(Z233&lt;0,"; Invalid Shipping Record (Ship Before Order)","")&amp;IF(ABS(Q233-W233)&gt;1,"; Sales Mismatch","")&amp;IF(ABS(S233-X233)&gt;1,"; Profit Mismatch","")&amp;IF(COUNTIF($A$2:$A$913,A233)&gt;1,"; Duplicate Order ID Conflict",""))</f>
        <v/>
      </c>
      <c r="AE233" s="10" t="str">
        <f aca="false">IF(OR(ISNUMBER(SEARCH("Invalid Discount",AD233)),ISNUMBER(SEARCH("Invalid Shipping Record",AD233)),ISNUMBER(SEARCH("Sales Mismatch",AD233)),ISNUMBER(SEARCH("Profit Mismatch",AD233)),ISNUMBER(SEARCH("Duplicate Order ID Conflict",AD233)),ISNUMBER(SEARCH("Missing Order Date",AD233)),ISNUMBER(SEARCH("Missing Ship Date",AD233))),"Invalid",IF(AD233&lt;&gt;"","Warning","Clean"))</f>
        <v>Clean</v>
      </c>
    </row>
    <row r="234" customFormat="false" ht="15" hidden="false" customHeight="true" outlineLevel="0" collapsed="false">
      <c r="A234" s="3" t="s">
        <v>726</v>
      </c>
      <c r="B234" s="4" t="n">
        <v>45812</v>
      </c>
      <c r="C234" s="4" t="n">
        <v>45818</v>
      </c>
      <c r="D234" s="3" t="s">
        <v>727</v>
      </c>
      <c r="E234" s="3" t="str">
        <f aca="false">PROPER(TRIM(SUBSTITUTE(Raw_Text_Fields!B235,CHAR(160)," ")))</f>
        <v>Rahul Verma</v>
      </c>
      <c r="F234" s="3" t="str">
        <f aca="false">PROPER(TRIM(SUBSTITUTE(Raw_Text_Fields!C235,CHAR(160)," ")))</f>
        <v>Consumer</v>
      </c>
      <c r="G234" s="3" t="str">
        <f aca="false">PROPER(TRIM(SUBSTITUTE(Raw_Text_Fields!D235,CHAR(160)," ")))</f>
        <v>South</v>
      </c>
      <c r="H234" s="3" t="str">
        <f aca="false">PROPER(TRIM(SUBSTITUTE(Raw_Text_Fields!E235,CHAR(160)," ")))</f>
        <v>Andhra Pradesh</v>
      </c>
      <c r="I234" s="3" t="str">
        <f aca="false">PROPER(TRIM(SUBSTITUTE(Raw_Text_Fields!F235,CHAR(160)," ")))</f>
        <v>Vijayawada</v>
      </c>
      <c r="J234" s="3" t="str">
        <f aca="false">PROPER(TRIM(SUBSTITUTE(Raw_Text_Fields!G235,CHAR(160)," ")))</f>
        <v>Technology</v>
      </c>
      <c r="K234" s="3" t="str">
        <f aca="false">PROPER(TRIM(SUBSTITUTE(Raw_Text_Fields!H235,CHAR(160)," ")))</f>
        <v>Phones</v>
      </c>
      <c r="L234" s="3" t="s">
        <v>728</v>
      </c>
      <c r="M234" s="3" t="str">
        <f aca="false">PROPER(TRIM(SUBSTITUTE(Raw_Text_Fields!I235,CHAR(160)," ")))</f>
        <v>Standard Class</v>
      </c>
      <c r="N234" s="3" t="n">
        <v>4</v>
      </c>
      <c r="O234" s="5" t="n">
        <v>223.37</v>
      </c>
      <c r="P234" s="6" t="n">
        <v>0.25</v>
      </c>
      <c r="Q234" s="5" t="n">
        <v>670.11</v>
      </c>
      <c r="R234" s="5" t="n">
        <v>559.57</v>
      </c>
      <c r="S234" s="5" t="n">
        <v>110.54</v>
      </c>
      <c r="T234" s="3" t="str">
        <f aca="false">PROPER(TRIM(SUBSTITUTE(Raw_Text_Fields!J235,CHAR(160)," ")))</f>
        <v>Paid</v>
      </c>
      <c r="U234" s="3" t="str">
        <f aca="false">PROPER(TRIM(SUBSTITUTE(Raw_Text_Fields!K235,CHAR(160)," ")))</f>
        <v>Completed</v>
      </c>
      <c r="V234" s="7" t="n">
        <f aca="false">IF(OR(P234&lt;0,P234&gt;0.5),0,P234)</f>
        <v>0.25</v>
      </c>
      <c r="W234" s="8" t="n">
        <f aca="false">N234*O234*(1-V234)</f>
        <v>670.11</v>
      </c>
      <c r="X234" s="8" t="n">
        <f aca="false">W234-R234</f>
        <v>110.54</v>
      </c>
      <c r="Y234" s="7" t="n">
        <f aca="false">IFERROR(X234/W234,0)</f>
        <v>0.164957991971467</v>
      </c>
      <c r="Z234" s="9" t="n">
        <f aca="false">C234-B234</f>
        <v>6</v>
      </c>
      <c r="AA234" s="1" t="str">
        <f aca="false">IF(B234="","",TEXT(B234,"mmm"))</f>
        <v>Jun</v>
      </c>
      <c r="AB234" s="9" t="n">
        <f aca="false">IF(B234="","",YEAR(B234))</f>
        <v>2025</v>
      </c>
      <c r="AC234" s="3"/>
      <c r="AD234" s="3" t="str">
        <f aca="false">IF(LEFT(AC234&amp;IF(B234="","; Missing Order Date","")&amp;IF(C234="","; Missing Ship Date","")&amp;IF(P234&lt;0,"; Invalid Discount (Negative)","")&amp;IF(P234&gt;0.5,"; Invalid Discount (Too High)","")&amp;IF(Z234&lt;0,"; Invalid Shipping Record (Ship Before Order)","")&amp;IF(ABS(Q234-W234)&gt;1,"; Sales Mismatch","")&amp;IF(ABS(S234-X234)&gt;1,"; Profit Mismatch","")&amp;IF(COUNTIF($A$2:$A$913,A234)&gt;1,"; Duplicate Order ID Conflict",""),2)="; ",MID(AC234&amp;IF(B234="","; Missing Order Date","")&amp;IF(C234="","; Missing Ship Date","")&amp;IF(P234&lt;0,"; Invalid Discount (Negative)","")&amp;IF(P234&gt;0.5,"; Invalid Discount (Too High)","")&amp;IF(Z234&lt;0,"; Invalid Shipping Record (Ship Before Order)","")&amp;IF(ABS(Q234-W234)&gt;1,"; Sales Mismatch","")&amp;IF(ABS(S234-X234)&gt;1,"; Profit Mismatch","")&amp;IF(COUNTIF($A$2:$A$913,A234)&gt;1,"; Duplicate Order ID Conflict",""),3,500),AC234&amp;IF(B234="","; Missing Order Date","")&amp;IF(C234="","; Missing Ship Date","")&amp;IF(P234&lt;0,"; Invalid Discount (Negative)","")&amp;IF(P234&gt;0.5,"; Invalid Discount (Too High)","")&amp;IF(Z234&lt;0,"; Invalid Shipping Record (Ship Before Order)","")&amp;IF(ABS(Q234-W234)&gt;1,"; Sales Mismatch","")&amp;IF(ABS(S234-X234)&gt;1,"; Profit Mismatch","")&amp;IF(COUNTIF($A$2:$A$913,A234)&gt;1,"; Duplicate Order ID Conflict",""))</f>
        <v/>
      </c>
      <c r="AE234" s="10" t="str">
        <f aca="false">IF(OR(ISNUMBER(SEARCH("Invalid Discount",AD234)),ISNUMBER(SEARCH("Invalid Shipping Record",AD234)),ISNUMBER(SEARCH("Sales Mismatch",AD234)),ISNUMBER(SEARCH("Profit Mismatch",AD234)),ISNUMBER(SEARCH("Duplicate Order ID Conflict",AD234)),ISNUMBER(SEARCH("Missing Order Date",AD234)),ISNUMBER(SEARCH("Missing Ship Date",AD234))),"Invalid",IF(AD234&lt;&gt;"","Warning","Clean"))</f>
        <v>Clean</v>
      </c>
    </row>
    <row r="235" customFormat="false" ht="15" hidden="false" customHeight="true" outlineLevel="0" collapsed="false">
      <c r="A235" s="3" t="s">
        <v>729</v>
      </c>
      <c r="B235" s="4" t="n">
        <v>45579</v>
      </c>
      <c r="C235" s="4" t="n">
        <v>45579</v>
      </c>
      <c r="D235" s="3" t="s">
        <v>730</v>
      </c>
      <c r="E235" s="3" t="str">
        <f aca="false">PROPER(TRIM(SUBSTITUTE(Raw_Text_Fields!B236,CHAR(160)," ")))</f>
        <v>Vikram Iyer</v>
      </c>
      <c r="F235" s="3" t="str">
        <f aca="false">PROPER(TRIM(SUBSTITUTE(Raw_Text_Fields!C236,CHAR(160)," ")))</f>
        <v>Corporate</v>
      </c>
      <c r="G235" s="3" t="str">
        <f aca="false">PROPER(TRIM(SUBSTITUTE(Raw_Text_Fields!D236,CHAR(160)," ")))</f>
        <v>South</v>
      </c>
      <c r="H235" s="3" t="str">
        <f aca="false">PROPER(TRIM(SUBSTITUTE(Raw_Text_Fields!E236,CHAR(160)," ")))</f>
        <v>Karnataka</v>
      </c>
      <c r="I235" s="3" t="str">
        <f aca="false">PROPER(TRIM(SUBSTITUTE(Raw_Text_Fields!F236,CHAR(160)," ")))</f>
        <v>Bengaluru</v>
      </c>
      <c r="J235" s="3" t="str">
        <f aca="false">PROPER(TRIM(SUBSTITUTE(Raw_Text_Fields!G236,CHAR(160)," ")))</f>
        <v>Furniture</v>
      </c>
      <c r="K235" s="3" t="str">
        <f aca="false">PROPER(TRIM(SUBSTITUTE(Raw_Text_Fields!H236,CHAR(160)," ")))</f>
        <v>Bookcases</v>
      </c>
      <c r="L235" s="3" t="s">
        <v>731</v>
      </c>
      <c r="M235" s="3" t="str">
        <f aca="false">PROPER(TRIM(SUBSTITUTE(Raw_Text_Fields!I236,CHAR(160)," ")))</f>
        <v>Unknown</v>
      </c>
      <c r="N235" s="3" t="n">
        <v>8</v>
      </c>
      <c r="O235" s="5" t="n">
        <v>3904.59</v>
      </c>
      <c r="P235" s="6" t="n">
        <v>0</v>
      </c>
      <c r="Q235" s="5" t="n">
        <v>31236.72</v>
      </c>
      <c r="R235" s="5" t="n">
        <v>26377.7</v>
      </c>
      <c r="S235" s="5" t="n">
        <v>4859.02</v>
      </c>
      <c r="T235" s="3" t="str">
        <f aca="false">PROPER(TRIM(SUBSTITUTE(Raw_Text_Fields!J236,CHAR(160)," ")))</f>
        <v>Paid</v>
      </c>
      <c r="U235" s="3" t="str">
        <f aca="false">PROPER(TRIM(SUBSTITUTE(Raw_Text_Fields!K236,CHAR(160)," ")))</f>
        <v>Completed</v>
      </c>
      <c r="V235" s="7" t="n">
        <f aca="false">IF(OR(P235&lt;0,P235&gt;0.5),0,P235)</f>
        <v>0</v>
      </c>
      <c r="W235" s="8" t="n">
        <f aca="false">N235*O235*(1-V235)</f>
        <v>31236.72</v>
      </c>
      <c r="X235" s="8" t="n">
        <f aca="false">W235-R235</f>
        <v>4859.02</v>
      </c>
      <c r="Y235" s="7" t="n">
        <f aca="false">IFERROR(X235/W235,0)</f>
        <v>0.155554744544242</v>
      </c>
      <c r="Z235" s="9" t="n">
        <f aca="false">C235-B235</f>
        <v>0</v>
      </c>
      <c r="AA235" s="1" t="str">
        <f aca="false">IF(B235="","",TEXT(B235,"mmm"))</f>
        <v>Oct</v>
      </c>
      <c r="AB235" s="9" t="n">
        <f aca="false">IF(B235="","",YEAR(B235))</f>
        <v>2024</v>
      </c>
      <c r="AC235" s="3" t="s">
        <v>137</v>
      </c>
      <c r="AD235" s="3" t="str">
        <f aca="false">IF(LEFT(AC235&amp;IF(B235="","; Missing Order Date","")&amp;IF(C235="","; Missing Ship Date","")&amp;IF(P235&lt;0,"; Invalid Discount (Negative)","")&amp;IF(P235&gt;0.5,"; Invalid Discount (Too High)","")&amp;IF(Z235&lt;0,"; Invalid Shipping Record (Ship Before Order)","")&amp;IF(ABS(Q235-W235)&gt;1,"; Sales Mismatch","")&amp;IF(ABS(S235-X235)&gt;1,"; Profit Mismatch","")&amp;IF(COUNTIF($A$2:$A$913,A235)&gt;1,"; Duplicate Order ID Conflict",""),2)="; ",MID(AC235&amp;IF(B235="","; Missing Order Date","")&amp;IF(C235="","; Missing Ship Date","")&amp;IF(P235&lt;0,"; Invalid Discount (Negative)","")&amp;IF(P235&gt;0.5,"; Invalid Discount (Too High)","")&amp;IF(Z235&lt;0,"; Invalid Shipping Record (Ship Before Order)","")&amp;IF(ABS(Q235-W235)&gt;1,"; Sales Mismatch","")&amp;IF(ABS(S235-X235)&gt;1,"; Profit Mismatch","")&amp;IF(COUNTIF($A$2:$A$913,A235)&gt;1,"; Duplicate Order ID Conflict",""),3,500),AC235&amp;IF(B235="","; Missing Order Date","")&amp;IF(C235="","; Missing Ship Date","")&amp;IF(P235&lt;0,"; Invalid Discount (Negative)","")&amp;IF(P235&gt;0.5,"; Invalid Discount (Too High)","")&amp;IF(Z235&lt;0,"; Invalid Shipping Record (Ship Before Order)","")&amp;IF(ABS(Q235-W235)&gt;1,"; Sales Mismatch","")&amp;IF(ABS(S235-X235)&gt;1,"; Profit Mismatch","")&amp;IF(COUNTIF($A$2:$A$913,A235)&gt;1,"; Duplicate Order ID Conflict",""))</f>
        <v>Missing Ship Mode (filled Unknown)</v>
      </c>
      <c r="AE235" s="10" t="str">
        <f aca="false">IF(OR(ISNUMBER(SEARCH("Invalid Discount",AD235)),ISNUMBER(SEARCH("Invalid Shipping Record",AD235)),ISNUMBER(SEARCH("Sales Mismatch",AD235)),ISNUMBER(SEARCH("Profit Mismatch",AD235)),ISNUMBER(SEARCH("Duplicate Order ID Conflict",AD235)),ISNUMBER(SEARCH("Missing Order Date",AD235)),ISNUMBER(SEARCH("Missing Ship Date",AD235))),"Invalid",IF(AD235&lt;&gt;"","Warning","Clean"))</f>
        <v>Warning</v>
      </c>
    </row>
    <row r="236" customFormat="false" ht="15" hidden="false" customHeight="true" outlineLevel="0" collapsed="false">
      <c r="A236" s="3" t="s">
        <v>732</v>
      </c>
      <c r="B236" s="4" t="n">
        <v>45537</v>
      </c>
      <c r="C236" s="4" t="n">
        <v>45538</v>
      </c>
      <c r="D236" s="3" t="s">
        <v>733</v>
      </c>
      <c r="E236" s="3" t="str">
        <f aca="false">PROPER(TRIM(SUBSTITUTE(Raw_Text_Fields!B237,CHAR(160)," ")))</f>
        <v>Kabir Singh</v>
      </c>
      <c r="F236" s="3" t="str">
        <f aca="false">PROPER(TRIM(SUBSTITUTE(Raw_Text_Fields!C237,CHAR(160)," ")))</f>
        <v>Home Office</v>
      </c>
      <c r="G236" s="3" t="str">
        <f aca="false">PROPER(TRIM(SUBSTITUTE(Raw_Text_Fields!D237,CHAR(160)," ")))</f>
        <v>North</v>
      </c>
      <c r="H236" s="3" t="str">
        <f aca="false">PROPER(TRIM(SUBSTITUTE(Raw_Text_Fields!E237,CHAR(160)," ")))</f>
        <v>Delhi</v>
      </c>
      <c r="I236" s="3" t="str">
        <f aca="false">PROPER(TRIM(SUBSTITUTE(Raw_Text_Fields!F237,CHAR(160)," ")))</f>
        <v>New Delhi</v>
      </c>
      <c r="J236" s="3" t="str">
        <f aca="false">PROPER(TRIM(SUBSTITUTE(Raw_Text_Fields!G237,CHAR(160)," ")))</f>
        <v>Furniture</v>
      </c>
      <c r="K236" s="3" t="str">
        <f aca="false">PROPER(TRIM(SUBSTITUTE(Raw_Text_Fields!H237,CHAR(160)," ")))</f>
        <v>Furnishings</v>
      </c>
      <c r="L236" s="3" t="s">
        <v>734</v>
      </c>
      <c r="M236" s="3" t="str">
        <f aca="false">PROPER(TRIM(SUBSTITUTE(Raw_Text_Fields!I237,CHAR(160)," ")))</f>
        <v>First Class</v>
      </c>
      <c r="N236" s="3" t="n">
        <v>9</v>
      </c>
      <c r="O236" s="5" t="n">
        <v>1353.61</v>
      </c>
      <c r="P236" s="6" t="n">
        <v>0.1</v>
      </c>
      <c r="Q236" s="5" t="n">
        <v>10964.24</v>
      </c>
      <c r="R236" s="5" t="n">
        <v>9262.47</v>
      </c>
      <c r="S236" s="5" t="n">
        <v>1701.77</v>
      </c>
      <c r="T236" s="3" t="str">
        <f aca="false">PROPER(TRIM(SUBSTITUTE(Raw_Text_Fields!J237,CHAR(160)," ")))</f>
        <v>Paid</v>
      </c>
      <c r="U236" s="3" t="str">
        <f aca="false">PROPER(TRIM(SUBSTITUTE(Raw_Text_Fields!K237,CHAR(160)," ")))</f>
        <v>Completed</v>
      </c>
      <c r="V236" s="7" t="n">
        <f aca="false">IF(OR(P236&lt;0,P236&gt;0.5),0,P236)</f>
        <v>0.1</v>
      </c>
      <c r="W236" s="8" t="n">
        <f aca="false">N236*O236*(1-V236)</f>
        <v>10964.241</v>
      </c>
      <c r="X236" s="8" t="n">
        <f aca="false">W236-R236</f>
        <v>1701.771</v>
      </c>
      <c r="Y236" s="7" t="n">
        <f aca="false">IFERROR(X236/W236,0)</f>
        <v>0.155211017342651</v>
      </c>
      <c r="Z236" s="9" t="n">
        <f aca="false">C236-B236</f>
        <v>1</v>
      </c>
      <c r="AA236" s="1" t="str">
        <f aca="false">IF(B236="","",TEXT(B236,"mmm"))</f>
        <v>Sep</v>
      </c>
      <c r="AB236" s="9" t="n">
        <f aca="false">IF(B236="","",YEAR(B236))</f>
        <v>2024</v>
      </c>
      <c r="AC236" s="3"/>
      <c r="AD236" s="3" t="str">
        <f aca="false">IF(LEFT(AC236&amp;IF(B236="","; Missing Order Date","")&amp;IF(C236="","; Missing Ship Date","")&amp;IF(P236&lt;0,"; Invalid Discount (Negative)","")&amp;IF(P236&gt;0.5,"; Invalid Discount (Too High)","")&amp;IF(Z236&lt;0,"; Invalid Shipping Record (Ship Before Order)","")&amp;IF(ABS(Q236-W236)&gt;1,"; Sales Mismatch","")&amp;IF(ABS(S236-X236)&gt;1,"; Profit Mismatch","")&amp;IF(COUNTIF($A$2:$A$913,A236)&gt;1,"; Duplicate Order ID Conflict",""),2)="; ",MID(AC236&amp;IF(B236="","; Missing Order Date","")&amp;IF(C236="","; Missing Ship Date","")&amp;IF(P236&lt;0,"; Invalid Discount (Negative)","")&amp;IF(P236&gt;0.5,"; Invalid Discount (Too High)","")&amp;IF(Z236&lt;0,"; Invalid Shipping Record (Ship Before Order)","")&amp;IF(ABS(Q236-W236)&gt;1,"; Sales Mismatch","")&amp;IF(ABS(S236-X236)&gt;1,"; Profit Mismatch","")&amp;IF(COUNTIF($A$2:$A$913,A236)&gt;1,"; Duplicate Order ID Conflict",""),3,500),AC236&amp;IF(B236="","; Missing Order Date","")&amp;IF(C236="","; Missing Ship Date","")&amp;IF(P236&lt;0,"; Invalid Discount (Negative)","")&amp;IF(P236&gt;0.5,"; Invalid Discount (Too High)","")&amp;IF(Z236&lt;0,"; Invalid Shipping Record (Ship Before Order)","")&amp;IF(ABS(Q236-W236)&gt;1,"; Sales Mismatch","")&amp;IF(ABS(S236-X236)&gt;1,"; Profit Mismatch","")&amp;IF(COUNTIF($A$2:$A$913,A236)&gt;1,"; Duplicate Order ID Conflict",""))</f>
        <v/>
      </c>
      <c r="AE236" s="10" t="str">
        <f aca="false">IF(OR(ISNUMBER(SEARCH("Invalid Discount",AD236)),ISNUMBER(SEARCH("Invalid Shipping Record",AD236)),ISNUMBER(SEARCH("Sales Mismatch",AD236)),ISNUMBER(SEARCH("Profit Mismatch",AD236)),ISNUMBER(SEARCH("Duplicate Order ID Conflict",AD236)),ISNUMBER(SEARCH("Missing Order Date",AD236)),ISNUMBER(SEARCH("Missing Ship Date",AD236))),"Invalid",IF(AD236&lt;&gt;"","Warning","Clean"))</f>
        <v>Clean</v>
      </c>
    </row>
    <row r="237" customFormat="false" ht="15" hidden="false" customHeight="true" outlineLevel="0" collapsed="false">
      <c r="A237" s="3" t="s">
        <v>735</v>
      </c>
      <c r="B237" s="4" t="n">
        <v>45598</v>
      </c>
      <c r="C237" s="4" t="n">
        <v>45599</v>
      </c>
      <c r="D237" s="3" t="s">
        <v>736</v>
      </c>
      <c r="E237" s="3" t="str">
        <f aca="false">PROPER(TRIM(SUBSTITUTE(Raw_Text_Fields!B238,CHAR(160)," ")))</f>
        <v>Rahul Verma</v>
      </c>
      <c r="F237" s="3" t="str">
        <f aca="false">PROPER(TRIM(SUBSTITUTE(Raw_Text_Fields!C238,CHAR(160)," ")))</f>
        <v>Small Business</v>
      </c>
      <c r="G237" s="3" t="str">
        <f aca="false">PROPER(TRIM(SUBSTITUTE(Raw_Text_Fields!D238,CHAR(160)," ")))</f>
        <v>West</v>
      </c>
      <c r="H237" s="3" t="str">
        <f aca="false">PROPER(TRIM(SUBSTITUTE(Raw_Text_Fields!E238,CHAR(160)," ")))</f>
        <v>Rajasthan</v>
      </c>
      <c r="I237" s="3" t="str">
        <f aca="false">PROPER(TRIM(SUBSTITUTE(Raw_Text_Fields!F238,CHAR(160)," ")))</f>
        <v>Udaipur</v>
      </c>
      <c r="J237" s="3" t="str">
        <f aca="false">PROPER(TRIM(SUBSTITUTE(Raw_Text_Fields!G238,CHAR(160)," ")))</f>
        <v>Office Supplies</v>
      </c>
      <c r="K237" s="3" t="str">
        <f aca="false">PROPER(TRIM(SUBSTITUTE(Raw_Text_Fields!H238,CHAR(160)," ")))</f>
        <v>Storage</v>
      </c>
      <c r="L237" s="3" t="s">
        <v>737</v>
      </c>
      <c r="M237" s="3" t="str">
        <f aca="false">PROPER(TRIM(SUBSTITUTE(Raw_Text_Fields!I238,CHAR(160)," ")))</f>
        <v>Standard Class</v>
      </c>
      <c r="N237" s="3" t="n">
        <v>6</v>
      </c>
      <c r="O237" s="5" t="n">
        <v>2671.29</v>
      </c>
      <c r="P237" s="6" t="n">
        <v>0.05</v>
      </c>
      <c r="Q237" s="5" t="n">
        <v>15226.35</v>
      </c>
      <c r="R237" s="5" t="n">
        <v>11145.28</v>
      </c>
      <c r="S237" s="5" t="n">
        <v>4081.07</v>
      </c>
      <c r="T237" s="3" t="str">
        <f aca="false">PROPER(TRIM(SUBSTITUTE(Raw_Text_Fields!J238,CHAR(160)," ")))</f>
        <v>Paid</v>
      </c>
      <c r="U237" s="3" t="str">
        <f aca="false">PROPER(TRIM(SUBSTITUTE(Raw_Text_Fields!K238,CHAR(160)," ")))</f>
        <v>Completed</v>
      </c>
      <c r="V237" s="7" t="n">
        <f aca="false">IF(OR(P237&lt;0,P237&gt;0.5),0,P237)</f>
        <v>0.05</v>
      </c>
      <c r="W237" s="8" t="n">
        <f aca="false">N237*O237*(1-V237)</f>
        <v>15226.353</v>
      </c>
      <c r="X237" s="8" t="n">
        <f aca="false">W237-R237</f>
        <v>4081.073</v>
      </c>
      <c r="Y237" s="7" t="n">
        <f aca="false">IFERROR(X237/W237,0)</f>
        <v>0.268026953007066</v>
      </c>
      <c r="Z237" s="9" t="n">
        <f aca="false">C237-B237</f>
        <v>1</v>
      </c>
      <c r="AA237" s="1" t="str">
        <f aca="false">IF(B237="","",TEXT(B237,"mmm"))</f>
        <v>Nov</v>
      </c>
      <c r="AB237" s="9" t="n">
        <f aca="false">IF(B237="","",YEAR(B237))</f>
        <v>2024</v>
      </c>
      <c r="AC237" s="3"/>
      <c r="AD237" s="3" t="str">
        <f aca="false">IF(LEFT(AC237&amp;IF(B237="","; Missing Order Date","")&amp;IF(C237="","; Missing Ship Date","")&amp;IF(P237&lt;0,"; Invalid Discount (Negative)","")&amp;IF(P237&gt;0.5,"; Invalid Discount (Too High)","")&amp;IF(Z237&lt;0,"; Invalid Shipping Record (Ship Before Order)","")&amp;IF(ABS(Q237-W237)&gt;1,"; Sales Mismatch","")&amp;IF(ABS(S237-X237)&gt;1,"; Profit Mismatch","")&amp;IF(COUNTIF($A$2:$A$913,A237)&gt;1,"; Duplicate Order ID Conflict",""),2)="; ",MID(AC237&amp;IF(B237="","; Missing Order Date","")&amp;IF(C237="","; Missing Ship Date","")&amp;IF(P237&lt;0,"; Invalid Discount (Negative)","")&amp;IF(P237&gt;0.5,"; Invalid Discount (Too High)","")&amp;IF(Z237&lt;0,"; Invalid Shipping Record (Ship Before Order)","")&amp;IF(ABS(Q237-W237)&gt;1,"; Sales Mismatch","")&amp;IF(ABS(S237-X237)&gt;1,"; Profit Mismatch","")&amp;IF(COUNTIF($A$2:$A$913,A237)&gt;1,"; Duplicate Order ID Conflict",""),3,500),AC237&amp;IF(B237="","; Missing Order Date","")&amp;IF(C237="","; Missing Ship Date","")&amp;IF(P237&lt;0,"; Invalid Discount (Negative)","")&amp;IF(P237&gt;0.5,"; Invalid Discount (Too High)","")&amp;IF(Z237&lt;0,"; Invalid Shipping Record (Ship Before Order)","")&amp;IF(ABS(Q237-W237)&gt;1,"; Sales Mismatch","")&amp;IF(ABS(S237-X237)&gt;1,"; Profit Mismatch","")&amp;IF(COUNTIF($A$2:$A$913,A237)&gt;1,"; Duplicate Order ID Conflict",""))</f>
        <v/>
      </c>
      <c r="AE237" s="10" t="str">
        <f aca="false">IF(OR(ISNUMBER(SEARCH("Invalid Discount",AD237)),ISNUMBER(SEARCH("Invalid Shipping Record",AD237)),ISNUMBER(SEARCH("Sales Mismatch",AD237)),ISNUMBER(SEARCH("Profit Mismatch",AD237)),ISNUMBER(SEARCH("Duplicate Order ID Conflict",AD237)),ISNUMBER(SEARCH("Missing Order Date",AD237)),ISNUMBER(SEARCH("Missing Ship Date",AD237))),"Invalid",IF(AD237&lt;&gt;"","Warning","Clean"))</f>
        <v>Clean</v>
      </c>
    </row>
    <row r="238" customFormat="false" ht="15" hidden="false" customHeight="true" outlineLevel="0" collapsed="false">
      <c r="A238" s="3" t="s">
        <v>738</v>
      </c>
      <c r="B238" s="4" t="n">
        <v>45579</v>
      </c>
      <c r="C238" s="4" t="n">
        <v>45586</v>
      </c>
      <c r="D238" s="3" t="s">
        <v>739</v>
      </c>
      <c r="E238" s="3" t="str">
        <f aca="false">PROPER(TRIM(SUBSTITUTE(Raw_Text_Fields!B239,CHAR(160)," ")))</f>
        <v>Priya Menon</v>
      </c>
      <c r="F238" s="3" t="str">
        <f aca="false">PROPER(TRIM(SUBSTITUTE(Raw_Text_Fields!C239,CHAR(160)," ")))</f>
        <v>Corporate</v>
      </c>
      <c r="G238" s="3" t="str">
        <f aca="false">PROPER(TRIM(SUBSTITUTE(Raw_Text_Fields!D239,CHAR(160)," ")))</f>
        <v>North</v>
      </c>
      <c r="H238" s="3" t="str">
        <f aca="false">PROPER(TRIM(SUBSTITUTE(Raw_Text_Fields!E239,CHAR(160)," ")))</f>
        <v>Uttar Pradesh</v>
      </c>
      <c r="I238" s="3" t="str">
        <f aca="false">PROPER(TRIM(SUBSTITUTE(Raw_Text_Fields!F239,CHAR(160)," ")))</f>
        <v>Noida</v>
      </c>
      <c r="J238" s="3" t="str">
        <f aca="false">PROPER(TRIM(SUBSTITUTE(Raw_Text_Fields!G239,CHAR(160)," ")))</f>
        <v>Furniture</v>
      </c>
      <c r="K238" s="3" t="str">
        <f aca="false">PROPER(TRIM(SUBSTITUTE(Raw_Text_Fields!H239,CHAR(160)," ")))</f>
        <v>Bookcases</v>
      </c>
      <c r="L238" s="3" t="s">
        <v>740</v>
      </c>
      <c r="M238" s="3" t="str">
        <f aca="false">PROPER(TRIM(SUBSTITUTE(Raw_Text_Fields!I239,CHAR(160)," ")))</f>
        <v>First Class</v>
      </c>
      <c r="N238" s="3" t="n">
        <v>6</v>
      </c>
      <c r="O238" s="5" t="n">
        <v>4062.78</v>
      </c>
      <c r="P238" s="6" t="n">
        <v>0</v>
      </c>
      <c r="Q238" s="5" t="n">
        <v>24376.68</v>
      </c>
      <c r="R238" s="5" t="n">
        <v>18533.39</v>
      </c>
      <c r="S238" s="5" t="n">
        <v>5843.29</v>
      </c>
      <c r="T238" s="3" t="str">
        <f aca="false">PROPER(TRIM(SUBSTITUTE(Raw_Text_Fields!J239,CHAR(160)," ")))</f>
        <v>Paid</v>
      </c>
      <c r="U238" s="3" t="str">
        <f aca="false">PROPER(TRIM(SUBSTITUTE(Raw_Text_Fields!K239,CHAR(160)," ")))</f>
        <v>Completed</v>
      </c>
      <c r="V238" s="7" t="n">
        <f aca="false">IF(OR(P238&lt;0,P238&gt;0.5),0,P238)</f>
        <v>0</v>
      </c>
      <c r="W238" s="8" t="n">
        <f aca="false">N238*O238*(1-V238)</f>
        <v>24376.68</v>
      </c>
      <c r="X238" s="8" t="n">
        <f aca="false">W238-R238</f>
        <v>5843.29</v>
      </c>
      <c r="Y238" s="7" t="n">
        <f aca="false">IFERROR(X238/W238,0)</f>
        <v>0.23970819652225</v>
      </c>
      <c r="Z238" s="9" t="n">
        <f aca="false">C238-B238</f>
        <v>7</v>
      </c>
      <c r="AA238" s="1" t="str">
        <f aca="false">IF(B238="","",TEXT(B238,"mmm"))</f>
        <v>Oct</v>
      </c>
      <c r="AB238" s="9" t="n">
        <f aca="false">IF(B238="","",YEAR(B238))</f>
        <v>2024</v>
      </c>
      <c r="AC238" s="3"/>
      <c r="AD238" s="3" t="str">
        <f aca="false">IF(LEFT(AC238&amp;IF(B238="","; Missing Order Date","")&amp;IF(C238="","; Missing Ship Date","")&amp;IF(P238&lt;0,"; Invalid Discount (Negative)","")&amp;IF(P238&gt;0.5,"; Invalid Discount (Too High)","")&amp;IF(Z238&lt;0,"; Invalid Shipping Record (Ship Before Order)","")&amp;IF(ABS(Q238-W238)&gt;1,"; Sales Mismatch","")&amp;IF(ABS(S238-X238)&gt;1,"; Profit Mismatch","")&amp;IF(COUNTIF($A$2:$A$913,A238)&gt;1,"; Duplicate Order ID Conflict",""),2)="; ",MID(AC238&amp;IF(B238="","; Missing Order Date","")&amp;IF(C238="","; Missing Ship Date","")&amp;IF(P238&lt;0,"; Invalid Discount (Negative)","")&amp;IF(P238&gt;0.5,"; Invalid Discount (Too High)","")&amp;IF(Z238&lt;0,"; Invalid Shipping Record (Ship Before Order)","")&amp;IF(ABS(Q238-W238)&gt;1,"; Sales Mismatch","")&amp;IF(ABS(S238-X238)&gt;1,"; Profit Mismatch","")&amp;IF(COUNTIF($A$2:$A$913,A238)&gt;1,"; Duplicate Order ID Conflict",""),3,500),AC238&amp;IF(B238="","; Missing Order Date","")&amp;IF(C238="","; Missing Ship Date","")&amp;IF(P238&lt;0,"; Invalid Discount (Negative)","")&amp;IF(P238&gt;0.5,"; Invalid Discount (Too High)","")&amp;IF(Z238&lt;0,"; Invalid Shipping Record (Ship Before Order)","")&amp;IF(ABS(Q238-W238)&gt;1,"; Sales Mismatch","")&amp;IF(ABS(S238-X238)&gt;1,"; Profit Mismatch","")&amp;IF(COUNTIF($A$2:$A$913,A238)&gt;1,"; Duplicate Order ID Conflict",""))</f>
        <v/>
      </c>
      <c r="AE238" s="10" t="str">
        <f aca="false">IF(OR(ISNUMBER(SEARCH("Invalid Discount",AD238)),ISNUMBER(SEARCH("Invalid Shipping Record",AD238)),ISNUMBER(SEARCH("Sales Mismatch",AD238)),ISNUMBER(SEARCH("Profit Mismatch",AD238)),ISNUMBER(SEARCH("Duplicate Order ID Conflict",AD238)),ISNUMBER(SEARCH("Missing Order Date",AD238)),ISNUMBER(SEARCH("Missing Ship Date",AD238))),"Invalid",IF(AD238&lt;&gt;"","Warning","Clean"))</f>
        <v>Clean</v>
      </c>
    </row>
    <row r="239" customFormat="false" ht="15" hidden="false" customHeight="true" outlineLevel="0" collapsed="false">
      <c r="A239" s="3" t="s">
        <v>741</v>
      </c>
      <c r="B239" s="4" t="n">
        <v>45531</v>
      </c>
      <c r="C239" s="4" t="n">
        <v>45531</v>
      </c>
      <c r="D239" s="3" t="s">
        <v>742</v>
      </c>
      <c r="E239" s="3" t="str">
        <f aca="false">PROPER(TRIM(SUBSTITUTE(Raw_Text_Fields!B240,CHAR(160)," ")))</f>
        <v>Mira Das</v>
      </c>
      <c r="F239" s="3" t="str">
        <f aca="false">PROPER(TRIM(SUBSTITUTE(Raw_Text_Fields!C240,CHAR(160)," ")))</f>
        <v>Consumer</v>
      </c>
      <c r="G239" s="3" t="str">
        <f aca="false">PROPER(TRIM(SUBSTITUTE(Raw_Text_Fields!D240,CHAR(160)," ")))</f>
        <v>North</v>
      </c>
      <c r="H239" s="3" t="str">
        <f aca="false">PROPER(TRIM(SUBSTITUTE(Raw_Text_Fields!E240,CHAR(160)," ")))</f>
        <v>Haryana</v>
      </c>
      <c r="I239" s="3" t="str">
        <f aca="false">PROPER(TRIM(SUBSTITUTE(Raw_Text_Fields!F240,CHAR(160)," ")))</f>
        <v>Gurugram</v>
      </c>
      <c r="J239" s="3" t="str">
        <f aca="false">PROPER(TRIM(SUBSTITUTE(Raw_Text_Fields!G240,CHAR(160)," ")))</f>
        <v>Technology</v>
      </c>
      <c r="K239" s="3" t="str">
        <f aca="false">PROPER(TRIM(SUBSTITUTE(Raw_Text_Fields!H240,CHAR(160)," ")))</f>
        <v>Copiers</v>
      </c>
      <c r="L239" s="3" t="s">
        <v>743</v>
      </c>
      <c r="M239" s="3" t="str">
        <f aca="false">PROPER(TRIM(SUBSTITUTE(Raw_Text_Fields!I240,CHAR(160)," ")))</f>
        <v>Standard Class</v>
      </c>
      <c r="N239" s="3" t="n">
        <v>9</v>
      </c>
      <c r="O239" s="5" t="n">
        <v>2330.3</v>
      </c>
      <c r="P239" s="6" t="n">
        <v>0</v>
      </c>
      <c r="Q239" s="5" t="n">
        <v>20972.7</v>
      </c>
      <c r="R239" s="5" t="n">
        <v>13504.88</v>
      </c>
      <c r="S239" s="5" t="n">
        <v>7467.82</v>
      </c>
      <c r="T239" s="3" t="str">
        <f aca="false">PROPER(TRIM(SUBSTITUTE(Raw_Text_Fields!J240,CHAR(160)," ")))</f>
        <v>Paid</v>
      </c>
      <c r="U239" s="3" t="str">
        <f aca="false">PROPER(TRIM(SUBSTITUTE(Raw_Text_Fields!K240,CHAR(160)," ")))</f>
        <v>Completed</v>
      </c>
      <c r="V239" s="7" t="n">
        <f aca="false">IF(OR(P239&lt;0,P239&gt;0.5),0,P239)</f>
        <v>0</v>
      </c>
      <c r="W239" s="8" t="n">
        <f aca="false">N239*O239*(1-V239)</f>
        <v>20972.7</v>
      </c>
      <c r="X239" s="8" t="n">
        <f aca="false">W239-R239</f>
        <v>7467.82</v>
      </c>
      <c r="Y239" s="7" t="n">
        <f aca="false">IFERROR(X239/W239,0)</f>
        <v>0.356073371573522</v>
      </c>
      <c r="Z239" s="9" t="n">
        <f aca="false">C239-B239</f>
        <v>0</v>
      </c>
      <c r="AA239" s="1" t="str">
        <f aca="false">IF(B239="","",TEXT(B239,"mmm"))</f>
        <v>Aug</v>
      </c>
      <c r="AB239" s="9" t="n">
        <f aca="false">IF(B239="","",YEAR(B239))</f>
        <v>2024</v>
      </c>
      <c r="AC239" s="3"/>
      <c r="AD239" s="3" t="str">
        <f aca="false">IF(LEFT(AC239&amp;IF(B239="","; Missing Order Date","")&amp;IF(C239="","; Missing Ship Date","")&amp;IF(P239&lt;0,"; Invalid Discount (Negative)","")&amp;IF(P239&gt;0.5,"; Invalid Discount (Too High)","")&amp;IF(Z239&lt;0,"; Invalid Shipping Record (Ship Before Order)","")&amp;IF(ABS(Q239-W239)&gt;1,"; Sales Mismatch","")&amp;IF(ABS(S239-X239)&gt;1,"; Profit Mismatch","")&amp;IF(COUNTIF($A$2:$A$913,A239)&gt;1,"; Duplicate Order ID Conflict",""),2)="; ",MID(AC239&amp;IF(B239="","; Missing Order Date","")&amp;IF(C239="","; Missing Ship Date","")&amp;IF(P239&lt;0,"; Invalid Discount (Negative)","")&amp;IF(P239&gt;0.5,"; Invalid Discount (Too High)","")&amp;IF(Z239&lt;0,"; Invalid Shipping Record (Ship Before Order)","")&amp;IF(ABS(Q239-W239)&gt;1,"; Sales Mismatch","")&amp;IF(ABS(S239-X239)&gt;1,"; Profit Mismatch","")&amp;IF(COUNTIF($A$2:$A$913,A239)&gt;1,"; Duplicate Order ID Conflict",""),3,500),AC239&amp;IF(B239="","; Missing Order Date","")&amp;IF(C239="","; Missing Ship Date","")&amp;IF(P239&lt;0,"; Invalid Discount (Negative)","")&amp;IF(P239&gt;0.5,"; Invalid Discount (Too High)","")&amp;IF(Z239&lt;0,"; Invalid Shipping Record (Ship Before Order)","")&amp;IF(ABS(Q239-W239)&gt;1,"; Sales Mismatch","")&amp;IF(ABS(S239-X239)&gt;1,"; Profit Mismatch","")&amp;IF(COUNTIF($A$2:$A$913,A239)&gt;1,"; Duplicate Order ID Conflict",""))</f>
        <v/>
      </c>
      <c r="AE239" s="10" t="str">
        <f aca="false">IF(OR(ISNUMBER(SEARCH("Invalid Discount",AD239)),ISNUMBER(SEARCH("Invalid Shipping Record",AD239)),ISNUMBER(SEARCH("Sales Mismatch",AD239)),ISNUMBER(SEARCH("Profit Mismatch",AD239)),ISNUMBER(SEARCH("Duplicate Order ID Conflict",AD239)),ISNUMBER(SEARCH("Missing Order Date",AD239)),ISNUMBER(SEARCH("Missing Ship Date",AD239))),"Invalid",IF(AD239&lt;&gt;"","Warning","Clean"))</f>
        <v>Clean</v>
      </c>
    </row>
    <row r="240" customFormat="false" ht="15" hidden="false" customHeight="true" outlineLevel="0" collapsed="false">
      <c r="A240" s="3" t="s">
        <v>744</v>
      </c>
      <c r="B240" s="4" t="n">
        <v>45303</v>
      </c>
      <c r="C240" s="4" t="n">
        <v>45308</v>
      </c>
      <c r="D240" s="3" t="s">
        <v>745</v>
      </c>
      <c r="E240" s="3" t="str">
        <f aca="false">PROPER(TRIM(SUBSTITUTE(Raw_Text_Fields!B241,CHAR(160)," ")))</f>
        <v>Arjun Bose</v>
      </c>
      <c r="F240" s="3" t="str">
        <f aca="false">PROPER(TRIM(SUBSTITUTE(Raw_Text_Fields!C241,CHAR(160)," ")))</f>
        <v>Consumer</v>
      </c>
      <c r="G240" s="3" t="str">
        <f aca="false">PROPER(TRIM(SUBSTITUTE(Raw_Text_Fields!D241,CHAR(160)," ")))</f>
        <v>South</v>
      </c>
      <c r="H240" s="3" t="str">
        <f aca="false">PROPER(TRIM(SUBSTITUTE(Raw_Text_Fields!E241,CHAR(160)," ")))</f>
        <v>Andhra Pradesh</v>
      </c>
      <c r="I240" s="3" t="str">
        <f aca="false">PROPER(TRIM(SUBSTITUTE(Raw_Text_Fields!F241,CHAR(160)," ")))</f>
        <v>Vijayawada</v>
      </c>
      <c r="J240" s="3" t="str">
        <f aca="false">PROPER(TRIM(SUBSTITUTE(Raw_Text_Fields!G241,CHAR(160)," ")))</f>
        <v>Office Supplies</v>
      </c>
      <c r="K240" s="3" t="str">
        <f aca="false">PROPER(TRIM(SUBSTITUTE(Raw_Text_Fields!H241,CHAR(160)," ")))</f>
        <v>Storage</v>
      </c>
      <c r="L240" s="3" t="s">
        <v>746</v>
      </c>
      <c r="M240" s="3" t="str">
        <f aca="false">PROPER(TRIM(SUBSTITUTE(Raw_Text_Fields!I241,CHAR(160)," ")))</f>
        <v>First Class</v>
      </c>
      <c r="N240" s="3" t="n">
        <v>7</v>
      </c>
      <c r="O240" s="5" t="n">
        <v>4005.05</v>
      </c>
      <c r="P240" s="6" t="n">
        <v>0.55</v>
      </c>
      <c r="Q240" s="5" t="n">
        <v>26633.58</v>
      </c>
      <c r="R240" s="5" t="n">
        <v>18838.75</v>
      </c>
      <c r="S240" s="5" t="n">
        <v>7794.83</v>
      </c>
      <c r="T240" s="3" t="str">
        <f aca="false">PROPER(TRIM(SUBSTITUTE(Raw_Text_Fields!J241,CHAR(160)," ")))</f>
        <v>Paid</v>
      </c>
      <c r="U240" s="3" t="str">
        <f aca="false">PROPER(TRIM(SUBSTITUTE(Raw_Text_Fields!K241,CHAR(160)," ")))</f>
        <v>Completed</v>
      </c>
      <c r="V240" s="7" t="n">
        <f aca="false">IF(OR(P240&lt;0,P240&gt;0.5),0,P240)</f>
        <v>0</v>
      </c>
      <c r="W240" s="8" t="n">
        <f aca="false">N240*O240*(1-V240)</f>
        <v>28035.35</v>
      </c>
      <c r="X240" s="8" t="n">
        <f aca="false">W240-R240</f>
        <v>9196.6</v>
      </c>
      <c r="Y240" s="7" t="n">
        <f aca="false">IFERROR(X240/W240,0)</f>
        <v>0.328035854733399</v>
      </c>
      <c r="Z240" s="9" t="n">
        <f aca="false">C240-B240</f>
        <v>5</v>
      </c>
      <c r="AA240" s="1" t="str">
        <f aca="false">IF(B240="","",TEXT(B240,"mmm"))</f>
        <v>Jan</v>
      </c>
      <c r="AB240" s="9" t="n">
        <f aca="false">IF(B240="","",YEAR(B240))</f>
        <v>2024</v>
      </c>
      <c r="AC240" s="3"/>
      <c r="AD240" s="3" t="str">
        <f aca="false">IF(LEFT(AC240&amp;IF(B240="","; Missing Order Date","")&amp;IF(C240="","; Missing Ship Date","")&amp;IF(P240&lt;0,"; Invalid Discount (Negative)","")&amp;IF(P240&gt;0.5,"; Invalid Discount (Too High)","")&amp;IF(Z240&lt;0,"; Invalid Shipping Record (Ship Before Order)","")&amp;IF(ABS(Q240-W240)&gt;1,"; Sales Mismatch","")&amp;IF(ABS(S240-X240)&gt;1,"; Profit Mismatch","")&amp;IF(COUNTIF($A$2:$A$913,A240)&gt;1,"; Duplicate Order ID Conflict",""),2)="; ",MID(AC240&amp;IF(B240="","; Missing Order Date","")&amp;IF(C240="","; Missing Ship Date","")&amp;IF(P240&lt;0,"; Invalid Discount (Negative)","")&amp;IF(P240&gt;0.5,"; Invalid Discount (Too High)","")&amp;IF(Z240&lt;0,"; Invalid Shipping Record (Ship Before Order)","")&amp;IF(ABS(Q240-W240)&gt;1,"; Sales Mismatch","")&amp;IF(ABS(S240-X240)&gt;1,"; Profit Mismatch","")&amp;IF(COUNTIF($A$2:$A$913,A240)&gt;1,"; Duplicate Order ID Conflict",""),3,500),AC240&amp;IF(B240="","; Missing Order Date","")&amp;IF(C240="","; Missing Ship Date","")&amp;IF(P240&lt;0,"; Invalid Discount (Negative)","")&amp;IF(P240&gt;0.5,"; Invalid Discount (Too High)","")&amp;IF(Z240&lt;0,"; Invalid Shipping Record (Ship Before Order)","")&amp;IF(ABS(Q240-W240)&gt;1,"; Sales Mismatch","")&amp;IF(ABS(S240-X240)&gt;1,"; Profit Mismatch","")&amp;IF(COUNTIF($A$2:$A$913,A240)&gt;1,"; Duplicate Order ID Conflict",""))</f>
        <v>Invalid Discount (Too High); Sales Mismatch; Profit Mismatch</v>
      </c>
      <c r="AE240" s="10" t="str">
        <f aca="false">IF(OR(ISNUMBER(SEARCH("Invalid Discount",AD240)),ISNUMBER(SEARCH("Invalid Shipping Record",AD240)),ISNUMBER(SEARCH("Sales Mismatch",AD240)),ISNUMBER(SEARCH("Profit Mismatch",AD240)),ISNUMBER(SEARCH("Duplicate Order ID Conflict",AD240)),ISNUMBER(SEARCH("Missing Order Date",AD240)),ISNUMBER(SEARCH("Missing Ship Date",AD240))),"Invalid",IF(AD240&lt;&gt;"","Warning","Clean"))</f>
        <v>Invalid</v>
      </c>
    </row>
    <row r="241" customFormat="false" ht="15" hidden="false" customHeight="true" outlineLevel="0" collapsed="false">
      <c r="A241" s="3" t="s">
        <v>747</v>
      </c>
      <c r="B241" s="4" t="n">
        <v>45556</v>
      </c>
      <c r="C241" s="4" t="n">
        <v>45556</v>
      </c>
      <c r="D241" s="3" t="s">
        <v>748</v>
      </c>
      <c r="E241" s="3" t="str">
        <f aca="false">PROPER(TRIM(SUBSTITUTE(Raw_Text_Fields!B242,CHAR(160)," ")))</f>
        <v>Kabir Singh</v>
      </c>
      <c r="F241" s="3" t="str">
        <f aca="false">PROPER(TRIM(SUBSTITUTE(Raw_Text_Fields!C242,CHAR(160)," ")))</f>
        <v>Corporate</v>
      </c>
      <c r="G241" s="3" t="str">
        <f aca="false">PROPER(TRIM(SUBSTITUTE(Raw_Text_Fields!D242,CHAR(160)," ")))</f>
        <v>South</v>
      </c>
      <c r="H241" s="3" t="str">
        <f aca="false">PROPER(TRIM(SUBSTITUTE(Raw_Text_Fields!E242,CHAR(160)," ")))</f>
        <v>Karnataka</v>
      </c>
      <c r="I241" s="3" t="str">
        <f aca="false">PROPER(TRIM(SUBSTITUTE(Raw_Text_Fields!F242,CHAR(160)," ")))</f>
        <v>Bengaluru</v>
      </c>
      <c r="J241" s="3" t="str">
        <f aca="false">PROPER(TRIM(SUBSTITUTE(Raw_Text_Fields!G242,CHAR(160)," ")))</f>
        <v>Technology</v>
      </c>
      <c r="K241" s="3" t="str">
        <f aca="false">PROPER(TRIM(SUBSTITUTE(Raw_Text_Fields!H242,CHAR(160)," ")))</f>
        <v>Machines</v>
      </c>
      <c r="L241" s="3" t="s">
        <v>749</v>
      </c>
      <c r="M241" s="3" t="str">
        <f aca="false">PROPER(TRIM(SUBSTITUTE(Raw_Text_Fields!I242,CHAR(160)," ")))</f>
        <v>First Class</v>
      </c>
      <c r="N241" s="3" t="n">
        <v>2</v>
      </c>
      <c r="O241" s="5" t="n">
        <v>1960.06</v>
      </c>
      <c r="P241" s="6" t="n">
        <v>0.2</v>
      </c>
      <c r="Q241" s="5" t="n">
        <v>3136.1</v>
      </c>
      <c r="R241" s="5" t="n">
        <v>2279.49</v>
      </c>
      <c r="S241" s="5" t="n">
        <v>856.61</v>
      </c>
      <c r="T241" s="3" t="str">
        <f aca="false">PROPER(TRIM(SUBSTITUTE(Raw_Text_Fields!J242,CHAR(160)," ")))</f>
        <v>Paid</v>
      </c>
      <c r="U241" s="3" t="str">
        <f aca="false">PROPER(TRIM(SUBSTITUTE(Raw_Text_Fields!K242,CHAR(160)," ")))</f>
        <v>Completed</v>
      </c>
      <c r="V241" s="7" t="n">
        <f aca="false">IF(OR(P241&lt;0,P241&gt;0.5),0,P241)</f>
        <v>0.2</v>
      </c>
      <c r="W241" s="8" t="n">
        <f aca="false">N241*O241*(1-V241)</f>
        <v>3136.096</v>
      </c>
      <c r="X241" s="8" t="n">
        <f aca="false">W241-R241</f>
        <v>856.606</v>
      </c>
      <c r="Y241" s="7" t="n">
        <f aca="false">IFERROR(X241/W241,0)</f>
        <v>0.273144061916472</v>
      </c>
      <c r="Z241" s="9" t="n">
        <f aca="false">C241-B241</f>
        <v>0</v>
      </c>
      <c r="AA241" s="1" t="str">
        <f aca="false">IF(B241="","",TEXT(B241,"mmm"))</f>
        <v>Sep</v>
      </c>
      <c r="AB241" s="9" t="n">
        <f aca="false">IF(B241="","",YEAR(B241))</f>
        <v>2024</v>
      </c>
      <c r="AC241" s="3"/>
      <c r="AD241" s="3" t="str">
        <f aca="false">IF(LEFT(AC241&amp;IF(B241="","; Missing Order Date","")&amp;IF(C241="","; Missing Ship Date","")&amp;IF(P241&lt;0,"; Invalid Discount (Negative)","")&amp;IF(P241&gt;0.5,"; Invalid Discount (Too High)","")&amp;IF(Z241&lt;0,"; Invalid Shipping Record (Ship Before Order)","")&amp;IF(ABS(Q241-W241)&gt;1,"; Sales Mismatch","")&amp;IF(ABS(S241-X241)&gt;1,"; Profit Mismatch","")&amp;IF(COUNTIF($A$2:$A$913,A241)&gt;1,"; Duplicate Order ID Conflict",""),2)="; ",MID(AC241&amp;IF(B241="","; Missing Order Date","")&amp;IF(C241="","; Missing Ship Date","")&amp;IF(P241&lt;0,"; Invalid Discount (Negative)","")&amp;IF(P241&gt;0.5,"; Invalid Discount (Too High)","")&amp;IF(Z241&lt;0,"; Invalid Shipping Record (Ship Before Order)","")&amp;IF(ABS(Q241-W241)&gt;1,"; Sales Mismatch","")&amp;IF(ABS(S241-X241)&gt;1,"; Profit Mismatch","")&amp;IF(COUNTIF($A$2:$A$913,A241)&gt;1,"; Duplicate Order ID Conflict",""),3,500),AC241&amp;IF(B241="","; Missing Order Date","")&amp;IF(C241="","; Missing Ship Date","")&amp;IF(P241&lt;0,"; Invalid Discount (Negative)","")&amp;IF(P241&gt;0.5,"; Invalid Discount (Too High)","")&amp;IF(Z241&lt;0,"; Invalid Shipping Record (Ship Before Order)","")&amp;IF(ABS(Q241-W241)&gt;1,"; Sales Mismatch","")&amp;IF(ABS(S241-X241)&gt;1,"; Profit Mismatch","")&amp;IF(COUNTIF($A$2:$A$913,A241)&gt;1,"; Duplicate Order ID Conflict",""))</f>
        <v/>
      </c>
      <c r="AE241" s="10" t="str">
        <f aca="false">IF(OR(ISNUMBER(SEARCH("Invalid Discount",AD241)),ISNUMBER(SEARCH("Invalid Shipping Record",AD241)),ISNUMBER(SEARCH("Sales Mismatch",AD241)),ISNUMBER(SEARCH("Profit Mismatch",AD241)),ISNUMBER(SEARCH("Duplicate Order ID Conflict",AD241)),ISNUMBER(SEARCH("Missing Order Date",AD241)),ISNUMBER(SEARCH("Missing Ship Date",AD241))),"Invalid",IF(AD241&lt;&gt;"","Warning","Clean"))</f>
        <v>Clean</v>
      </c>
    </row>
    <row r="242" customFormat="false" ht="15" hidden="false" customHeight="true" outlineLevel="0" collapsed="false">
      <c r="A242" s="3" t="s">
        <v>750</v>
      </c>
      <c r="B242" s="4" t="n">
        <v>45643</v>
      </c>
      <c r="C242" s="4" t="n">
        <v>45649</v>
      </c>
      <c r="D242" s="3" t="s">
        <v>751</v>
      </c>
      <c r="E242" s="3" t="str">
        <f aca="false">PROPER(TRIM(SUBSTITUTE(Raw_Text_Fields!B243,CHAR(160)," ")))</f>
        <v>Aarav Sharma</v>
      </c>
      <c r="F242" s="3" t="str">
        <f aca="false">PROPER(TRIM(SUBSTITUTE(Raw_Text_Fields!C243,CHAR(160)," ")))</f>
        <v>Corporate</v>
      </c>
      <c r="G242" s="3" t="str">
        <f aca="false">PROPER(TRIM(SUBSTITUTE(Raw_Text_Fields!D243,CHAR(160)," ")))</f>
        <v>South</v>
      </c>
      <c r="H242" s="3" t="str">
        <f aca="false">PROPER(TRIM(SUBSTITUTE(Raw_Text_Fields!E243,CHAR(160)," ")))</f>
        <v>Telangana</v>
      </c>
      <c r="I242" s="3" t="str">
        <f aca="false">PROPER(TRIM(SUBSTITUTE(Raw_Text_Fields!F243,CHAR(160)," ")))</f>
        <v>Hyderabad</v>
      </c>
      <c r="J242" s="3" t="str">
        <f aca="false">PROPER(TRIM(SUBSTITUTE(Raw_Text_Fields!G243,CHAR(160)," ")))</f>
        <v>Office Supplies</v>
      </c>
      <c r="K242" s="3" t="str">
        <f aca="false">PROPER(TRIM(SUBSTITUTE(Raw_Text_Fields!H243,CHAR(160)," ")))</f>
        <v>Binders</v>
      </c>
      <c r="L242" s="3" t="s">
        <v>752</v>
      </c>
      <c r="M242" s="3" t="str">
        <f aca="false">PROPER(TRIM(SUBSTITUTE(Raw_Text_Fields!I243,CHAR(160)," ")))</f>
        <v>First Class</v>
      </c>
      <c r="N242" s="3" t="n">
        <v>9</v>
      </c>
      <c r="O242" s="5" t="n">
        <v>2315.1</v>
      </c>
      <c r="P242" s="6" t="n">
        <v>0</v>
      </c>
      <c r="Q242" s="5" t="n">
        <v>20835.9</v>
      </c>
      <c r="R242" s="5" t="n">
        <v>13928.19</v>
      </c>
      <c r="S242" s="5" t="n">
        <v>6907.71</v>
      </c>
      <c r="T242" s="3" t="str">
        <f aca="false">PROPER(TRIM(SUBSTITUTE(Raw_Text_Fields!J243,CHAR(160)," ")))</f>
        <v>Paid</v>
      </c>
      <c r="U242" s="3" t="str">
        <f aca="false">PROPER(TRIM(SUBSTITUTE(Raw_Text_Fields!K243,CHAR(160)," ")))</f>
        <v>Completed</v>
      </c>
      <c r="V242" s="7" t="n">
        <f aca="false">IF(OR(P242&lt;0,P242&gt;0.5),0,P242)</f>
        <v>0</v>
      </c>
      <c r="W242" s="8" t="n">
        <f aca="false">N242*O242*(1-V242)</f>
        <v>20835.9</v>
      </c>
      <c r="X242" s="8" t="n">
        <f aca="false">W242-R242</f>
        <v>6907.71</v>
      </c>
      <c r="Y242" s="7" t="n">
        <f aca="false">IFERROR(X242/W242,0)</f>
        <v>0.331529235598174</v>
      </c>
      <c r="Z242" s="9" t="n">
        <f aca="false">C242-B242</f>
        <v>6</v>
      </c>
      <c r="AA242" s="1" t="str">
        <f aca="false">IF(B242="","",TEXT(B242,"mmm"))</f>
        <v>Dec</v>
      </c>
      <c r="AB242" s="9" t="n">
        <f aca="false">IF(B242="","",YEAR(B242))</f>
        <v>2024</v>
      </c>
      <c r="AC242" s="3"/>
      <c r="AD242" s="3" t="str">
        <f aca="false">IF(LEFT(AC242&amp;IF(B242="","; Missing Order Date","")&amp;IF(C242="","; Missing Ship Date","")&amp;IF(P242&lt;0,"; Invalid Discount (Negative)","")&amp;IF(P242&gt;0.5,"; Invalid Discount (Too High)","")&amp;IF(Z242&lt;0,"; Invalid Shipping Record (Ship Before Order)","")&amp;IF(ABS(Q242-W242)&gt;1,"; Sales Mismatch","")&amp;IF(ABS(S242-X242)&gt;1,"; Profit Mismatch","")&amp;IF(COUNTIF($A$2:$A$913,A242)&gt;1,"; Duplicate Order ID Conflict",""),2)="; ",MID(AC242&amp;IF(B242="","; Missing Order Date","")&amp;IF(C242="","; Missing Ship Date","")&amp;IF(P242&lt;0,"; Invalid Discount (Negative)","")&amp;IF(P242&gt;0.5,"; Invalid Discount (Too High)","")&amp;IF(Z242&lt;0,"; Invalid Shipping Record (Ship Before Order)","")&amp;IF(ABS(Q242-W242)&gt;1,"; Sales Mismatch","")&amp;IF(ABS(S242-X242)&gt;1,"; Profit Mismatch","")&amp;IF(COUNTIF($A$2:$A$913,A242)&gt;1,"; Duplicate Order ID Conflict",""),3,500),AC242&amp;IF(B242="","; Missing Order Date","")&amp;IF(C242="","; Missing Ship Date","")&amp;IF(P242&lt;0,"; Invalid Discount (Negative)","")&amp;IF(P242&gt;0.5,"; Invalid Discount (Too High)","")&amp;IF(Z242&lt;0,"; Invalid Shipping Record (Ship Before Order)","")&amp;IF(ABS(Q242-W242)&gt;1,"; Sales Mismatch","")&amp;IF(ABS(S242-X242)&gt;1,"; Profit Mismatch","")&amp;IF(COUNTIF($A$2:$A$913,A242)&gt;1,"; Duplicate Order ID Conflict",""))</f>
        <v/>
      </c>
      <c r="AE242" s="10" t="str">
        <f aca="false">IF(OR(ISNUMBER(SEARCH("Invalid Discount",AD242)),ISNUMBER(SEARCH("Invalid Shipping Record",AD242)),ISNUMBER(SEARCH("Sales Mismatch",AD242)),ISNUMBER(SEARCH("Profit Mismatch",AD242)),ISNUMBER(SEARCH("Duplicate Order ID Conflict",AD242)),ISNUMBER(SEARCH("Missing Order Date",AD242)),ISNUMBER(SEARCH("Missing Ship Date",AD242))),"Invalid",IF(AD242&lt;&gt;"","Warning","Clean"))</f>
        <v>Clean</v>
      </c>
    </row>
    <row r="243" customFormat="false" ht="15" hidden="false" customHeight="true" outlineLevel="0" collapsed="false">
      <c r="A243" s="3" t="s">
        <v>753</v>
      </c>
      <c r="B243" s="4" t="n">
        <v>45844</v>
      </c>
      <c r="C243" s="4" t="n">
        <v>45844</v>
      </c>
      <c r="D243" s="3" t="s">
        <v>754</v>
      </c>
      <c r="E243" s="3" t="str">
        <f aca="false">PROPER(TRIM(SUBSTITUTE(Raw_Text_Fields!B244,CHAR(160)," ")))</f>
        <v>Sneha Kapoor</v>
      </c>
      <c r="F243" s="3" t="str">
        <f aca="false">PROPER(TRIM(SUBSTITUTE(Raw_Text_Fields!C244,CHAR(160)," ")))</f>
        <v>Corporate</v>
      </c>
      <c r="G243" s="3" t="str">
        <f aca="false">PROPER(TRIM(SUBSTITUTE(Raw_Text_Fields!D244,CHAR(160)," ")))</f>
        <v>North</v>
      </c>
      <c r="H243" s="3" t="str">
        <f aca="false">PROPER(TRIM(SUBSTITUTE(Raw_Text_Fields!E244,CHAR(160)," ")))</f>
        <v>Haryana</v>
      </c>
      <c r="I243" s="3" t="str">
        <f aca="false">PROPER(TRIM(SUBSTITUTE(Raw_Text_Fields!F244,CHAR(160)," ")))</f>
        <v>Gurugram</v>
      </c>
      <c r="J243" s="3" t="str">
        <f aca="false">PROPER(TRIM(SUBSTITUTE(Raw_Text_Fields!G244,CHAR(160)," ")))</f>
        <v>Office Supplies</v>
      </c>
      <c r="K243" s="3" t="str">
        <f aca="false">PROPER(TRIM(SUBSTITUTE(Raw_Text_Fields!H244,CHAR(160)," ")))</f>
        <v>Storage</v>
      </c>
      <c r="L243" s="3" t="s">
        <v>755</v>
      </c>
      <c r="M243" s="3" t="str">
        <f aca="false">PROPER(TRIM(SUBSTITUTE(Raw_Text_Fields!I244,CHAR(160)," ")))</f>
        <v>Standard Class</v>
      </c>
      <c r="N243" s="3" t="n">
        <v>1</v>
      </c>
      <c r="O243" s="5" t="n">
        <v>1617.2</v>
      </c>
      <c r="P243" s="6" t="n">
        <v>0.25</v>
      </c>
      <c r="Q243" s="5" t="n">
        <v>1212.9</v>
      </c>
      <c r="R243" s="5" t="n">
        <v>690.52</v>
      </c>
      <c r="S243" s="5" t="n">
        <v>522.38</v>
      </c>
      <c r="T243" s="3" t="str">
        <f aca="false">PROPER(TRIM(SUBSTITUTE(Raw_Text_Fields!J244,CHAR(160)," ")))</f>
        <v>Pending</v>
      </c>
      <c r="U243" s="3" t="str">
        <f aca="false">PROPER(TRIM(SUBSTITUTE(Raw_Text_Fields!K244,CHAR(160)," ")))</f>
        <v>Returned</v>
      </c>
      <c r="V243" s="7" t="n">
        <f aca="false">IF(OR(P243&lt;0,P243&gt;0.5),0,P243)</f>
        <v>0.25</v>
      </c>
      <c r="W243" s="8" t="n">
        <f aca="false">N243*O243*(1-V243)</f>
        <v>1212.9</v>
      </c>
      <c r="X243" s="8" t="n">
        <f aca="false">W243-R243</f>
        <v>522.38</v>
      </c>
      <c r="Y243" s="7" t="n">
        <f aca="false">IFERROR(X243/W243,0)</f>
        <v>0.430686783741446</v>
      </c>
      <c r="Z243" s="9" t="n">
        <f aca="false">C243-B243</f>
        <v>0</v>
      </c>
      <c r="AA243" s="1" t="str">
        <f aca="false">IF(B243="","",TEXT(B243,"mmm"))</f>
        <v>Jul</v>
      </c>
      <c r="AB243" s="9" t="n">
        <f aca="false">IF(B243="","",YEAR(B243))</f>
        <v>2025</v>
      </c>
      <c r="AC243" s="3"/>
      <c r="AD243" s="3" t="str">
        <f aca="false">IF(LEFT(AC243&amp;IF(B243="","; Missing Order Date","")&amp;IF(C243="","; Missing Ship Date","")&amp;IF(P243&lt;0,"; Invalid Discount (Negative)","")&amp;IF(P243&gt;0.5,"; Invalid Discount (Too High)","")&amp;IF(Z243&lt;0,"; Invalid Shipping Record (Ship Before Order)","")&amp;IF(ABS(Q243-W243)&gt;1,"; Sales Mismatch","")&amp;IF(ABS(S243-X243)&gt;1,"; Profit Mismatch","")&amp;IF(COUNTIF($A$2:$A$913,A243)&gt;1,"; Duplicate Order ID Conflict",""),2)="; ",MID(AC243&amp;IF(B243="","; Missing Order Date","")&amp;IF(C243="","; Missing Ship Date","")&amp;IF(P243&lt;0,"; Invalid Discount (Negative)","")&amp;IF(P243&gt;0.5,"; Invalid Discount (Too High)","")&amp;IF(Z243&lt;0,"; Invalid Shipping Record (Ship Before Order)","")&amp;IF(ABS(Q243-W243)&gt;1,"; Sales Mismatch","")&amp;IF(ABS(S243-X243)&gt;1,"; Profit Mismatch","")&amp;IF(COUNTIF($A$2:$A$913,A243)&gt;1,"; Duplicate Order ID Conflict",""),3,500),AC243&amp;IF(B243="","; Missing Order Date","")&amp;IF(C243="","; Missing Ship Date","")&amp;IF(P243&lt;0,"; Invalid Discount (Negative)","")&amp;IF(P243&gt;0.5,"; Invalid Discount (Too High)","")&amp;IF(Z243&lt;0,"; Invalid Shipping Record (Ship Before Order)","")&amp;IF(ABS(Q243-W243)&gt;1,"; Sales Mismatch","")&amp;IF(ABS(S243-X243)&gt;1,"; Profit Mismatch","")&amp;IF(COUNTIF($A$2:$A$913,A243)&gt;1,"; Duplicate Order ID Conflict",""))</f>
        <v/>
      </c>
      <c r="AE243" s="10" t="str">
        <f aca="false">IF(OR(ISNUMBER(SEARCH("Invalid Discount",AD243)),ISNUMBER(SEARCH("Invalid Shipping Record",AD243)),ISNUMBER(SEARCH("Sales Mismatch",AD243)),ISNUMBER(SEARCH("Profit Mismatch",AD243)),ISNUMBER(SEARCH("Duplicate Order ID Conflict",AD243)),ISNUMBER(SEARCH("Missing Order Date",AD243)),ISNUMBER(SEARCH("Missing Ship Date",AD243))),"Invalid",IF(AD243&lt;&gt;"","Warning","Clean"))</f>
        <v>Clean</v>
      </c>
    </row>
    <row r="244" customFormat="false" ht="15" hidden="false" customHeight="true" outlineLevel="0" collapsed="false">
      <c r="A244" s="3" t="s">
        <v>756</v>
      </c>
      <c r="B244" s="4" t="n">
        <v>45695</v>
      </c>
      <c r="C244" s="4" t="n">
        <v>45695</v>
      </c>
      <c r="D244" s="3" t="s">
        <v>757</v>
      </c>
      <c r="E244" s="3" t="str">
        <f aca="false">PROPER(TRIM(SUBSTITUTE(Raw_Text_Fields!B245,CHAR(160)," ")))</f>
        <v>Arjun Bose</v>
      </c>
      <c r="F244" s="3" t="str">
        <f aca="false">PROPER(TRIM(SUBSTITUTE(Raw_Text_Fields!C245,CHAR(160)," ")))</f>
        <v>Consumer</v>
      </c>
      <c r="G244" s="3" t="str">
        <f aca="false">PROPER(TRIM(SUBSTITUTE(Raw_Text_Fields!D245,CHAR(160)," ")))</f>
        <v>North</v>
      </c>
      <c r="H244" s="3" t="str">
        <f aca="false">PROPER(TRIM(SUBSTITUTE(Raw_Text_Fields!E245,CHAR(160)," ")))</f>
        <v>Uttar Pradesh</v>
      </c>
      <c r="I244" s="3" t="str">
        <f aca="false">PROPER(TRIM(SUBSTITUTE(Raw_Text_Fields!F245,CHAR(160)," ")))</f>
        <v>Noida</v>
      </c>
      <c r="J244" s="3" t="str">
        <f aca="false">PROPER(TRIM(SUBSTITUTE(Raw_Text_Fields!G245,CHAR(160)," ")))</f>
        <v>Office Supplies</v>
      </c>
      <c r="K244" s="3" t="str">
        <f aca="false">PROPER(TRIM(SUBSTITUTE(Raw_Text_Fields!H245,CHAR(160)," ")))</f>
        <v>Art</v>
      </c>
      <c r="L244" s="3" t="s">
        <v>758</v>
      </c>
      <c r="M244" s="3" t="str">
        <f aca="false">PROPER(TRIM(SUBSTITUTE(Raw_Text_Fields!I245,CHAR(160)," ")))</f>
        <v>Second Class</v>
      </c>
      <c r="N244" s="3" t="n">
        <v>3</v>
      </c>
      <c r="O244" s="5" t="n">
        <v>1999.24</v>
      </c>
      <c r="P244" s="6" t="n">
        <v>0.05</v>
      </c>
      <c r="Q244" s="5" t="n">
        <v>5697.83</v>
      </c>
      <c r="R244" s="5" t="n">
        <v>4251.5</v>
      </c>
      <c r="S244" s="5" t="n">
        <v>1446.33</v>
      </c>
      <c r="T244" s="3" t="str">
        <f aca="false">PROPER(TRIM(SUBSTITUTE(Raw_Text_Fields!J245,CHAR(160)," ")))</f>
        <v>Paid</v>
      </c>
      <c r="U244" s="3" t="str">
        <f aca="false">PROPER(TRIM(SUBSTITUTE(Raw_Text_Fields!K245,CHAR(160)," ")))</f>
        <v>Completed</v>
      </c>
      <c r="V244" s="7" t="n">
        <f aca="false">IF(OR(P244&lt;0,P244&gt;0.5),0,P244)</f>
        <v>0.05</v>
      </c>
      <c r="W244" s="8" t="n">
        <f aca="false">N244*O244*(1-V244)</f>
        <v>5697.834</v>
      </c>
      <c r="X244" s="8" t="n">
        <f aca="false">W244-R244</f>
        <v>1446.334</v>
      </c>
      <c r="Y244" s="7" t="n">
        <f aca="false">IFERROR(X244/W244,0)</f>
        <v>0.253839265938601</v>
      </c>
      <c r="Z244" s="9" t="n">
        <f aca="false">C244-B244</f>
        <v>0</v>
      </c>
      <c r="AA244" s="1" t="str">
        <f aca="false">IF(B244="","",TEXT(B244,"mmm"))</f>
        <v>Feb</v>
      </c>
      <c r="AB244" s="9" t="n">
        <f aca="false">IF(B244="","",YEAR(B244))</f>
        <v>2025</v>
      </c>
      <c r="AC244" s="3"/>
      <c r="AD244" s="3" t="str">
        <f aca="false">IF(LEFT(AC244&amp;IF(B244="","; Missing Order Date","")&amp;IF(C244="","; Missing Ship Date","")&amp;IF(P244&lt;0,"; Invalid Discount (Negative)","")&amp;IF(P244&gt;0.5,"; Invalid Discount (Too High)","")&amp;IF(Z244&lt;0,"; Invalid Shipping Record (Ship Before Order)","")&amp;IF(ABS(Q244-W244)&gt;1,"; Sales Mismatch","")&amp;IF(ABS(S244-X244)&gt;1,"; Profit Mismatch","")&amp;IF(COUNTIF($A$2:$A$913,A244)&gt;1,"; Duplicate Order ID Conflict",""),2)="; ",MID(AC244&amp;IF(B244="","; Missing Order Date","")&amp;IF(C244="","; Missing Ship Date","")&amp;IF(P244&lt;0,"; Invalid Discount (Negative)","")&amp;IF(P244&gt;0.5,"; Invalid Discount (Too High)","")&amp;IF(Z244&lt;0,"; Invalid Shipping Record (Ship Before Order)","")&amp;IF(ABS(Q244-W244)&gt;1,"; Sales Mismatch","")&amp;IF(ABS(S244-X244)&gt;1,"; Profit Mismatch","")&amp;IF(COUNTIF($A$2:$A$913,A244)&gt;1,"; Duplicate Order ID Conflict",""),3,500),AC244&amp;IF(B244="","; Missing Order Date","")&amp;IF(C244="","; Missing Ship Date","")&amp;IF(P244&lt;0,"; Invalid Discount (Negative)","")&amp;IF(P244&gt;0.5,"; Invalid Discount (Too High)","")&amp;IF(Z244&lt;0,"; Invalid Shipping Record (Ship Before Order)","")&amp;IF(ABS(Q244-W244)&gt;1,"; Sales Mismatch","")&amp;IF(ABS(S244-X244)&gt;1,"; Profit Mismatch","")&amp;IF(COUNTIF($A$2:$A$913,A244)&gt;1,"; Duplicate Order ID Conflict",""))</f>
        <v/>
      </c>
      <c r="AE244" s="10" t="str">
        <f aca="false">IF(OR(ISNUMBER(SEARCH("Invalid Discount",AD244)),ISNUMBER(SEARCH("Invalid Shipping Record",AD244)),ISNUMBER(SEARCH("Sales Mismatch",AD244)),ISNUMBER(SEARCH("Profit Mismatch",AD244)),ISNUMBER(SEARCH("Duplicate Order ID Conflict",AD244)),ISNUMBER(SEARCH("Missing Order Date",AD244)),ISNUMBER(SEARCH("Missing Ship Date",AD244))),"Invalid",IF(AD244&lt;&gt;"","Warning","Clean"))</f>
        <v>Clean</v>
      </c>
    </row>
    <row r="245" customFormat="false" ht="15" hidden="false" customHeight="true" outlineLevel="0" collapsed="false">
      <c r="A245" s="3" t="s">
        <v>759</v>
      </c>
      <c r="B245" s="4" t="n">
        <v>45867</v>
      </c>
      <c r="C245" s="4" t="n">
        <v>45871</v>
      </c>
      <c r="D245" s="3" t="s">
        <v>760</v>
      </c>
      <c r="E245" s="3" t="str">
        <f aca="false">PROPER(TRIM(SUBSTITUTE(Raw_Text_Fields!B246,CHAR(160)," ")))</f>
        <v>Sneha Kapoor</v>
      </c>
      <c r="F245" s="3" t="str">
        <f aca="false">PROPER(TRIM(SUBSTITUTE(Raw_Text_Fields!C246,CHAR(160)," ")))</f>
        <v>Small Business</v>
      </c>
      <c r="G245" s="3" t="str">
        <f aca="false">PROPER(TRIM(SUBSTITUTE(Raw_Text_Fields!D246,CHAR(160)," ")))</f>
        <v>Unknown</v>
      </c>
      <c r="H245" s="3" t="str">
        <f aca="false">PROPER(TRIM(SUBSTITUTE(Raw_Text_Fields!E246,CHAR(160)," ")))</f>
        <v>Madhya Pradesh</v>
      </c>
      <c r="I245" s="3" t="str">
        <f aca="false">PROPER(TRIM(SUBSTITUTE(Raw_Text_Fields!F246,CHAR(160)," ")))</f>
        <v>Indore</v>
      </c>
      <c r="J245" s="3" t="str">
        <f aca="false">PROPER(TRIM(SUBSTITUTE(Raw_Text_Fields!G246,CHAR(160)," ")))</f>
        <v>Technology</v>
      </c>
      <c r="K245" s="3" t="str">
        <f aca="false">PROPER(TRIM(SUBSTITUTE(Raw_Text_Fields!H246,CHAR(160)," ")))</f>
        <v>Accessories</v>
      </c>
      <c r="L245" s="3" t="s">
        <v>761</v>
      </c>
      <c r="M245" s="3" t="str">
        <f aca="false">PROPER(TRIM(SUBSTITUTE(Raw_Text_Fields!I246,CHAR(160)," ")))</f>
        <v>First Class</v>
      </c>
      <c r="N245" s="3" t="n">
        <v>1</v>
      </c>
      <c r="O245" s="5" t="n">
        <v>4499.46</v>
      </c>
      <c r="P245" s="6" t="n">
        <v>0.1</v>
      </c>
      <c r="Q245" s="5" t="n">
        <v>4049.51</v>
      </c>
      <c r="R245" s="5" t="n">
        <v>2509.2</v>
      </c>
      <c r="S245" s="5" t="n">
        <v>1540.31</v>
      </c>
      <c r="T245" s="3" t="str">
        <f aca="false">PROPER(TRIM(SUBSTITUTE(Raw_Text_Fields!J246,CHAR(160)," ")))</f>
        <v>Paid</v>
      </c>
      <c r="U245" s="3" t="str">
        <f aca="false">PROPER(TRIM(SUBSTITUTE(Raw_Text_Fields!K246,CHAR(160)," ")))</f>
        <v>Completed</v>
      </c>
      <c r="V245" s="7" t="n">
        <f aca="false">IF(OR(P245&lt;0,P245&gt;0.5),0,P245)</f>
        <v>0.1</v>
      </c>
      <c r="W245" s="8" t="n">
        <f aca="false">N245*O245*(1-V245)</f>
        <v>4049.514</v>
      </c>
      <c r="X245" s="8" t="n">
        <f aca="false">W245-R245</f>
        <v>1540.314</v>
      </c>
      <c r="Y245" s="7" t="n">
        <f aca="false">IFERROR(X245/W245,0)</f>
        <v>0.380370088855107</v>
      </c>
      <c r="Z245" s="9" t="n">
        <f aca="false">C245-B245</f>
        <v>4</v>
      </c>
      <c r="AA245" s="1" t="str">
        <f aca="false">IF(B245="","",TEXT(B245,"mmm"))</f>
        <v>Jul</v>
      </c>
      <c r="AB245" s="9" t="n">
        <f aca="false">IF(B245="","",YEAR(B245))</f>
        <v>2025</v>
      </c>
      <c r="AC245" s="3" t="s">
        <v>372</v>
      </c>
      <c r="AD245" s="3" t="str">
        <f aca="false">IF(LEFT(AC245&amp;IF(B245="","; Missing Order Date","")&amp;IF(C245="","; Missing Ship Date","")&amp;IF(P245&lt;0,"; Invalid Discount (Negative)","")&amp;IF(P245&gt;0.5,"; Invalid Discount (Too High)","")&amp;IF(Z245&lt;0,"; Invalid Shipping Record (Ship Before Order)","")&amp;IF(ABS(Q245-W245)&gt;1,"; Sales Mismatch","")&amp;IF(ABS(S245-X245)&gt;1,"; Profit Mismatch","")&amp;IF(COUNTIF($A$2:$A$913,A245)&gt;1,"; Duplicate Order ID Conflict",""),2)="; ",MID(AC245&amp;IF(B245="","; Missing Order Date","")&amp;IF(C245="","; Missing Ship Date","")&amp;IF(P245&lt;0,"; Invalid Discount (Negative)","")&amp;IF(P245&gt;0.5,"; Invalid Discount (Too High)","")&amp;IF(Z245&lt;0,"; Invalid Shipping Record (Ship Before Order)","")&amp;IF(ABS(Q245-W245)&gt;1,"; Sales Mismatch","")&amp;IF(ABS(S245-X245)&gt;1,"; Profit Mismatch","")&amp;IF(COUNTIF($A$2:$A$913,A245)&gt;1,"; Duplicate Order ID Conflict",""),3,500),AC245&amp;IF(B245="","; Missing Order Date","")&amp;IF(C245="","; Missing Ship Date","")&amp;IF(P245&lt;0,"; Invalid Discount (Negative)","")&amp;IF(P245&gt;0.5,"; Invalid Discount (Too High)","")&amp;IF(Z245&lt;0,"; Invalid Shipping Record (Ship Before Order)","")&amp;IF(ABS(Q245-W245)&gt;1,"; Sales Mismatch","")&amp;IF(ABS(S245-X245)&gt;1,"; Profit Mismatch","")&amp;IF(COUNTIF($A$2:$A$913,A245)&gt;1,"; Duplicate Order ID Conflict",""))</f>
        <v>Missing Region (filled Unknown)</v>
      </c>
      <c r="AE245" s="10" t="str">
        <f aca="false">IF(OR(ISNUMBER(SEARCH("Invalid Discount",AD245)),ISNUMBER(SEARCH("Invalid Shipping Record",AD245)),ISNUMBER(SEARCH("Sales Mismatch",AD245)),ISNUMBER(SEARCH("Profit Mismatch",AD245)),ISNUMBER(SEARCH("Duplicate Order ID Conflict",AD245)),ISNUMBER(SEARCH("Missing Order Date",AD245)),ISNUMBER(SEARCH("Missing Ship Date",AD245))),"Invalid",IF(AD245&lt;&gt;"","Warning","Clean"))</f>
        <v>Warning</v>
      </c>
    </row>
    <row r="246" customFormat="false" ht="15" hidden="false" customHeight="true" outlineLevel="0" collapsed="false">
      <c r="A246" s="3" t="s">
        <v>762</v>
      </c>
      <c r="B246" s="4" t="n">
        <v>45527</v>
      </c>
      <c r="C246" s="4" t="n">
        <v>45528</v>
      </c>
      <c r="D246" s="3" t="s">
        <v>763</v>
      </c>
      <c r="E246" s="3" t="str">
        <f aca="false">PROPER(TRIM(SUBSTITUTE(Raw_Text_Fields!B247,CHAR(160)," ")))</f>
        <v>Neha Gupta</v>
      </c>
      <c r="F246" s="3" t="str">
        <f aca="false">PROPER(TRIM(SUBSTITUTE(Raw_Text_Fields!C247,CHAR(160)," ")))</f>
        <v>Consumer</v>
      </c>
      <c r="G246" s="3" t="str">
        <f aca="false">PROPER(TRIM(SUBSTITUTE(Raw_Text_Fields!D247,CHAR(160)," ")))</f>
        <v>South</v>
      </c>
      <c r="H246" s="3" t="str">
        <f aca="false">PROPER(TRIM(SUBSTITUTE(Raw_Text_Fields!E247,CHAR(160)," ")))</f>
        <v>Telangana</v>
      </c>
      <c r="I246" s="3" t="str">
        <f aca="false">PROPER(TRIM(SUBSTITUTE(Raw_Text_Fields!F247,CHAR(160)," ")))</f>
        <v>Hyderabad</v>
      </c>
      <c r="J246" s="3" t="str">
        <f aca="false">PROPER(TRIM(SUBSTITUTE(Raw_Text_Fields!G247,CHAR(160)," ")))</f>
        <v>Furniture</v>
      </c>
      <c r="K246" s="3" t="str">
        <f aca="false">PROPER(TRIM(SUBSTITUTE(Raw_Text_Fields!H247,CHAR(160)," ")))</f>
        <v>Bookcases</v>
      </c>
      <c r="L246" s="3" t="s">
        <v>764</v>
      </c>
      <c r="M246" s="3" t="str">
        <f aca="false">PROPER(TRIM(SUBSTITUTE(Raw_Text_Fields!I247,CHAR(160)," ")))</f>
        <v>Same Day</v>
      </c>
      <c r="N246" s="3" t="n">
        <v>6</v>
      </c>
      <c r="O246" s="5" t="n">
        <v>1021.89</v>
      </c>
      <c r="P246" s="6" t="n">
        <v>0</v>
      </c>
      <c r="Q246" s="5" t="n">
        <v>6131.34</v>
      </c>
      <c r="R246" s="5" t="n">
        <v>4060.88</v>
      </c>
      <c r="S246" s="5" t="n">
        <v>2070.46</v>
      </c>
      <c r="T246" s="3" t="str">
        <f aca="false">PROPER(TRIM(SUBSTITUTE(Raw_Text_Fields!J247,CHAR(160)," ")))</f>
        <v>Paid</v>
      </c>
      <c r="U246" s="3" t="str">
        <f aca="false">PROPER(TRIM(SUBSTITUTE(Raw_Text_Fields!K247,CHAR(160)," ")))</f>
        <v>Completed</v>
      </c>
      <c r="V246" s="7" t="n">
        <f aca="false">IF(OR(P246&lt;0,P246&gt;0.5),0,P246)</f>
        <v>0</v>
      </c>
      <c r="W246" s="8" t="n">
        <f aca="false">N246*O246*(1-V246)</f>
        <v>6131.34</v>
      </c>
      <c r="X246" s="8" t="n">
        <f aca="false">W246-R246</f>
        <v>2070.46</v>
      </c>
      <c r="Y246" s="7" t="n">
        <f aca="false">IFERROR(X246/W246,0)</f>
        <v>0.337684747542951</v>
      </c>
      <c r="Z246" s="9" t="n">
        <f aca="false">C246-B246</f>
        <v>1</v>
      </c>
      <c r="AA246" s="1" t="str">
        <f aca="false">IF(B246="","",TEXT(B246,"mmm"))</f>
        <v>Aug</v>
      </c>
      <c r="AB246" s="9" t="n">
        <f aca="false">IF(B246="","",YEAR(B246))</f>
        <v>2024</v>
      </c>
      <c r="AC246" s="3"/>
      <c r="AD246" s="3" t="str">
        <f aca="false">IF(LEFT(AC246&amp;IF(B246="","; Missing Order Date","")&amp;IF(C246="","; Missing Ship Date","")&amp;IF(P246&lt;0,"; Invalid Discount (Negative)","")&amp;IF(P246&gt;0.5,"; Invalid Discount (Too High)","")&amp;IF(Z246&lt;0,"; Invalid Shipping Record (Ship Before Order)","")&amp;IF(ABS(Q246-W246)&gt;1,"; Sales Mismatch","")&amp;IF(ABS(S246-X246)&gt;1,"; Profit Mismatch","")&amp;IF(COUNTIF($A$2:$A$913,A246)&gt;1,"; Duplicate Order ID Conflict",""),2)="; ",MID(AC246&amp;IF(B246="","; Missing Order Date","")&amp;IF(C246="","; Missing Ship Date","")&amp;IF(P246&lt;0,"; Invalid Discount (Negative)","")&amp;IF(P246&gt;0.5,"; Invalid Discount (Too High)","")&amp;IF(Z246&lt;0,"; Invalid Shipping Record (Ship Before Order)","")&amp;IF(ABS(Q246-W246)&gt;1,"; Sales Mismatch","")&amp;IF(ABS(S246-X246)&gt;1,"; Profit Mismatch","")&amp;IF(COUNTIF($A$2:$A$913,A246)&gt;1,"; Duplicate Order ID Conflict",""),3,500),AC246&amp;IF(B246="","; Missing Order Date","")&amp;IF(C246="","; Missing Ship Date","")&amp;IF(P246&lt;0,"; Invalid Discount (Negative)","")&amp;IF(P246&gt;0.5,"; Invalid Discount (Too High)","")&amp;IF(Z246&lt;0,"; Invalid Shipping Record (Ship Before Order)","")&amp;IF(ABS(Q246-W246)&gt;1,"; Sales Mismatch","")&amp;IF(ABS(S246-X246)&gt;1,"; Profit Mismatch","")&amp;IF(COUNTIF($A$2:$A$913,A246)&gt;1,"; Duplicate Order ID Conflict",""))</f>
        <v/>
      </c>
      <c r="AE246" s="10" t="str">
        <f aca="false">IF(OR(ISNUMBER(SEARCH("Invalid Discount",AD246)),ISNUMBER(SEARCH("Invalid Shipping Record",AD246)),ISNUMBER(SEARCH("Sales Mismatch",AD246)),ISNUMBER(SEARCH("Profit Mismatch",AD246)),ISNUMBER(SEARCH("Duplicate Order ID Conflict",AD246)),ISNUMBER(SEARCH("Missing Order Date",AD246)),ISNUMBER(SEARCH("Missing Ship Date",AD246))),"Invalid",IF(AD246&lt;&gt;"","Warning","Clean"))</f>
        <v>Clean</v>
      </c>
    </row>
    <row r="247" customFormat="false" ht="15" hidden="false" customHeight="true" outlineLevel="0" collapsed="false">
      <c r="A247" s="3" t="s">
        <v>765</v>
      </c>
      <c r="B247" s="4" t="n">
        <v>45583</v>
      </c>
      <c r="C247" s="4" t="n">
        <v>45589</v>
      </c>
      <c r="D247" s="3" t="s">
        <v>766</v>
      </c>
      <c r="E247" s="3" t="str">
        <f aca="false">PROPER(TRIM(SUBSTITUTE(Raw_Text_Fields!B248,CHAR(160)," ")))</f>
        <v>Neha Gupta</v>
      </c>
      <c r="F247" s="3" t="str">
        <f aca="false">PROPER(TRIM(SUBSTITUTE(Raw_Text_Fields!C248,CHAR(160)," ")))</f>
        <v>Home Office</v>
      </c>
      <c r="G247" s="3" t="str">
        <f aca="false">PROPER(TRIM(SUBSTITUTE(Raw_Text_Fields!D248,CHAR(160)," ")))</f>
        <v>South</v>
      </c>
      <c r="H247" s="3" t="str">
        <f aca="false">PROPER(TRIM(SUBSTITUTE(Raw_Text_Fields!E248,CHAR(160)," ")))</f>
        <v>Kerala</v>
      </c>
      <c r="I247" s="3" t="str">
        <f aca="false">PROPER(TRIM(SUBSTITUTE(Raw_Text_Fields!F248,CHAR(160)," ")))</f>
        <v>Kochi</v>
      </c>
      <c r="J247" s="3" t="str">
        <f aca="false">PROPER(TRIM(SUBSTITUTE(Raw_Text_Fields!G248,CHAR(160)," ")))</f>
        <v>Furniture</v>
      </c>
      <c r="K247" s="3" t="str">
        <f aca="false">PROPER(TRIM(SUBSTITUTE(Raw_Text_Fields!H248,CHAR(160)," ")))</f>
        <v>Chairs</v>
      </c>
      <c r="L247" s="3" t="s">
        <v>767</v>
      </c>
      <c r="M247" s="3" t="str">
        <f aca="false">PROPER(TRIM(SUBSTITUTE(Raw_Text_Fields!I248,CHAR(160)," ")))</f>
        <v>Second Class</v>
      </c>
      <c r="N247" s="3" t="n">
        <v>3</v>
      </c>
      <c r="O247" s="5" t="n">
        <v>3275.93</v>
      </c>
      <c r="P247" s="6" t="n">
        <v>0</v>
      </c>
      <c r="Q247" s="5" t="n">
        <v>9827.79</v>
      </c>
      <c r="R247" s="5" t="n">
        <v>5478.28</v>
      </c>
      <c r="S247" s="5" t="n">
        <v>4349.51</v>
      </c>
      <c r="T247" s="3" t="str">
        <f aca="false">PROPER(TRIM(SUBSTITUTE(Raw_Text_Fields!J248,CHAR(160)," ")))</f>
        <v>Paid</v>
      </c>
      <c r="U247" s="3" t="str">
        <f aca="false">PROPER(TRIM(SUBSTITUTE(Raw_Text_Fields!K248,CHAR(160)," ")))</f>
        <v>Completed</v>
      </c>
      <c r="V247" s="7" t="n">
        <f aca="false">IF(OR(P247&lt;0,P247&gt;0.5),0,P247)</f>
        <v>0</v>
      </c>
      <c r="W247" s="8" t="n">
        <f aca="false">N247*O247*(1-V247)</f>
        <v>9827.79</v>
      </c>
      <c r="X247" s="8" t="n">
        <f aca="false">W247-R247</f>
        <v>4349.51</v>
      </c>
      <c r="Y247" s="7" t="n">
        <f aca="false">IFERROR(X247/W247,0)</f>
        <v>0.442572541741327</v>
      </c>
      <c r="Z247" s="9" t="n">
        <f aca="false">C247-B247</f>
        <v>6</v>
      </c>
      <c r="AA247" s="1" t="str">
        <f aca="false">IF(B247="","",TEXT(B247,"mmm"))</f>
        <v>Oct</v>
      </c>
      <c r="AB247" s="9" t="n">
        <f aca="false">IF(B247="","",YEAR(B247))</f>
        <v>2024</v>
      </c>
      <c r="AC247" s="3"/>
      <c r="AD247" s="3" t="str">
        <f aca="false">IF(LEFT(AC247&amp;IF(B247="","; Missing Order Date","")&amp;IF(C247="","; Missing Ship Date","")&amp;IF(P247&lt;0,"; Invalid Discount (Negative)","")&amp;IF(P247&gt;0.5,"; Invalid Discount (Too High)","")&amp;IF(Z247&lt;0,"; Invalid Shipping Record (Ship Before Order)","")&amp;IF(ABS(Q247-W247)&gt;1,"; Sales Mismatch","")&amp;IF(ABS(S247-X247)&gt;1,"; Profit Mismatch","")&amp;IF(COUNTIF($A$2:$A$913,A247)&gt;1,"; Duplicate Order ID Conflict",""),2)="; ",MID(AC247&amp;IF(B247="","; Missing Order Date","")&amp;IF(C247="","; Missing Ship Date","")&amp;IF(P247&lt;0,"; Invalid Discount (Negative)","")&amp;IF(P247&gt;0.5,"; Invalid Discount (Too High)","")&amp;IF(Z247&lt;0,"; Invalid Shipping Record (Ship Before Order)","")&amp;IF(ABS(Q247-W247)&gt;1,"; Sales Mismatch","")&amp;IF(ABS(S247-X247)&gt;1,"; Profit Mismatch","")&amp;IF(COUNTIF($A$2:$A$913,A247)&gt;1,"; Duplicate Order ID Conflict",""),3,500),AC247&amp;IF(B247="","; Missing Order Date","")&amp;IF(C247="","; Missing Ship Date","")&amp;IF(P247&lt;0,"; Invalid Discount (Negative)","")&amp;IF(P247&gt;0.5,"; Invalid Discount (Too High)","")&amp;IF(Z247&lt;0,"; Invalid Shipping Record (Ship Before Order)","")&amp;IF(ABS(Q247-W247)&gt;1,"; Sales Mismatch","")&amp;IF(ABS(S247-X247)&gt;1,"; Profit Mismatch","")&amp;IF(COUNTIF($A$2:$A$913,A247)&gt;1,"; Duplicate Order ID Conflict",""))</f>
        <v/>
      </c>
      <c r="AE247" s="10" t="str">
        <f aca="false">IF(OR(ISNUMBER(SEARCH("Invalid Discount",AD247)),ISNUMBER(SEARCH("Invalid Shipping Record",AD247)),ISNUMBER(SEARCH("Sales Mismatch",AD247)),ISNUMBER(SEARCH("Profit Mismatch",AD247)),ISNUMBER(SEARCH("Duplicate Order ID Conflict",AD247)),ISNUMBER(SEARCH("Missing Order Date",AD247)),ISNUMBER(SEARCH("Missing Ship Date",AD247))),"Invalid",IF(AD247&lt;&gt;"","Warning","Clean"))</f>
        <v>Clean</v>
      </c>
    </row>
    <row r="248" customFormat="false" ht="15" hidden="false" customHeight="true" outlineLevel="0" collapsed="false">
      <c r="A248" s="3" t="s">
        <v>768</v>
      </c>
      <c r="B248" s="4" t="n">
        <v>45416</v>
      </c>
      <c r="C248" s="4" t="n">
        <v>45421</v>
      </c>
      <c r="D248" s="3" t="s">
        <v>769</v>
      </c>
      <c r="E248" s="3" t="str">
        <f aca="false">PROPER(TRIM(SUBSTITUTE(Raw_Text_Fields!B249,CHAR(160)," ")))</f>
        <v>Ananya Rao</v>
      </c>
      <c r="F248" s="3" t="str">
        <f aca="false">PROPER(TRIM(SUBSTITUTE(Raw_Text_Fields!C249,CHAR(160)," ")))</f>
        <v>Corporate</v>
      </c>
      <c r="G248" s="3" t="str">
        <f aca="false">PROPER(TRIM(SUBSTITUTE(Raw_Text_Fields!D249,CHAR(160)," ")))</f>
        <v>North</v>
      </c>
      <c r="H248" s="3" t="str">
        <f aca="false">PROPER(TRIM(SUBSTITUTE(Raw_Text_Fields!E249,CHAR(160)," ")))</f>
        <v>Punjab</v>
      </c>
      <c r="I248" s="3" t="str">
        <f aca="false">PROPER(TRIM(SUBSTITUTE(Raw_Text_Fields!F249,CHAR(160)," ")))</f>
        <v>Ludhiana</v>
      </c>
      <c r="J248" s="3" t="str">
        <f aca="false">PROPER(TRIM(SUBSTITUTE(Raw_Text_Fields!G249,CHAR(160)," ")))</f>
        <v>Technology</v>
      </c>
      <c r="K248" s="3" t="str">
        <f aca="false">PROPER(TRIM(SUBSTITUTE(Raw_Text_Fields!H249,CHAR(160)," ")))</f>
        <v>Machines</v>
      </c>
      <c r="L248" s="3" t="s">
        <v>770</v>
      </c>
      <c r="M248" s="3" t="str">
        <f aca="false">PROPER(TRIM(SUBSTITUTE(Raw_Text_Fields!I249,CHAR(160)," ")))</f>
        <v>Same Day</v>
      </c>
      <c r="N248" s="3" t="n">
        <v>3</v>
      </c>
      <c r="O248" s="5" t="n">
        <v>231.95</v>
      </c>
      <c r="P248" s="6" t="n">
        <v>0.25</v>
      </c>
      <c r="Q248" s="5" t="n">
        <v>521.89</v>
      </c>
      <c r="R248" s="5" t="n">
        <v>444.52</v>
      </c>
      <c r="S248" s="5" t="n">
        <v>77.37</v>
      </c>
      <c r="T248" s="3" t="str">
        <f aca="false">PROPER(TRIM(SUBSTITUTE(Raw_Text_Fields!J249,CHAR(160)," ")))</f>
        <v>Refunded</v>
      </c>
      <c r="U248" s="3" t="str">
        <f aca="false">PROPER(TRIM(SUBSTITUTE(Raw_Text_Fields!K249,CHAR(160)," ")))</f>
        <v>Cancelled</v>
      </c>
      <c r="V248" s="7" t="n">
        <f aca="false">IF(OR(P248&lt;0,P248&gt;0.5),0,P248)</f>
        <v>0.25</v>
      </c>
      <c r="W248" s="8" t="n">
        <f aca="false">N248*O248*(1-V248)</f>
        <v>521.8875</v>
      </c>
      <c r="X248" s="8" t="n">
        <f aca="false">W248-R248</f>
        <v>77.3675</v>
      </c>
      <c r="Y248" s="7" t="n">
        <f aca="false">IFERROR(X248/W248,0)</f>
        <v>0.148245551004766</v>
      </c>
      <c r="Z248" s="9" t="n">
        <f aca="false">C248-B248</f>
        <v>5</v>
      </c>
      <c r="AA248" s="1" t="str">
        <f aca="false">IF(B248="","",TEXT(B248,"mmm"))</f>
        <v>May</v>
      </c>
      <c r="AB248" s="9" t="n">
        <f aca="false">IF(B248="","",YEAR(B248))</f>
        <v>2024</v>
      </c>
      <c r="AC248" s="3"/>
      <c r="AD248" s="3" t="str">
        <f aca="false">IF(LEFT(AC248&amp;IF(B248="","; Missing Order Date","")&amp;IF(C248="","; Missing Ship Date","")&amp;IF(P248&lt;0,"; Invalid Discount (Negative)","")&amp;IF(P248&gt;0.5,"; Invalid Discount (Too High)","")&amp;IF(Z248&lt;0,"; Invalid Shipping Record (Ship Before Order)","")&amp;IF(ABS(Q248-W248)&gt;1,"; Sales Mismatch","")&amp;IF(ABS(S248-X248)&gt;1,"; Profit Mismatch","")&amp;IF(COUNTIF($A$2:$A$913,A248)&gt;1,"; Duplicate Order ID Conflict",""),2)="; ",MID(AC248&amp;IF(B248="","; Missing Order Date","")&amp;IF(C248="","; Missing Ship Date","")&amp;IF(P248&lt;0,"; Invalid Discount (Negative)","")&amp;IF(P248&gt;0.5,"; Invalid Discount (Too High)","")&amp;IF(Z248&lt;0,"; Invalid Shipping Record (Ship Before Order)","")&amp;IF(ABS(Q248-W248)&gt;1,"; Sales Mismatch","")&amp;IF(ABS(S248-X248)&gt;1,"; Profit Mismatch","")&amp;IF(COUNTIF($A$2:$A$913,A248)&gt;1,"; Duplicate Order ID Conflict",""),3,500),AC248&amp;IF(B248="","; Missing Order Date","")&amp;IF(C248="","; Missing Ship Date","")&amp;IF(P248&lt;0,"; Invalid Discount (Negative)","")&amp;IF(P248&gt;0.5,"; Invalid Discount (Too High)","")&amp;IF(Z248&lt;0,"; Invalid Shipping Record (Ship Before Order)","")&amp;IF(ABS(Q248-W248)&gt;1,"; Sales Mismatch","")&amp;IF(ABS(S248-X248)&gt;1,"; Profit Mismatch","")&amp;IF(COUNTIF($A$2:$A$913,A248)&gt;1,"; Duplicate Order ID Conflict",""))</f>
        <v/>
      </c>
      <c r="AE248" s="10" t="str">
        <f aca="false">IF(OR(ISNUMBER(SEARCH("Invalid Discount",AD248)),ISNUMBER(SEARCH("Invalid Shipping Record",AD248)),ISNUMBER(SEARCH("Sales Mismatch",AD248)),ISNUMBER(SEARCH("Profit Mismatch",AD248)),ISNUMBER(SEARCH("Duplicate Order ID Conflict",AD248)),ISNUMBER(SEARCH("Missing Order Date",AD248)),ISNUMBER(SEARCH("Missing Ship Date",AD248))),"Invalid",IF(AD248&lt;&gt;"","Warning","Clean"))</f>
        <v>Clean</v>
      </c>
    </row>
    <row r="249" customFormat="false" ht="15" hidden="false" customHeight="true" outlineLevel="0" collapsed="false">
      <c r="A249" s="3" t="s">
        <v>771</v>
      </c>
      <c r="B249" s="4" t="n">
        <v>45498</v>
      </c>
      <c r="C249" s="4" t="n">
        <v>45505</v>
      </c>
      <c r="D249" s="3" t="s">
        <v>772</v>
      </c>
      <c r="E249" s="3" t="str">
        <f aca="false">PROPER(TRIM(SUBSTITUTE(Raw_Text_Fields!B250,CHAR(160)," ")))</f>
        <v>Rahul Verma</v>
      </c>
      <c r="F249" s="3" t="str">
        <f aca="false">PROPER(TRIM(SUBSTITUTE(Raw_Text_Fields!C250,CHAR(160)," ")))</f>
        <v>Corporate</v>
      </c>
      <c r="G249" s="3" t="str">
        <f aca="false">PROPER(TRIM(SUBSTITUTE(Raw_Text_Fields!D250,CHAR(160)," ")))</f>
        <v>North</v>
      </c>
      <c r="H249" s="3" t="str">
        <f aca="false">PROPER(TRIM(SUBSTITUTE(Raw_Text_Fields!E250,CHAR(160)," ")))</f>
        <v>Rajasthan</v>
      </c>
      <c r="I249" s="3" t="str">
        <f aca="false">PROPER(TRIM(SUBSTITUTE(Raw_Text_Fields!F250,CHAR(160)," ")))</f>
        <v>Jaipur</v>
      </c>
      <c r="J249" s="3" t="str">
        <f aca="false">PROPER(TRIM(SUBSTITUTE(Raw_Text_Fields!G250,CHAR(160)," ")))</f>
        <v>Technology</v>
      </c>
      <c r="K249" s="3" t="str">
        <f aca="false">PROPER(TRIM(SUBSTITUTE(Raw_Text_Fields!H250,CHAR(160)," ")))</f>
        <v>Accessories</v>
      </c>
      <c r="L249" s="3" t="s">
        <v>773</v>
      </c>
      <c r="M249" s="3" t="str">
        <f aca="false">PROPER(TRIM(SUBSTITUTE(Raw_Text_Fields!I250,CHAR(160)," ")))</f>
        <v>Second Class</v>
      </c>
      <c r="N249" s="3" t="n">
        <v>8</v>
      </c>
      <c r="O249" s="5" t="n">
        <v>2493.4</v>
      </c>
      <c r="P249" s="6" t="n">
        <v>0.25</v>
      </c>
      <c r="Q249" s="5" t="n">
        <v>14960.4</v>
      </c>
      <c r="R249" s="5" t="n">
        <v>12500.84</v>
      </c>
      <c r="S249" s="5" t="n">
        <v>2459.56</v>
      </c>
      <c r="T249" s="3" t="str">
        <f aca="false">PROPER(TRIM(SUBSTITUTE(Raw_Text_Fields!J250,CHAR(160)," ")))</f>
        <v>Paid</v>
      </c>
      <c r="U249" s="3" t="str">
        <f aca="false">PROPER(TRIM(SUBSTITUTE(Raw_Text_Fields!K250,CHAR(160)," ")))</f>
        <v>Completed</v>
      </c>
      <c r="V249" s="7" t="n">
        <f aca="false">IF(OR(P249&lt;0,P249&gt;0.5),0,P249)</f>
        <v>0.25</v>
      </c>
      <c r="W249" s="8" t="n">
        <f aca="false">N249*O249*(1-V249)</f>
        <v>14960.4</v>
      </c>
      <c r="X249" s="8" t="n">
        <f aca="false">W249-R249</f>
        <v>2459.56</v>
      </c>
      <c r="Y249" s="7" t="n">
        <f aca="false">IFERROR(X249/W249,0)</f>
        <v>0.164404695061629</v>
      </c>
      <c r="Z249" s="9" t="n">
        <f aca="false">C249-B249</f>
        <v>7</v>
      </c>
      <c r="AA249" s="1" t="str">
        <f aca="false">IF(B249="","",TEXT(B249,"mmm"))</f>
        <v>Jul</v>
      </c>
      <c r="AB249" s="9" t="n">
        <f aca="false">IF(B249="","",YEAR(B249))</f>
        <v>2024</v>
      </c>
      <c r="AC249" s="3"/>
      <c r="AD249" s="3" t="str">
        <f aca="false">IF(LEFT(AC249&amp;IF(B249="","; Missing Order Date","")&amp;IF(C249="","; Missing Ship Date","")&amp;IF(P249&lt;0,"; Invalid Discount (Negative)","")&amp;IF(P249&gt;0.5,"; Invalid Discount (Too High)","")&amp;IF(Z249&lt;0,"; Invalid Shipping Record (Ship Before Order)","")&amp;IF(ABS(Q249-W249)&gt;1,"; Sales Mismatch","")&amp;IF(ABS(S249-X249)&gt;1,"; Profit Mismatch","")&amp;IF(COUNTIF($A$2:$A$913,A249)&gt;1,"; Duplicate Order ID Conflict",""),2)="; ",MID(AC249&amp;IF(B249="","; Missing Order Date","")&amp;IF(C249="","; Missing Ship Date","")&amp;IF(P249&lt;0,"; Invalid Discount (Negative)","")&amp;IF(P249&gt;0.5,"; Invalid Discount (Too High)","")&amp;IF(Z249&lt;0,"; Invalid Shipping Record (Ship Before Order)","")&amp;IF(ABS(Q249-W249)&gt;1,"; Sales Mismatch","")&amp;IF(ABS(S249-X249)&gt;1,"; Profit Mismatch","")&amp;IF(COUNTIF($A$2:$A$913,A249)&gt;1,"; Duplicate Order ID Conflict",""),3,500),AC249&amp;IF(B249="","; Missing Order Date","")&amp;IF(C249="","; Missing Ship Date","")&amp;IF(P249&lt;0,"; Invalid Discount (Negative)","")&amp;IF(P249&gt;0.5,"; Invalid Discount (Too High)","")&amp;IF(Z249&lt;0,"; Invalid Shipping Record (Ship Before Order)","")&amp;IF(ABS(Q249-W249)&gt;1,"; Sales Mismatch","")&amp;IF(ABS(S249-X249)&gt;1,"; Profit Mismatch","")&amp;IF(COUNTIF($A$2:$A$913,A249)&gt;1,"; Duplicate Order ID Conflict",""))</f>
        <v/>
      </c>
      <c r="AE249" s="10" t="str">
        <f aca="false">IF(OR(ISNUMBER(SEARCH("Invalid Discount",AD249)),ISNUMBER(SEARCH("Invalid Shipping Record",AD249)),ISNUMBER(SEARCH("Sales Mismatch",AD249)),ISNUMBER(SEARCH("Profit Mismatch",AD249)),ISNUMBER(SEARCH("Duplicate Order ID Conflict",AD249)),ISNUMBER(SEARCH("Missing Order Date",AD249)),ISNUMBER(SEARCH("Missing Ship Date",AD249))),"Invalid",IF(AD249&lt;&gt;"","Warning","Clean"))</f>
        <v>Clean</v>
      </c>
    </row>
    <row r="250" customFormat="false" ht="15" hidden="false" customHeight="true" outlineLevel="0" collapsed="false">
      <c r="A250" s="3" t="s">
        <v>774</v>
      </c>
      <c r="B250" s="4" t="n">
        <v>45445</v>
      </c>
      <c r="C250" s="4" t="n">
        <v>45450</v>
      </c>
      <c r="D250" s="3" t="s">
        <v>775</v>
      </c>
      <c r="E250" s="3" t="str">
        <f aca="false">PROPER(TRIM(SUBSTITUTE(Raw_Text_Fields!B251,CHAR(160)," ")))</f>
        <v>Rohan Mehta</v>
      </c>
      <c r="F250" s="3" t="str">
        <f aca="false">PROPER(TRIM(SUBSTITUTE(Raw_Text_Fields!C251,CHAR(160)," ")))</f>
        <v>Home Office</v>
      </c>
      <c r="G250" s="3" t="str">
        <f aca="false">PROPER(TRIM(SUBSTITUTE(Raw_Text_Fields!D251,CHAR(160)," ")))</f>
        <v>East</v>
      </c>
      <c r="H250" s="3" t="str">
        <f aca="false">PROPER(TRIM(SUBSTITUTE(Raw_Text_Fields!E251,CHAR(160)," ")))</f>
        <v>Odisha</v>
      </c>
      <c r="I250" s="3" t="str">
        <f aca="false">PROPER(TRIM(SUBSTITUTE(Raw_Text_Fields!F251,CHAR(160)," ")))</f>
        <v>Bhubaneswar</v>
      </c>
      <c r="J250" s="3" t="str">
        <f aca="false">PROPER(TRIM(SUBSTITUTE(Raw_Text_Fields!G251,CHAR(160)," ")))</f>
        <v>Office Supplies</v>
      </c>
      <c r="K250" s="3" t="str">
        <f aca="false">PROPER(TRIM(SUBSTITUTE(Raw_Text_Fields!H251,CHAR(160)," ")))</f>
        <v>Labels</v>
      </c>
      <c r="L250" s="3" t="s">
        <v>776</v>
      </c>
      <c r="M250" s="3" t="str">
        <f aca="false">PROPER(TRIM(SUBSTITUTE(Raw_Text_Fields!I251,CHAR(160)," ")))</f>
        <v>Second Class</v>
      </c>
      <c r="N250" s="3" t="n">
        <v>9</v>
      </c>
      <c r="O250" s="5" t="n">
        <v>787.91</v>
      </c>
      <c r="P250" s="6" t="n">
        <v>0.15</v>
      </c>
      <c r="Q250" s="5" t="n">
        <v>6027.51</v>
      </c>
      <c r="R250" s="5" t="n">
        <v>4883.82</v>
      </c>
      <c r="S250" s="5" t="n">
        <v>1143.69</v>
      </c>
      <c r="T250" s="3" t="str">
        <f aca="false">PROPER(TRIM(SUBSTITUTE(Raw_Text_Fields!J251,CHAR(160)," ")))</f>
        <v>Paid</v>
      </c>
      <c r="U250" s="3" t="str">
        <f aca="false">PROPER(TRIM(SUBSTITUTE(Raw_Text_Fields!K251,CHAR(160)," ")))</f>
        <v>Completed</v>
      </c>
      <c r="V250" s="7" t="n">
        <f aca="false">IF(OR(P250&lt;0,P250&gt;0.5),0,P250)</f>
        <v>0.15</v>
      </c>
      <c r="W250" s="8" t="n">
        <f aca="false">N250*O250*(1-V250)</f>
        <v>6027.5115</v>
      </c>
      <c r="X250" s="8" t="n">
        <f aca="false">W250-R250</f>
        <v>1143.6915</v>
      </c>
      <c r="Y250" s="7" t="n">
        <f aca="false">IFERROR(X250/W250,0)</f>
        <v>0.189745220726663</v>
      </c>
      <c r="Z250" s="9" t="n">
        <f aca="false">C250-B250</f>
        <v>5</v>
      </c>
      <c r="AA250" s="1" t="str">
        <f aca="false">IF(B250="","",TEXT(B250,"mmm"))</f>
        <v>Jun</v>
      </c>
      <c r="AB250" s="9" t="n">
        <f aca="false">IF(B250="","",YEAR(B250))</f>
        <v>2024</v>
      </c>
      <c r="AC250" s="3"/>
      <c r="AD250" s="3" t="str">
        <f aca="false">IF(LEFT(AC250&amp;IF(B250="","; Missing Order Date","")&amp;IF(C250="","; Missing Ship Date","")&amp;IF(P250&lt;0,"; Invalid Discount (Negative)","")&amp;IF(P250&gt;0.5,"; Invalid Discount (Too High)","")&amp;IF(Z250&lt;0,"; Invalid Shipping Record (Ship Before Order)","")&amp;IF(ABS(Q250-W250)&gt;1,"; Sales Mismatch","")&amp;IF(ABS(S250-X250)&gt;1,"; Profit Mismatch","")&amp;IF(COUNTIF($A$2:$A$913,A250)&gt;1,"; Duplicate Order ID Conflict",""),2)="; ",MID(AC250&amp;IF(B250="","; Missing Order Date","")&amp;IF(C250="","; Missing Ship Date","")&amp;IF(P250&lt;0,"; Invalid Discount (Negative)","")&amp;IF(P250&gt;0.5,"; Invalid Discount (Too High)","")&amp;IF(Z250&lt;0,"; Invalid Shipping Record (Ship Before Order)","")&amp;IF(ABS(Q250-W250)&gt;1,"; Sales Mismatch","")&amp;IF(ABS(S250-X250)&gt;1,"; Profit Mismatch","")&amp;IF(COUNTIF($A$2:$A$913,A250)&gt;1,"; Duplicate Order ID Conflict",""),3,500),AC250&amp;IF(B250="","; Missing Order Date","")&amp;IF(C250="","; Missing Ship Date","")&amp;IF(P250&lt;0,"; Invalid Discount (Negative)","")&amp;IF(P250&gt;0.5,"; Invalid Discount (Too High)","")&amp;IF(Z250&lt;0,"; Invalid Shipping Record (Ship Before Order)","")&amp;IF(ABS(Q250-W250)&gt;1,"; Sales Mismatch","")&amp;IF(ABS(S250-X250)&gt;1,"; Profit Mismatch","")&amp;IF(COUNTIF($A$2:$A$913,A250)&gt;1,"; Duplicate Order ID Conflict",""))</f>
        <v/>
      </c>
      <c r="AE250" s="10" t="str">
        <f aca="false">IF(OR(ISNUMBER(SEARCH("Invalid Discount",AD250)),ISNUMBER(SEARCH("Invalid Shipping Record",AD250)),ISNUMBER(SEARCH("Sales Mismatch",AD250)),ISNUMBER(SEARCH("Profit Mismatch",AD250)),ISNUMBER(SEARCH("Duplicate Order ID Conflict",AD250)),ISNUMBER(SEARCH("Missing Order Date",AD250)),ISNUMBER(SEARCH("Missing Ship Date",AD250))),"Invalid",IF(AD250&lt;&gt;"","Warning","Clean"))</f>
        <v>Clean</v>
      </c>
    </row>
    <row r="251" customFormat="false" ht="15" hidden="false" customHeight="true" outlineLevel="0" collapsed="false">
      <c r="A251" s="3" t="s">
        <v>777</v>
      </c>
      <c r="B251" s="4" t="n">
        <v>45870</v>
      </c>
      <c r="C251" s="4" t="n">
        <v>45871</v>
      </c>
      <c r="D251" s="3" t="s">
        <v>778</v>
      </c>
      <c r="E251" s="3" t="str">
        <f aca="false">PROPER(TRIM(SUBSTITUTE(Raw_Text_Fields!B252,CHAR(160)," ")))</f>
        <v>Mira Das</v>
      </c>
      <c r="F251" s="3" t="str">
        <f aca="false">PROPER(TRIM(SUBSTITUTE(Raw_Text_Fields!C252,CHAR(160)," ")))</f>
        <v>Corporate</v>
      </c>
      <c r="G251" s="3" t="str">
        <f aca="false">PROPER(TRIM(SUBSTITUTE(Raw_Text_Fields!D252,CHAR(160)," ")))</f>
        <v>North</v>
      </c>
      <c r="H251" s="3" t="str">
        <f aca="false">PROPER(TRIM(SUBSTITUTE(Raw_Text_Fields!E252,CHAR(160)," ")))</f>
        <v>Rajasthan</v>
      </c>
      <c r="I251" s="3" t="str">
        <f aca="false">PROPER(TRIM(SUBSTITUTE(Raw_Text_Fields!F252,CHAR(160)," ")))</f>
        <v>Jaipur</v>
      </c>
      <c r="J251" s="3" t="str">
        <f aca="false">PROPER(TRIM(SUBSTITUTE(Raw_Text_Fields!G252,CHAR(160)," ")))</f>
        <v>Furniture</v>
      </c>
      <c r="K251" s="3" t="str">
        <f aca="false">PROPER(TRIM(SUBSTITUTE(Raw_Text_Fields!H252,CHAR(160)," ")))</f>
        <v>Furnishings</v>
      </c>
      <c r="L251" s="3" t="s">
        <v>779</v>
      </c>
      <c r="M251" s="3" t="str">
        <f aca="false">PROPER(TRIM(SUBSTITUTE(Raw_Text_Fields!I252,CHAR(160)," ")))</f>
        <v>First Class</v>
      </c>
      <c r="N251" s="3" t="n">
        <v>4</v>
      </c>
      <c r="O251" s="5" t="n">
        <v>2790.29</v>
      </c>
      <c r="P251" s="6" t="n">
        <v>0.2</v>
      </c>
      <c r="Q251" s="5" t="n">
        <v>8928.93</v>
      </c>
      <c r="R251" s="5" t="n">
        <v>5634.38</v>
      </c>
      <c r="S251" s="5" t="n">
        <v>3294.55</v>
      </c>
      <c r="T251" s="3" t="str">
        <f aca="false">PROPER(TRIM(SUBSTITUTE(Raw_Text_Fields!J252,CHAR(160)," ")))</f>
        <v>Paid</v>
      </c>
      <c r="U251" s="3" t="str">
        <f aca="false">PROPER(TRIM(SUBSTITUTE(Raw_Text_Fields!K252,CHAR(160)," ")))</f>
        <v>Completed</v>
      </c>
      <c r="V251" s="7" t="n">
        <f aca="false">IF(OR(P251&lt;0,P251&gt;0.5),0,P251)</f>
        <v>0.2</v>
      </c>
      <c r="W251" s="8" t="n">
        <f aca="false">N251*O251*(1-V251)</f>
        <v>8928.928</v>
      </c>
      <c r="X251" s="8" t="n">
        <f aca="false">W251-R251</f>
        <v>3294.548</v>
      </c>
      <c r="Y251" s="7" t="n">
        <f aca="false">IFERROR(X251/W251,0)</f>
        <v>0.368974640628752</v>
      </c>
      <c r="Z251" s="9" t="n">
        <f aca="false">C251-B251</f>
        <v>1</v>
      </c>
      <c r="AA251" s="1" t="str">
        <f aca="false">IF(B251="","",TEXT(B251,"mmm"))</f>
        <v>Aug</v>
      </c>
      <c r="AB251" s="9" t="n">
        <f aca="false">IF(B251="","",YEAR(B251))</f>
        <v>2025</v>
      </c>
      <c r="AC251" s="3"/>
      <c r="AD251" s="3" t="str">
        <f aca="false">IF(LEFT(AC251&amp;IF(B251="","; Missing Order Date","")&amp;IF(C251="","; Missing Ship Date","")&amp;IF(P251&lt;0,"; Invalid Discount (Negative)","")&amp;IF(P251&gt;0.5,"; Invalid Discount (Too High)","")&amp;IF(Z251&lt;0,"; Invalid Shipping Record (Ship Before Order)","")&amp;IF(ABS(Q251-W251)&gt;1,"; Sales Mismatch","")&amp;IF(ABS(S251-X251)&gt;1,"; Profit Mismatch","")&amp;IF(COUNTIF($A$2:$A$913,A251)&gt;1,"; Duplicate Order ID Conflict",""),2)="; ",MID(AC251&amp;IF(B251="","; Missing Order Date","")&amp;IF(C251="","; Missing Ship Date","")&amp;IF(P251&lt;0,"; Invalid Discount (Negative)","")&amp;IF(P251&gt;0.5,"; Invalid Discount (Too High)","")&amp;IF(Z251&lt;0,"; Invalid Shipping Record (Ship Before Order)","")&amp;IF(ABS(Q251-W251)&gt;1,"; Sales Mismatch","")&amp;IF(ABS(S251-X251)&gt;1,"; Profit Mismatch","")&amp;IF(COUNTIF($A$2:$A$913,A251)&gt;1,"; Duplicate Order ID Conflict",""),3,500),AC251&amp;IF(B251="","; Missing Order Date","")&amp;IF(C251="","; Missing Ship Date","")&amp;IF(P251&lt;0,"; Invalid Discount (Negative)","")&amp;IF(P251&gt;0.5,"; Invalid Discount (Too High)","")&amp;IF(Z251&lt;0,"; Invalid Shipping Record (Ship Before Order)","")&amp;IF(ABS(Q251-W251)&gt;1,"; Sales Mismatch","")&amp;IF(ABS(S251-X251)&gt;1,"; Profit Mismatch","")&amp;IF(COUNTIF($A$2:$A$913,A251)&gt;1,"; Duplicate Order ID Conflict",""))</f>
        <v/>
      </c>
      <c r="AE251" s="10" t="str">
        <f aca="false">IF(OR(ISNUMBER(SEARCH("Invalid Discount",AD251)),ISNUMBER(SEARCH("Invalid Shipping Record",AD251)),ISNUMBER(SEARCH("Sales Mismatch",AD251)),ISNUMBER(SEARCH("Profit Mismatch",AD251)),ISNUMBER(SEARCH("Duplicate Order ID Conflict",AD251)),ISNUMBER(SEARCH("Missing Order Date",AD251)),ISNUMBER(SEARCH("Missing Ship Date",AD251))),"Invalid",IF(AD251&lt;&gt;"","Warning","Clean"))</f>
        <v>Clean</v>
      </c>
    </row>
    <row r="252" customFormat="false" ht="15" hidden="false" customHeight="true" outlineLevel="0" collapsed="false">
      <c r="A252" s="3" t="s">
        <v>780</v>
      </c>
      <c r="B252" s="4" t="n">
        <v>45343</v>
      </c>
      <c r="C252" s="4" t="n">
        <v>45349</v>
      </c>
      <c r="D252" s="3" t="s">
        <v>781</v>
      </c>
      <c r="E252" s="3" t="str">
        <f aca="false">PROPER(TRIM(SUBSTITUTE(Raw_Text_Fields!B253,CHAR(160)," ")))</f>
        <v>Arjun Bose</v>
      </c>
      <c r="F252" s="3" t="str">
        <f aca="false">PROPER(TRIM(SUBSTITUTE(Raw_Text_Fields!C253,CHAR(160)," ")))</f>
        <v>Small Business</v>
      </c>
      <c r="G252" s="3" t="str">
        <f aca="false">PROPER(TRIM(SUBSTITUTE(Raw_Text_Fields!D253,CHAR(160)," ")))</f>
        <v>East</v>
      </c>
      <c r="H252" s="3" t="str">
        <f aca="false">PROPER(TRIM(SUBSTITUTE(Raw_Text_Fields!E253,CHAR(160)," ")))</f>
        <v>West Bengal</v>
      </c>
      <c r="I252" s="3" t="str">
        <f aca="false">PROPER(TRIM(SUBSTITUTE(Raw_Text_Fields!F253,CHAR(160)," ")))</f>
        <v>Kolkata</v>
      </c>
      <c r="J252" s="3" t="str">
        <f aca="false">PROPER(TRIM(SUBSTITUTE(Raw_Text_Fields!G253,CHAR(160)," ")))</f>
        <v>Furniture</v>
      </c>
      <c r="K252" s="3" t="str">
        <f aca="false">PROPER(TRIM(SUBSTITUTE(Raw_Text_Fields!H253,CHAR(160)," ")))</f>
        <v>Furnishings</v>
      </c>
      <c r="L252" s="3" t="s">
        <v>782</v>
      </c>
      <c r="M252" s="3" t="str">
        <f aca="false">PROPER(TRIM(SUBSTITUTE(Raw_Text_Fields!I253,CHAR(160)," ")))</f>
        <v>Standard Class</v>
      </c>
      <c r="N252" s="3" t="n">
        <v>5</v>
      </c>
      <c r="O252" s="5" t="n">
        <v>3373.86</v>
      </c>
      <c r="P252" s="6" t="n">
        <v>0.15</v>
      </c>
      <c r="Q252" s="5" t="n">
        <v>14338.9</v>
      </c>
      <c r="R252" s="5" t="n">
        <v>11897.65</v>
      </c>
      <c r="S252" s="5" t="n">
        <v>2441.25</v>
      </c>
      <c r="T252" s="3" t="str">
        <f aca="false">PROPER(TRIM(SUBSTITUTE(Raw_Text_Fields!J253,CHAR(160)," ")))</f>
        <v>Pending</v>
      </c>
      <c r="U252" s="3" t="str">
        <f aca="false">PROPER(TRIM(SUBSTITUTE(Raw_Text_Fields!K253,CHAR(160)," ")))</f>
        <v>Returned</v>
      </c>
      <c r="V252" s="7" t="n">
        <f aca="false">IF(OR(P252&lt;0,P252&gt;0.5),0,P252)</f>
        <v>0.15</v>
      </c>
      <c r="W252" s="8" t="n">
        <f aca="false">N252*O252*(1-V252)</f>
        <v>14338.905</v>
      </c>
      <c r="X252" s="8" t="n">
        <f aca="false">W252-R252</f>
        <v>2441.255</v>
      </c>
      <c r="Y252" s="7" t="n">
        <f aca="false">IFERROR(X252/W252,0)</f>
        <v>0.170253935011076</v>
      </c>
      <c r="Z252" s="9" t="n">
        <f aca="false">C252-B252</f>
        <v>6</v>
      </c>
      <c r="AA252" s="1" t="str">
        <f aca="false">IF(B252="","",TEXT(B252,"mmm"))</f>
        <v>Feb</v>
      </c>
      <c r="AB252" s="9" t="n">
        <f aca="false">IF(B252="","",YEAR(B252))</f>
        <v>2024</v>
      </c>
      <c r="AC252" s="3"/>
      <c r="AD252" s="3" t="str">
        <f aca="false">IF(LEFT(AC252&amp;IF(B252="","; Missing Order Date","")&amp;IF(C252="","; Missing Ship Date","")&amp;IF(P252&lt;0,"; Invalid Discount (Negative)","")&amp;IF(P252&gt;0.5,"; Invalid Discount (Too High)","")&amp;IF(Z252&lt;0,"; Invalid Shipping Record (Ship Before Order)","")&amp;IF(ABS(Q252-W252)&gt;1,"; Sales Mismatch","")&amp;IF(ABS(S252-X252)&gt;1,"; Profit Mismatch","")&amp;IF(COUNTIF($A$2:$A$913,A252)&gt;1,"; Duplicate Order ID Conflict",""),2)="; ",MID(AC252&amp;IF(B252="","; Missing Order Date","")&amp;IF(C252="","; Missing Ship Date","")&amp;IF(P252&lt;0,"; Invalid Discount (Negative)","")&amp;IF(P252&gt;0.5,"; Invalid Discount (Too High)","")&amp;IF(Z252&lt;0,"; Invalid Shipping Record (Ship Before Order)","")&amp;IF(ABS(Q252-W252)&gt;1,"; Sales Mismatch","")&amp;IF(ABS(S252-X252)&gt;1,"; Profit Mismatch","")&amp;IF(COUNTIF($A$2:$A$913,A252)&gt;1,"; Duplicate Order ID Conflict",""),3,500),AC252&amp;IF(B252="","; Missing Order Date","")&amp;IF(C252="","; Missing Ship Date","")&amp;IF(P252&lt;0,"; Invalid Discount (Negative)","")&amp;IF(P252&gt;0.5,"; Invalid Discount (Too High)","")&amp;IF(Z252&lt;0,"; Invalid Shipping Record (Ship Before Order)","")&amp;IF(ABS(Q252-W252)&gt;1,"; Sales Mismatch","")&amp;IF(ABS(S252-X252)&gt;1,"; Profit Mismatch","")&amp;IF(COUNTIF($A$2:$A$913,A252)&gt;1,"; Duplicate Order ID Conflict",""))</f>
        <v/>
      </c>
      <c r="AE252" s="10" t="str">
        <f aca="false">IF(OR(ISNUMBER(SEARCH("Invalid Discount",AD252)),ISNUMBER(SEARCH("Invalid Shipping Record",AD252)),ISNUMBER(SEARCH("Sales Mismatch",AD252)),ISNUMBER(SEARCH("Profit Mismatch",AD252)),ISNUMBER(SEARCH("Duplicate Order ID Conflict",AD252)),ISNUMBER(SEARCH("Missing Order Date",AD252)),ISNUMBER(SEARCH("Missing Ship Date",AD252))),"Invalid",IF(AD252&lt;&gt;"","Warning","Clean"))</f>
        <v>Clean</v>
      </c>
    </row>
    <row r="253" customFormat="false" ht="15" hidden="false" customHeight="true" outlineLevel="0" collapsed="false">
      <c r="A253" s="3" t="s">
        <v>783</v>
      </c>
      <c r="B253" s="4" t="n">
        <v>45753</v>
      </c>
      <c r="C253" s="4" t="n">
        <v>45757</v>
      </c>
      <c r="D253" s="3" t="s">
        <v>784</v>
      </c>
      <c r="E253" s="3" t="str">
        <f aca="false">PROPER(TRIM(SUBSTITUTE(Raw_Text_Fields!B254,CHAR(160)," ")))</f>
        <v>Ananya Rao</v>
      </c>
      <c r="F253" s="3" t="str">
        <f aca="false">PROPER(TRIM(SUBSTITUTE(Raw_Text_Fields!C254,CHAR(160)," ")))</f>
        <v>Corporate</v>
      </c>
      <c r="G253" s="3" t="str">
        <f aca="false">PROPER(TRIM(SUBSTITUTE(Raw_Text_Fields!D254,CHAR(160)," ")))</f>
        <v>West</v>
      </c>
      <c r="H253" s="3" t="str">
        <f aca="false">PROPER(TRIM(SUBSTITUTE(Raw_Text_Fields!E254,CHAR(160)," ")))</f>
        <v>Gujarat</v>
      </c>
      <c r="I253" s="3" t="str">
        <f aca="false">PROPER(TRIM(SUBSTITUTE(Raw_Text_Fields!F254,CHAR(160)," ")))</f>
        <v>Ahmedabad</v>
      </c>
      <c r="J253" s="3" t="str">
        <f aca="false">PROPER(TRIM(SUBSTITUTE(Raw_Text_Fields!G254,CHAR(160)," ")))</f>
        <v>Furniture</v>
      </c>
      <c r="K253" s="3" t="str">
        <f aca="false">PROPER(TRIM(SUBSTITUTE(Raw_Text_Fields!H254,CHAR(160)," ")))</f>
        <v>Tables</v>
      </c>
      <c r="L253" s="3" t="s">
        <v>785</v>
      </c>
      <c r="M253" s="3" t="str">
        <f aca="false">PROPER(TRIM(SUBSTITUTE(Raw_Text_Fields!I254,CHAR(160)," ")))</f>
        <v>Second Class</v>
      </c>
      <c r="N253" s="3" t="n">
        <v>6</v>
      </c>
      <c r="O253" s="5" t="n">
        <v>1022.16</v>
      </c>
      <c r="P253" s="6" t="n">
        <v>0</v>
      </c>
      <c r="Q253" s="5" t="n">
        <v>6132.96</v>
      </c>
      <c r="R253" s="5" t="n">
        <v>4881.1</v>
      </c>
      <c r="S253" s="5" t="n">
        <v>1251.86</v>
      </c>
      <c r="T253" s="3" t="str">
        <f aca="false">PROPER(TRIM(SUBSTITUTE(Raw_Text_Fields!J254,CHAR(160)," ")))</f>
        <v>Paid</v>
      </c>
      <c r="U253" s="3" t="str">
        <f aca="false">PROPER(TRIM(SUBSTITUTE(Raw_Text_Fields!K254,CHAR(160)," ")))</f>
        <v>Completed</v>
      </c>
      <c r="V253" s="7" t="n">
        <f aca="false">IF(OR(P253&lt;0,P253&gt;0.5),0,P253)</f>
        <v>0</v>
      </c>
      <c r="W253" s="8" t="n">
        <f aca="false">N253*O253*(1-V253)</f>
        <v>6132.96</v>
      </c>
      <c r="X253" s="8" t="n">
        <f aca="false">W253-R253</f>
        <v>1251.86</v>
      </c>
      <c r="Y253" s="7" t="n">
        <f aca="false">IFERROR(X253/W253,0)</f>
        <v>0.204120033393337</v>
      </c>
      <c r="Z253" s="9" t="n">
        <f aca="false">C253-B253</f>
        <v>4</v>
      </c>
      <c r="AA253" s="1" t="str">
        <f aca="false">IF(B253="","",TEXT(B253,"mmm"))</f>
        <v>Apr</v>
      </c>
      <c r="AB253" s="9" t="n">
        <f aca="false">IF(B253="","",YEAR(B253))</f>
        <v>2025</v>
      </c>
      <c r="AC253" s="3"/>
      <c r="AD253" s="3" t="str">
        <f aca="false">IF(LEFT(AC253&amp;IF(B253="","; Missing Order Date","")&amp;IF(C253="","; Missing Ship Date","")&amp;IF(P253&lt;0,"; Invalid Discount (Negative)","")&amp;IF(P253&gt;0.5,"; Invalid Discount (Too High)","")&amp;IF(Z253&lt;0,"; Invalid Shipping Record (Ship Before Order)","")&amp;IF(ABS(Q253-W253)&gt;1,"; Sales Mismatch","")&amp;IF(ABS(S253-X253)&gt;1,"; Profit Mismatch","")&amp;IF(COUNTIF($A$2:$A$913,A253)&gt;1,"; Duplicate Order ID Conflict",""),2)="; ",MID(AC253&amp;IF(B253="","; Missing Order Date","")&amp;IF(C253="","; Missing Ship Date","")&amp;IF(P253&lt;0,"; Invalid Discount (Negative)","")&amp;IF(P253&gt;0.5,"; Invalid Discount (Too High)","")&amp;IF(Z253&lt;0,"; Invalid Shipping Record (Ship Before Order)","")&amp;IF(ABS(Q253-W253)&gt;1,"; Sales Mismatch","")&amp;IF(ABS(S253-X253)&gt;1,"; Profit Mismatch","")&amp;IF(COUNTIF($A$2:$A$913,A253)&gt;1,"; Duplicate Order ID Conflict",""),3,500),AC253&amp;IF(B253="","; Missing Order Date","")&amp;IF(C253="","; Missing Ship Date","")&amp;IF(P253&lt;0,"; Invalid Discount (Negative)","")&amp;IF(P253&gt;0.5,"; Invalid Discount (Too High)","")&amp;IF(Z253&lt;0,"; Invalid Shipping Record (Ship Before Order)","")&amp;IF(ABS(Q253-W253)&gt;1,"; Sales Mismatch","")&amp;IF(ABS(S253-X253)&gt;1,"; Profit Mismatch","")&amp;IF(COUNTIF($A$2:$A$913,A253)&gt;1,"; Duplicate Order ID Conflict",""))</f>
        <v/>
      </c>
      <c r="AE253" s="10" t="str">
        <f aca="false">IF(OR(ISNUMBER(SEARCH("Invalid Discount",AD253)),ISNUMBER(SEARCH("Invalid Shipping Record",AD253)),ISNUMBER(SEARCH("Sales Mismatch",AD253)),ISNUMBER(SEARCH("Profit Mismatch",AD253)),ISNUMBER(SEARCH("Duplicate Order ID Conflict",AD253)),ISNUMBER(SEARCH("Missing Order Date",AD253)),ISNUMBER(SEARCH("Missing Ship Date",AD253))),"Invalid",IF(AD253&lt;&gt;"","Warning","Clean"))</f>
        <v>Clean</v>
      </c>
    </row>
    <row r="254" customFormat="false" ht="15" hidden="false" customHeight="true" outlineLevel="0" collapsed="false">
      <c r="A254" s="3" t="s">
        <v>786</v>
      </c>
      <c r="B254" s="4" t="n">
        <v>45833</v>
      </c>
      <c r="C254" s="4" t="n">
        <v>45836</v>
      </c>
      <c r="D254" s="3" t="s">
        <v>787</v>
      </c>
      <c r="E254" s="3" t="str">
        <f aca="false">PROPER(TRIM(SUBSTITUTE(Raw_Text_Fields!B255,CHAR(160)," ")))</f>
        <v>Arjun Bose</v>
      </c>
      <c r="F254" s="3" t="str">
        <f aca="false">PROPER(TRIM(SUBSTITUTE(Raw_Text_Fields!C255,CHAR(160)," ")))</f>
        <v>Corporate</v>
      </c>
      <c r="G254" s="3" t="str">
        <f aca="false">PROPER(TRIM(SUBSTITUTE(Raw_Text_Fields!D255,CHAR(160)," ")))</f>
        <v>North</v>
      </c>
      <c r="H254" s="3" t="str">
        <f aca="false">PROPER(TRIM(SUBSTITUTE(Raw_Text_Fields!E255,CHAR(160)," ")))</f>
        <v>Haryana</v>
      </c>
      <c r="I254" s="3" t="str">
        <f aca="false">PROPER(TRIM(SUBSTITUTE(Raw_Text_Fields!F255,CHAR(160)," ")))</f>
        <v>Gurugram</v>
      </c>
      <c r="J254" s="3" t="str">
        <f aca="false">PROPER(TRIM(SUBSTITUTE(Raw_Text_Fields!G255,CHAR(160)," ")))</f>
        <v>Office Supplies</v>
      </c>
      <c r="K254" s="3" t="str">
        <f aca="false">PROPER(TRIM(SUBSTITUTE(Raw_Text_Fields!H255,CHAR(160)," ")))</f>
        <v>Storage</v>
      </c>
      <c r="L254" s="3" t="s">
        <v>788</v>
      </c>
      <c r="M254" s="3" t="str">
        <f aca="false">PROPER(TRIM(SUBSTITUTE(Raw_Text_Fields!I255,CHAR(160)," ")))</f>
        <v>First Class</v>
      </c>
      <c r="N254" s="3" t="n">
        <v>2</v>
      </c>
      <c r="O254" s="5" t="n">
        <v>1455.92</v>
      </c>
      <c r="P254" s="6" t="n">
        <v>0.2</v>
      </c>
      <c r="Q254" s="5" t="n">
        <v>2329.47</v>
      </c>
      <c r="R254" s="5" t="n">
        <v>1603.62</v>
      </c>
      <c r="S254" s="5" t="n">
        <v>725.85</v>
      </c>
      <c r="T254" s="3" t="str">
        <f aca="false">PROPER(TRIM(SUBSTITUTE(Raw_Text_Fields!J255,CHAR(160)," ")))</f>
        <v>Pending</v>
      </c>
      <c r="U254" s="3" t="str">
        <f aca="false">PROPER(TRIM(SUBSTITUTE(Raw_Text_Fields!K255,CHAR(160)," ")))</f>
        <v>Returned</v>
      </c>
      <c r="V254" s="7" t="n">
        <f aca="false">IF(OR(P254&lt;0,P254&gt;0.5),0,P254)</f>
        <v>0.2</v>
      </c>
      <c r="W254" s="8" t="n">
        <f aca="false">N254*O254*(1-V254)</f>
        <v>2329.472</v>
      </c>
      <c r="X254" s="8" t="n">
        <f aca="false">W254-R254</f>
        <v>725.852</v>
      </c>
      <c r="Y254" s="7" t="n">
        <f aca="false">IFERROR(X254/W254,0)</f>
        <v>0.31159507390516</v>
      </c>
      <c r="Z254" s="9" t="n">
        <f aca="false">C254-B254</f>
        <v>3</v>
      </c>
      <c r="AA254" s="1" t="str">
        <f aca="false">IF(B254="","",TEXT(B254,"mmm"))</f>
        <v>Jun</v>
      </c>
      <c r="AB254" s="9" t="n">
        <f aca="false">IF(B254="","",YEAR(B254))</f>
        <v>2025</v>
      </c>
      <c r="AC254" s="3"/>
      <c r="AD254" s="3" t="str">
        <f aca="false">IF(LEFT(AC254&amp;IF(B254="","; Missing Order Date","")&amp;IF(C254="","; Missing Ship Date","")&amp;IF(P254&lt;0,"; Invalid Discount (Negative)","")&amp;IF(P254&gt;0.5,"; Invalid Discount (Too High)","")&amp;IF(Z254&lt;0,"; Invalid Shipping Record (Ship Before Order)","")&amp;IF(ABS(Q254-W254)&gt;1,"; Sales Mismatch","")&amp;IF(ABS(S254-X254)&gt;1,"; Profit Mismatch","")&amp;IF(COUNTIF($A$2:$A$913,A254)&gt;1,"; Duplicate Order ID Conflict",""),2)="; ",MID(AC254&amp;IF(B254="","; Missing Order Date","")&amp;IF(C254="","; Missing Ship Date","")&amp;IF(P254&lt;0,"; Invalid Discount (Negative)","")&amp;IF(P254&gt;0.5,"; Invalid Discount (Too High)","")&amp;IF(Z254&lt;0,"; Invalid Shipping Record (Ship Before Order)","")&amp;IF(ABS(Q254-W254)&gt;1,"; Sales Mismatch","")&amp;IF(ABS(S254-X254)&gt;1,"; Profit Mismatch","")&amp;IF(COUNTIF($A$2:$A$913,A254)&gt;1,"; Duplicate Order ID Conflict",""),3,500),AC254&amp;IF(B254="","; Missing Order Date","")&amp;IF(C254="","; Missing Ship Date","")&amp;IF(P254&lt;0,"; Invalid Discount (Negative)","")&amp;IF(P254&gt;0.5,"; Invalid Discount (Too High)","")&amp;IF(Z254&lt;0,"; Invalid Shipping Record (Ship Before Order)","")&amp;IF(ABS(Q254-W254)&gt;1,"; Sales Mismatch","")&amp;IF(ABS(S254-X254)&gt;1,"; Profit Mismatch","")&amp;IF(COUNTIF($A$2:$A$913,A254)&gt;1,"; Duplicate Order ID Conflict",""))</f>
        <v/>
      </c>
      <c r="AE254" s="10" t="str">
        <f aca="false">IF(OR(ISNUMBER(SEARCH("Invalid Discount",AD254)),ISNUMBER(SEARCH("Invalid Shipping Record",AD254)),ISNUMBER(SEARCH("Sales Mismatch",AD254)),ISNUMBER(SEARCH("Profit Mismatch",AD254)),ISNUMBER(SEARCH("Duplicate Order ID Conflict",AD254)),ISNUMBER(SEARCH("Missing Order Date",AD254)),ISNUMBER(SEARCH("Missing Ship Date",AD254))),"Invalid",IF(AD254&lt;&gt;"","Warning","Clean"))</f>
        <v>Clean</v>
      </c>
    </row>
    <row r="255" customFormat="false" ht="15" hidden="false" customHeight="true" outlineLevel="0" collapsed="false">
      <c r="A255" s="3" t="s">
        <v>789</v>
      </c>
      <c r="B255" s="4" t="n">
        <v>45547</v>
      </c>
      <c r="C255" s="4" t="n">
        <v>45548</v>
      </c>
      <c r="D255" s="3" t="s">
        <v>790</v>
      </c>
      <c r="E255" s="3" t="str">
        <f aca="false">PROPER(TRIM(SUBSTITUTE(Raw_Text_Fields!B256,CHAR(160)," ")))</f>
        <v>Priya Menon</v>
      </c>
      <c r="F255" s="3" t="str">
        <f aca="false">PROPER(TRIM(SUBSTITUTE(Raw_Text_Fields!C256,CHAR(160)," ")))</f>
        <v>Small Business</v>
      </c>
      <c r="G255" s="3" t="str">
        <f aca="false">PROPER(TRIM(SUBSTITUTE(Raw_Text_Fields!D256,CHAR(160)," ")))</f>
        <v>North</v>
      </c>
      <c r="H255" s="3" t="str">
        <f aca="false">PROPER(TRIM(SUBSTITUTE(Raw_Text_Fields!E256,CHAR(160)," ")))</f>
        <v>Rajasthan</v>
      </c>
      <c r="I255" s="3" t="str">
        <f aca="false">PROPER(TRIM(SUBSTITUTE(Raw_Text_Fields!F256,CHAR(160)," ")))</f>
        <v>Jaipur</v>
      </c>
      <c r="J255" s="3" t="str">
        <f aca="false">PROPER(TRIM(SUBSTITUTE(Raw_Text_Fields!G256,CHAR(160)," ")))</f>
        <v>Technology</v>
      </c>
      <c r="K255" s="3" t="str">
        <f aca="false">PROPER(TRIM(SUBSTITUTE(Raw_Text_Fields!H256,CHAR(160)," ")))</f>
        <v>Phones</v>
      </c>
      <c r="L255" s="3" t="s">
        <v>791</v>
      </c>
      <c r="M255" s="3" t="str">
        <f aca="false">PROPER(TRIM(SUBSTITUTE(Raw_Text_Fields!I256,CHAR(160)," ")))</f>
        <v>Same Day</v>
      </c>
      <c r="N255" s="3" t="n">
        <v>6</v>
      </c>
      <c r="O255" s="5" t="n">
        <v>832.79</v>
      </c>
      <c r="P255" s="6" t="n">
        <v>0.05</v>
      </c>
      <c r="Q255" s="5" t="n">
        <v>4746.9</v>
      </c>
      <c r="R255" s="5" t="n">
        <v>2825.38</v>
      </c>
      <c r="S255" s="5" t="n">
        <v>1472.89</v>
      </c>
      <c r="T255" s="3" t="str">
        <f aca="false">PROPER(TRIM(SUBSTITUTE(Raw_Text_Fields!J256,CHAR(160)," ")))</f>
        <v>Refunded</v>
      </c>
      <c r="U255" s="3" t="str">
        <f aca="false">PROPER(TRIM(SUBSTITUTE(Raw_Text_Fields!K256,CHAR(160)," ")))</f>
        <v>Cancelled</v>
      </c>
      <c r="V255" s="7" t="n">
        <f aca="false">IF(OR(P255&lt;0,P255&gt;0.5),0,P255)</f>
        <v>0.05</v>
      </c>
      <c r="W255" s="8" t="n">
        <f aca="false">N255*O255*(1-V255)</f>
        <v>4746.903</v>
      </c>
      <c r="X255" s="8" t="n">
        <f aca="false">W255-R255</f>
        <v>1921.523</v>
      </c>
      <c r="Y255" s="7" t="n">
        <f aca="false">IFERROR(X255/W255,0)</f>
        <v>0.404795084289694</v>
      </c>
      <c r="Z255" s="9" t="n">
        <f aca="false">C255-B255</f>
        <v>1</v>
      </c>
      <c r="AA255" s="1" t="str">
        <f aca="false">IF(B255="","",TEXT(B255,"mmm"))</f>
        <v>Sep</v>
      </c>
      <c r="AB255" s="9" t="n">
        <f aca="false">IF(B255="","",YEAR(B255))</f>
        <v>2024</v>
      </c>
      <c r="AC255" s="3"/>
      <c r="AD255" s="3" t="str">
        <f aca="false">IF(LEFT(AC255&amp;IF(B255="","; Missing Order Date","")&amp;IF(C255="","; Missing Ship Date","")&amp;IF(P255&lt;0,"; Invalid Discount (Negative)","")&amp;IF(P255&gt;0.5,"; Invalid Discount (Too High)","")&amp;IF(Z255&lt;0,"; Invalid Shipping Record (Ship Before Order)","")&amp;IF(ABS(Q255-W255)&gt;1,"; Sales Mismatch","")&amp;IF(ABS(S255-X255)&gt;1,"; Profit Mismatch","")&amp;IF(COUNTIF($A$2:$A$913,A255)&gt;1,"; Duplicate Order ID Conflict",""),2)="; ",MID(AC255&amp;IF(B255="","; Missing Order Date","")&amp;IF(C255="","; Missing Ship Date","")&amp;IF(P255&lt;0,"; Invalid Discount (Negative)","")&amp;IF(P255&gt;0.5,"; Invalid Discount (Too High)","")&amp;IF(Z255&lt;0,"; Invalid Shipping Record (Ship Before Order)","")&amp;IF(ABS(Q255-W255)&gt;1,"; Sales Mismatch","")&amp;IF(ABS(S255-X255)&gt;1,"; Profit Mismatch","")&amp;IF(COUNTIF($A$2:$A$913,A255)&gt;1,"; Duplicate Order ID Conflict",""),3,500),AC255&amp;IF(B255="","; Missing Order Date","")&amp;IF(C255="","; Missing Ship Date","")&amp;IF(P255&lt;0,"; Invalid Discount (Negative)","")&amp;IF(P255&gt;0.5,"; Invalid Discount (Too High)","")&amp;IF(Z255&lt;0,"; Invalid Shipping Record (Ship Before Order)","")&amp;IF(ABS(Q255-W255)&gt;1,"; Sales Mismatch","")&amp;IF(ABS(S255-X255)&gt;1,"; Profit Mismatch","")&amp;IF(COUNTIF($A$2:$A$913,A255)&gt;1,"; Duplicate Order ID Conflict",""))</f>
        <v>Profit Mismatch</v>
      </c>
      <c r="AE255" s="10" t="str">
        <f aca="false">IF(OR(ISNUMBER(SEARCH("Invalid Discount",AD255)),ISNUMBER(SEARCH("Invalid Shipping Record",AD255)),ISNUMBER(SEARCH("Sales Mismatch",AD255)),ISNUMBER(SEARCH("Profit Mismatch",AD255)),ISNUMBER(SEARCH("Duplicate Order ID Conflict",AD255)),ISNUMBER(SEARCH("Missing Order Date",AD255)),ISNUMBER(SEARCH("Missing Ship Date",AD255))),"Invalid",IF(AD255&lt;&gt;"","Warning","Clean"))</f>
        <v>Invalid</v>
      </c>
    </row>
    <row r="256" customFormat="false" ht="15" hidden="false" customHeight="true" outlineLevel="0" collapsed="false">
      <c r="A256" s="3" t="s">
        <v>792</v>
      </c>
      <c r="B256" s="4" t="n">
        <v>45658</v>
      </c>
      <c r="C256" s="4" t="n">
        <v>45660</v>
      </c>
      <c r="D256" s="3" t="s">
        <v>793</v>
      </c>
      <c r="E256" s="3" t="str">
        <f aca="false">PROPER(TRIM(SUBSTITUTE(Raw_Text_Fields!B257,CHAR(160)," ")))</f>
        <v>Ananya Rao</v>
      </c>
      <c r="F256" s="3" t="str">
        <f aca="false">PROPER(TRIM(SUBSTITUTE(Raw_Text_Fields!C257,CHAR(160)," ")))</f>
        <v>Consumer</v>
      </c>
      <c r="G256" s="3" t="str">
        <f aca="false">PROPER(TRIM(SUBSTITUTE(Raw_Text_Fields!D257,CHAR(160)," ")))</f>
        <v>West</v>
      </c>
      <c r="H256" s="3" t="str">
        <f aca="false">PROPER(TRIM(SUBSTITUTE(Raw_Text_Fields!E257,CHAR(160)," ")))</f>
        <v>Madhya Pradesh</v>
      </c>
      <c r="I256" s="3" t="str">
        <f aca="false">PROPER(TRIM(SUBSTITUTE(Raw_Text_Fields!F257,CHAR(160)," ")))</f>
        <v>Indore</v>
      </c>
      <c r="J256" s="3" t="str">
        <f aca="false">PROPER(TRIM(SUBSTITUTE(Raw_Text_Fields!G257,CHAR(160)," ")))</f>
        <v>Technology</v>
      </c>
      <c r="K256" s="3" t="str">
        <f aca="false">PROPER(TRIM(SUBSTITUTE(Raw_Text_Fields!H257,CHAR(160)," ")))</f>
        <v>Accessories</v>
      </c>
      <c r="L256" s="3" t="s">
        <v>794</v>
      </c>
      <c r="M256" s="3" t="str">
        <f aca="false">PROPER(TRIM(SUBSTITUTE(Raw_Text_Fields!I257,CHAR(160)," ")))</f>
        <v>Same Day</v>
      </c>
      <c r="N256" s="3" t="n">
        <v>7</v>
      </c>
      <c r="O256" s="5" t="n">
        <v>1000.55</v>
      </c>
      <c r="P256" s="6" t="n">
        <v>0.2</v>
      </c>
      <c r="Q256" s="5" t="n">
        <v>5603.08</v>
      </c>
      <c r="R256" s="5" t="n">
        <v>3132.52</v>
      </c>
      <c r="S256" s="5" t="n">
        <v>2470.56</v>
      </c>
      <c r="T256" s="3" t="str">
        <f aca="false">PROPER(TRIM(SUBSTITUTE(Raw_Text_Fields!J257,CHAR(160)," ")))</f>
        <v>Paid</v>
      </c>
      <c r="U256" s="3" t="str">
        <f aca="false">PROPER(TRIM(SUBSTITUTE(Raw_Text_Fields!K257,CHAR(160)," ")))</f>
        <v>Returned</v>
      </c>
      <c r="V256" s="7" t="n">
        <f aca="false">IF(OR(P256&lt;0,P256&gt;0.5),0,P256)</f>
        <v>0.2</v>
      </c>
      <c r="W256" s="8" t="n">
        <f aca="false">N256*O256*(1-V256)</f>
        <v>5603.08</v>
      </c>
      <c r="X256" s="8" t="n">
        <f aca="false">W256-R256</f>
        <v>2470.56</v>
      </c>
      <c r="Y256" s="7" t="n">
        <f aca="false">IFERROR(X256/W256,0)</f>
        <v>0.440928917666712</v>
      </c>
      <c r="Z256" s="9" t="n">
        <f aca="false">C256-B256</f>
        <v>2</v>
      </c>
      <c r="AA256" s="1" t="str">
        <f aca="false">IF(B256="","",TEXT(B256,"mmm"))</f>
        <v>Jan</v>
      </c>
      <c r="AB256" s="9" t="n">
        <f aca="false">IF(B256="","",YEAR(B256))</f>
        <v>2025</v>
      </c>
      <c r="AC256" s="3"/>
      <c r="AD256" s="3" t="str">
        <f aca="false">IF(LEFT(AC256&amp;IF(B256="","; Missing Order Date","")&amp;IF(C256="","; Missing Ship Date","")&amp;IF(P256&lt;0,"; Invalid Discount (Negative)","")&amp;IF(P256&gt;0.5,"; Invalid Discount (Too High)","")&amp;IF(Z256&lt;0,"; Invalid Shipping Record (Ship Before Order)","")&amp;IF(ABS(Q256-W256)&gt;1,"; Sales Mismatch","")&amp;IF(ABS(S256-X256)&gt;1,"; Profit Mismatch","")&amp;IF(COUNTIF($A$2:$A$913,A256)&gt;1,"; Duplicate Order ID Conflict",""),2)="; ",MID(AC256&amp;IF(B256="","; Missing Order Date","")&amp;IF(C256="","; Missing Ship Date","")&amp;IF(P256&lt;0,"; Invalid Discount (Negative)","")&amp;IF(P256&gt;0.5,"; Invalid Discount (Too High)","")&amp;IF(Z256&lt;0,"; Invalid Shipping Record (Ship Before Order)","")&amp;IF(ABS(Q256-W256)&gt;1,"; Sales Mismatch","")&amp;IF(ABS(S256-X256)&gt;1,"; Profit Mismatch","")&amp;IF(COUNTIF($A$2:$A$913,A256)&gt;1,"; Duplicate Order ID Conflict",""),3,500),AC256&amp;IF(B256="","; Missing Order Date","")&amp;IF(C256="","; Missing Ship Date","")&amp;IF(P256&lt;0,"; Invalid Discount (Negative)","")&amp;IF(P256&gt;0.5,"; Invalid Discount (Too High)","")&amp;IF(Z256&lt;0,"; Invalid Shipping Record (Ship Before Order)","")&amp;IF(ABS(Q256-W256)&gt;1,"; Sales Mismatch","")&amp;IF(ABS(S256-X256)&gt;1,"; Profit Mismatch","")&amp;IF(COUNTIF($A$2:$A$913,A256)&gt;1,"; Duplicate Order ID Conflict",""))</f>
        <v/>
      </c>
      <c r="AE256" s="10" t="str">
        <f aca="false">IF(OR(ISNUMBER(SEARCH("Invalid Discount",AD256)),ISNUMBER(SEARCH("Invalid Shipping Record",AD256)),ISNUMBER(SEARCH("Sales Mismatch",AD256)),ISNUMBER(SEARCH("Profit Mismatch",AD256)),ISNUMBER(SEARCH("Duplicate Order ID Conflict",AD256)),ISNUMBER(SEARCH("Missing Order Date",AD256)),ISNUMBER(SEARCH("Missing Ship Date",AD256))),"Invalid",IF(AD256&lt;&gt;"","Warning","Clean"))</f>
        <v>Clean</v>
      </c>
    </row>
    <row r="257" customFormat="false" ht="15" hidden="false" customHeight="true" outlineLevel="0" collapsed="false">
      <c r="A257" s="3" t="s">
        <v>795</v>
      </c>
      <c r="B257" s="4" t="n">
        <v>45692</v>
      </c>
      <c r="C257" s="4" t="n">
        <v>45698</v>
      </c>
      <c r="D257" s="3" t="s">
        <v>796</v>
      </c>
      <c r="E257" s="3" t="str">
        <f aca="false">PROPER(TRIM(SUBSTITUTE(Raw_Text_Fields!B258,CHAR(160)," ")))</f>
        <v>Isha Nair</v>
      </c>
      <c r="F257" s="3" t="str">
        <f aca="false">PROPER(TRIM(SUBSTITUTE(Raw_Text_Fields!C258,CHAR(160)," ")))</f>
        <v>Corporate</v>
      </c>
      <c r="G257" s="3" t="str">
        <f aca="false">PROPER(TRIM(SUBSTITUTE(Raw_Text_Fields!D258,CHAR(160)," ")))</f>
        <v>West</v>
      </c>
      <c r="H257" s="3" t="str">
        <f aca="false">PROPER(TRIM(SUBSTITUTE(Raw_Text_Fields!E258,CHAR(160)," ")))</f>
        <v>Maharashtra</v>
      </c>
      <c r="I257" s="3" t="str">
        <f aca="false">PROPER(TRIM(SUBSTITUTE(Raw_Text_Fields!F258,CHAR(160)," ")))</f>
        <v>Mumbai</v>
      </c>
      <c r="J257" s="3" t="str">
        <f aca="false">PROPER(TRIM(SUBSTITUTE(Raw_Text_Fields!G258,CHAR(160)," ")))</f>
        <v>Technology</v>
      </c>
      <c r="K257" s="3" t="str">
        <f aca="false">PROPER(TRIM(SUBSTITUTE(Raw_Text_Fields!H258,CHAR(160)," ")))</f>
        <v>Phones</v>
      </c>
      <c r="L257" s="3" t="s">
        <v>797</v>
      </c>
      <c r="M257" s="3" t="str">
        <f aca="false">PROPER(TRIM(SUBSTITUTE(Raw_Text_Fields!I258,CHAR(160)," ")))</f>
        <v>First Class</v>
      </c>
      <c r="N257" s="3" t="n">
        <v>7</v>
      </c>
      <c r="O257" s="5" t="n">
        <v>1830</v>
      </c>
      <c r="P257" s="6" t="n">
        <v>0</v>
      </c>
      <c r="Q257" s="5" t="n">
        <v>12810</v>
      </c>
      <c r="R257" s="5" t="n">
        <v>9334.12</v>
      </c>
      <c r="S257" s="5" t="n">
        <v>3475.88</v>
      </c>
      <c r="T257" s="3" t="str">
        <f aca="false">PROPER(TRIM(SUBSTITUTE(Raw_Text_Fields!J258,CHAR(160)," ")))</f>
        <v>Paid</v>
      </c>
      <c r="U257" s="3" t="str">
        <f aca="false">PROPER(TRIM(SUBSTITUTE(Raw_Text_Fields!K258,CHAR(160)," ")))</f>
        <v>Completed</v>
      </c>
      <c r="V257" s="7" t="n">
        <f aca="false">IF(OR(P257&lt;0,P257&gt;0.5),0,P257)</f>
        <v>0</v>
      </c>
      <c r="W257" s="8" t="n">
        <f aca="false">N257*O257*(1-V257)</f>
        <v>12810</v>
      </c>
      <c r="X257" s="8" t="n">
        <f aca="false">W257-R257</f>
        <v>3475.88</v>
      </c>
      <c r="Y257" s="7" t="n">
        <f aca="false">IFERROR(X257/W257,0)</f>
        <v>0.271341139734582</v>
      </c>
      <c r="Z257" s="9" t="n">
        <f aca="false">C257-B257</f>
        <v>6</v>
      </c>
      <c r="AA257" s="1" t="str">
        <f aca="false">IF(B257="","",TEXT(B257,"mmm"))</f>
        <v>Feb</v>
      </c>
      <c r="AB257" s="9" t="n">
        <f aca="false">IF(B257="","",YEAR(B257))</f>
        <v>2025</v>
      </c>
      <c r="AC257" s="3"/>
      <c r="AD257" s="3" t="str">
        <f aca="false">IF(LEFT(AC257&amp;IF(B257="","; Missing Order Date","")&amp;IF(C257="","; Missing Ship Date","")&amp;IF(P257&lt;0,"; Invalid Discount (Negative)","")&amp;IF(P257&gt;0.5,"; Invalid Discount (Too High)","")&amp;IF(Z257&lt;0,"; Invalid Shipping Record (Ship Before Order)","")&amp;IF(ABS(Q257-W257)&gt;1,"; Sales Mismatch","")&amp;IF(ABS(S257-X257)&gt;1,"; Profit Mismatch","")&amp;IF(COUNTIF($A$2:$A$913,A257)&gt;1,"; Duplicate Order ID Conflict",""),2)="; ",MID(AC257&amp;IF(B257="","; Missing Order Date","")&amp;IF(C257="","; Missing Ship Date","")&amp;IF(P257&lt;0,"; Invalid Discount (Negative)","")&amp;IF(P257&gt;0.5,"; Invalid Discount (Too High)","")&amp;IF(Z257&lt;0,"; Invalid Shipping Record (Ship Before Order)","")&amp;IF(ABS(Q257-W257)&gt;1,"; Sales Mismatch","")&amp;IF(ABS(S257-X257)&gt;1,"; Profit Mismatch","")&amp;IF(COUNTIF($A$2:$A$913,A257)&gt;1,"; Duplicate Order ID Conflict",""),3,500),AC257&amp;IF(B257="","; Missing Order Date","")&amp;IF(C257="","; Missing Ship Date","")&amp;IF(P257&lt;0,"; Invalid Discount (Negative)","")&amp;IF(P257&gt;0.5,"; Invalid Discount (Too High)","")&amp;IF(Z257&lt;0,"; Invalid Shipping Record (Ship Before Order)","")&amp;IF(ABS(Q257-W257)&gt;1,"; Sales Mismatch","")&amp;IF(ABS(S257-X257)&gt;1,"; Profit Mismatch","")&amp;IF(COUNTIF($A$2:$A$913,A257)&gt;1,"; Duplicate Order ID Conflict",""))</f>
        <v/>
      </c>
      <c r="AE257" s="10" t="str">
        <f aca="false">IF(OR(ISNUMBER(SEARCH("Invalid Discount",AD257)),ISNUMBER(SEARCH("Invalid Shipping Record",AD257)),ISNUMBER(SEARCH("Sales Mismatch",AD257)),ISNUMBER(SEARCH("Profit Mismatch",AD257)),ISNUMBER(SEARCH("Duplicate Order ID Conflict",AD257)),ISNUMBER(SEARCH("Missing Order Date",AD257)),ISNUMBER(SEARCH("Missing Ship Date",AD257))),"Invalid",IF(AD257&lt;&gt;"","Warning","Clean"))</f>
        <v>Clean</v>
      </c>
    </row>
    <row r="258" customFormat="false" ht="15" hidden="false" customHeight="true" outlineLevel="0" collapsed="false">
      <c r="A258" s="3" t="s">
        <v>798</v>
      </c>
      <c r="B258" s="4" t="n">
        <v>45601</v>
      </c>
      <c r="C258" s="4" t="n">
        <v>45599</v>
      </c>
      <c r="D258" s="3" t="s">
        <v>799</v>
      </c>
      <c r="E258" s="3" t="str">
        <f aca="false">PROPER(TRIM(SUBSTITUTE(Raw_Text_Fields!B259,CHAR(160)," ")))</f>
        <v>Ananya Rao</v>
      </c>
      <c r="F258" s="3" t="str">
        <f aca="false">PROPER(TRIM(SUBSTITUTE(Raw_Text_Fields!C259,CHAR(160)," ")))</f>
        <v>Consumer</v>
      </c>
      <c r="G258" s="3" t="str">
        <f aca="false">PROPER(TRIM(SUBSTITUTE(Raw_Text_Fields!D259,CHAR(160)," ")))</f>
        <v>East</v>
      </c>
      <c r="H258" s="3" t="str">
        <f aca="false">PROPER(TRIM(SUBSTITUTE(Raw_Text_Fields!E259,CHAR(160)," ")))</f>
        <v>West Bengal</v>
      </c>
      <c r="I258" s="3" t="str">
        <f aca="false">PROPER(TRIM(SUBSTITUTE(Raw_Text_Fields!F259,CHAR(160)," ")))</f>
        <v>Kolkata</v>
      </c>
      <c r="J258" s="3" t="str">
        <f aca="false">PROPER(TRIM(SUBSTITUTE(Raw_Text_Fields!G259,CHAR(160)," ")))</f>
        <v>Furniture</v>
      </c>
      <c r="K258" s="3" t="str">
        <f aca="false">PROPER(TRIM(SUBSTITUTE(Raw_Text_Fields!H259,CHAR(160)," ")))</f>
        <v>Tables</v>
      </c>
      <c r="L258" s="3" t="s">
        <v>800</v>
      </c>
      <c r="M258" s="3" t="str">
        <f aca="false">PROPER(TRIM(SUBSTITUTE(Raw_Text_Fields!I259,CHAR(160)," ")))</f>
        <v>First Class</v>
      </c>
      <c r="N258" s="3" t="n">
        <v>9</v>
      </c>
      <c r="O258" s="5" t="n">
        <v>2260.61</v>
      </c>
      <c r="P258" s="6" t="n">
        <v>0.05</v>
      </c>
      <c r="Q258" s="5" t="n">
        <v>19328.22</v>
      </c>
      <c r="R258" s="5" t="n">
        <v>12039.5</v>
      </c>
      <c r="S258" s="5" t="n">
        <v>7288.72</v>
      </c>
      <c r="T258" s="3" t="str">
        <f aca="false">PROPER(TRIM(SUBSTITUTE(Raw_Text_Fields!J259,CHAR(160)," ")))</f>
        <v>Paid</v>
      </c>
      <c r="U258" s="3" t="str">
        <f aca="false">PROPER(TRIM(SUBSTITUTE(Raw_Text_Fields!K259,CHAR(160)," ")))</f>
        <v>Completed</v>
      </c>
      <c r="V258" s="7" t="n">
        <f aca="false">IF(OR(P258&lt;0,P258&gt;0.5),0,P258)</f>
        <v>0.05</v>
      </c>
      <c r="W258" s="8" t="n">
        <f aca="false">N258*O258*(1-V258)</f>
        <v>19328.2155</v>
      </c>
      <c r="X258" s="8" t="n">
        <f aca="false">W258-R258</f>
        <v>7288.7155</v>
      </c>
      <c r="Y258" s="7" t="n">
        <f aca="false">IFERROR(X258/W258,0)</f>
        <v>0.377102350705889</v>
      </c>
      <c r="Z258" s="9" t="n">
        <f aca="false">C258-B258</f>
        <v>-2</v>
      </c>
      <c r="AA258" s="1" t="str">
        <f aca="false">IF(B258="","",TEXT(B258,"mmm"))</f>
        <v>Nov</v>
      </c>
      <c r="AB258" s="9" t="n">
        <f aca="false">IF(B258="","",YEAR(B258))</f>
        <v>2024</v>
      </c>
      <c r="AC258" s="3"/>
      <c r="AD258" s="3" t="str">
        <f aca="false">IF(LEFT(AC258&amp;IF(B258="","; Missing Order Date","")&amp;IF(C258="","; Missing Ship Date","")&amp;IF(P258&lt;0,"; Invalid Discount (Negative)","")&amp;IF(P258&gt;0.5,"; Invalid Discount (Too High)","")&amp;IF(Z258&lt;0,"; Invalid Shipping Record (Ship Before Order)","")&amp;IF(ABS(Q258-W258)&gt;1,"; Sales Mismatch","")&amp;IF(ABS(S258-X258)&gt;1,"; Profit Mismatch","")&amp;IF(COUNTIF($A$2:$A$913,A258)&gt;1,"; Duplicate Order ID Conflict",""),2)="; ",MID(AC258&amp;IF(B258="","; Missing Order Date","")&amp;IF(C258="","; Missing Ship Date","")&amp;IF(P258&lt;0,"; Invalid Discount (Negative)","")&amp;IF(P258&gt;0.5,"; Invalid Discount (Too High)","")&amp;IF(Z258&lt;0,"; Invalid Shipping Record (Ship Before Order)","")&amp;IF(ABS(Q258-W258)&gt;1,"; Sales Mismatch","")&amp;IF(ABS(S258-X258)&gt;1,"; Profit Mismatch","")&amp;IF(COUNTIF($A$2:$A$913,A258)&gt;1,"; Duplicate Order ID Conflict",""),3,500),AC258&amp;IF(B258="","; Missing Order Date","")&amp;IF(C258="","; Missing Ship Date","")&amp;IF(P258&lt;0,"; Invalid Discount (Negative)","")&amp;IF(P258&gt;0.5,"; Invalid Discount (Too High)","")&amp;IF(Z258&lt;0,"; Invalid Shipping Record (Ship Before Order)","")&amp;IF(ABS(Q258-W258)&gt;1,"; Sales Mismatch","")&amp;IF(ABS(S258-X258)&gt;1,"; Profit Mismatch","")&amp;IF(COUNTIF($A$2:$A$913,A258)&gt;1,"; Duplicate Order ID Conflict",""))</f>
        <v>Invalid Shipping Record (Ship Before Order)</v>
      </c>
      <c r="AE258" s="10" t="str">
        <f aca="false">IF(OR(ISNUMBER(SEARCH("Invalid Discount",AD258)),ISNUMBER(SEARCH("Invalid Shipping Record",AD258)),ISNUMBER(SEARCH("Sales Mismatch",AD258)),ISNUMBER(SEARCH("Profit Mismatch",AD258)),ISNUMBER(SEARCH("Duplicate Order ID Conflict",AD258)),ISNUMBER(SEARCH("Missing Order Date",AD258)),ISNUMBER(SEARCH("Missing Ship Date",AD258))),"Invalid",IF(AD258&lt;&gt;"","Warning","Clean"))</f>
        <v>Invalid</v>
      </c>
    </row>
    <row r="259" customFormat="false" ht="15" hidden="false" customHeight="true" outlineLevel="0" collapsed="false">
      <c r="A259" s="3" t="s">
        <v>801</v>
      </c>
      <c r="B259" s="4" t="n">
        <v>45878</v>
      </c>
      <c r="C259" s="4" t="n">
        <v>45881</v>
      </c>
      <c r="D259" s="3" t="s">
        <v>802</v>
      </c>
      <c r="E259" s="3" t="str">
        <f aca="false">PROPER(TRIM(SUBSTITUTE(Raw_Text_Fields!B260,CHAR(160)," ")))</f>
        <v>Diya Patel</v>
      </c>
      <c r="F259" s="3" t="str">
        <f aca="false">PROPER(TRIM(SUBSTITUTE(Raw_Text_Fields!C260,CHAR(160)," ")))</f>
        <v>Corporate</v>
      </c>
      <c r="G259" s="3" t="str">
        <f aca="false">PROPER(TRIM(SUBSTITUTE(Raw_Text_Fields!D260,CHAR(160)," ")))</f>
        <v>South</v>
      </c>
      <c r="H259" s="3" t="str">
        <f aca="false">PROPER(TRIM(SUBSTITUTE(Raw_Text_Fields!E260,CHAR(160)," ")))</f>
        <v>Karnataka</v>
      </c>
      <c r="I259" s="3" t="str">
        <f aca="false">PROPER(TRIM(SUBSTITUTE(Raw_Text_Fields!F260,CHAR(160)," ")))</f>
        <v>Bengaluru</v>
      </c>
      <c r="J259" s="3" t="str">
        <f aca="false">PROPER(TRIM(SUBSTITUTE(Raw_Text_Fields!G260,CHAR(160)," ")))</f>
        <v>Technology</v>
      </c>
      <c r="K259" s="3" t="str">
        <f aca="false">PROPER(TRIM(SUBSTITUTE(Raw_Text_Fields!H260,CHAR(160)," ")))</f>
        <v>Accessories</v>
      </c>
      <c r="L259" s="3" t="s">
        <v>803</v>
      </c>
      <c r="M259" s="3" t="str">
        <f aca="false">PROPER(TRIM(SUBSTITUTE(Raw_Text_Fields!I260,CHAR(160)," ")))</f>
        <v>Second Class</v>
      </c>
      <c r="N259" s="3" t="n">
        <v>2</v>
      </c>
      <c r="O259" s="5" t="n">
        <v>3237.27</v>
      </c>
      <c r="P259" s="6" t="n">
        <v>0</v>
      </c>
      <c r="Q259" s="5" t="n">
        <v>6474.54</v>
      </c>
      <c r="R259" s="5" t="n">
        <v>5095.91</v>
      </c>
      <c r="S259" s="5" t="n">
        <v>1378.63</v>
      </c>
      <c r="T259" s="3" t="str">
        <f aca="false">PROPER(TRIM(SUBSTITUTE(Raw_Text_Fields!J260,CHAR(160)," ")))</f>
        <v>Paid</v>
      </c>
      <c r="U259" s="3" t="str">
        <f aca="false">PROPER(TRIM(SUBSTITUTE(Raw_Text_Fields!K260,CHAR(160)," ")))</f>
        <v>Cancelled</v>
      </c>
      <c r="V259" s="7" t="n">
        <f aca="false">IF(OR(P259&lt;0,P259&gt;0.5),0,P259)</f>
        <v>0</v>
      </c>
      <c r="W259" s="8" t="n">
        <f aca="false">N259*O259*(1-V259)</f>
        <v>6474.54</v>
      </c>
      <c r="X259" s="8" t="n">
        <f aca="false">W259-R259</f>
        <v>1378.63</v>
      </c>
      <c r="Y259" s="7" t="n">
        <f aca="false">IFERROR(X259/W259,0)</f>
        <v>0.212930957257195</v>
      </c>
      <c r="Z259" s="9" t="n">
        <f aca="false">C259-B259</f>
        <v>3</v>
      </c>
      <c r="AA259" s="1" t="str">
        <f aca="false">IF(B259="","",TEXT(B259,"mmm"))</f>
        <v>Aug</v>
      </c>
      <c r="AB259" s="9" t="n">
        <f aca="false">IF(B259="","",YEAR(B259))</f>
        <v>2025</v>
      </c>
      <c r="AC259" s="3"/>
      <c r="AD259" s="3" t="str">
        <f aca="false">IF(LEFT(AC259&amp;IF(B259="","; Missing Order Date","")&amp;IF(C259="","; Missing Ship Date","")&amp;IF(P259&lt;0,"; Invalid Discount (Negative)","")&amp;IF(P259&gt;0.5,"; Invalid Discount (Too High)","")&amp;IF(Z259&lt;0,"; Invalid Shipping Record (Ship Before Order)","")&amp;IF(ABS(Q259-W259)&gt;1,"; Sales Mismatch","")&amp;IF(ABS(S259-X259)&gt;1,"; Profit Mismatch","")&amp;IF(COUNTIF($A$2:$A$913,A259)&gt;1,"; Duplicate Order ID Conflict",""),2)="; ",MID(AC259&amp;IF(B259="","; Missing Order Date","")&amp;IF(C259="","; Missing Ship Date","")&amp;IF(P259&lt;0,"; Invalid Discount (Negative)","")&amp;IF(P259&gt;0.5,"; Invalid Discount (Too High)","")&amp;IF(Z259&lt;0,"; Invalid Shipping Record (Ship Before Order)","")&amp;IF(ABS(Q259-W259)&gt;1,"; Sales Mismatch","")&amp;IF(ABS(S259-X259)&gt;1,"; Profit Mismatch","")&amp;IF(COUNTIF($A$2:$A$913,A259)&gt;1,"; Duplicate Order ID Conflict",""),3,500),AC259&amp;IF(B259="","; Missing Order Date","")&amp;IF(C259="","; Missing Ship Date","")&amp;IF(P259&lt;0,"; Invalid Discount (Negative)","")&amp;IF(P259&gt;0.5,"; Invalid Discount (Too High)","")&amp;IF(Z259&lt;0,"; Invalid Shipping Record (Ship Before Order)","")&amp;IF(ABS(Q259-W259)&gt;1,"; Sales Mismatch","")&amp;IF(ABS(S259-X259)&gt;1,"; Profit Mismatch","")&amp;IF(COUNTIF($A$2:$A$913,A259)&gt;1,"; Duplicate Order ID Conflict",""))</f>
        <v/>
      </c>
      <c r="AE259" s="10" t="str">
        <f aca="false">IF(OR(ISNUMBER(SEARCH("Invalid Discount",AD259)),ISNUMBER(SEARCH("Invalid Shipping Record",AD259)),ISNUMBER(SEARCH("Sales Mismatch",AD259)),ISNUMBER(SEARCH("Profit Mismatch",AD259)),ISNUMBER(SEARCH("Duplicate Order ID Conflict",AD259)),ISNUMBER(SEARCH("Missing Order Date",AD259)),ISNUMBER(SEARCH("Missing Ship Date",AD259))),"Invalid",IF(AD259&lt;&gt;"","Warning","Clean"))</f>
        <v>Clean</v>
      </c>
    </row>
    <row r="260" customFormat="false" ht="15" hidden="false" customHeight="true" outlineLevel="0" collapsed="false">
      <c r="A260" s="3" t="s">
        <v>804</v>
      </c>
      <c r="B260" s="4" t="n">
        <v>45656</v>
      </c>
      <c r="C260" s="4" t="n">
        <v>45661</v>
      </c>
      <c r="D260" s="3" t="s">
        <v>805</v>
      </c>
      <c r="E260" s="3" t="str">
        <f aca="false">PROPER(TRIM(SUBSTITUTE(Raw_Text_Fields!B261,CHAR(160)," ")))</f>
        <v>Sneha Kapoor</v>
      </c>
      <c r="F260" s="3" t="str">
        <f aca="false">PROPER(TRIM(SUBSTITUTE(Raw_Text_Fields!C261,CHAR(160)," ")))</f>
        <v>Corporate</v>
      </c>
      <c r="G260" s="3" t="str">
        <f aca="false">PROPER(TRIM(SUBSTITUTE(Raw_Text_Fields!D261,CHAR(160)," ")))</f>
        <v>South</v>
      </c>
      <c r="H260" s="3" t="str">
        <f aca="false">PROPER(TRIM(SUBSTITUTE(Raw_Text_Fields!E261,CHAR(160)," ")))</f>
        <v>Tamil Nadu</v>
      </c>
      <c r="I260" s="3" t="str">
        <f aca="false">PROPER(TRIM(SUBSTITUTE(Raw_Text_Fields!F261,CHAR(160)," ")))</f>
        <v>Chennai</v>
      </c>
      <c r="J260" s="3" t="str">
        <f aca="false">PROPER(TRIM(SUBSTITUTE(Raw_Text_Fields!G261,CHAR(160)," ")))</f>
        <v>Furniture</v>
      </c>
      <c r="K260" s="3" t="str">
        <f aca="false">PROPER(TRIM(SUBSTITUTE(Raw_Text_Fields!H261,CHAR(160)," ")))</f>
        <v>Tables</v>
      </c>
      <c r="L260" s="3" t="s">
        <v>806</v>
      </c>
      <c r="M260" s="3" t="str">
        <f aca="false">PROPER(TRIM(SUBSTITUTE(Raw_Text_Fields!I261,CHAR(160)," ")))</f>
        <v>Same Day</v>
      </c>
      <c r="N260" s="3" t="n">
        <v>2</v>
      </c>
      <c r="O260" s="5" t="n">
        <v>3720.07</v>
      </c>
      <c r="P260" s="6" t="n">
        <v>0.25</v>
      </c>
      <c r="Q260" s="5" t="n">
        <v>5580.11</v>
      </c>
      <c r="R260" s="5" t="n">
        <v>4307.01</v>
      </c>
      <c r="S260" s="5" t="n">
        <v>1273.1</v>
      </c>
      <c r="T260" s="3" t="str">
        <f aca="false">PROPER(TRIM(SUBSTITUTE(Raw_Text_Fields!J261,CHAR(160)," ")))</f>
        <v>Paid</v>
      </c>
      <c r="U260" s="3" t="str">
        <f aca="false">PROPER(TRIM(SUBSTITUTE(Raw_Text_Fields!K261,CHAR(160)," ")))</f>
        <v>Completed</v>
      </c>
      <c r="V260" s="7" t="n">
        <f aca="false">IF(OR(P260&lt;0,P260&gt;0.5),0,P260)</f>
        <v>0.25</v>
      </c>
      <c r="W260" s="8" t="n">
        <f aca="false">N260*O260*(1-V260)</f>
        <v>5580.105</v>
      </c>
      <c r="X260" s="8" t="n">
        <f aca="false">W260-R260</f>
        <v>1273.095</v>
      </c>
      <c r="Y260" s="7" t="n">
        <f aca="false">IFERROR(X260/W260,0)</f>
        <v>0.228148932681374</v>
      </c>
      <c r="Z260" s="9" t="n">
        <f aca="false">C260-B260</f>
        <v>5</v>
      </c>
      <c r="AA260" s="1" t="str">
        <f aca="false">IF(B260="","",TEXT(B260,"mmm"))</f>
        <v>Dec</v>
      </c>
      <c r="AB260" s="9" t="n">
        <f aca="false">IF(B260="","",YEAR(B260))</f>
        <v>2024</v>
      </c>
      <c r="AC260" s="3"/>
      <c r="AD260" s="3" t="str">
        <f aca="false">IF(LEFT(AC260&amp;IF(B260="","; Missing Order Date","")&amp;IF(C260="","; Missing Ship Date","")&amp;IF(P260&lt;0,"; Invalid Discount (Negative)","")&amp;IF(P260&gt;0.5,"; Invalid Discount (Too High)","")&amp;IF(Z260&lt;0,"; Invalid Shipping Record (Ship Before Order)","")&amp;IF(ABS(Q260-W260)&gt;1,"; Sales Mismatch","")&amp;IF(ABS(S260-X260)&gt;1,"; Profit Mismatch","")&amp;IF(COUNTIF($A$2:$A$913,A260)&gt;1,"; Duplicate Order ID Conflict",""),2)="; ",MID(AC260&amp;IF(B260="","; Missing Order Date","")&amp;IF(C260="","; Missing Ship Date","")&amp;IF(P260&lt;0,"; Invalid Discount (Negative)","")&amp;IF(P260&gt;0.5,"; Invalid Discount (Too High)","")&amp;IF(Z260&lt;0,"; Invalid Shipping Record (Ship Before Order)","")&amp;IF(ABS(Q260-W260)&gt;1,"; Sales Mismatch","")&amp;IF(ABS(S260-X260)&gt;1,"; Profit Mismatch","")&amp;IF(COUNTIF($A$2:$A$913,A260)&gt;1,"; Duplicate Order ID Conflict",""),3,500),AC260&amp;IF(B260="","; Missing Order Date","")&amp;IF(C260="","; Missing Ship Date","")&amp;IF(P260&lt;0,"; Invalid Discount (Negative)","")&amp;IF(P260&gt;0.5,"; Invalid Discount (Too High)","")&amp;IF(Z260&lt;0,"; Invalid Shipping Record (Ship Before Order)","")&amp;IF(ABS(Q260-W260)&gt;1,"; Sales Mismatch","")&amp;IF(ABS(S260-X260)&gt;1,"; Profit Mismatch","")&amp;IF(COUNTIF($A$2:$A$913,A260)&gt;1,"; Duplicate Order ID Conflict",""))</f>
        <v/>
      </c>
      <c r="AE260" s="10" t="str">
        <f aca="false">IF(OR(ISNUMBER(SEARCH("Invalid Discount",AD260)),ISNUMBER(SEARCH("Invalid Shipping Record",AD260)),ISNUMBER(SEARCH("Sales Mismatch",AD260)),ISNUMBER(SEARCH("Profit Mismatch",AD260)),ISNUMBER(SEARCH("Duplicate Order ID Conflict",AD260)),ISNUMBER(SEARCH("Missing Order Date",AD260)),ISNUMBER(SEARCH("Missing Ship Date",AD260))),"Invalid",IF(AD260&lt;&gt;"","Warning","Clean"))</f>
        <v>Clean</v>
      </c>
    </row>
    <row r="261" customFormat="false" ht="15" hidden="false" customHeight="true" outlineLevel="0" collapsed="false">
      <c r="A261" s="3" t="s">
        <v>807</v>
      </c>
      <c r="B261" s="4" t="n">
        <v>45464</v>
      </c>
      <c r="C261" s="4" t="n">
        <v>45472</v>
      </c>
      <c r="D261" s="3" t="s">
        <v>808</v>
      </c>
      <c r="E261" s="3" t="str">
        <f aca="false">PROPER(TRIM(SUBSTITUTE(Raw_Text_Fields!B262,CHAR(160)," ")))</f>
        <v>Neha Gupta</v>
      </c>
      <c r="F261" s="3" t="str">
        <f aca="false">PROPER(TRIM(SUBSTITUTE(Raw_Text_Fields!C262,CHAR(160)," ")))</f>
        <v>Consumer</v>
      </c>
      <c r="G261" s="3" t="str">
        <f aca="false">PROPER(TRIM(SUBSTITUTE(Raw_Text_Fields!D262,CHAR(160)," ")))</f>
        <v>South</v>
      </c>
      <c r="H261" s="3" t="str">
        <f aca="false">PROPER(TRIM(SUBSTITUTE(Raw_Text_Fields!E262,CHAR(160)," ")))</f>
        <v>Tamil Nadu</v>
      </c>
      <c r="I261" s="3" t="str">
        <f aca="false">PROPER(TRIM(SUBSTITUTE(Raw_Text_Fields!F262,CHAR(160)," ")))</f>
        <v>Chennai</v>
      </c>
      <c r="J261" s="3" t="str">
        <f aca="false">PROPER(TRIM(SUBSTITUTE(Raw_Text_Fields!G262,CHAR(160)," ")))</f>
        <v>Technology</v>
      </c>
      <c r="K261" s="3" t="str">
        <f aca="false">PROPER(TRIM(SUBSTITUTE(Raw_Text_Fields!H262,CHAR(160)," ")))</f>
        <v>Machines</v>
      </c>
      <c r="L261" s="3" t="s">
        <v>809</v>
      </c>
      <c r="M261" s="3" t="str">
        <f aca="false">PROPER(TRIM(SUBSTITUTE(Raw_Text_Fields!I262,CHAR(160)," ")))</f>
        <v>Standard Class</v>
      </c>
      <c r="N261" s="3" t="n">
        <v>8</v>
      </c>
      <c r="O261" s="5" t="n">
        <v>2853.92</v>
      </c>
      <c r="P261" s="6" t="n">
        <v>0.2</v>
      </c>
      <c r="Q261" s="5" t="n">
        <v>18265.09</v>
      </c>
      <c r="R261" s="5" t="n">
        <v>10437.14</v>
      </c>
      <c r="S261" s="5" t="n">
        <v>7827.95</v>
      </c>
      <c r="T261" s="3" t="str">
        <f aca="false">PROPER(TRIM(SUBSTITUTE(Raw_Text_Fields!J262,CHAR(160)," ")))</f>
        <v>Paid</v>
      </c>
      <c r="U261" s="3" t="str">
        <f aca="false">PROPER(TRIM(SUBSTITUTE(Raw_Text_Fields!K262,CHAR(160)," ")))</f>
        <v>Completed</v>
      </c>
      <c r="V261" s="7" t="n">
        <f aca="false">IF(OR(P261&lt;0,P261&gt;0.5),0,P261)</f>
        <v>0.2</v>
      </c>
      <c r="W261" s="8" t="n">
        <f aca="false">N261*O261*(1-V261)</f>
        <v>18265.088</v>
      </c>
      <c r="X261" s="8" t="n">
        <f aca="false">W261-R261</f>
        <v>7827.948</v>
      </c>
      <c r="Y261" s="7" t="n">
        <f aca="false">IFERROR(X261/W261,0)</f>
        <v>0.428574338103381</v>
      </c>
      <c r="Z261" s="9" t="n">
        <f aca="false">C261-B261</f>
        <v>8</v>
      </c>
      <c r="AA261" s="1" t="str">
        <f aca="false">IF(B261="","",TEXT(B261,"mmm"))</f>
        <v>Jun</v>
      </c>
      <c r="AB261" s="9" t="n">
        <f aca="false">IF(B261="","",YEAR(B261))</f>
        <v>2024</v>
      </c>
      <c r="AC261" s="3"/>
      <c r="AD261" s="3" t="str">
        <f aca="false">IF(LEFT(AC261&amp;IF(B261="","; Missing Order Date","")&amp;IF(C261="","; Missing Ship Date","")&amp;IF(P261&lt;0,"; Invalid Discount (Negative)","")&amp;IF(P261&gt;0.5,"; Invalid Discount (Too High)","")&amp;IF(Z261&lt;0,"; Invalid Shipping Record (Ship Before Order)","")&amp;IF(ABS(Q261-W261)&gt;1,"; Sales Mismatch","")&amp;IF(ABS(S261-X261)&gt;1,"; Profit Mismatch","")&amp;IF(COUNTIF($A$2:$A$913,A261)&gt;1,"; Duplicate Order ID Conflict",""),2)="; ",MID(AC261&amp;IF(B261="","; Missing Order Date","")&amp;IF(C261="","; Missing Ship Date","")&amp;IF(P261&lt;0,"; Invalid Discount (Negative)","")&amp;IF(P261&gt;0.5,"; Invalid Discount (Too High)","")&amp;IF(Z261&lt;0,"; Invalid Shipping Record (Ship Before Order)","")&amp;IF(ABS(Q261-W261)&gt;1,"; Sales Mismatch","")&amp;IF(ABS(S261-X261)&gt;1,"; Profit Mismatch","")&amp;IF(COUNTIF($A$2:$A$913,A261)&gt;1,"; Duplicate Order ID Conflict",""),3,500),AC261&amp;IF(B261="","; Missing Order Date","")&amp;IF(C261="","; Missing Ship Date","")&amp;IF(P261&lt;0,"; Invalid Discount (Negative)","")&amp;IF(P261&gt;0.5,"; Invalid Discount (Too High)","")&amp;IF(Z261&lt;0,"; Invalid Shipping Record (Ship Before Order)","")&amp;IF(ABS(Q261-W261)&gt;1,"; Sales Mismatch","")&amp;IF(ABS(S261-X261)&gt;1,"; Profit Mismatch","")&amp;IF(COUNTIF($A$2:$A$913,A261)&gt;1,"; Duplicate Order ID Conflict",""))</f>
        <v/>
      </c>
      <c r="AE261" s="10" t="str">
        <f aca="false">IF(OR(ISNUMBER(SEARCH("Invalid Discount",AD261)),ISNUMBER(SEARCH("Invalid Shipping Record",AD261)),ISNUMBER(SEARCH("Sales Mismatch",AD261)),ISNUMBER(SEARCH("Profit Mismatch",AD261)),ISNUMBER(SEARCH("Duplicate Order ID Conflict",AD261)),ISNUMBER(SEARCH("Missing Order Date",AD261)),ISNUMBER(SEARCH("Missing Ship Date",AD261))),"Invalid",IF(AD261&lt;&gt;"","Warning","Clean"))</f>
        <v>Clean</v>
      </c>
    </row>
    <row r="262" customFormat="false" ht="15" hidden="false" customHeight="true" outlineLevel="0" collapsed="false">
      <c r="A262" s="3" t="s">
        <v>810</v>
      </c>
      <c r="B262" s="4" t="n">
        <v>45923</v>
      </c>
      <c r="C262" s="4" t="n">
        <v>45927</v>
      </c>
      <c r="D262" s="3" t="s">
        <v>811</v>
      </c>
      <c r="E262" s="3" t="str">
        <f aca="false">PROPER(TRIM(SUBSTITUTE(Raw_Text_Fields!B263,CHAR(160)," ")))</f>
        <v>Aditi Sen</v>
      </c>
      <c r="F262" s="3" t="str">
        <f aca="false">PROPER(TRIM(SUBSTITUTE(Raw_Text_Fields!C263,CHAR(160)," ")))</f>
        <v>Corporate</v>
      </c>
      <c r="G262" s="3" t="str">
        <f aca="false">PROPER(TRIM(SUBSTITUTE(Raw_Text_Fields!D263,CHAR(160)," ")))</f>
        <v>East</v>
      </c>
      <c r="H262" s="3" t="str">
        <f aca="false">PROPER(TRIM(SUBSTITUTE(Raw_Text_Fields!E263,CHAR(160)," ")))</f>
        <v>West Bengal</v>
      </c>
      <c r="I262" s="3" t="str">
        <f aca="false">PROPER(TRIM(SUBSTITUTE(Raw_Text_Fields!F263,CHAR(160)," ")))</f>
        <v>Kolkata</v>
      </c>
      <c r="J262" s="3" t="str">
        <f aca="false">PROPER(TRIM(SUBSTITUTE(Raw_Text_Fields!G263,CHAR(160)," ")))</f>
        <v>Office Supplies</v>
      </c>
      <c r="K262" s="3" t="str">
        <f aca="false">PROPER(TRIM(SUBSTITUTE(Raw_Text_Fields!H263,CHAR(160)," ")))</f>
        <v>Binders</v>
      </c>
      <c r="L262" s="3" t="s">
        <v>812</v>
      </c>
      <c r="M262" s="3" t="str">
        <f aca="false">PROPER(TRIM(SUBSTITUTE(Raw_Text_Fields!I263,CHAR(160)," ")))</f>
        <v>Same Day</v>
      </c>
      <c r="N262" s="3" t="n">
        <v>7</v>
      </c>
      <c r="O262" s="5" t="n">
        <v>2897.12</v>
      </c>
      <c r="P262" s="6" t="n">
        <v>0.25</v>
      </c>
      <c r="Q262" s="5" t="n">
        <v>15209.88</v>
      </c>
      <c r="R262" s="5" t="n">
        <v>10891.15</v>
      </c>
      <c r="S262" s="5" t="n">
        <v>4318.73</v>
      </c>
      <c r="T262" s="3" t="str">
        <f aca="false">PROPER(TRIM(SUBSTITUTE(Raw_Text_Fields!J263,CHAR(160)," ")))</f>
        <v>Failed</v>
      </c>
      <c r="U262" s="3" t="str">
        <f aca="false">PROPER(TRIM(SUBSTITUTE(Raw_Text_Fields!K263,CHAR(160)," ")))</f>
        <v>Returned</v>
      </c>
      <c r="V262" s="7" t="n">
        <f aca="false">IF(OR(P262&lt;0,P262&gt;0.5),0,P262)</f>
        <v>0.25</v>
      </c>
      <c r="W262" s="8" t="n">
        <f aca="false">N262*O262*(1-V262)</f>
        <v>15209.88</v>
      </c>
      <c r="X262" s="8" t="n">
        <f aca="false">W262-R262</f>
        <v>4318.73</v>
      </c>
      <c r="Y262" s="7" t="n">
        <f aca="false">IFERROR(X262/W262,0)</f>
        <v>0.283942411116985</v>
      </c>
      <c r="Z262" s="9" t="n">
        <f aca="false">C262-B262</f>
        <v>4</v>
      </c>
      <c r="AA262" s="1" t="str">
        <f aca="false">IF(B262="","",TEXT(B262,"mmm"))</f>
        <v>Sep</v>
      </c>
      <c r="AB262" s="9" t="n">
        <f aca="false">IF(B262="","",YEAR(B262))</f>
        <v>2025</v>
      </c>
      <c r="AC262" s="3"/>
      <c r="AD262" s="3" t="str">
        <f aca="false">IF(LEFT(AC262&amp;IF(B262="","; Missing Order Date","")&amp;IF(C262="","; Missing Ship Date","")&amp;IF(P262&lt;0,"; Invalid Discount (Negative)","")&amp;IF(P262&gt;0.5,"; Invalid Discount (Too High)","")&amp;IF(Z262&lt;0,"; Invalid Shipping Record (Ship Before Order)","")&amp;IF(ABS(Q262-W262)&gt;1,"; Sales Mismatch","")&amp;IF(ABS(S262-X262)&gt;1,"; Profit Mismatch","")&amp;IF(COUNTIF($A$2:$A$913,A262)&gt;1,"; Duplicate Order ID Conflict",""),2)="; ",MID(AC262&amp;IF(B262="","; Missing Order Date","")&amp;IF(C262="","; Missing Ship Date","")&amp;IF(P262&lt;0,"; Invalid Discount (Negative)","")&amp;IF(P262&gt;0.5,"; Invalid Discount (Too High)","")&amp;IF(Z262&lt;0,"; Invalid Shipping Record (Ship Before Order)","")&amp;IF(ABS(Q262-W262)&gt;1,"; Sales Mismatch","")&amp;IF(ABS(S262-X262)&gt;1,"; Profit Mismatch","")&amp;IF(COUNTIF($A$2:$A$913,A262)&gt;1,"; Duplicate Order ID Conflict",""),3,500),AC262&amp;IF(B262="","; Missing Order Date","")&amp;IF(C262="","; Missing Ship Date","")&amp;IF(P262&lt;0,"; Invalid Discount (Negative)","")&amp;IF(P262&gt;0.5,"; Invalid Discount (Too High)","")&amp;IF(Z262&lt;0,"; Invalid Shipping Record (Ship Before Order)","")&amp;IF(ABS(Q262-W262)&gt;1,"; Sales Mismatch","")&amp;IF(ABS(S262-X262)&gt;1,"; Profit Mismatch","")&amp;IF(COUNTIF($A$2:$A$913,A262)&gt;1,"; Duplicate Order ID Conflict",""))</f>
        <v/>
      </c>
      <c r="AE262" s="10" t="str">
        <f aca="false">IF(OR(ISNUMBER(SEARCH("Invalid Discount",AD262)),ISNUMBER(SEARCH("Invalid Shipping Record",AD262)),ISNUMBER(SEARCH("Sales Mismatch",AD262)),ISNUMBER(SEARCH("Profit Mismatch",AD262)),ISNUMBER(SEARCH("Duplicate Order ID Conflict",AD262)),ISNUMBER(SEARCH("Missing Order Date",AD262)),ISNUMBER(SEARCH("Missing Ship Date",AD262))),"Invalid",IF(AD262&lt;&gt;"","Warning","Clean"))</f>
        <v>Clean</v>
      </c>
    </row>
    <row r="263" customFormat="false" ht="15" hidden="false" customHeight="true" outlineLevel="0" collapsed="false">
      <c r="A263" s="3" t="s">
        <v>813</v>
      </c>
      <c r="B263" s="4" t="n">
        <v>45826</v>
      </c>
      <c r="C263" s="4" t="n">
        <v>45832</v>
      </c>
      <c r="D263" s="3" t="s">
        <v>814</v>
      </c>
      <c r="E263" s="3" t="str">
        <f aca="false">PROPER(TRIM(SUBSTITUTE(Raw_Text_Fields!B264,CHAR(160)," ")))</f>
        <v>Sneha Kapoor</v>
      </c>
      <c r="F263" s="3" t="str">
        <f aca="false">PROPER(TRIM(SUBSTITUTE(Raw_Text_Fields!C264,CHAR(160)," ")))</f>
        <v>Corporate</v>
      </c>
      <c r="G263" s="3" t="str">
        <f aca="false">PROPER(TRIM(SUBSTITUTE(Raw_Text_Fields!D264,CHAR(160)," ")))</f>
        <v>North</v>
      </c>
      <c r="H263" s="3" t="str">
        <f aca="false">PROPER(TRIM(SUBSTITUTE(Raw_Text_Fields!E264,CHAR(160)," ")))</f>
        <v>Rajasthan</v>
      </c>
      <c r="I263" s="3" t="str">
        <f aca="false">PROPER(TRIM(SUBSTITUTE(Raw_Text_Fields!F264,CHAR(160)," ")))</f>
        <v>Jaipur</v>
      </c>
      <c r="J263" s="3" t="str">
        <f aca="false">PROPER(TRIM(SUBSTITUTE(Raw_Text_Fields!G264,CHAR(160)," ")))</f>
        <v>Office Supplies</v>
      </c>
      <c r="K263" s="3" t="str">
        <f aca="false">PROPER(TRIM(SUBSTITUTE(Raw_Text_Fields!H264,CHAR(160)," ")))</f>
        <v>Labels</v>
      </c>
      <c r="L263" s="3" t="s">
        <v>815</v>
      </c>
      <c r="M263" s="3" t="str">
        <f aca="false">PROPER(TRIM(SUBSTITUTE(Raw_Text_Fields!I264,CHAR(160)," ")))</f>
        <v>Standard Class</v>
      </c>
      <c r="N263" s="3" t="n">
        <v>3</v>
      </c>
      <c r="O263" s="5" t="n">
        <v>686.74</v>
      </c>
      <c r="P263" s="6" t="n">
        <v>0.2</v>
      </c>
      <c r="Q263" s="5" t="n">
        <v>1648.18</v>
      </c>
      <c r="R263" s="5" t="n">
        <v>987.91</v>
      </c>
      <c r="S263" s="5" t="n">
        <v>660.27</v>
      </c>
      <c r="T263" s="3" t="str">
        <f aca="false">PROPER(TRIM(SUBSTITUTE(Raw_Text_Fields!J264,CHAR(160)," ")))</f>
        <v>Failed</v>
      </c>
      <c r="U263" s="3" t="str">
        <f aca="false">PROPER(TRIM(SUBSTITUTE(Raw_Text_Fields!K264,CHAR(160)," ")))</f>
        <v>Cancelled</v>
      </c>
      <c r="V263" s="7" t="n">
        <f aca="false">IF(OR(P263&lt;0,P263&gt;0.5),0,P263)</f>
        <v>0.2</v>
      </c>
      <c r="W263" s="8" t="n">
        <f aca="false">N263*O263*(1-V263)</f>
        <v>1648.176</v>
      </c>
      <c r="X263" s="8" t="n">
        <f aca="false">W263-R263</f>
        <v>660.266</v>
      </c>
      <c r="Y263" s="7" t="n">
        <f aca="false">IFERROR(X263/W263,0)</f>
        <v>0.400604061702148</v>
      </c>
      <c r="Z263" s="9" t="n">
        <f aca="false">C263-B263</f>
        <v>6</v>
      </c>
      <c r="AA263" s="1" t="str">
        <f aca="false">IF(B263="","",TEXT(B263,"mmm"))</f>
        <v>Jun</v>
      </c>
      <c r="AB263" s="9" t="n">
        <f aca="false">IF(B263="","",YEAR(B263))</f>
        <v>2025</v>
      </c>
      <c r="AC263" s="3"/>
      <c r="AD263" s="3" t="str">
        <f aca="false">IF(LEFT(AC263&amp;IF(B263="","; Missing Order Date","")&amp;IF(C263="","; Missing Ship Date","")&amp;IF(P263&lt;0,"; Invalid Discount (Negative)","")&amp;IF(P263&gt;0.5,"; Invalid Discount (Too High)","")&amp;IF(Z263&lt;0,"; Invalid Shipping Record (Ship Before Order)","")&amp;IF(ABS(Q263-W263)&gt;1,"; Sales Mismatch","")&amp;IF(ABS(S263-X263)&gt;1,"; Profit Mismatch","")&amp;IF(COUNTIF($A$2:$A$913,A263)&gt;1,"; Duplicate Order ID Conflict",""),2)="; ",MID(AC263&amp;IF(B263="","; Missing Order Date","")&amp;IF(C263="","; Missing Ship Date","")&amp;IF(P263&lt;0,"; Invalid Discount (Negative)","")&amp;IF(P263&gt;0.5,"; Invalid Discount (Too High)","")&amp;IF(Z263&lt;0,"; Invalid Shipping Record (Ship Before Order)","")&amp;IF(ABS(Q263-W263)&gt;1,"; Sales Mismatch","")&amp;IF(ABS(S263-X263)&gt;1,"; Profit Mismatch","")&amp;IF(COUNTIF($A$2:$A$913,A263)&gt;1,"; Duplicate Order ID Conflict",""),3,500),AC263&amp;IF(B263="","; Missing Order Date","")&amp;IF(C263="","; Missing Ship Date","")&amp;IF(P263&lt;0,"; Invalid Discount (Negative)","")&amp;IF(P263&gt;0.5,"; Invalid Discount (Too High)","")&amp;IF(Z263&lt;0,"; Invalid Shipping Record (Ship Before Order)","")&amp;IF(ABS(Q263-W263)&gt;1,"; Sales Mismatch","")&amp;IF(ABS(S263-X263)&gt;1,"; Profit Mismatch","")&amp;IF(COUNTIF($A$2:$A$913,A263)&gt;1,"; Duplicate Order ID Conflict",""))</f>
        <v/>
      </c>
      <c r="AE263" s="10" t="str">
        <f aca="false">IF(OR(ISNUMBER(SEARCH("Invalid Discount",AD263)),ISNUMBER(SEARCH("Invalid Shipping Record",AD263)),ISNUMBER(SEARCH("Sales Mismatch",AD263)),ISNUMBER(SEARCH("Profit Mismatch",AD263)),ISNUMBER(SEARCH("Duplicate Order ID Conflict",AD263)),ISNUMBER(SEARCH("Missing Order Date",AD263)),ISNUMBER(SEARCH("Missing Ship Date",AD263))),"Invalid",IF(AD263&lt;&gt;"","Warning","Clean"))</f>
        <v>Clean</v>
      </c>
    </row>
    <row r="264" customFormat="false" ht="15" hidden="false" customHeight="true" outlineLevel="0" collapsed="false">
      <c r="A264" s="3" t="s">
        <v>816</v>
      </c>
      <c r="B264" s="4" t="n">
        <v>45803</v>
      </c>
      <c r="C264" s="4" t="n">
        <v>45809</v>
      </c>
      <c r="D264" s="3" t="s">
        <v>552</v>
      </c>
      <c r="E264" s="3" t="str">
        <f aca="false">PROPER(TRIM(SUBSTITUTE(Raw_Text_Fields!B265,CHAR(160)," ")))</f>
        <v>Arjun Bose</v>
      </c>
      <c r="F264" s="3" t="str">
        <f aca="false">PROPER(TRIM(SUBSTITUTE(Raw_Text_Fields!C265,CHAR(160)," ")))</f>
        <v>Small Business</v>
      </c>
      <c r="G264" s="3" t="str">
        <f aca="false">PROPER(TRIM(SUBSTITUTE(Raw_Text_Fields!D265,CHAR(160)," ")))</f>
        <v>North</v>
      </c>
      <c r="H264" s="3" t="str">
        <f aca="false">PROPER(TRIM(SUBSTITUTE(Raw_Text_Fields!E265,CHAR(160)," ")))</f>
        <v>Delhi</v>
      </c>
      <c r="I264" s="3" t="str">
        <f aca="false">PROPER(TRIM(SUBSTITUTE(Raw_Text_Fields!F265,CHAR(160)," ")))</f>
        <v>New Delhi</v>
      </c>
      <c r="J264" s="3" t="str">
        <f aca="false">PROPER(TRIM(SUBSTITUTE(Raw_Text_Fields!G265,CHAR(160)," ")))</f>
        <v>Technology</v>
      </c>
      <c r="K264" s="3" t="str">
        <f aca="false">PROPER(TRIM(SUBSTITUTE(Raw_Text_Fields!H265,CHAR(160)," ")))</f>
        <v>Phones</v>
      </c>
      <c r="L264" s="3" t="s">
        <v>817</v>
      </c>
      <c r="M264" s="3" t="str">
        <f aca="false">PROPER(TRIM(SUBSTITUTE(Raw_Text_Fields!I265,CHAR(160)," ")))</f>
        <v>Same Day</v>
      </c>
      <c r="N264" s="3" t="n">
        <v>4</v>
      </c>
      <c r="O264" s="5" t="n">
        <v>3349.86</v>
      </c>
      <c r="P264" s="6" t="n">
        <v>0</v>
      </c>
      <c r="Q264" s="5" t="n">
        <v>13399.44</v>
      </c>
      <c r="R264" s="5" t="n">
        <v>8581.35</v>
      </c>
      <c r="S264" s="5" t="n">
        <v>4818.09</v>
      </c>
      <c r="T264" s="3" t="str">
        <f aca="false">PROPER(TRIM(SUBSTITUTE(Raw_Text_Fields!J265,CHAR(160)," ")))</f>
        <v>Pending</v>
      </c>
      <c r="U264" s="3" t="str">
        <f aca="false">PROPER(TRIM(SUBSTITUTE(Raw_Text_Fields!K265,CHAR(160)," ")))</f>
        <v>Returned</v>
      </c>
      <c r="V264" s="7" t="n">
        <f aca="false">IF(OR(P264&lt;0,P264&gt;0.5),0,P264)</f>
        <v>0</v>
      </c>
      <c r="W264" s="8" t="n">
        <f aca="false">N264*O264*(1-V264)</f>
        <v>13399.44</v>
      </c>
      <c r="X264" s="8" t="n">
        <f aca="false">W264-R264</f>
        <v>4818.09</v>
      </c>
      <c r="Y264" s="7" t="n">
        <f aca="false">IFERROR(X264/W264,0)</f>
        <v>0.359573982196271</v>
      </c>
      <c r="Z264" s="9" t="n">
        <f aca="false">C264-B264</f>
        <v>6</v>
      </c>
      <c r="AA264" s="1" t="str">
        <f aca="false">IF(B264="","",TEXT(B264,"mmm"))</f>
        <v>May</v>
      </c>
      <c r="AB264" s="9" t="n">
        <f aca="false">IF(B264="","",YEAR(B264))</f>
        <v>2025</v>
      </c>
      <c r="AC264" s="3"/>
      <c r="AD264" s="3" t="str">
        <f aca="false">IF(LEFT(AC264&amp;IF(B264="","; Missing Order Date","")&amp;IF(C264="","; Missing Ship Date","")&amp;IF(P264&lt;0,"; Invalid Discount (Negative)","")&amp;IF(P264&gt;0.5,"; Invalid Discount (Too High)","")&amp;IF(Z264&lt;0,"; Invalid Shipping Record (Ship Before Order)","")&amp;IF(ABS(Q264-W264)&gt;1,"; Sales Mismatch","")&amp;IF(ABS(S264-X264)&gt;1,"; Profit Mismatch","")&amp;IF(COUNTIF($A$2:$A$913,A264)&gt;1,"; Duplicate Order ID Conflict",""),2)="; ",MID(AC264&amp;IF(B264="","; Missing Order Date","")&amp;IF(C264="","; Missing Ship Date","")&amp;IF(P264&lt;0,"; Invalid Discount (Negative)","")&amp;IF(P264&gt;0.5,"; Invalid Discount (Too High)","")&amp;IF(Z264&lt;0,"; Invalid Shipping Record (Ship Before Order)","")&amp;IF(ABS(Q264-W264)&gt;1,"; Sales Mismatch","")&amp;IF(ABS(S264-X264)&gt;1,"; Profit Mismatch","")&amp;IF(COUNTIF($A$2:$A$913,A264)&gt;1,"; Duplicate Order ID Conflict",""),3,500),AC264&amp;IF(B264="","; Missing Order Date","")&amp;IF(C264="","; Missing Ship Date","")&amp;IF(P264&lt;0,"; Invalid Discount (Negative)","")&amp;IF(P264&gt;0.5,"; Invalid Discount (Too High)","")&amp;IF(Z264&lt;0,"; Invalid Shipping Record (Ship Before Order)","")&amp;IF(ABS(Q264-W264)&gt;1,"; Sales Mismatch","")&amp;IF(ABS(S264-X264)&gt;1,"; Profit Mismatch","")&amp;IF(COUNTIF($A$2:$A$913,A264)&gt;1,"; Duplicate Order ID Conflict",""))</f>
        <v/>
      </c>
      <c r="AE264" s="10" t="str">
        <f aca="false">IF(OR(ISNUMBER(SEARCH("Invalid Discount",AD264)),ISNUMBER(SEARCH("Invalid Shipping Record",AD264)),ISNUMBER(SEARCH("Sales Mismatch",AD264)),ISNUMBER(SEARCH("Profit Mismatch",AD264)),ISNUMBER(SEARCH("Duplicate Order ID Conflict",AD264)),ISNUMBER(SEARCH("Missing Order Date",AD264)),ISNUMBER(SEARCH("Missing Ship Date",AD264))),"Invalid",IF(AD264&lt;&gt;"","Warning","Clean"))</f>
        <v>Clean</v>
      </c>
    </row>
    <row r="265" customFormat="false" ht="15" hidden="false" customHeight="true" outlineLevel="0" collapsed="false">
      <c r="A265" s="3" t="s">
        <v>818</v>
      </c>
      <c r="B265" s="4" t="n">
        <v>45875</v>
      </c>
      <c r="C265" s="4" t="n">
        <v>45879</v>
      </c>
      <c r="D265" s="3" t="s">
        <v>819</v>
      </c>
      <c r="E265" s="3" t="str">
        <f aca="false">PROPER(TRIM(SUBSTITUTE(Raw_Text_Fields!B266,CHAR(160)," ")))</f>
        <v>Rohan Mehta</v>
      </c>
      <c r="F265" s="3" t="str">
        <f aca="false">PROPER(TRIM(SUBSTITUTE(Raw_Text_Fields!C266,CHAR(160)," ")))</f>
        <v>Small Business</v>
      </c>
      <c r="G265" s="3" t="str">
        <f aca="false">PROPER(TRIM(SUBSTITUTE(Raw_Text_Fields!D266,CHAR(160)," ")))</f>
        <v>North</v>
      </c>
      <c r="H265" s="3" t="str">
        <f aca="false">PROPER(TRIM(SUBSTITUTE(Raw_Text_Fields!E266,CHAR(160)," ")))</f>
        <v>Delhi</v>
      </c>
      <c r="I265" s="3" t="str">
        <f aca="false">PROPER(TRIM(SUBSTITUTE(Raw_Text_Fields!F266,CHAR(160)," ")))</f>
        <v>New Delhi</v>
      </c>
      <c r="J265" s="3" t="str">
        <f aca="false">PROPER(TRIM(SUBSTITUTE(Raw_Text_Fields!G266,CHAR(160)," ")))</f>
        <v>Office Supplies</v>
      </c>
      <c r="K265" s="3" t="str">
        <f aca="false">PROPER(TRIM(SUBSTITUTE(Raw_Text_Fields!H266,CHAR(160)," ")))</f>
        <v>Binders</v>
      </c>
      <c r="L265" s="3" t="s">
        <v>820</v>
      </c>
      <c r="M265" s="3" t="str">
        <f aca="false">PROPER(TRIM(SUBSTITUTE(Raw_Text_Fields!I266,CHAR(160)," ")))</f>
        <v>Second Class</v>
      </c>
      <c r="N265" s="3" t="n">
        <v>9</v>
      </c>
      <c r="O265" s="5" t="n">
        <v>4042.45</v>
      </c>
      <c r="P265" s="6" t="n">
        <v>0.1</v>
      </c>
      <c r="Q265" s="5" t="n">
        <v>32743.84</v>
      </c>
      <c r="R265" s="5" t="n">
        <v>22452.05</v>
      </c>
      <c r="S265" s="5" t="n">
        <v>10291.79</v>
      </c>
      <c r="T265" s="3" t="str">
        <f aca="false">PROPER(TRIM(SUBSTITUTE(Raw_Text_Fields!J266,CHAR(160)," ")))</f>
        <v>Pending</v>
      </c>
      <c r="U265" s="3" t="str">
        <f aca="false">PROPER(TRIM(SUBSTITUTE(Raw_Text_Fields!K266,CHAR(160)," ")))</f>
        <v>Returned</v>
      </c>
      <c r="V265" s="7" t="n">
        <f aca="false">IF(OR(P265&lt;0,P265&gt;0.5),0,P265)</f>
        <v>0.1</v>
      </c>
      <c r="W265" s="8" t="n">
        <f aca="false">N265*O265*(1-V265)</f>
        <v>32743.845</v>
      </c>
      <c r="X265" s="8" t="n">
        <f aca="false">W265-R265</f>
        <v>10291.795</v>
      </c>
      <c r="Y265" s="7" t="n">
        <f aca="false">IFERROR(X265/W265,0)</f>
        <v>0.314312353970647</v>
      </c>
      <c r="Z265" s="9" t="n">
        <f aca="false">C265-B265</f>
        <v>4</v>
      </c>
      <c r="AA265" s="1" t="str">
        <f aca="false">IF(B265="","",TEXT(B265,"mmm"))</f>
        <v>Aug</v>
      </c>
      <c r="AB265" s="9" t="n">
        <f aca="false">IF(B265="","",YEAR(B265))</f>
        <v>2025</v>
      </c>
      <c r="AC265" s="3"/>
      <c r="AD265" s="3" t="str">
        <f aca="false">IF(LEFT(AC265&amp;IF(B265="","; Missing Order Date","")&amp;IF(C265="","; Missing Ship Date","")&amp;IF(P265&lt;0,"; Invalid Discount (Negative)","")&amp;IF(P265&gt;0.5,"; Invalid Discount (Too High)","")&amp;IF(Z265&lt;0,"; Invalid Shipping Record (Ship Before Order)","")&amp;IF(ABS(Q265-W265)&gt;1,"; Sales Mismatch","")&amp;IF(ABS(S265-X265)&gt;1,"; Profit Mismatch","")&amp;IF(COUNTIF($A$2:$A$913,A265)&gt;1,"; Duplicate Order ID Conflict",""),2)="; ",MID(AC265&amp;IF(B265="","; Missing Order Date","")&amp;IF(C265="","; Missing Ship Date","")&amp;IF(P265&lt;0,"; Invalid Discount (Negative)","")&amp;IF(P265&gt;0.5,"; Invalid Discount (Too High)","")&amp;IF(Z265&lt;0,"; Invalid Shipping Record (Ship Before Order)","")&amp;IF(ABS(Q265-W265)&gt;1,"; Sales Mismatch","")&amp;IF(ABS(S265-X265)&gt;1,"; Profit Mismatch","")&amp;IF(COUNTIF($A$2:$A$913,A265)&gt;1,"; Duplicate Order ID Conflict",""),3,500),AC265&amp;IF(B265="","; Missing Order Date","")&amp;IF(C265="","; Missing Ship Date","")&amp;IF(P265&lt;0,"; Invalid Discount (Negative)","")&amp;IF(P265&gt;0.5,"; Invalid Discount (Too High)","")&amp;IF(Z265&lt;0,"; Invalid Shipping Record (Ship Before Order)","")&amp;IF(ABS(Q265-W265)&gt;1,"; Sales Mismatch","")&amp;IF(ABS(S265-X265)&gt;1,"; Profit Mismatch","")&amp;IF(COUNTIF($A$2:$A$913,A265)&gt;1,"; Duplicate Order ID Conflict",""))</f>
        <v/>
      </c>
      <c r="AE265" s="10" t="str">
        <f aca="false">IF(OR(ISNUMBER(SEARCH("Invalid Discount",AD265)),ISNUMBER(SEARCH("Invalid Shipping Record",AD265)),ISNUMBER(SEARCH("Sales Mismatch",AD265)),ISNUMBER(SEARCH("Profit Mismatch",AD265)),ISNUMBER(SEARCH("Duplicate Order ID Conflict",AD265)),ISNUMBER(SEARCH("Missing Order Date",AD265)),ISNUMBER(SEARCH("Missing Ship Date",AD265))),"Invalid",IF(AD265&lt;&gt;"","Warning","Clean"))</f>
        <v>Clean</v>
      </c>
    </row>
    <row r="266" customFormat="false" ht="15" hidden="false" customHeight="true" outlineLevel="0" collapsed="false">
      <c r="A266" s="3" t="s">
        <v>821</v>
      </c>
      <c r="B266" s="4" t="n">
        <v>45428</v>
      </c>
      <c r="C266" s="4" t="n">
        <v>45433</v>
      </c>
      <c r="D266" s="3" t="s">
        <v>822</v>
      </c>
      <c r="E266" s="3" t="str">
        <f aca="false">PROPER(TRIM(SUBSTITUTE(Raw_Text_Fields!B267,CHAR(160)," ")))</f>
        <v>Diya Patel</v>
      </c>
      <c r="F266" s="3" t="str">
        <f aca="false">PROPER(TRIM(SUBSTITUTE(Raw_Text_Fields!C267,CHAR(160)," ")))</f>
        <v>Small Business</v>
      </c>
      <c r="G266" s="3" t="str">
        <f aca="false">PROPER(TRIM(SUBSTITUTE(Raw_Text_Fields!D267,CHAR(160)," ")))</f>
        <v>East</v>
      </c>
      <c r="H266" s="3" t="str">
        <f aca="false">PROPER(TRIM(SUBSTITUTE(Raw_Text_Fields!E267,CHAR(160)," ")))</f>
        <v>Bihar</v>
      </c>
      <c r="I266" s="3" t="str">
        <f aca="false">PROPER(TRIM(SUBSTITUTE(Raw_Text_Fields!F267,CHAR(160)," ")))</f>
        <v>Patna</v>
      </c>
      <c r="J266" s="3" t="str">
        <f aca="false">PROPER(TRIM(SUBSTITUTE(Raw_Text_Fields!G267,CHAR(160)," ")))</f>
        <v>Technology</v>
      </c>
      <c r="K266" s="3" t="str">
        <f aca="false">PROPER(TRIM(SUBSTITUTE(Raw_Text_Fields!H267,CHAR(160)," ")))</f>
        <v>Copiers</v>
      </c>
      <c r="L266" s="3" t="s">
        <v>823</v>
      </c>
      <c r="M266" s="3" t="str">
        <f aca="false">PROPER(TRIM(SUBSTITUTE(Raw_Text_Fields!I267,CHAR(160)," ")))</f>
        <v>Standard Class</v>
      </c>
      <c r="N266" s="3" t="n">
        <v>4</v>
      </c>
      <c r="O266" s="5" t="n">
        <v>1503.07</v>
      </c>
      <c r="P266" s="6" t="n">
        <v>0</v>
      </c>
      <c r="Q266" s="5" t="n">
        <v>6012.28</v>
      </c>
      <c r="R266" s="5" t="n">
        <v>3927.64</v>
      </c>
      <c r="S266" s="5" t="n">
        <v>2084.64</v>
      </c>
      <c r="T266" s="3" t="str">
        <f aca="false">PROPER(TRIM(SUBSTITUTE(Raw_Text_Fields!J267,CHAR(160)," ")))</f>
        <v>Paid</v>
      </c>
      <c r="U266" s="3" t="str">
        <f aca="false">PROPER(TRIM(SUBSTITUTE(Raw_Text_Fields!K267,CHAR(160)," ")))</f>
        <v>Completed</v>
      </c>
      <c r="V266" s="7" t="n">
        <f aca="false">IF(OR(P266&lt;0,P266&gt;0.5),0,P266)</f>
        <v>0</v>
      </c>
      <c r="W266" s="8" t="n">
        <f aca="false">N266*O266*(1-V266)</f>
        <v>6012.28</v>
      </c>
      <c r="X266" s="8" t="n">
        <f aca="false">W266-R266</f>
        <v>2084.64</v>
      </c>
      <c r="Y266" s="7" t="n">
        <f aca="false">IFERROR(X266/W266,0)</f>
        <v>0.346730358532869</v>
      </c>
      <c r="Z266" s="9" t="n">
        <f aca="false">C266-B266</f>
        <v>5</v>
      </c>
      <c r="AA266" s="1" t="str">
        <f aca="false">IF(B266="","",TEXT(B266,"mmm"))</f>
        <v>May</v>
      </c>
      <c r="AB266" s="9" t="n">
        <f aca="false">IF(B266="","",YEAR(B266))</f>
        <v>2024</v>
      </c>
      <c r="AC266" s="3"/>
      <c r="AD266" s="3" t="str">
        <f aca="false">IF(LEFT(AC266&amp;IF(B266="","; Missing Order Date","")&amp;IF(C266="","; Missing Ship Date","")&amp;IF(P266&lt;0,"; Invalid Discount (Negative)","")&amp;IF(P266&gt;0.5,"; Invalid Discount (Too High)","")&amp;IF(Z266&lt;0,"; Invalid Shipping Record (Ship Before Order)","")&amp;IF(ABS(Q266-W266)&gt;1,"; Sales Mismatch","")&amp;IF(ABS(S266-X266)&gt;1,"; Profit Mismatch","")&amp;IF(COUNTIF($A$2:$A$913,A266)&gt;1,"; Duplicate Order ID Conflict",""),2)="; ",MID(AC266&amp;IF(B266="","; Missing Order Date","")&amp;IF(C266="","; Missing Ship Date","")&amp;IF(P266&lt;0,"; Invalid Discount (Negative)","")&amp;IF(P266&gt;0.5,"; Invalid Discount (Too High)","")&amp;IF(Z266&lt;0,"; Invalid Shipping Record (Ship Before Order)","")&amp;IF(ABS(Q266-W266)&gt;1,"; Sales Mismatch","")&amp;IF(ABS(S266-X266)&gt;1,"; Profit Mismatch","")&amp;IF(COUNTIF($A$2:$A$913,A266)&gt;1,"; Duplicate Order ID Conflict",""),3,500),AC266&amp;IF(B266="","; Missing Order Date","")&amp;IF(C266="","; Missing Ship Date","")&amp;IF(P266&lt;0,"; Invalid Discount (Negative)","")&amp;IF(P266&gt;0.5,"; Invalid Discount (Too High)","")&amp;IF(Z266&lt;0,"; Invalid Shipping Record (Ship Before Order)","")&amp;IF(ABS(Q266-W266)&gt;1,"; Sales Mismatch","")&amp;IF(ABS(S266-X266)&gt;1,"; Profit Mismatch","")&amp;IF(COUNTIF($A$2:$A$913,A266)&gt;1,"; Duplicate Order ID Conflict",""))</f>
        <v/>
      </c>
      <c r="AE266" s="10" t="str">
        <f aca="false">IF(OR(ISNUMBER(SEARCH("Invalid Discount",AD266)),ISNUMBER(SEARCH("Invalid Shipping Record",AD266)),ISNUMBER(SEARCH("Sales Mismatch",AD266)),ISNUMBER(SEARCH("Profit Mismatch",AD266)),ISNUMBER(SEARCH("Duplicate Order ID Conflict",AD266)),ISNUMBER(SEARCH("Missing Order Date",AD266)),ISNUMBER(SEARCH("Missing Ship Date",AD266))),"Invalid",IF(AD266&lt;&gt;"","Warning","Clean"))</f>
        <v>Clean</v>
      </c>
    </row>
    <row r="267" customFormat="false" ht="15" hidden="false" customHeight="true" outlineLevel="0" collapsed="false">
      <c r="A267" s="3" t="s">
        <v>824</v>
      </c>
      <c r="B267" s="4" t="n">
        <v>45610</v>
      </c>
      <c r="C267" s="4" t="n">
        <v>45618</v>
      </c>
      <c r="D267" s="3" t="s">
        <v>825</v>
      </c>
      <c r="E267" s="3" t="str">
        <f aca="false">PROPER(TRIM(SUBSTITUTE(Raw_Text_Fields!B268,CHAR(160)," ")))</f>
        <v>Priya Menon</v>
      </c>
      <c r="F267" s="3" t="str">
        <f aca="false">PROPER(TRIM(SUBSTITUTE(Raw_Text_Fields!C268,CHAR(160)," ")))</f>
        <v>Corporate</v>
      </c>
      <c r="G267" s="3" t="str">
        <f aca="false">PROPER(TRIM(SUBSTITUTE(Raw_Text_Fields!D268,CHAR(160)," ")))</f>
        <v>East</v>
      </c>
      <c r="H267" s="3" t="str">
        <f aca="false">PROPER(TRIM(SUBSTITUTE(Raw_Text_Fields!E268,CHAR(160)," ")))</f>
        <v>Bihar</v>
      </c>
      <c r="I267" s="3" t="str">
        <f aca="false">PROPER(TRIM(SUBSTITUTE(Raw_Text_Fields!F268,CHAR(160)," ")))</f>
        <v>Patna</v>
      </c>
      <c r="J267" s="3" t="str">
        <f aca="false">PROPER(TRIM(SUBSTITUTE(Raw_Text_Fields!G268,CHAR(160)," ")))</f>
        <v>Furniture</v>
      </c>
      <c r="K267" s="3" t="str">
        <f aca="false">PROPER(TRIM(SUBSTITUTE(Raw_Text_Fields!H268,CHAR(160)," ")))</f>
        <v>Bookcases</v>
      </c>
      <c r="L267" s="3" t="s">
        <v>826</v>
      </c>
      <c r="M267" s="3" t="str">
        <f aca="false">PROPER(TRIM(SUBSTITUTE(Raw_Text_Fields!I268,CHAR(160)," ")))</f>
        <v>Same Day</v>
      </c>
      <c r="N267" s="3" t="n">
        <v>1</v>
      </c>
      <c r="O267" s="5" t="n">
        <v>582.37</v>
      </c>
      <c r="P267" s="6" t="n">
        <v>0.15</v>
      </c>
      <c r="Q267" s="5" t="n">
        <v>495.01</v>
      </c>
      <c r="R267" s="5" t="n">
        <v>285.13</v>
      </c>
      <c r="S267" s="5" t="n">
        <v>209.88</v>
      </c>
      <c r="T267" s="3" t="str">
        <f aca="false">PROPER(TRIM(SUBSTITUTE(Raw_Text_Fields!J268,CHAR(160)," ")))</f>
        <v>Refunded</v>
      </c>
      <c r="U267" s="3" t="str">
        <f aca="false">PROPER(TRIM(SUBSTITUTE(Raw_Text_Fields!K268,CHAR(160)," ")))</f>
        <v>Cancelled</v>
      </c>
      <c r="V267" s="7" t="n">
        <f aca="false">IF(OR(P267&lt;0,P267&gt;0.5),0,P267)</f>
        <v>0.15</v>
      </c>
      <c r="W267" s="8" t="n">
        <f aca="false">N267*O267*(1-V267)</f>
        <v>495.0145</v>
      </c>
      <c r="X267" s="8" t="n">
        <f aca="false">W267-R267</f>
        <v>209.8845</v>
      </c>
      <c r="Y267" s="7" t="n">
        <f aca="false">IFERROR(X267/W267,0)</f>
        <v>0.423996670804593</v>
      </c>
      <c r="Z267" s="9" t="n">
        <f aca="false">C267-B267</f>
        <v>8</v>
      </c>
      <c r="AA267" s="1" t="str">
        <f aca="false">IF(B267="","",TEXT(B267,"mmm"))</f>
        <v>Nov</v>
      </c>
      <c r="AB267" s="9" t="n">
        <f aca="false">IF(B267="","",YEAR(B267))</f>
        <v>2024</v>
      </c>
      <c r="AC267" s="3"/>
      <c r="AD267" s="3" t="str">
        <f aca="false">IF(LEFT(AC267&amp;IF(B267="","; Missing Order Date","")&amp;IF(C267="","; Missing Ship Date","")&amp;IF(P267&lt;0,"; Invalid Discount (Negative)","")&amp;IF(P267&gt;0.5,"; Invalid Discount (Too High)","")&amp;IF(Z267&lt;0,"; Invalid Shipping Record (Ship Before Order)","")&amp;IF(ABS(Q267-W267)&gt;1,"; Sales Mismatch","")&amp;IF(ABS(S267-X267)&gt;1,"; Profit Mismatch","")&amp;IF(COUNTIF($A$2:$A$913,A267)&gt;1,"; Duplicate Order ID Conflict",""),2)="; ",MID(AC267&amp;IF(B267="","; Missing Order Date","")&amp;IF(C267="","; Missing Ship Date","")&amp;IF(P267&lt;0,"; Invalid Discount (Negative)","")&amp;IF(P267&gt;0.5,"; Invalid Discount (Too High)","")&amp;IF(Z267&lt;0,"; Invalid Shipping Record (Ship Before Order)","")&amp;IF(ABS(Q267-W267)&gt;1,"; Sales Mismatch","")&amp;IF(ABS(S267-X267)&gt;1,"; Profit Mismatch","")&amp;IF(COUNTIF($A$2:$A$913,A267)&gt;1,"; Duplicate Order ID Conflict",""),3,500),AC267&amp;IF(B267="","; Missing Order Date","")&amp;IF(C267="","; Missing Ship Date","")&amp;IF(P267&lt;0,"; Invalid Discount (Negative)","")&amp;IF(P267&gt;0.5,"; Invalid Discount (Too High)","")&amp;IF(Z267&lt;0,"; Invalid Shipping Record (Ship Before Order)","")&amp;IF(ABS(Q267-W267)&gt;1,"; Sales Mismatch","")&amp;IF(ABS(S267-X267)&gt;1,"; Profit Mismatch","")&amp;IF(COUNTIF($A$2:$A$913,A267)&gt;1,"; Duplicate Order ID Conflict",""))</f>
        <v/>
      </c>
      <c r="AE267" s="10" t="str">
        <f aca="false">IF(OR(ISNUMBER(SEARCH("Invalid Discount",AD267)),ISNUMBER(SEARCH("Invalid Shipping Record",AD267)),ISNUMBER(SEARCH("Sales Mismatch",AD267)),ISNUMBER(SEARCH("Profit Mismatch",AD267)),ISNUMBER(SEARCH("Duplicate Order ID Conflict",AD267)),ISNUMBER(SEARCH("Missing Order Date",AD267)),ISNUMBER(SEARCH("Missing Ship Date",AD267))),"Invalid",IF(AD267&lt;&gt;"","Warning","Clean"))</f>
        <v>Clean</v>
      </c>
    </row>
    <row r="268" customFormat="false" ht="15" hidden="false" customHeight="true" outlineLevel="0" collapsed="false">
      <c r="A268" s="3" t="s">
        <v>827</v>
      </c>
      <c r="B268" s="4" t="n">
        <v>45780</v>
      </c>
      <c r="C268" s="4" t="n">
        <v>45787</v>
      </c>
      <c r="D268" s="3" t="s">
        <v>828</v>
      </c>
      <c r="E268" s="3" t="str">
        <f aca="false">PROPER(TRIM(SUBSTITUTE(Raw_Text_Fields!B269,CHAR(160)," ")))</f>
        <v>Neha Gupta</v>
      </c>
      <c r="F268" s="3" t="str">
        <f aca="false">PROPER(TRIM(SUBSTITUTE(Raw_Text_Fields!C269,CHAR(160)," ")))</f>
        <v>Home Office</v>
      </c>
      <c r="G268" s="3" t="str">
        <f aca="false">PROPER(TRIM(SUBSTITUTE(Raw_Text_Fields!D269,CHAR(160)," ")))</f>
        <v>West</v>
      </c>
      <c r="H268" s="3" t="str">
        <f aca="false">PROPER(TRIM(SUBSTITUTE(Raw_Text_Fields!E269,CHAR(160)," ")))</f>
        <v>Maharashtra</v>
      </c>
      <c r="I268" s="3" t="str">
        <f aca="false">PROPER(TRIM(SUBSTITUTE(Raw_Text_Fields!F269,CHAR(160)," ")))</f>
        <v>Mumbai</v>
      </c>
      <c r="J268" s="3" t="str">
        <f aca="false">PROPER(TRIM(SUBSTITUTE(Raw_Text_Fields!G269,CHAR(160)," ")))</f>
        <v>Office Supplies</v>
      </c>
      <c r="K268" s="3" t="str">
        <f aca="false">PROPER(TRIM(SUBSTITUTE(Raw_Text_Fields!H269,CHAR(160)," ")))</f>
        <v>Storage</v>
      </c>
      <c r="L268" s="3" t="s">
        <v>829</v>
      </c>
      <c r="M268" s="3" t="str">
        <f aca="false">PROPER(TRIM(SUBSTITUTE(Raw_Text_Fields!I269,CHAR(160)," ")))</f>
        <v>Second Class</v>
      </c>
      <c r="N268" s="3" t="n">
        <v>3</v>
      </c>
      <c r="O268" s="5" t="n">
        <v>4339.24</v>
      </c>
      <c r="P268" s="6" t="n">
        <v>0</v>
      </c>
      <c r="Q268" s="5" t="n">
        <v>13017.72</v>
      </c>
      <c r="R268" s="5" t="n">
        <v>10170.57</v>
      </c>
      <c r="S268" s="5" t="n">
        <v>2847.15</v>
      </c>
      <c r="T268" s="3" t="str">
        <f aca="false">PROPER(TRIM(SUBSTITUTE(Raw_Text_Fields!J269,CHAR(160)," ")))</f>
        <v>Paid</v>
      </c>
      <c r="U268" s="3" t="str">
        <f aca="false">PROPER(TRIM(SUBSTITUTE(Raw_Text_Fields!K269,CHAR(160)," ")))</f>
        <v>Completed</v>
      </c>
      <c r="V268" s="7" t="n">
        <f aca="false">IF(OR(P268&lt;0,P268&gt;0.5),0,P268)</f>
        <v>0</v>
      </c>
      <c r="W268" s="8" t="n">
        <f aca="false">N268*O268*(1-V268)</f>
        <v>13017.72</v>
      </c>
      <c r="X268" s="8" t="n">
        <f aca="false">W268-R268</f>
        <v>2847.15</v>
      </c>
      <c r="Y268" s="7" t="n">
        <f aca="false">IFERROR(X268/W268,0)</f>
        <v>0.218713415252441</v>
      </c>
      <c r="Z268" s="9" t="n">
        <f aca="false">C268-B268</f>
        <v>7</v>
      </c>
      <c r="AA268" s="1" t="str">
        <f aca="false">IF(B268="","",TEXT(B268,"mmm"))</f>
        <v>May</v>
      </c>
      <c r="AB268" s="9" t="n">
        <f aca="false">IF(B268="","",YEAR(B268))</f>
        <v>2025</v>
      </c>
      <c r="AC268" s="3"/>
      <c r="AD268" s="3" t="str">
        <f aca="false">IF(LEFT(AC268&amp;IF(B268="","; Missing Order Date","")&amp;IF(C268="","; Missing Ship Date","")&amp;IF(P268&lt;0,"; Invalid Discount (Negative)","")&amp;IF(P268&gt;0.5,"; Invalid Discount (Too High)","")&amp;IF(Z268&lt;0,"; Invalid Shipping Record (Ship Before Order)","")&amp;IF(ABS(Q268-W268)&gt;1,"; Sales Mismatch","")&amp;IF(ABS(S268-X268)&gt;1,"; Profit Mismatch","")&amp;IF(COUNTIF($A$2:$A$913,A268)&gt;1,"; Duplicate Order ID Conflict",""),2)="; ",MID(AC268&amp;IF(B268="","; Missing Order Date","")&amp;IF(C268="","; Missing Ship Date","")&amp;IF(P268&lt;0,"; Invalid Discount (Negative)","")&amp;IF(P268&gt;0.5,"; Invalid Discount (Too High)","")&amp;IF(Z268&lt;0,"; Invalid Shipping Record (Ship Before Order)","")&amp;IF(ABS(Q268-W268)&gt;1,"; Sales Mismatch","")&amp;IF(ABS(S268-X268)&gt;1,"; Profit Mismatch","")&amp;IF(COUNTIF($A$2:$A$913,A268)&gt;1,"; Duplicate Order ID Conflict",""),3,500),AC268&amp;IF(B268="","; Missing Order Date","")&amp;IF(C268="","; Missing Ship Date","")&amp;IF(P268&lt;0,"; Invalid Discount (Negative)","")&amp;IF(P268&gt;0.5,"; Invalid Discount (Too High)","")&amp;IF(Z268&lt;0,"; Invalid Shipping Record (Ship Before Order)","")&amp;IF(ABS(Q268-W268)&gt;1,"; Sales Mismatch","")&amp;IF(ABS(S268-X268)&gt;1,"; Profit Mismatch","")&amp;IF(COUNTIF($A$2:$A$913,A268)&gt;1,"; Duplicate Order ID Conflict",""))</f>
        <v/>
      </c>
      <c r="AE268" s="10" t="str">
        <f aca="false">IF(OR(ISNUMBER(SEARCH("Invalid Discount",AD268)),ISNUMBER(SEARCH("Invalid Shipping Record",AD268)),ISNUMBER(SEARCH("Sales Mismatch",AD268)),ISNUMBER(SEARCH("Profit Mismatch",AD268)),ISNUMBER(SEARCH("Duplicate Order ID Conflict",AD268)),ISNUMBER(SEARCH("Missing Order Date",AD268)),ISNUMBER(SEARCH("Missing Ship Date",AD268))),"Invalid",IF(AD268&lt;&gt;"","Warning","Clean"))</f>
        <v>Clean</v>
      </c>
    </row>
    <row r="269" customFormat="false" ht="15" hidden="false" customHeight="true" outlineLevel="0" collapsed="false">
      <c r="A269" s="3" t="s">
        <v>830</v>
      </c>
      <c r="B269" s="4" t="n">
        <v>45805</v>
      </c>
      <c r="C269" s="4" t="n">
        <v>45812</v>
      </c>
      <c r="D269" s="3" t="s">
        <v>831</v>
      </c>
      <c r="E269" s="3" t="str">
        <f aca="false">PROPER(TRIM(SUBSTITUTE(Raw_Text_Fields!B270,CHAR(160)," ")))</f>
        <v>Diya Patel</v>
      </c>
      <c r="F269" s="3" t="str">
        <f aca="false">PROPER(TRIM(SUBSTITUTE(Raw_Text_Fields!C270,CHAR(160)," ")))</f>
        <v>Corporate</v>
      </c>
      <c r="G269" s="3" t="str">
        <f aca="false">PROPER(TRIM(SUBSTITUTE(Raw_Text_Fields!D270,CHAR(160)," ")))</f>
        <v>East</v>
      </c>
      <c r="H269" s="3" t="str">
        <f aca="false">PROPER(TRIM(SUBSTITUTE(Raw_Text_Fields!E270,CHAR(160)," ")))</f>
        <v>Jharkhand</v>
      </c>
      <c r="I269" s="3" t="str">
        <f aca="false">PROPER(TRIM(SUBSTITUTE(Raw_Text_Fields!F270,CHAR(160)," ")))</f>
        <v>Ranchi</v>
      </c>
      <c r="J269" s="3" t="str">
        <f aca="false">PROPER(TRIM(SUBSTITUTE(Raw_Text_Fields!G270,CHAR(160)," ")))</f>
        <v>Furniture</v>
      </c>
      <c r="K269" s="3" t="str">
        <f aca="false">PROPER(TRIM(SUBSTITUTE(Raw_Text_Fields!H270,CHAR(160)," ")))</f>
        <v>Furnishings</v>
      </c>
      <c r="L269" s="3" t="s">
        <v>832</v>
      </c>
      <c r="M269" s="3" t="str">
        <f aca="false">PROPER(TRIM(SUBSTITUTE(Raw_Text_Fields!I270,CHAR(160)," ")))</f>
        <v>First Class</v>
      </c>
      <c r="N269" s="3" t="n">
        <v>4</v>
      </c>
      <c r="O269" s="5" t="n">
        <v>261.8</v>
      </c>
      <c r="P269" s="6" t="n">
        <v>0.25</v>
      </c>
      <c r="Q269" s="5" t="n">
        <v>785.4</v>
      </c>
      <c r="R269" s="5" t="n">
        <v>557.22</v>
      </c>
      <c r="S269" s="5" t="n">
        <v>228.18</v>
      </c>
      <c r="T269" s="3" t="str">
        <f aca="false">PROPER(TRIM(SUBSTITUTE(Raw_Text_Fields!J270,CHAR(160)," ")))</f>
        <v>Paid</v>
      </c>
      <c r="U269" s="3" t="str">
        <f aca="false">PROPER(TRIM(SUBSTITUTE(Raw_Text_Fields!K270,CHAR(160)," ")))</f>
        <v>Completed</v>
      </c>
      <c r="V269" s="7" t="n">
        <f aca="false">IF(OR(P269&lt;0,P269&gt;0.5),0,P269)</f>
        <v>0.25</v>
      </c>
      <c r="W269" s="8" t="n">
        <f aca="false">N269*O269*(1-V269)</f>
        <v>785.4</v>
      </c>
      <c r="X269" s="8" t="n">
        <f aca="false">W269-R269</f>
        <v>228.18</v>
      </c>
      <c r="Y269" s="7" t="n">
        <f aca="false">IFERROR(X269/W269,0)</f>
        <v>0.290527119938885</v>
      </c>
      <c r="Z269" s="9" t="n">
        <f aca="false">C269-B269</f>
        <v>7</v>
      </c>
      <c r="AA269" s="1" t="str">
        <f aca="false">IF(B269="","",TEXT(B269,"mmm"))</f>
        <v>May</v>
      </c>
      <c r="AB269" s="9" t="n">
        <f aca="false">IF(B269="","",YEAR(B269))</f>
        <v>2025</v>
      </c>
      <c r="AC269" s="3"/>
      <c r="AD269" s="3" t="str">
        <f aca="false">IF(LEFT(AC269&amp;IF(B269="","; Missing Order Date","")&amp;IF(C269="","; Missing Ship Date","")&amp;IF(P269&lt;0,"; Invalid Discount (Negative)","")&amp;IF(P269&gt;0.5,"; Invalid Discount (Too High)","")&amp;IF(Z269&lt;0,"; Invalid Shipping Record (Ship Before Order)","")&amp;IF(ABS(Q269-W269)&gt;1,"; Sales Mismatch","")&amp;IF(ABS(S269-X269)&gt;1,"; Profit Mismatch","")&amp;IF(COUNTIF($A$2:$A$913,A269)&gt;1,"; Duplicate Order ID Conflict",""),2)="; ",MID(AC269&amp;IF(B269="","; Missing Order Date","")&amp;IF(C269="","; Missing Ship Date","")&amp;IF(P269&lt;0,"; Invalid Discount (Negative)","")&amp;IF(P269&gt;0.5,"; Invalid Discount (Too High)","")&amp;IF(Z269&lt;0,"; Invalid Shipping Record (Ship Before Order)","")&amp;IF(ABS(Q269-W269)&gt;1,"; Sales Mismatch","")&amp;IF(ABS(S269-X269)&gt;1,"; Profit Mismatch","")&amp;IF(COUNTIF($A$2:$A$913,A269)&gt;1,"; Duplicate Order ID Conflict",""),3,500),AC269&amp;IF(B269="","; Missing Order Date","")&amp;IF(C269="","; Missing Ship Date","")&amp;IF(P269&lt;0,"; Invalid Discount (Negative)","")&amp;IF(P269&gt;0.5,"; Invalid Discount (Too High)","")&amp;IF(Z269&lt;0,"; Invalid Shipping Record (Ship Before Order)","")&amp;IF(ABS(Q269-W269)&gt;1,"; Sales Mismatch","")&amp;IF(ABS(S269-X269)&gt;1,"; Profit Mismatch","")&amp;IF(COUNTIF($A$2:$A$913,A269)&gt;1,"; Duplicate Order ID Conflict",""))</f>
        <v/>
      </c>
      <c r="AE269" s="10" t="str">
        <f aca="false">IF(OR(ISNUMBER(SEARCH("Invalid Discount",AD269)),ISNUMBER(SEARCH("Invalid Shipping Record",AD269)),ISNUMBER(SEARCH("Sales Mismatch",AD269)),ISNUMBER(SEARCH("Profit Mismatch",AD269)),ISNUMBER(SEARCH("Duplicate Order ID Conflict",AD269)),ISNUMBER(SEARCH("Missing Order Date",AD269)),ISNUMBER(SEARCH("Missing Ship Date",AD269))),"Invalid",IF(AD269&lt;&gt;"","Warning","Clean"))</f>
        <v>Clean</v>
      </c>
    </row>
    <row r="270" customFormat="false" ht="15" hidden="false" customHeight="true" outlineLevel="0" collapsed="false">
      <c r="A270" s="3" t="s">
        <v>833</v>
      </c>
      <c r="B270" s="4" t="n">
        <v>45886</v>
      </c>
      <c r="C270" s="4" t="n">
        <v>45886</v>
      </c>
      <c r="D270" s="3" t="s">
        <v>834</v>
      </c>
      <c r="E270" s="3" t="str">
        <f aca="false">PROPER(TRIM(SUBSTITUTE(Raw_Text_Fields!B271,CHAR(160)," ")))</f>
        <v>Aarav Sharma</v>
      </c>
      <c r="F270" s="3" t="str">
        <f aca="false">PROPER(TRIM(SUBSTITUTE(Raw_Text_Fields!C271,CHAR(160)," ")))</f>
        <v>Home Office</v>
      </c>
      <c r="G270" s="3" t="str">
        <f aca="false">PROPER(TRIM(SUBSTITUTE(Raw_Text_Fields!D271,CHAR(160)," ")))</f>
        <v>North</v>
      </c>
      <c r="H270" s="3" t="str">
        <f aca="false">PROPER(TRIM(SUBSTITUTE(Raw_Text_Fields!E271,CHAR(160)," ")))</f>
        <v>Punjab</v>
      </c>
      <c r="I270" s="3" t="str">
        <f aca="false">PROPER(TRIM(SUBSTITUTE(Raw_Text_Fields!F271,CHAR(160)," ")))</f>
        <v>Ludhiana</v>
      </c>
      <c r="J270" s="3" t="str">
        <f aca="false">PROPER(TRIM(SUBSTITUTE(Raw_Text_Fields!G271,CHAR(160)," ")))</f>
        <v>Technology</v>
      </c>
      <c r="K270" s="3" t="str">
        <f aca="false">PROPER(TRIM(SUBSTITUTE(Raw_Text_Fields!H271,CHAR(160)," ")))</f>
        <v>Accessories</v>
      </c>
      <c r="L270" s="3" t="s">
        <v>835</v>
      </c>
      <c r="M270" s="3" t="str">
        <f aca="false">PROPER(TRIM(SUBSTITUTE(Raw_Text_Fields!I271,CHAR(160)," ")))</f>
        <v>First Class</v>
      </c>
      <c r="N270" s="3" t="n">
        <v>7</v>
      </c>
      <c r="O270" s="5" t="n">
        <v>632.2</v>
      </c>
      <c r="P270" s="6" t="n">
        <v>0.25</v>
      </c>
      <c r="Q270" s="5" t="n">
        <v>3319.05</v>
      </c>
      <c r="R270" s="5" t="n">
        <v>2124.6</v>
      </c>
      <c r="S270" s="5" t="n">
        <v>1194.45</v>
      </c>
      <c r="T270" s="3" t="str">
        <f aca="false">PROPER(TRIM(SUBSTITUTE(Raw_Text_Fields!J271,CHAR(160)," ")))</f>
        <v>Paid</v>
      </c>
      <c r="U270" s="3" t="str">
        <f aca="false">PROPER(TRIM(SUBSTITUTE(Raw_Text_Fields!K271,CHAR(160)," ")))</f>
        <v>Completed</v>
      </c>
      <c r="V270" s="7" t="n">
        <f aca="false">IF(OR(P270&lt;0,P270&gt;0.5),0,P270)</f>
        <v>0.25</v>
      </c>
      <c r="W270" s="8" t="n">
        <f aca="false">N270*O270*(1-V270)</f>
        <v>3319.05</v>
      </c>
      <c r="X270" s="8" t="n">
        <f aca="false">W270-R270</f>
        <v>1194.45</v>
      </c>
      <c r="Y270" s="7" t="n">
        <f aca="false">IFERROR(X270/W270,0)</f>
        <v>0.359877073258915</v>
      </c>
      <c r="Z270" s="9" t="n">
        <f aca="false">C270-B270</f>
        <v>0</v>
      </c>
      <c r="AA270" s="1" t="str">
        <f aca="false">IF(B270="","",TEXT(B270,"mmm"))</f>
        <v>Aug</v>
      </c>
      <c r="AB270" s="9" t="n">
        <f aca="false">IF(B270="","",YEAR(B270))</f>
        <v>2025</v>
      </c>
      <c r="AC270" s="3"/>
      <c r="AD270" s="3" t="str">
        <f aca="false">IF(LEFT(AC270&amp;IF(B270="","; Missing Order Date","")&amp;IF(C270="","; Missing Ship Date","")&amp;IF(P270&lt;0,"; Invalid Discount (Negative)","")&amp;IF(P270&gt;0.5,"; Invalid Discount (Too High)","")&amp;IF(Z270&lt;0,"; Invalid Shipping Record (Ship Before Order)","")&amp;IF(ABS(Q270-W270)&gt;1,"; Sales Mismatch","")&amp;IF(ABS(S270-X270)&gt;1,"; Profit Mismatch","")&amp;IF(COUNTIF($A$2:$A$913,A270)&gt;1,"; Duplicate Order ID Conflict",""),2)="; ",MID(AC270&amp;IF(B270="","; Missing Order Date","")&amp;IF(C270="","; Missing Ship Date","")&amp;IF(P270&lt;0,"; Invalid Discount (Negative)","")&amp;IF(P270&gt;0.5,"; Invalid Discount (Too High)","")&amp;IF(Z270&lt;0,"; Invalid Shipping Record (Ship Before Order)","")&amp;IF(ABS(Q270-W270)&gt;1,"; Sales Mismatch","")&amp;IF(ABS(S270-X270)&gt;1,"; Profit Mismatch","")&amp;IF(COUNTIF($A$2:$A$913,A270)&gt;1,"; Duplicate Order ID Conflict",""),3,500),AC270&amp;IF(B270="","; Missing Order Date","")&amp;IF(C270="","; Missing Ship Date","")&amp;IF(P270&lt;0,"; Invalid Discount (Negative)","")&amp;IF(P270&gt;0.5,"; Invalid Discount (Too High)","")&amp;IF(Z270&lt;0,"; Invalid Shipping Record (Ship Before Order)","")&amp;IF(ABS(Q270-W270)&gt;1,"; Sales Mismatch","")&amp;IF(ABS(S270-X270)&gt;1,"; Profit Mismatch","")&amp;IF(COUNTIF($A$2:$A$913,A270)&gt;1,"; Duplicate Order ID Conflict",""))</f>
        <v/>
      </c>
      <c r="AE270" s="10" t="str">
        <f aca="false">IF(OR(ISNUMBER(SEARCH("Invalid Discount",AD270)),ISNUMBER(SEARCH("Invalid Shipping Record",AD270)),ISNUMBER(SEARCH("Sales Mismatch",AD270)),ISNUMBER(SEARCH("Profit Mismatch",AD270)),ISNUMBER(SEARCH("Duplicate Order ID Conflict",AD270)),ISNUMBER(SEARCH("Missing Order Date",AD270)),ISNUMBER(SEARCH("Missing Ship Date",AD270))),"Invalid",IF(AD270&lt;&gt;"","Warning","Clean"))</f>
        <v>Clean</v>
      </c>
    </row>
    <row r="271" customFormat="false" ht="15" hidden="false" customHeight="true" outlineLevel="0" collapsed="false">
      <c r="A271" s="3" t="s">
        <v>836</v>
      </c>
      <c r="B271" s="4" t="n">
        <v>45698</v>
      </c>
      <c r="C271" s="4" t="n">
        <v>45700</v>
      </c>
      <c r="D271" s="3" t="s">
        <v>837</v>
      </c>
      <c r="E271" s="3" t="str">
        <f aca="false">PROPER(TRIM(SUBSTITUTE(Raw_Text_Fields!B272,CHAR(160)," ")))</f>
        <v>Rahul Verma</v>
      </c>
      <c r="F271" s="3" t="str">
        <f aca="false">PROPER(TRIM(SUBSTITUTE(Raw_Text_Fields!C272,CHAR(160)," ")))</f>
        <v>Small Business</v>
      </c>
      <c r="G271" s="3" t="str">
        <f aca="false">PROPER(TRIM(SUBSTITUTE(Raw_Text_Fields!D272,CHAR(160)," ")))</f>
        <v>West</v>
      </c>
      <c r="H271" s="3" t="str">
        <f aca="false">PROPER(TRIM(SUBSTITUTE(Raw_Text_Fields!E272,CHAR(160)," ")))</f>
        <v>Rajasthan</v>
      </c>
      <c r="I271" s="3" t="str">
        <f aca="false">PROPER(TRIM(SUBSTITUTE(Raw_Text_Fields!F272,CHAR(160)," ")))</f>
        <v>Udaipur</v>
      </c>
      <c r="J271" s="3" t="str">
        <f aca="false">PROPER(TRIM(SUBSTITUTE(Raw_Text_Fields!G272,CHAR(160)," ")))</f>
        <v>Furniture</v>
      </c>
      <c r="K271" s="3" t="str">
        <f aca="false">PROPER(TRIM(SUBSTITUTE(Raw_Text_Fields!H272,CHAR(160)," ")))</f>
        <v>Tables</v>
      </c>
      <c r="L271" s="3" t="s">
        <v>838</v>
      </c>
      <c r="M271" s="3" t="str">
        <f aca="false">PROPER(TRIM(SUBSTITUTE(Raw_Text_Fields!I272,CHAR(160)," ")))</f>
        <v>Same Day</v>
      </c>
      <c r="N271" s="3" t="n">
        <v>1</v>
      </c>
      <c r="O271" s="5" t="n">
        <v>1925.86</v>
      </c>
      <c r="P271" s="6" t="n">
        <v>0</v>
      </c>
      <c r="Q271" s="5" t="n">
        <v>1925.86</v>
      </c>
      <c r="R271" s="5" t="n">
        <v>1321.89</v>
      </c>
      <c r="S271" s="5" t="n">
        <v>603.97</v>
      </c>
      <c r="T271" s="3" t="str">
        <f aca="false">PROPER(TRIM(SUBSTITUTE(Raw_Text_Fields!J272,CHAR(160)," ")))</f>
        <v>Paid</v>
      </c>
      <c r="U271" s="3" t="str">
        <f aca="false">PROPER(TRIM(SUBSTITUTE(Raw_Text_Fields!K272,CHAR(160)," ")))</f>
        <v>Completed</v>
      </c>
      <c r="V271" s="7" t="n">
        <f aca="false">IF(OR(P271&lt;0,P271&gt;0.5),0,P271)</f>
        <v>0</v>
      </c>
      <c r="W271" s="8" t="n">
        <f aca="false">N271*O271*(1-V271)</f>
        <v>1925.86</v>
      </c>
      <c r="X271" s="8" t="n">
        <f aca="false">W271-R271</f>
        <v>603.97</v>
      </c>
      <c r="Y271" s="7" t="n">
        <f aca="false">IFERROR(X271/W271,0)</f>
        <v>0.313610542822427</v>
      </c>
      <c r="Z271" s="9" t="n">
        <f aca="false">C271-B271</f>
        <v>2</v>
      </c>
      <c r="AA271" s="1" t="str">
        <f aca="false">IF(B271="","",TEXT(B271,"mmm"))</f>
        <v>Feb</v>
      </c>
      <c r="AB271" s="9" t="n">
        <f aca="false">IF(B271="","",YEAR(B271))</f>
        <v>2025</v>
      </c>
      <c r="AC271" s="3"/>
      <c r="AD271" s="3" t="str">
        <f aca="false">IF(LEFT(AC271&amp;IF(B271="","; Missing Order Date","")&amp;IF(C271="","; Missing Ship Date","")&amp;IF(P271&lt;0,"; Invalid Discount (Negative)","")&amp;IF(P271&gt;0.5,"; Invalid Discount (Too High)","")&amp;IF(Z271&lt;0,"; Invalid Shipping Record (Ship Before Order)","")&amp;IF(ABS(Q271-W271)&gt;1,"; Sales Mismatch","")&amp;IF(ABS(S271-X271)&gt;1,"; Profit Mismatch","")&amp;IF(COUNTIF($A$2:$A$913,A271)&gt;1,"; Duplicate Order ID Conflict",""),2)="; ",MID(AC271&amp;IF(B271="","; Missing Order Date","")&amp;IF(C271="","; Missing Ship Date","")&amp;IF(P271&lt;0,"; Invalid Discount (Negative)","")&amp;IF(P271&gt;0.5,"; Invalid Discount (Too High)","")&amp;IF(Z271&lt;0,"; Invalid Shipping Record (Ship Before Order)","")&amp;IF(ABS(Q271-W271)&gt;1,"; Sales Mismatch","")&amp;IF(ABS(S271-X271)&gt;1,"; Profit Mismatch","")&amp;IF(COUNTIF($A$2:$A$913,A271)&gt;1,"; Duplicate Order ID Conflict",""),3,500),AC271&amp;IF(B271="","; Missing Order Date","")&amp;IF(C271="","; Missing Ship Date","")&amp;IF(P271&lt;0,"; Invalid Discount (Negative)","")&amp;IF(P271&gt;0.5,"; Invalid Discount (Too High)","")&amp;IF(Z271&lt;0,"; Invalid Shipping Record (Ship Before Order)","")&amp;IF(ABS(Q271-W271)&gt;1,"; Sales Mismatch","")&amp;IF(ABS(S271-X271)&gt;1,"; Profit Mismatch","")&amp;IF(COUNTIF($A$2:$A$913,A271)&gt;1,"; Duplicate Order ID Conflict",""))</f>
        <v/>
      </c>
      <c r="AE271" s="10" t="str">
        <f aca="false">IF(OR(ISNUMBER(SEARCH("Invalid Discount",AD271)),ISNUMBER(SEARCH("Invalid Shipping Record",AD271)),ISNUMBER(SEARCH("Sales Mismatch",AD271)),ISNUMBER(SEARCH("Profit Mismatch",AD271)),ISNUMBER(SEARCH("Duplicate Order ID Conflict",AD271)),ISNUMBER(SEARCH("Missing Order Date",AD271)),ISNUMBER(SEARCH("Missing Ship Date",AD271))),"Invalid",IF(AD271&lt;&gt;"","Warning","Clean"))</f>
        <v>Clean</v>
      </c>
    </row>
    <row r="272" customFormat="false" ht="15" hidden="false" customHeight="true" outlineLevel="0" collapsed="false">
      <c r="A272" s="3" t="s">
        <v>839</v>
      </c>
      <c r="B272" s="4" t="n">
        <v>45303</v>
      </c>
      <c r="C272" s="4" t="n">
        <v>45304</v>
      </c>
      <c r="D272" s="3" t="s">
        <v>840</v>
      </c>
      <c r="E272" s="3" t="str">
        <f aca="false">PROPER(TRIM(SUBSTITUTE(Raw_Text_Fields!B273,CHAR(160)," ")))</f>
        <v>Aditi Sen</v>
      </c>
      <c r="F272" s="3" t="str">
        <f aca="false">PROPER(TRIM(SUBSTITUTE(Raw_Text_Fields!C273,CHAR(160)," ")))</f>
        <v>Corporate</v>
      </c>
      <c r="G272" s="3" t="str">
        <f aca="false">PROPER(TRIM(SUBSTITUTE(Raw_Text_Fields!D273,CHAR(160)," ")))</f>
        <v>North</v>
      </c>
      <c r="H272" s="3" t="str">
        <f aca="false">PROPER(TRIM(SUBSTITUTE(Raw_Text_Fields!E273,CHAR(160)," ")))</f>
        <v>Uttar Pradesh</v>
      </c>
      <c r="I272" s="3" t="str">
        <f aca="false">PROPER(TRIM(SUBSTITUTE(Raw_Text_Fields!F273,CHAR(160)," ")))</f>
        <v>Noida</v>
      </c>
      <c r="J272" s="3" t="str">
        <f aca="false">PROPER(TRIM(SUBSTITUTE(Raw_Text_Fields!G273,CHAR(160)," ")))</f>
        <v>Technology</v>
      </c>
      <c r="K272" s="3" t="str">
        <f aca="false">PROPER(TRIM(SUBSTITUTE(Raw_Text_Fields!H273,CHAR(160)," ")))</f>
        <v>Machines</v>
      </c>
      <c r="L272" s="3" t="s">
        <v>841</v>
      </c>
      <c r="M272" s="3" t="str">
        <f aca="false">PROPER(TRIM(SUBSTITUTE(Raw_Text_Fields!I273,CHAR(160)," ")))</f>
        <v>Same Day</v>
      </c>
      <c r="N272" s="3" t="n">
        <v>3</v>
      </c>
      <c r="O272" s="5" t="n">
        <v>827.44</v>
      </c>
      <c r="P272" s="6" t="n">
        <v>0</v>
      </c>
      <c r="Q272" s="5" t="n">
        <v>2482.32</v>
      </c>
      <c r="R272" s="5" t="n">
        <v>1520.21</v>
      </c>
      <c r="S272" s="5" t="n">
        <v>962.11</v>
      </c>
      <c r="T272" s="3" t="str">
        <f aca="false">PROPER(TRIM(SUBSTITUTE(Raw_Text_Fields!J273,CHAR(160)," ")))</f>
        <v>Paid</v>
      </c>
      <c r="U272" s="3" t="str">
        <f aca="false">PROPER(TRIM(SUBSTITUTE(Raw_Text_Fields!K273,CHAR(160)," ")))</f>
        <v>Completed</v>
      </c>
      <c r="V272" s="7" t="n">
        <f aca="false">IF(OR(P272&lt;0,P272&gt;0.5),0,P272)</f>
        <v>0</v>
      </c>
      <c r="W272" s="8" t="n">
        <f aca="false">N272*O272*(1-V272)</f>
        <v>2482.32</v>
      </c>
      <c r="X272" s="8" t="n">
        <f aca="false">W272-R272</f>
        <v>962.11</v>
      </c>
      <c r="Y272" s="7" t="n">
        <f aca="false">IFERROR(X272/W272,0)</f>
        <v>0.387585001127977</v>
      </c>
      <c r="Z272" s="9" t="n">
        <f aca="false">C272-B272</f>
        <v>1</v>
      </c>
      <c r="AA272" s="1" t="str">
        <f aca="false">IF(B272="","",TEXT(B272,"mmm"))</f>
        <v>Jan</v>
      </c>
      <c r="AB272" s="9" t="n">
        <f aca="false">IF(B272="","",YEAR(B272))</f>
        <v>2024</v>
      </c>
      <c r="AC272" s="3"/>
      <c r="AD272" s="3" t="str">
        <f aca="false">IF(LEFT(AC272&amp;IF(B272="","; Missing Order Date","")&amp;IF(C272="","; Missing Ship Date","")&amp;IF(P272&lt;0,"; Invalid Discount (Negative)","")&amp;IF(P272&gt;0.5,"; Invalid Discount (Too High)","")&amp;IF(Z272&lt;0,"; Invalid Shipping Record (Ship Before Order)","")&amp;IF(ABS(Q272-W272)&gt;1,"; Sales Mismatch","")&amp;IF(ABS(S272-X272)&gt;1,"; Profit Mismatch","")&amp;IF(COUNTIF($A$2:$A$913,A272)&gt;1,"; Duplicate Order ID Conflict",""),2)="; ",MID(AC272&amp;IF(B272="","; Missing Order Date","")&amp;IF(C272="","; Missing Ship Date","")&amp;IF(P272&lt;0,"; Invalid Discount (Negative)","")&amp;IF(P272&gt;0.5,"; Invalid Discount (Too High)","")&amp;IF(Z272&lt;0,"; Invalid Shipping Record (Ship Before Order)","")&amp;IF(ABS(Q272-W272)&gt;1,"; Sales Mismatch","")&amp;IF(ABS(S272-X272)&gt;1,"; Profit Mismatch","")&amp;IF(COUNTIF($A$2:$A$913,A272)&gt;1,"; Duplicate Order ID Conflict",""),3,500),AC272&amp;IF(B272="","; Missing Order Date","")&amp;IF(C272="","; Missing Ship Date","")&amp;IF(P272&lt;0,"; Invalid Discount (Negative)","")&amp;IF(P272&gt;0.5,"; Invalid Discount (Too High)","")&amp;IF(Z272&lt;0,"; Invalid Shipping Record (Ship Before Order)","")&amp;IF(ABS(Q272-W272)&gt;1,"; Sales Mismatch","")&amp;IF(ABS(S272-X272)&gt;1,"; Profit Mismatch","")&amp;IF(COUNTIF($A$2:$A$913,A272)&gt;1,"; Duplicate Order ID Conflict",""))</f>
        <v/>
      </c>
      <c r="AE272" s="10" t="str">
        <f aca="false">IF(OR(ISNUMBER(SEARCH("Invalid Discount",AD272)),ISNUMBER(SEARCH("Invalid Shipping Record",AD272)),ISNUMBER(SEARCH("Sales Mismatch",AD272)),ISNUMBER(SEARCH("Profit Mismatch",AD272)),ISNUMBER(SEARCH("Duplicate Order ID Conflict",AD272)),ISNUMBER(SEARCH("Missing Order Date",AD272)),ISNUMBER(SEARCH("Missing Ship Date",AD272))),"Invalid",IF(AD272&lt;&gt;"","Warning","Clean"))</f>
        <v>Clean</v>
      </c>
    </row>
    <row r="273" customFormat="false" ht="15" hidden="false" customHeight="true" outlineLevel="0" collapsed="false">
      <c r="A273" s="3" t="s">
        <v>842</v>
      </c>
      <c r="B273" s="4" t="n">
        <v>45647</v>
      </c>
      <c r="C273" s="4" t="n">
        <v>45651</v>
      </c>
      <c r="D273" s="3" t="s">
        <v>843</v>
      </c>
      <c r="E273" s="3" t="str">
        <f aca="false">PROPER(TRIM(SUBSTITUTE(Raw_Text_Fields!B274,CHAR(160)," ")))</f>
        <v>Aditi Sen</v>
      </c>
      <c r="F273" s="3" t="str">
        <f aca="false">PROPER(TRIM(SUBSTITUTE(Raw_Text_Fields!C274,CHAR(160)," ")))</f>
        <v>Consumer</v>
      </c>
      <c r="G273" s="3" t="str">
        <f aca="false">PROPER(TRIM(SUBSTITUTE(Raw_Text_Fields!D274,CHAR(160)," ")))</f>
        <v>South</v>
      </c>
      <c r="H273" s="3" t="str">
        <f aca="false">PROPER(TRIM(SUBSTITUTE(Raw_Text_Fields!E274,CHAR(160)," ")))</f>
        <v>Telangana</v>
      </c>
      <c r="I273" s="3" t="str">
        <f aca="false">PROPER(TRIM(SUBSTITUTE(Raw_Text_Fields!F274,CHAR(160)," ")))</f>
        <v>Hyderabad</v>
      </c>
      <c r="J273" s="3" t="str">
        <f aca="false">PROPER(TRIM(SUBSTITUTE(Raw_Text_Fields!G274,CHAR(160)," ")))</f>
        <v>Office Supplies</v>
      </c>
      <c r="K273" s="3" t="str">
        <f aca="false">PROPER(TRIM(SUBSTITUTE(Raw_Text_Fields!H274,CHAR(160)," ")))</f>
        <v>Binders</v>
      </c>
      <c r="L273" s="3" t="s">
        <v>844</v>
      </c>
      <c r="M273" s="3" t="str">
        <f aca="false">PROPER(TRIM(SUBSTITUTE(Raw_Text_Fields!I274,CHAR(160)," ")))</f>
        <v>Standard Class</v>
      </c>
      <c r="N273" s="3" t="n">
        <v>7</v>
      </c>
      <c r="O273" s="5" t="n">
        <v>1667.75</v>
      </c>
      <c r="P273" s="6" t="n">
        <v>0</v>
      </c>
      <c r="Q273" s="5" t="n">
        <v>11674.25</v>
      </c>
      <c r="R273" s="5" t="n">
        <v>9621.19</v>
      </c>
      <c r="S273" s="5" t="n">
        <v>2053.06</v>
      </c>
      <c r="T273" s="3" t="str">
        <f aca="false">PROPER(TRIM(SUBSTITUTE(Raw_Text_Fields!J274,CHAR(160)," ")))</f>
        <v>Failed</v>
      </c>
      <c r="U273" s="3" t="str">
        <f aca="false">PROPER(TRIM(SUBSTITUTE(Raw_Text_Fields!K274,CHAR(160)," ")))</f>
        <v>Cancelled</v>
      </c>
      <c r="V273" s="7" t="n">
        <f aca="false">IF(OR(P273&lt;0,P273&gt;0.5),0,P273)</f>
        <v>0</v>
      </c>
      <c r="W273" s="8" t="n">
        <f aca="false">N273*O273*(1-V273)</f>
        <v>11674.25</v>
      </c>
      <c r="X273" s="8" t="n">
        <f aca="false">W273-R273</f>
        <v>2053.06</v>
      </c>
      <c r="Y273" s="7" t="n">
        <f aca="false">IFERROR(X273/W273,0)</f>
        <v>0.175862260958948</v>
      </c>
      <c r="Z273" s="9" t="n">
        <f aca="false">C273-B273</f>
        <v>4</v>
      </c>
      <c r="AA273" s="1" t="str">
        <f aca="false">IF(B273="","",TEXT(B273,"mmm"))</f>
        <v>Dec</v>
      </c>
      <c r="AB273" s="9" t="n">
        <f aca="false">IF(B273="","",YEAR(B273))</f>
        <v>2024</v>
      </c>
      <c r="AC273" s="3"/>
      <c r="AD273" s="3" t="str">
        <f aca="false">IF(LEFT(AC273&amp;IF(B273="","; Missing Order Date","")&amp;IF(C273="","; Missing Ship Date","")&amp;IF(P273&lt;0,"; Invalid Discount (Negative)","")&amp;IF(P273&gt;0.5,"; Invalid Discount (Too High)","")&amp;IF(Z273&lt;0,"; Invalid Shipping Record (Ship Before Order)","")&amp;IF(ABS(Q273-W273)&gt;1,"; Sales Mismatch","")&amp;IF(ABS(S273-X273)&gt;1,"; Profit Mismatch","")&amp;IF(COUNTIF($A$2:$A$913,A273)&gt;1,"; Duplicate Order ID Conflict",""),2)="; ",MID(AC273&amp;IF(B273="","; Missing Order Date","")&amp;IF(C273="","; Missing Ship Date","")&amp;IF(P273&lt;0,"; Invalid Discount (Negative)","")&amp;IF(P273&gt;0.5,"; Invalid Discount (Too High)","")&amp;IF(Z273&lt;0,"; Invalid Shipping Record (Ship Before Order)","")&amp;IF(ABS(Q273-W273)&gt;1,"; Sales Mismatch","")&amp;IF(ABS(S273-X273)&gt;1,"; Profit Mismatch","")&amp;IF(COUNTIF($A$2:$A$913,A273)&gt;1,"; Duplicate Order ID Conflict",""),3,500),AC273&amp;IF(B273="","; Missing Order Date","")&amp;IF(C273="","; Missing Ship Date","")&amp;IF(P273&lt;0,"; Invalid Discount (Negative)","")&amp;IF(P273&gt;0.5,"; Invalid Discount (Too High)","")&amp;IF(Z273&lt;0,"; Invalid Shipping Record (Ship Before Order)","")&amp;IF(ABS(Q273-W273)&gt;1,"; Sales Mismatch","")&amp;IF(ABS(S273-X273)&gt;1,"; Profit Mismatch","")&amp;IF(COUNTIF($A$2:$A$913,A273)&gt;1,"; Duplicate Order ID Conflict",""))</f>
        <v/>
      </c>
      <c r="AE273" s="10" t="str">
        <f aca="false">IF(OR(ISNUMBER(SEARCH("Invalid Discount",AD273)),ISNUMBER(SEARCH("Invalid Shipping Record",AD273)),ISNUMBER(SEARCH("Sales Mismatch",AD273)),ISNUMBER(SEARCH("Profit Mismatch",AD273)),ISNUMBER(SEARCH("Duplicate Order ID Conflict",AD273)),ISNUMBER(SEARCH("Missing Order Date",AD273)),ISNUMBER(SEARCH("Missing Ship Date",AD273))),"Invalid",IF(AD273&lt;&gt;"","Warning","Clean"))</f>
        <v>Clean</v>
      </c>
    </row>
    <row r="274" customFormat="false" ht="15" hidden="false" customHeight="true" outlineLevel="0" collapsed="false">
      <c r="A274" s="3" t="s">
        <v>845</v>
      </c>
      <c r="B274" s="4" t="n">
        <v>45522</v>
      </c>
      <c r="C274" s="4" t="n">
        <v>45528</v>
      </c>
      <c r="D274" s="3" t="s">
        <v>846</v>
      </c>
      <c r="E274" s="3" t="str">
        <f aca="false">PROPER(TRIM(SUBSTITUTE(Raw_Text_Fields!B275,CHAR(160)," ")))</f>
        <v>Arjun Bose</v>
      </c>
      <c r="F274" s="3" t="str">
        <f aca="false">PROPER(TRIM(SUBSTITUTE(Raw_Text_Fields!C275,CHAR(160)," ")))</f>
        <v>Consumer</v>
      </c>
      <c r="G274" s="3" t="str">
        <f aca="false">PROPER(TRIM(SUBSTITUTE(Raw_Text_Fields!D275,CHAR(160)," ")))</f>
        <v>South</v>
      </c>
      <c r="H274" s="3" t="str">
        <f aca="false">PROPER(TRIM(SUBSTITUTE(Raw_Text_Fields!E275,CHAR(160)," ")))</f>
        <v>Andhra Pradesh</v>
      </c>
      <c r="I274" s="3" t="str">
        <f aca="false">PROPER(TRIM(SUBSTITUTE(Raw_Text_Fields!F275,CHAR(160)," ")))</f>
        <v>Vijayawada</v>
      </c>
      <c r="J274" s="3" t="str">
        <f aca="false">PROPER(TRIM(SUBSTITUTE(Raw_Text_Fields!G275,CHAR(160)," ")))</f>
        <v>Furniture</v>
      </c>
      <c r="K274" s="3" t="str">
        <f aca="false">PROPER(TRIM(SUBSTITUTE(Raw_Text_Fields!H275,CHAR(160)," ")))</f>
        <v>Chairs</v>
      </c>
      <c r="L274" s="3" t="s">
        <v>847</v>
      </c>
      <c r="M274" s="3" t="str">
        <f aca="false">PROPER(TRIM(SUBSTITUTE(Raw_Text_Fields!I275,CHAR(160)," ")))</f>
        <v>First Class</v>
      </c>
      <c r="N274" s="3" t="n">
        <v>7</v>
      </c>
      <c r="O274" s="5" t="n">
        <v>557.21</v>
      </c>
      <c r="P274" s="6" t="n">
        <v>0.1</v>
      </c>
      <c r="Q274" s="5" t="n">
        <v>3510.42</v>
      </c>
      <c r="R274" s="5" t="n">
        <v>2191.5</v>
      </c>
      <c r="S274" s="5" t="n">
        <v>1213.48</v>
      </c>
      <c r="T274" s="3" t="str">
        <f aca="false">PROPER(TRIM(SUBSTITUTE(Raw_Text_Fields!J275,CHAR(160)," ")))</f>
        <v>Paid</v>
      </c>
      <c r="U274" s="3" t="str">
        <f aca="false">PROPER(TRIM(SUBSTITUTE(Raw_Text_Fields!K275,CHAR(160)," ")))</f>
        <v>Completed</v>
      </c>
      <c r="V274" s="7" t="n">
        <f aca="false">IF(OR(P274&lt;0,P274&gt;0.5),0,P274)</f>
        <v>0.1</v>
      </c>
      <c r="W274" s="8" t="n">
        <f aca="false">N274*O274*(1-V274)</f>
        <v>3510.423</v>
      </c>
      <c r="X274" s="8" t="n">
        <f aca="false">W274-R274</f>
        <v>1318.923</v>
      </c>
      <c r="Y274" s="7" t="n">
        <f aca="false">IFERROR(X274/W274,0)</f>
        <v>0.375716259835353</v>
      </c>
      <c r="Z274" s="9" t="n">
        <f aca="false">C274-B274</f>
        <v>6</v>
      </c>
      <c r="AA274" s="1" t="str">
        <f aca="false">IF(B274="","",TEXT(B274,"mmm"))</f>
        <v>Aug</v>
      </c>
      <c r="AB274" s="9" t="n">
        <f aca="false">IF(B274="","",YEAR(B274))</f>
        <v>2024</v>
      </c>
      <c r="AC274" s="3"/>
      <c r="AD274" s="3" t="str">
        <f aca="false">IF(LEFT(AC274&amp;IF(B274="","; Missing Order Date","")&amp;IF(C274="","; Missing Ship Date","")&amp;IF(P274&lt;0,"; Invalid Discount (Negative)","")&amp;IF(P274&gt;0.5,"; Invalid Discount (Too High)","")&amp;IF(Z274&lt;0,"; Invalid Shipping Record (Ship Before Order)","")&amp;IF(ABS(Q274-W274)&gt;1,"; Sales Mismatch","")&amp;IF(ABS(S274-X274)&gt;1,"; Profit Mismatch","")&amp;IF(COUNTIF($A$2:$A$913,A274)&gt;1,"; Duplicate Order ID Conflict",""),2)="; ",MID(AC274&amp;IF(B274="","; Missing Order Date","")&amp;IF(C274="","; Missing Ship Date","")&amp;IF(P274&lt;0,"; Invalid Discount (Negative)","")&amp;IF(P274&gt;0.5,"; Invalid Discount (Too High)","")&amp;IF(Z274&lt;0,"; Invalid Shipping Record (Ship Before Order)","")&amp;IF(ABS(Q274-W274)&gt;1,"; Sales Mismatch","")&amp;IF(ABS(S274-X274)&gt;1,"; Profit Mismatch","")&amp;IF(COUNTIF($A$2:$A$913,A274)&gt;1,"; Duplicate Order ID Conflict",""),3,500),AC274&amp;IF(B274="","; Missing Order Date","")&amp;IF(C274="","; Missing Ship Date","")&amp;IF(P274&lt;0,"; Invalid Discount (Negative)","")&amp;IF(P274&gt;0.5,"; Invalid Discount (Too High)","")&amp;IF(Z274&lt;0,"; Invalid Shipping Record (Ship Before Order)","")&amp;IF(ABS(Q274-W274)&gt;1,"; Sales Mismatch","")&amp;IF(ABS(S274-X274)&gt;1,"; Profit Mismatch","")&amp;IF(COUNTIF($A$2:$A$913,A274)&gt;1,"; Duplicate Order ID Conflict",""))</f>
        <v>Profit Mismatch; Duplicate Order ID Conflict</v>
      </c>
      <c r="AE274" s="10" t="str">
        <f aca="false">IF(OR(ISNUMBER(SEARCH("Invalid Discount",AD274)),ISNUMBER(SEARCH("Invalid Shipping Record",AD274)),ISNUMBER(SEARCH("Sales Mismatch",AD274)),ISNUMBER(SEARCH("Profit Mismatch",AD274)),ISNUMBER(SEARCH("Duplicate Order ID Conflict",AD274)),ISNUMBER(SEARCH("Missing Order Date",AD274)),ISNUMBER(SEARCH("Missing Ship Date",AD274))),"Invalid",IF(AD274&lt;&gt;"","Warning","Clean"))</f>
        <v>Invalid</v>
      </c>
    </row>
    <row r="275" customFormat="false" ht="15" hidden="false" customHeight="true" outlineLevel="0" collapsed="false">
      <c r="A275" s="3" t="s">
        <v>848</v>
      </c>
      <c r="B275" s="4" t="n">
        <v>45701</v>
      </c>
      <c r="C275" s="4" t="n">
        <v>45701</v>
      </c>
      <c r="D275" s="3" t="s">
        <v>849</v>
      </c>
      <c r="E275" s="3" t="str">
        <f aca="false">PROPER(TRIM(SUBSTITUTE(Raw_Text_Fields!B276,CHAR(160)," ")))</f>
        <v>Isha Nair</v>
      </c>
      <c r="F275" s="3" t="str">
        <f aca="false">PROPER(TRIM(SUBSTITUTE(Raw_Text_Fields!C276,CHAR(160)," ")))</f>
        <v>Consumer</v>
      </c>
      <c r="G275" s="3" t="str">
        <f aca="false">PROPER(TRIM(SUBSTITUTE(Raw_Text_Fields!D276,CHAR(160)," ")))</f>
        <v>East</v>
      </c>
      <c r="H275" s="3" t="str">
        <f aca="false">PROPER(TRIM(SUBSTITUTE(Raw_Text_Fields!E276,CHAR(160)," ")))</f>
        <v>Bihar</v>
      </c>
      <c r="I275" s="3" t="str">
        <f aca="false">PROPER(TRIM(SUBSTITUTE(Raw_Text_Fields!F276,CHAR(160)," ")))</f>
        <v>Patna</v>
      </c>
      <c r="J275" s="3" t="str">
        <f aca="false">PROPER(TRIM(SUBSTITUTE(Raw_Text_Fields!G276,CHAR(160)," ")))</f>
        <v>Office Supplies</v>
      </c>
      <c r="K275" s="3" t="str">
        <f aca="false">PROPER(TRIM(SUBSTITUTE(Raw_Text_Fields!H276,CHAR(160)," ")))</f>
        <v>Paper</v>
      </c>
      <c r="L275" s="3" t="s">
        <v>850</v>
      </c>
      <c r="M275" s="3" t="str">
        <f aca="false">PROPER(TRIM(SUBSTITUTE(Raw_Text_Fields!I276,CHAR(160)," ")))</f>
        <v>Second Class</v>
      </c>
      <c r="N275" s="3" t="n">
        <v>9</v>
      </c>
      <c r="O275" s="5" t="n">
        <v>2521.63</v>
      </c>
      <c r="P275" s="6" t="n">
        <v>0</v>
      </c>
      <c r="Q275" s="5" t="n">
        <v>22694.67</v>
      </c>
      <c r="R275" s="5" t="n">
        <v>15405.36</v>
      </c>
      <c r="S275" s="5" t="n">
        <v>7289.31</v>
      </c>
      <c r="T275" s="3" t="str">
        <f aca="false">PROPER(TRIM(SUBSTITUTE(Raw_Text_Fields!J276,CHAR(160)," ")))</f>
        <v>Paid</v>
      </c>
      <c r="U275" s="3" t="str">
        <f aca="false">PROPER(TRIM(SUBSTITUTE(Raw_Text_Fields!K276,CHAR(160)," ")))</f>
        <v>Returned</v>
      </c>
      <c r="V275" s="7" t="n">
        <f aca="false">IF(OR(P275&lt;0,P275&gt;0.5),0,P275)</f>
        <v>0</v>
      </c>
      <c r="W275" s="8" t="n">
        <f aca="false">N275*O275*(1-V275)</f>
        <v>22694.67</v>
      </c>
      <c r="X275" s="8" t="n">
        <f aca="false">W275-R275</f>
        <v>7289.31</v>
      </c>
      <c r="Y275" s="7" t="n">
        <f aca="false">IFERROR(X275/W275,0)</f>
        <v>0.321190394044064</v>
      </c>
      <c r="Z275" s="9" t="n">
        <f aca="false">C275-B275</f>
        <v>0</v>
      </c>
      <c r="AA275" s="1" t="str">
        <f aca="false">IF(B275="","",TEXT(B275,"mmm"))</f>
        <v>Feb</v>
      </c>
      <c r="AB275" s="9" t="n">
        <f aca="false">IF(B275="","",YEAR(B275))</f>
        <v>2025</v>
      </c>
      <c r="AC275" s="3"/>
      <c r="AD275" s="3" t="str">
        <f aca="false">IF(LEFT(AC275&amp;IF(B275="","; Missing Order Date","")&amp;IF(C275="","; Missing Ship Date","")&amp;IF(P275&lt;0,"; Invalid Discount (Negative)","")&amp;IF(P275&gt;0.5,"; Invalid Discount (Too High)","")&amp;IF(Z275&lt;0,"; Invalid Shipping Record (Ship Before Order)","")&amp;IF(ABS(Q275-W275)&gt;1,"; Sales Mismatch","")&amp;IF(ABS(S275-X275)&gt;1,"; Profit Mismatch","")&amp;IF(COUNTIF($A$2:$A$913,A275)&gt;1,"; Duplicate Order ID Conflict",""),2)="; ",MID(AC275&amp;IF(B275="","; Missing Order Date","")&amp;IF(C275="","; Missing Ship Date","")&amp;IF(P275&lt;0,"; Invalid Discount (Negative)","")&amp;IF(P275&gt;0.5,"; Invalid Discount (Too High)","")&amp;IF(Z275&lt;0,"; Invalid Shipping Record (Ship Before Order)","")&amp;IF(ABS(Q275-W275)&gt;1,"; Sales Mismatch","")&amp;IF(ABS(S275-X275)&gt;1,"; Profit Mismatch","")&amp;IF(COUNTIF($A$2:$A$913,A275)&gt;1,"; Duplicate Order ID Conflict",""),3,500),AC275&amp;IF(B275="","; Missing Order Date","")&amp;IF(C275="","; Missing Ship Date","")&amp;IF(P275&lt;0,"; Invalid Discount (Negative)","")&amp;IF(P275&gt;0.5,"; Invalid Discount (Too High)","")&amp;IF(Z275&lt;0,"; Invalid Shipping Record (Ship Before Order)","")&amp;IF(ABS(Q275-W275)&gt;1,"; Sales Mismatch","")&amp;IF(ABS(S275-X275)&gt;1,"; Profit Mismatch","")&amp;IF(COUNTIF($A$2:$A$913,A275)&gt;1,"; Duplicate Order ID Conflict",""))</f>
        <v/>
      </c>
      <c r="AE275" s="10" t="str">
        <f aca="false">IF(OR(ISNUMBER(SEARCH("Invalid Discount",AD275)),ISNUMBER(SEARCH("Invalid Shipping Record",AD275)),ISNUMBER(SEARCH("Sales Mismatch",AD275)),ISNUMBER(SEARCH("Profit Mismatch",AD275)),ISNUMBER(SEARCH("Duplicate Order ID Conflict",AD275)),ISNUMBER(SEARCH("Missing Order Date",AD275)),ISNUMBER(SEARCH("Missing Ship Date",AD275))),"Invalid",IF(AD275&lt;&gt;"","Warning","Clean"))</f>
        <v>Clean</v>
      </c>
    </row>
    <row r="276" customFormat="false" ht="15" hidden="false" customHeight="true" outlineLevel="0" collapsed="false">
      <c r="A276" s="3" t="s">
        <v>851</v>
      </c>
      <c r="B276" s="4" t="n">
        <v>45389</v>
      </c>
      <c r="C276" s="4" t="n">
        <v>45396</v>
      </c>
      <c r="D276" s="3" t="s">
        <v>852</v>
      </c>
      <c r="E276" s="3" t="str">
        <f aca="false">PROPER(TRIM(SUBSTITUTE(Raw_Text_Fields!B277,CHAR(160)," ")))</f>
        <v>Rohan Mehta</v>
      </c>
      <c r="F276" s="3" t="str">
        <f aca="false">PROPER(TRIM(SUBSTITUTE(Raw_Text_Fields!C277,CHAR(160)," ")))</f>
        <v>Consumer</v>
      </c>
      <c r="G276" s="3" t="str">
        <f aca="false">PROPER(TRIM(SUBSTITUTE(Raw_Text_Fields!D277,CHAR(160)," ")))</f>
        <v>South</v>
      </c>
      <c r="H276" s="3" t="str">
        <f aca="false">PROPER(TRIM(SUBSTITUTE(Raw_Text_Fields!E277,CHAR(160)," ")))</f>
        <v>Kerala</v>
      </c>
      <c r="I276" s="3" t="str">
        <f aca="false">PROPER(TRIM(SUBSTITUTE(Raw_Text_Fields!F277,CHAR(160)," ")))</f>
        <v>Kochi</v>
      </c>
      <c r="J276" s="3" t="str">
        <f aca="false">PROPER(TRIM(SUBSTITUTE(Raw_Text_Fields!G277,CHAR(160)," ")))</f>
        <v>Technology</v>
      </c>
      <c r="K276" s="3" t="str">
        <f aca="false">PROPER(TRIM(SUBSTITUTE(Raw_Text_Fields!H277,CHAR(160)," ")))</f>
        <v>Copiers</v>
      </c>
      <c r="L276" s="3" t="s">
        <v>853</v>
      </c>
      <c r="M276" s="3" t="str">
        <f aca="false">PROPER(TRIM(SUBSTITUTE(Raw_Text_Fields!I277,CHAR(160)," ")))</f>
        <v>Standard Class</v>
      </c>
      <c r="N276" s="3" t="n">
        <v>6</v>
      </c>
      <c r="O276" s="5" t="n">
        <v>4246.71</v>
      </c>
      <c r="P276" s="6" t="n">
        <v>0.15</v>
      </c>
      <c r="Q276" s="5" t="n">
        <v>21658.22</v>
      </c>
      <c r="R276" s="5" t="n">
        <v>15490.69</v>
      </c>
      <c r="S276" s="5" t="n">
        <v>6167.53</v>
      </c>
      <c r="T276" s="3" t="str">
        <f aca="false">PROPER(TRIM(SUBSTITUTE(Raw_Text_Fields!J277,CHAR(160)," ")))</f>
        <v>Failed</v>
      </c>
      <c r="U276" s="3" t="str">
        <f aca="false">PROPER(TRIM(SUBSTITUTE(Raw_Text_Fields!K277,CHAR(160)," ")))</f>
        <v>Returned</v>
      </c>
      <c r="V276" s="7" t="n">
        <f aca="false">IF(OR(P276&lt;0,P276&gt;0.5),0,P276)</f>
        <v>0.15</v>
      </c>
      <c r="W276" s="8" t="n">
        <f aca="false">N276*O276*(1-V276)</f>
        <v>21658.221</v>
      </c>
      <c r="X276" s="8" t="n">
        <f aca="false">W276-R276</f>
        <v>6167.531</v>
      </c>
      <c r="Y276" s="7" t="n">
        <f aca="false">IFERROR(X276/W276,0)</f>
        <v>0.28476627881856</v>
      </c>
      <c r="Z276" s="9" t="n">
        <f aca="false">C276-B276</f>
        <v>7</v>
      </c>
      <c r="AA276" s="1" t="str">
        <f aca="false">IF(B276="","",TEXT(B276,"mmm"))</f>
        <v>Apr</v>
      </c>
      <c r="AB276" s="9" t="n">
        <f aca="false">IF(B276="","",YEAR(B276))</f>
        <v>2024</v>
      </c>
      <c r="AC276" s="3"/>
      <c r="AD276" s="3" t="str">
        <f aca="false">IF(LEFT(AC276&amp;IF(B276="","; Missing Order Date","")&amp;IF(C276="","; Missing Ship Date","")&amp;IF(P276&lt;0,"; Invalid Discount (Negative)","")&amp;IF(P276&gt;0.5,"; Invalid Discount (Too High)","")&amp;IF(Z276&lt;0,"; Invalid Shipping Record (Ship Before Order)","")&amp;IF(ABS(Q276-W276)&gt;1,"; Sales Mismatch","")&amp;IF(ABS(S276-X276)&gt;1,"; Profit Mismatch","")&amp;IF(COUNTIF($A$2:$A$913,A276)&gt;1,"; Duplicate Order ID Conflict",""),2)="; ",MID(AC276&amp;IF(B276="","; Missing Order Date","")&amp;IF(C276="","; Missing Ship Date","")&amp;IF(P276&lt;0,"; Invalid Discount (Negative)","")&amp;IF(P276&gt;0.5,"; Invalid Discount (Too High)","")&amp;IF(Z276&lt;0,"; Invalid Shipping Record (Ship Before Order)","")&amp;IF(ABS(Q276-W276)&gt;1,"; Sales Mismatch","")&amp;IF(ABS(S276-X276)&gt;1,"; Profit Mismatch","")&amp;IF(COUNTIF($A$2:$A$913,A276)&gt;1,"; Duplicate Order ID Conflict",""),3,500),AC276&amp;IF(B276="","; Missing Order Date","")&amp;IF(C276="","; Missing Ship Date","")&amp;IF(P276&lt;0,"; Invalid Discount (Negative)","")&amp;IF(P276&gt;0.5,"; Invalid Discount (Too High)","")&amp;IF(Z276&lt;0,"; Invalid Shipping Record (Ship Before Order)","")&amp;IF(ABS(Q276-W276)&gt;1,"; Sales Mismatch","")&amp;IF(ABS(S276-X276)&gt;1,"; Profit Mismatch","")&amp;IF(COUNTIF($A$2:$A$913,A276)&gt;1,"; Duplicate Order ID Conflict",""))</f>
        <v/>
      </c>
      <c r="AE276" s="10" t="str">
        <f aca="false">IF(OR(ISNUMBER(SEARCH("Invalid Discount",AD276)),ISNUMBER(SEARCH("Invalid Shipping Record",AD276)),ISNUMBER(SEARCH("Sales Mismatch",AD276)),ISNUMBER(SEARCH("Profit Mismatch",AD276)),ISNUMBER(SEARCH("Duplicate Order ID Conflict",AD276)),ISNUMBER(SEARCH("Missing Order Date",AD276)),ISNUMBER(SEARCH("Missing Ship Date",AD276))),"Invalid",IF(AD276&lt;&gt;"","Warning","Clean"))</f>
        <v>Clean</v>
      </c>
    </row>
    <row r="277" customFormat="false" ht="15" hidden="false" customHeight="true" outlineLevel="0" collapsed="false">
      <c r="A277" s="3" t="s">
        <v>854</v>
      </c>
      <c r="B277" s="4" t="n">
        <v>45337</v>
      </c>
      <c r="C277" s="4" t="n">
        <v>45344</v>
      </c>
      <c r="D277" s="3" t="s">
        <v>855</v>
      </c>
      <c r="E277" s="3" t="str">
        <f aca="false">PROPER(TRIM(SUBSTITUTE(Raw_Text_Fields!B278,CHAR(160)," ")))</f>
        <v>Priya Menon</v>
      </c>
      <c r="F277" s="3" t="str">
        <f aca="false">PROPER(TRIM(SUBSTITUTE(Raw_Text_Fields!C278,CHAR(160)," ")))</f>
        <v>Small Business</v>
      </c>
      <c r="G277" s="3" t="str">
        <f aca="false">PROPER(TRIM(SUBSTITUTE(Raw_Text_Fields!D278,CHAR(160)," ")))</f>
        <v>East</v>
      </c>
      <c r="H277" s="3" t="str">
        <f aca="false">PROPER(TRIM(SUBSTITUTE(Raw_Text_Fields!E278,CHAR(160)," ")))</f>
        <v>West Bengal</v>
      </c>
      <c r="I277" s="3" t="str">
        <f aca="false">PROPER(TRIM(SUBSTITUTE(Raw_Text_Fields!F278,CHAR(160)," ")))</f>
        <v>Kolkata</v>
      </c>
      <c r="J277" s="3" t="str">
        <f aca="false">PROPER(TRIM(SUBSTITUTE(Raw_Text_Fields!G278,CHAR(160)," ")))</f>
        <v>Furniture</v>
      </c>
      <c r="K277" s="3" t="str">
        <f aca="false">PROPER(TRIM(SUBSTITUTE(Raw_Text_Fields!H278,CHAR(160)," ")))</f>
        <v>Furnishings</v>
      </c>
      <c r="L277" s="3" t="s">
        <v>856</v>
      </c>
      <c r="M277" s="3" t="str">
        <f aca="false">PROPER(TRIM(SUBSTITUTE(Raw_Text_Fields!I278,CHAR(160)," ")))</f>
        <v>Same Day</v>
      </c>
      <c r="N277" s="3" t="n">
        <v>1</v>
      </c>
      <c r="O277" s="5" t="n">
        <v>980.51</v>
      </c>
      <c r="P277" s="6" t="n">
        <v>0</v>
      </c>
      <c r="Q277" s="5" t="n">
        <v>980.51</v>
      </c>
      <c r="R277" s="5" t="n">
        <v>660.92</v>
      </c>
      <c r="S277" s="5" t="n">
        <v>319.59</v>
      </c>
      <c r="T277" s="3" t="str">
        <f aca="false">PROPER(TRIM(SUBSTITUTE(Raw_Text_Fields!J278,CHAR(160)," ")))</f>
        <v>Paid</v>
      </c>
      <c r="U277" s="3" t="str">
        <f aca="false">PROPER(TRIM(SUBSTITUTE(Raw_Text_Fields!K278,CHAR(160)," ")))</f>
        <v>Completed</v>
      </c>
      <c r="V277" s="7" t="n">
        <f aca="false">IF(OR(P277&lt;0,P277&gt;0.5),0,P277)</f>
        <v>0</v>
      </c>
      <c r="W277" s="8" t="n">
        <f aca="false">N277*O277*(1-V277)</f>
        <v>980.51</v>
      </c>
      <c r="X277" s="8" t="n">
        <f aca="false">W277-R277</f>
        <v>319.59</v>
      </c>
      <c r="Y277" s="7" t="n">
        <f aca="false">IFERROR(X277/W277,0)</f>
        <v>0.325942621696872</v>
      </c>
      <c r="Z277" s="9" t="n">
        <f aca="false">C277-B277</f>
        <v>7</v>
      </c>
      <c r="AA277" s="1" t="str">
        <f aca="false">IF(B277="","",TEXT(B277,"mmm"))</f>
        <v>Feb</v>
      </c>
      <c r="AB277" s="9" t="n">
        <f aca="false">IF(B277="","",YEAR(B277))</f>
        <v>2024</v>
      </c>
      <c r="AC277" s="3"/>
      <c r="AD277" s="3" t="str">
        <f aca="false">IF(LEFT(AC277&amp;IF(B277="","; Missing Order Date","")&amp;IF(C277="","; Missing Ship Date","")&amp;IF(P277&lt;0,"; Invalid Discount (Negative)","")&amp;IF(P277&gt;0.5,"; Invalid Discount (Too High)","")&amp;IF(Z277&lt;0,"; Invalid Shipping Record (Ship Before Order)","")&amp;IF(ABS(Q277-W277)&gt;1,"; Sales Mismatch","")&amp;IF(ABS(S277-X277)&gt;1,"; Profit Mismatch","")&amp;IF(COUNTIF($A$2:$A$913,A277)&gt;1,"; Duplicate Order ID Conflict",""),2)="; ",MID(AC277&amp;IF(B277="","; Missing Order Date","")&amp;IF(C277="","; Missing Ship Date","")&amp;IF(P277&lt;0,"; Invalid Discount (Negative)","")&amp;IF(P277&gt;0.5,"; Invalid Discount (Too High)","")&amp;IF(Z277&lt;0,"; Invalid Shipping Record (Ship Before Order)","")&amp;IF(ABS(Q277-W277)&gt;1,"; Sales Mismatch","")&amp;IF(ABS(S277-X277)&gt;1,"; Profit Mismatch","")&amp;IF(COUNTIF($A$2:$A$913,A277)&gt;1,"; Duplicate Order ID Conflict",""),3,500),AC277&amp;IF(B277="","; Missing Order Date","")&amp;IF(C277="","; Missing Ship Date","")&amp;IF(P277&lt;0,"; Invalid Discount (Negative)","")&amp;IF(P277&gt;0.5,"; Invalid Discount (Too High)","")&amp;IF(Z277&lt;0,"; Invalid Shipping Record (Ship Before Order)","")&amp;IF(ABS(Q277-W277)&gt;1,"; Sales Mismatch","")&amp;IF(ABS(S277-X277)&gt;1,"; Profit Mismatch","")&amp;IF(COUNTIF($A$2:$A$913,A277)&gt;1,"; Duplicate Order ID Conflict",""))</f>
        <v/>
      </c>
      <c r="AE277" s="10" t="str">
        <f aca="false">IF(OR(ISNUMBER(SEARCH("Invalid Discount",AD277)),ISNUMBER(SEARCH("Invalid Shipping Record",AD277)),ISNUMBER(SEARCH("Sales Mismatch",AD277)),ISNUMBER(SEARCH("Profit Mismatch",AD277)),ISNUMBER(SEARCH("Duplicate Order ID Conflict",AD277)),ISNUMBER(SEARCH("Missing Order Date",AD277)),ISNUMBER(SEARCH("Missing Ship Date",AD277))),"Invalid",IF(AD277&lt;&gt;"","Warning","Clean"))</f>
        <v>Clean</v>
      </c>
    </row>
    <row r="278" customFormat="false" ht="15" hidden="false" customHeight="true" outlineLevel="0" collapsed="false">
      <c r="A278" s="3" t="s">
        <v>857</v>
      </c>
      <c r="B278" s="4" t="n">
        <v>45313</v>
      </c>
      <c r="C278" s="4" t="n">
        <v>45314</v>
      </c>
      <c r="D278" s="3" t="s">
        <v>858</v>
      </c>
      <c r="E278" s="3" t="str">
        <f aca="false">PROPER(TRIM(SUBSTITUTE(Raw_Text_Fields!B279,CHAR(160)," ")))</f>
        <v>Aarav Sharma</v>
      </c>
      <c r="F278" s="3" t="str">
        <f aca="false">PROPER(TRIM(SUBSTITUTE(Raw_Text_Fields!C279,CHAR(160)," ")))</f>
        <v>Small Business</v>
      </c>
      <c r="G278" s="3" t="str">
        <f aca="false">PROPER(TRIM(SUBSTITUTE(Raw_Text_Fields!D279,CHAR(160)," ")))</f>
        <v>Unknown</v>
      </c>
      <c r="H278" s="3" t="str">
        <f aca="false">PROPER(TRIM(SUBSTITUTE(Raw_Text_Fields!E279,CHAR(160)," ")))</f>
        <v>Assam</v>
      </c>
      <c r="I278" s="3" t="str">
        <f aca="false">PROPER(TRIM(SUBSTITUTE(Raw_Text_Fields!F279,CHAR(160)," ")))</f>
        <v>Guwahati</v>
      </c>
      <c r="J278" s="3" t="str">
        <f aca="false">PROPER(TRIM(SUBSTITUTE(Raw_Text_Fields!G279,CHAR(160)," ")))</f>
        <v>Furniture</v>
      </c>
      <c r="K278" s="3" t="str">
        <f aca="false">PROPER(TRIM(SUBSTITUTE(Raw_Text_Fields!H279,CHAR(160)," ")))</f>
        <v>Chairs</v>
      </c>
      <c r="L278" s="3" t="s">
        <v>859</v>
      </c>
      <c r="M278" s="3" t="str">
        <f aca="false">PROPER(TRIM(SUBSTITUTE(Raw_Text_Fields!I279,CHAR(160)," ")))</f>
        <v>Second Class</v>
      </c>
      <c r="N278" s="3" t="n">
        <v>6</v>
      </c>
      <c r="O278" s="5" t="n">
        <v>3391.53</v>
      </c>
      <c r="P278" s="6" t="n">
        <v>-0.14</v>
      </c>
      <c r="Q278" s="5" t="n">
        <v>15261.89</v>
      </c>
      <c r="R278" s="5" t="n">
        <v>8413.53</v>
      </c>
      <c r="S278" s="5" t="n">
        <v>6848.36</v>
      </c>
      <c r="T278" s="3" t="str">
        <f aca="false">PROPER(TRIM(SUBSTITUTE(Raw_Text_Fields!J279,CHAR(160)," ")))</f>
        <v>Paid</v>
      </c>
      <c r="U278" s="3" t="str">
        <f aca="false">PROPER(TRIM(SUBSTITUTE(Raw_Text_Fields!K279,CHAR(160)," ")))</f>
        <v>Completed</v>
      </c>
      <c r="V278" s="7" t="n">
        <f aca="false">IF(OR(P278&lt;0,P278&gt;0.5),0,P278)</f>
        <v>0</v>
      </c>
      <c r="W278" s="8" t="n">
        <f aca="false">N278*O278*(1-V278)</f>
        <v>20349.18</v>
      </c>
      <c r="X278" s="8" t="n">
        <f aca="false">W278-R278</f>
        <v>11935.65</v>
      </c>
      <c r="Y278" s="7" t="n">
        <f aca="false">IFERROR(X278/W278,0)</f>
        <v>0.586542062137148</v>
      </c>
      <c r="Z278" s="9" t="n">
        <f aca="false">C278-B278</f>
        <v>1</v>
      </c>
      <c r="AA278" s="1" t="str">
        <f aca="false">IF(B278="","",TEXT(B278,"mmm"))</f>
        <v>Jan</v>
      </c>
      <c r="AB278" s="9" t="n">
        <f aca="false">IF(B278="","",YEAR(B278))</f>
        <v>2024</v>
      </c>
      <c r="AC278" s="3" t="s">
        <v>372</v>
      </c>
      <c r="AD278" s="3" t="str">
        <f aca="false">IF(LEFT(AC278&amp;IF(B278="","; Missing Order Date","")&amp;IF(C278="","; Missing Ship Date","")&amp;IF(P278&lt;0,"; Invalid Discount (Negative)","")&amp;IF(P278&gt;0.5,"; Invalid Discount (Too High)","")&amp;IF(Z278&lt;0,"; Invalid Shipping Record (Ship Before Order)","")&amp;IF(ABS(Q278-W278)&gt;1,"; Sales Mismatch","")&amp;IF(ABS(S278-X278)&gt;1,"; Profit Mismatch","")&amp;IF(COUNTIF($A$2:$A$913,A278)&gt;1,"; Duplicate Order ID Conflict",""),2)="; ",MID(AC278&amp;IF(B278="","; Missing Order Date","")&amp;IF(C278="","; Missing Ship Date","")&amp;IF(P278&lt;0,"; Invalid Discount (Negative)","")&amp;IF(P278&gt;0.5,"; Invalid Discount (Too High)","")&amp;IF(Z278&lt;0,"; Invalid Shipping Record (Ship Before Order)","")&amp;IF(ABS(Q278-W278)&gt;1,"; Sales Mismatch","")&amp;IF(ABS(S278-X278)&gt;1,"; Profit Mismatch","")&amp;IF(COUNTIF($A$2:$A$913,A278)&gt;1,"; Duplicate Order ID Conflict",""),3,500),AC278&amp;IF(B278="","; Missing Order Date","")&amp;IF(C278="","; Missing Ship Date","")&amp;IF(P278&lt;0,"; Invalid Discount (Negative)","")&amp;IF(P278&gt;0.5,"; Invalid Discount (Too High)","")&amp;IF(Z278&lt;0,"; Invalid Shipping Record (Ship Before Order)","")&amp;IF(ABS(Q278-W278)&gt;1,"; Sales Mismatch","")&amp;IF(ABS(S278-X278)&gt;1,"; Profit Mismatch","")&amp;IF(COUNTIF($A$2:$A$913,A278)&gt;1,"; Duplicate Order ID Conflict",""))</f>
        <v>Missing Region (filled Unknown); Invalid Discount (Negative); Sales Mismatch; Profit Mismatch</v>
      </c>
      <c r="AE278" s="10" t="str">
        <f aca="false">IF(OR(ISNUMBER(SEARCH("Invalid Discount",AD278)),ISNUMBER(SEARCH("Invalid Shipping Record",AD278)),ISNUMBER(SEARCH("Sales Mismatch",AD278)),ISNUMBER(SEARCH("Profit Mismatch",AD278)),ISNUMBER(SEARCH("Duplicate Order ID Conflict",AD278)),ISNUMBER(SEARCH("Missing Order Date",AD278)),ISNUMBER(SEARCH("Missing Ship Date",AD278))),"Invalid",IF(AD278&lt;&gt;"","Warning","Clean"))</f>
        <v>Invalid</v>
      </c>
    </row>
    <row r="279" customFormat="false" ht="15" hidden="false" customHeight="true" outlineLevel="0" collapsed="false">
      <c r="A279" s="3" t="s">
        <v>860</v>
      </c>
      <c r="B279" s="4" t="n">
        <v>45812</v>
      </c>
      <c r="C279" s="4" t="n">
        <v>45812</v>
      </c>
      <c r="D279" s="3" t="s">
        <v>712</v>
      </c>
      <c r="E279" s="3" t="str">
        <f aca="false">PROPER(TRIM(SUBSTITUTE(Raw_Text_Fields!B280,CHAR(160)," ")))</f>
        <v>Isha Nair</v>
      </c>
      <c r="F279" s="3" t="str">
        <f aca="false">PROPER(TRIM(SUBSTITUTE(Raw_Text_Fields!C280,CHAR(160)," ")))</f>
        <v>Corporate</v>
      </c>
      <c r="G279" s="3" t="str">
        <f aca="false">PROPER(TRIM(SUBSTITUTE(Raw_Text_Fields!D280,CHAR(160)," ")))</f>
        <v>North</v>
      </c>
      <c r="H279" s="3" t="str">
        <f aca="false">PROPER(TRIM(SUBSTITUTE(Raw_Text_Fields!E280,CHAR(160)," ")))</f>
        <v>Haryana</v>
      </c>
      <c r="I279" s="3" t="str">
        <f aca="false">PROPER(TRIM(SUBSTITUTE(Raw_Text_Fields!F280,CHAR(160)," ")))</f>
        <v>Gurugram</v>
      </c>
      <c r="J279" s="3" t="str">
        <f aca="false">PROPER(TRIM(SUBSTITUTE(Raw_Text_Fields!G280,CHAR(160)," ")))</f>
        <v>Technology</v>
      </c>
      <c r="K279" s="3" t="str">
        <f aca="false">PROPER(TRIM(SUBSTITUTE(Raw_Text_Fields!H280,CHAR(160)," ")))</f>
        <v>Accessories</v>
      </c>
      <c r="L279" s="3" t="s">
        <v>861</v>
      </c>
      <c r="M279" s="3" t="str">
        <f aca="false">PROPER(TRIM(SUBSTITUTE(Raw_Text_Fields!I280,CHAR(160)," ")))</f>
        <v>Second Class</v>
      </c>
      <c r="N279" s="3" t="n">
        <v>1</v>
      </c>
      <c r="O279" s="5" t="n">
        <v>2133.73</v>
      </c>
      <c r="P279" s="6" t="n">
        <v>0.15</v>
      </c>
      <c r="Q279" s="5" t="n">
        <v>2008.39</v>
      </c>
      <c r="R279" s="5" t="n">
        <v>1002.57</v>
      </c>
      <c r="S279" s="5" t="n">
        <v>811.1</v>
      </c>
      <c r="T279" s="3" t="str">
        <f aca="false">PROPER(TRIM(SUBSTITUTE(Raw_Text_Fields!J280,CHAR(160)," ")))</f>
        <v>Pending</v>
      </c>
      <c r="U279" s="3" t="str">
        <f aca="false">PROPER(TRIM(SUBSTITUTE(Raw_Text_Fields!K280,CHAR(160)," ")))</f>
        <v>Cancelled</v>
      </c>
      <c r="V279" s="7" t="n">
        <f aca="false">IF(OR(P279&lt;0,P279&gt;0.5),0,P279)</f>
        <v>0.15</v>
      </c>
      <c r="W279" s="8" t="n">
        <f aca="false">N279*O279*(1-V279)</f>
        <v>1813.6705</v>
      </c>
      <c r="X279" s="8" t="n">
        <f aca="false">W279-R279</f>
        <v>811.1005</v>
      </c>
      <c r="Y279" s="7" t="n">
        <f aca="false">IFERROR(X279/W279,0)</f>
        <v>0.447214915829529</v>
      </c>
      <c r="Z279" s="9" t="n">
        <f aca="false">C279-B279</f>
        <v>0</v>
      </c>
      <c r="AA279" s="1" t="str">
        <f aca="false">IF(B279="","",TEXT(B279,"mmm"))</f>
        <v>Jun</v>
      </c>
      <c r="AB279" s="9" t="n">
        <f aca="false">IF(B279="","",YEAR(B279))</f>
        <v>2025</v>
      </c>
      <c r="AC279" s="3"/>
      <c r="AD279" s="3" t="str">
        <f aca="false">IF(LEFT(AC279&amp;IF(B279="","; Missing Order Date","")&amp;IF(C279="","; Missing Ship Date","")&amp;IF(P279&lt;0,"; Invalid Discount (Negative)","")&amp;IF(P279&gt;0.5,"; Invalid Discount (Too High)","")&amp;IF(Z279&lt;0,"; Invalid Shipping Record (Ship Before Order)","")&amp;IF(ABS(Q279-W279)&gt;1,"; Sales Mismatch","")&amp;IF(ABS(S279-X279)&gt;1,"; Profit Mismatch","")&amp;IF(COUNTIF($A$2:$A$913,A279)&gt;1,"; Duplicate Order ID Conflict",""),2)="; ",MID(AC279&amp;IF(B279="","; Missing Order Date","")&amp;IF(C279="","; Missing Ship Date","")&amp;IF(P279&lt;0,"; Invalid Discount (Negative)","")&amp;IF(P279&gt;0.5,"; Invalid Discount (Too High)","")&amp;IF(Z279&lt;0,"; Invalid Shipping Record (Ship Before Order)","")&amp;IF(ABS(Q279-W279)&gt;1,"; Sales Mismatch","")&amp;IF(ABS(S279-X279)&gt;1,"; Profit Mismatch","")&amp;IF(COUNTIF($A$2:$A$913,A279)&gt;1,"; Duplicate Order ID Conflict",""),3,500),AC279&amp;IF(B279="","; Missing Order Date","")&amp;IF(C279="","; Missing Ship Date","")&amp;IF(P279&lt;0,"; Invalid Discount (Negative)","")&amp;IF(P279&gt;0.5,"; Invalid Discount (Too High)","")&amp;IF(Z279&lt;0,"; Invalid Shipping Record (Ship Before Order)","")&amp;IF(ABS(Q279-W279)&gt;1,"; Sales Mismatch","")&amp;IF(ABS(S279-X279)&gt;1,"; Profit Mismatch","")&amp;IF(COUNTIF($A$2:$A$913,A279)&gt;1,"; Duplicate Order ID Conflict",""))</f>
        <v>Sales Mismatch</v>
      </c>
      <c r="AE279" s="10" t="str">
        <f aca="false">IF(OR(ISNUMBER(SEARCH("Invalid Discount",AD279)),ISNUMBER(SEARCH("Invalid Shipping Record",AD279)),ISNUMBER(SEARCH("Sales Mismatch",AD279)),ISNUMBER(SEARCH("Profit Mismatch",AD279)),ISNUMBER(SEARCH("Duplicate Order ID Conflict",AD279)),ISNUMBER(SEARCH("Missing Order Date",AD279)),ISNUMBER(SEARCH("Missing Ship Date",AD279))),"Invalid",IF(AD279&lt;&gt;"","Warning","Clean"))</f>
        <v>Invalid</v>
      </c>
    </row>
    <row r="280" customFormat="false" ht="15" hidden="false" customHeight="true" outlineLevel="0" collapsed="false">
      <c r="A280" s="3" t="s">
        <v>862</v>
      </c>
      <c r="B280" s="4" t="n">
        <v>45723</v>
      </c>
      <c r="C280" s="4" t="n">
        <v>45730</v>
      </c>
      <c r="D280" s="3" t="s">
        <v>863</v>
      </c>
      <c r="E280" s="3" t="str">
        <f aca="false">PROPER(TRIM(SUBSTITUTE(Raw_Text_Fields!B281,CHAR(160)," ")))</f>
        <v>Priya Menon</v>
      </c>
      <c r="F280" s="3" t="str">
        <f aca="false">PROPER(TRIM(SUBSTITUTE(Raw_Text_Fields!C281,CHAR(160)," ")))</f>
        <v>Small Business</v>
      </c>
      <c r="G280" s="3" t="str">
        <f aca="false">PROPER(TRIM(SUBSTITUTE(Raw_Text_Fields!D281,CHAR(160)," ")))</f>
        <v>North</v>
      </c>
      <c r="H280" s="3" t="str">
        <f aca="false">PROPER(TRIM(SUBSTITUTE(Raw_Text_Fields!E281,CHAR(160)," ")))</f>
        <v>Delhi</v>
      </c>
      <c r="I280" s="3" t="str">
        <f aca="false">PROPER(TRIM(SUBSTITUTE(Raw_Text_Fields!F281,CHAR(160)," ")))</f>
        <v>New Delhi</v>
      </c>
      <c r="J280" s="3" t="str">
        <f aca="false">PROPER(TRIM(SUBSTITUTE(Raw_Text_Fields!G281,CHAR(160)," ")))</f>
        <v>Technology</v>
      </c>
      <c r="K280" s="3" t="str">
        <f aca="false">PROPER(TRIM(SUBSTITUTE(Raw_Text_Fields!H281,CHAR(160)," ")))</f>
        <v>Accessories</v>
      </c>
      <c r="L280" s="3" t="s">
        <v>864</v>
      </c>
      <c r="M280" s="3" t="str">
        <f aca="false">PROPER(TRIM(SUBSTITUTE(Raw_Text_Fields!I281,CHAR(160)," ")))</f>
        <v>Same Day</v>
      </c>
      <c r="N280" s="3" t="n">
        <v>1</v>
      </c>
      <c r="O280" s="5" t="n">
        <v>3979.64</v>
      </c>
      <c r="P280" s="6" t="n">
        <v>0.05</v>
      </c>
      <c r="Q280" s="5" t="n">
        <v>3780.66</v>
      </c>
      <c r="R280" s="5" t="n">
        <v>2148.31</v>
      </c>
      <c r="S280" s="5" t="n">
        <v>1632.35</v>
      </c>
      <c r="T280" s="3" t="str">
        <f aca="false">PROPER(TRIM(SUBSTITUTE(Raw_Text_Fields!J281,CHAR(160)," ")))</f>
        <v>Paid</v>
      </c>
      <c r="U280" s="3" t="str">
        <f aca="false">PROPER(TRIM(SUBSTITUTE(Raw_Text_Fields!K281,CHAR(160)," ")))</f>
        <v>Returned</v>
      </c>
      <c r="V280" s="7" t="n">
        <f aca="false">IF(OR(P280&lt;0,P280&gt;0.5),0,P280)</f>
        <v>0.05</v>
      </c>
      <c r="W280" s="8" t="n">
        <f aca="false">N280*O280*(1-V280)</f>
        <v>3780.658</v>
      </c>
      <c r="X280" s="8" t="n">
        <f aca="false">W280-R280</f>
        <v>1632.348</v>
      </c>
      <c r="Y280" s="7" t="n">
        <f aca="false">IFERROR(X280/W280,0)</f>
        <v>0.431762936504704</v>
      </c>
      <c r="Z280" s="9" t="n">
        <f aca="false">C280-B280</f>
        <v>7</v>
      </c>
      <c r="AA280" s="1" t="str">
        <f aca="false">IF(B280="","",TEXT(B280,"mmm"))</f>
        <v>Mar</v>
      </c>
      <c r="AB280" s="9" t="n">
        <f aca="false">IF(B280="","",YEAR(B280))</f>
        <v>2025</v>
      </c>
      <c r="AC280" s="3"/>
      <c r="AD280" s="3" t="str">
        <f aca="false">IF(LEFT(AC280&amp;IF(B280="","; Missing Order Date","")&amp;IF(C280="","; Missing Ship Date","")&amp;IF(P280&lt;0,"; Invalid Discount (Negative)","")&amp;IF(P280&gt;0.5,"; Invalid Discount (Too High)","")&amp;IF(Z280&lt;0,"; Invalid Shipping Record (Ship Before Order)","")&amp;IF(ABS(Q280-W280)&gt;1,"; Sales Mismatch","")&amp;IF(ABS(S280-X280)&gt;1,"; Profit Mismatch","")&amp;IF(COUNTIF($A$2:$A$913,A280)&gt;1,"; Duplicate Order ID Conflict",""),2)="; ",MID(AC280&amp;IF(B280="","; Missing Order Date","")&amp;IF(C280="","; Missing Ship Date","")&amp;IF(P280&lt;0,"; Invalid Discount (Negative)","")&amp;IF(P280&gt;0.5,"; Invalid Discount (Too High)","")&amp;IF(Z280&lt;0,"; Invalid Shipping Record (Ship Before Order)","")&amp;IF(ABS(Q280-W280)&gt;1,"; Sales Mismatch","")&amp;IF(ABS(S280-X280)&gt;1,"; Profit Mismatch","")&amp;IF(COUNTIF($A$2:$A$913,A280)&gt;1,"; Duplicate Order ID Conflict",""),3,500),AC280&amp;IF(B280="","; Missing Order Date","")&amp;IF(C280="","; Missing Ship Date","")&amp;IF(P280&lt;0,"; Invalid Discount (Negative)","")&amp;IF(P280&gt;0.5,"; Invalid Discount (Too High)","")&amp;IF(Z280&lt;0,"; Invalid Shipping Record (Ship Before Order)","")&amp;IF(ABS(Q280-W280)&gt;1,"; Sales Mismatch","")&amp;IF(ABS(S280-X280)&gt;1,"; Profit Mismatch","")&amp;IF(COUNTIF($A$2:$A$913,A280)&gt;1,"; Duplicate Order ID Conflict",""))</f>
        <v/>
      </c>
      <c r="AE280" s="10" t="str">
        <f aca="false">IF(OR(ISNUMBER(SEARCH("Invalid Discount",AD280)),ISNUMBER(SEARCH("Invalid Shipping Record",AD280)),ISNUMBER(SEARCH("Sales Mismatch",AD280)),ISNUMBER(SEARCH("Profit Mismatch",AD280)),ISNUMBER(SEARCH("Duplicate Order ID Conflict",AD280)),ISNUMBER(SEARCH("Missing Order Date",AD280)),ISNUMBER(SEARCH("Missing Ship Date",AD280))),"Invalid",IF(AD280&lt;&gt;"","Warning","Clean"))</f>
        <v>Clean</v>
      </c>
    </row>
    <row r="281" customFormat="false" ht="15" hidden="false" customHeight="true" outlineLevel="0" collapsed="false">
      <c r="A281" s="3" t="s">
        <v>865</v>
      </c>
      <c r="B281" s="4" t="n">
        <v>45391</v>
      </c>
      <c r="C281" s="4" t="n">
        <v>45392</v>
      </c>
      <c r="D281" s="3" t="s">
        <v>866</v>
      </c>
      <c r="E281" s="3" t="str">
        <f aca="false">PROPER(TRIM(SUBSTITUTE(Raw_Text_Fields!B282,CHAR(160)," ")))</f>
        <v>Rohan Mehta</v>
      </c>
      <c r="F281" s="3" t="str">
        <f aca="false">PROPER(TRIM(SUBSTITUTE(Raw_Text_Fields!C282,CHAR(160)," ")))</f>
        <v>Small Business</v>
      </c>
      <c r="G281" s="3" t="str">
        <f aca="false">PROPER(TRIM(SUBSTITUTE(Raw_Text_Fields!D282,CHAR(160)," ")))</f>
        <v>West</v>
      </c>
      <c r="H281" s="3" t="str">
        <f aca="false">PROPER(TRIM(SUBSTITUTE(Raw_Text_Fields!E282,CHAR(160)," ")))</f>
        <v>Maharashtra</v>
      </c>
      <c r="I281" s="3" t="str">
        <f aca="false">PROPER(TRIM(SUBSTITUTE(Raw_Text_Fields!F282,CHAR(160)," ")))</f>
        <v>Mumbai</v>
      </c>
      <c r="J281" s="3" t="str">
        <f aca="false">PROPER(TRIM(SUBSTITUTE(Raw_Text_Fields!G282,CHAR(160)," ")))</f>
        <v>Office Supplies</v>
      </c>
      <c r="K281" s="3" t="str">
        <f aca="false">PROPER(TRIM(SUBSTITUTE(Raw_Text_Fields!H282,CHAR(160)," ")))</f>
        <v>Storage</v>
      </c>
      <c r="L281" s="3" t="s">
        <v>867</v>
      </c>
      <c r="M281" s="3" t="str">
        <f aca="false">PROPER(TRIM(SUBSTITUTE(Raw_Text_Fields!I282,CHAR(160)," ")))</f>
        <v>First Class</v>
      </c>
      <c r="N281" s="3" t="n">
        <v>1</v>
      </c>
      <c r="O281" s="5" t="n">
        <v>4359.12</v>
      </c>
      <c r="P281" s="6" t="n">
        <v>0.05</v>
      </c>
      <c r="Q281" s="5" t="n">
        <v>4141.16</v>
      </c>
      <c r="R281" s="5" t="n">
        <v>2754.17</v>
      </c>
      <c r="S281" s="5" t="n">
        <v>1386.99</v>
      </c>
      <c r="T281" s="3" t="str">
        <f aca="false">PROPER(TRIM(SUBSTITUTE(Raw_Text_Fields!J282,CHAR(160)," ")))</f>
        <v>Paid</v>
      </c>
      <c r="U281" s="3" t="str">
        <f aca="false">PROPER(TRIM(SUBSTITUTE(Raw_Text_Fields!K282,CHAR(160)," ")))</f>
        <v>Completed</v>
      </c>
      <c r="V281" s="7" t="n">
        <f aca="false">IF(OR(P281&lt;0,P281&gt;0.5),0,P281)</f>
        <v>0.05</v>
      </c>
      <c r="W281" s="8" t="n">
        <f aca="false">N281*O281*(1-V281)</f>
        <v>4141.164</v>
      </c>
      <c r="X281" s="8" t="n">
        <f aca="false">W281-R281</f>
        <v>1386.994</v>
      </c>
      <c r="Y281" s="7" t="n">
        <f aca="false">IFERROR(X281/W281,0)</f>
        <v>0.334928537000708</v>
      </c>
      <c r="Z281" s="9" t="n">
        <f aca="false">C281-B281</f>
        <v>1</v>
      </c>
      <c r="AA281" s="1" t="str">
        <f aca="false">IF(B281="","",TEXT(B281,"mmm"))</f>
        <v>Apr</v>
      </c>
      <c r="AB281" s="9" t="n">
        <f aca="false">IF(B281="","",YEAR(B281))</f>
        <v>2024</v>
      </c>
      <c r="AC281" s="3"/>
      <c r="AD281" s="3" t="str">
        <f aca="false">IF(LEFT(AC281&amp;IF(B281="","; Missing Order Date","")&amp;IF(C281="","; Missing Ship Date","")&amp;IF(P281&lt;0,"; Invalid Discount (Negative)","")&amp;IF(P281&gt;0.5,"; Invalid Discount (Too High)","")&amp;IF(Z281&lt;0,"; Invalid Shipping Record (Ship Before Order)","")&amp;IF(ABS(Q281-W281)&gt;1,"; Sales Mismatch","")&amp;IF(ABS(S281-X281)&gt;1,"; Profit Mismatch","")&amp;IF(COUNTIF($A$2:$A$913,A281)&gt;1,"; Duplicate Order ID Conflict",""),2)="; ",MID(AC281&amp;IF(B281="","; Missing Order Date","")&amp;IF(C281="","; Missing Ship Date","")&amp;IF(P281&lt;0,"; Invalid Discount (Negative)","")&amp;IF(P281&gt;0.5,"; Invalid Discount (Too High)","")&amp;IF(Z281&lt;0,"; Invalid Shipping Record (Ship Before Order)","")&amp;IF(ABS(Q281-W281)&gt;1,"; Sales Mismatch","")&amp;IF(ABS(S281-X281)&gt;1,"; Profit Mismatch","")&amp;IF(COUNTIF($A$2:$A$913,A281)&gt;1,"; Duplicate Order ID Conflict",""),3,500),AC281&amp;IF(B281="","; Missing Order Date","")&amp;IF(C281="","; Missing Ship Date","")&amp;IF(P281&lt;0,"; Invalid Discount (Negative)","")&amp;IF(P281&gt;0.5,"; Invalid Discount (Too High)","")&amp;IF(Z281&lt;0,"; Invalid Shipping Record (Ship Before Order)","")&amp;IF(ABS(Q281-W281)&gt;1,"; Sales Mismatch","")&amp;IF(ABS(S281-X281)&gt;1,"; Profit Mismatch","")&amp;IF(COUNTIF($A$2:$A$913,A281)&gt;1,"; Duplicate Order ID Conflict",""))</f>
        <v/>
      </c>
      <c r="AE281" s="10" t="str">
        <f aca="false">IF(OR(ISNUMBER(SEARCH("Invalid Discount",AD281)),ISNUMBER(SEARCH("Invalid Shipping Record",AD281)),ISNUMBER(SEARCH("Sales Mismatch",AD281)),ISNUMBER(SEARCH("Profit Mismatch",AD281)),ISNUMBER(SEARCH("Duplicate Order ID Conflict",AD281)),ISNUMBER(SEARCH("Missing Order Date",AD281)),ISNUMBER(SEARCH("Missing Ship Date",AD281))),"Invalid",IF(AD281&lt;&gt;"","Warning","Clean"))</f>
        <v>Clean</v>
      </c>
    </row>
    <row r="282" customFormat="false" ht="15" hidden="false" customHeight="true" outlineLevel="0" collapsed="false">
      <c r="A282" s="3" t="s">
        <v>868</v>
      </c>
      <c r="B282" s="4" t="n">
        <v>45649</v>
      </c>
      <c r="C282" s="4" t="n">
        <v>45652</v>
      </c>
      <c r="D282" s="3" t="s">
        <v>869</v>
      </c>
      <c r="E282" s="3" t="str">
        <f aca="false">PROPER(TRIM(SUBSTITUTE(Raw_Text_Fields!B283,CHAR(160)," ")))</f>
        <v>Aditi Sen</v>
      </c>
      <c r="F282" s="3" t="str">
        <f aca="false">PROPER(TRIM(SUBSTITUTE(Raw_Text_Fields!C283,CHAR(160)," ")))</f>
        <v>Consumer</v>
      </c>
      <c r="G282" s="3" t="str">
        <f aca="false">PROPER(TRIM(SUBSTITUTE(Raw_Text_Fields!D283,CHAR(160)," ")))</f>
        <v>South</v>
      </c>
      <c r="H282" s="3" t="str">
        <f aca="false">PROPER(TRIM(SUBSTITUTE(Raw_Text_Fields!E283,CHAR(160)," ")))</f>
        <v>Karnataka</v>
      </c>
      <c r="I282" s="3" t="str">
        <f aca="false">PROPER(TRIM(SUBSTITUTE(Raw_Text_Fields!F283,CHAR(160)," ")))</f>
        <v>Bengaluru</v>
      </c>
      <c r="J282" s="3" t="str">
        <f aca="false">PROPER(TRIM(SUBSTITUTE(Raw_Text_Fields!G283,CHAR(160)," ")))</f>
        <v>Technology</v>
      </c>
      <c r="K282" s="3" t="str">
        <f aca="false">PROPER(TRIM(SUBSTITUTE(Raw_Text_Fields!H283,CHAR(160)," ")))</f>
        <v>Copiers</v>
      </c>
      <c r="L282" s="3" t="s">
        <v>870</v>
      </c>
      <c r="M282" s="3" t="str">
        <f aca="false">PROPER(TRIM(SUBSTITUTE(Raw_Text_Fields!I283,CHAR(160)," ")))</f>
        <v>Standard Class</v>
      </c>
      <c r="N282" s="3" t="n">
        <v>9</v>
      </c>
      <c r="O282" s="5" t="n">
        <v>993.67</v>
      </c>
      <c r="P282" s="6" t="n">
        <v>0</v>
      </c>
      <c r="Q282" s="5" t="n">
        <v>8943.03</v>
      </c>
      <c r="R282" s="5" t="n">
        <v>5165.38</v>
      </c>
      <c r="S282" s="5" t="n">
        <v>3777.65</v>
      </c>
      <c r="T282" s="3" t="str">
        <f aca="false">PROPER(TRIM(SUBSTITUTE(Raw_Text_Fields!J283,CHAR(160)," ")))</f>
        <v>Paid</v>
      </c>
      <c r="U282" s="3" t="str">
        <f aca="false">PROPER(TRIM(SUBSTITUTE(Raw_Text_Fields!K283,CHAR(160)," ")))</f>
        <v>Completed</v>
      </c>
      <c r="V282" s="7" t="n">
        <f aca="false">IF(OR(P282&lt;0,P282&gt;0.5),0,P282)</f>
        <v>0</v>
      </c>
      <c r="W282" s="8" t="n">
        <f aca="false">N282*O282*(1-V282)</f>
        <v>8943.03</v>
      </c>
      <c r="X282" s="8" t="n">
        <f aca="false">W282-R282</f>
        <v>3777.65</v>
      </c>
      <c r="Y282" s="7" t="n">
        <f aca="false">IFERROR(X282/W282,0)</f>
        <v>0.422412761670262</v>
      </c>
      <c r="Z282" s="9" t="n">
        <f aca="false">C282-B282</f>
        <v>3</v>
      </c>
      <c r="AA282" s="1" t="str">
        <f aca="false">IF(B282="","",TEXT(B282,"mmm"))</f>
        <v>Dec</v>
      </c>
      <c r="AB282" s="9" t="n">
        <f aca="false">IF(B282="","",YEAR(B282))</f>
        <v>2024</v>
      </c>
      <c r="AC282" s="3"/>
      <c r="AD282" s="3" t="str">
        <f aca="false">IF(LEFT(AC282&amp;IF(B282="","; Missing Order Date","")&amp;IF(C282="","; Missing Ship Date","")&amp;IF(P282&lt;0,"; Invalid Discount (Negative)","")&amp;IF(P282&gt;0.5,"; Invalid Discount (Too High)","")&amp;IF(Z282&lt;0,"; Invalid Shipping Record (Ship Before Order)","")&amp;IF(ABS(Q282-W282)&gt;1,"; Sales Mismatch","")&amp;IF(ABS(S282-X282)&gt;1,"; Profit Mismatch","")&amp;IF(COUNTIF($A$2:$A$913,A282)&gt;1,"; Duplicate Order ID Conflict",""),2)="; ",MID(AC282&amp;IF(B282="","; Missing Order Date","")&amp;IF(C282="","; Missing Ship Date","")&amp;IF(P282&lt;0,"; Invalid Discount (Negative)","")&amp;IF(P282&gt;0.5,"; Invalid Discount (Too High)","")&amp;IF(Z282&lt;0,"; Invalid Shipping Record (Ship Before Order)","")&amp;IF(ABS(Q282-W282)&gt;1,"; Sales Mismatch","")&amp;IF(ABS(S282-X282)&gt;1,"; Profit Mismatch","")&amp;IF(COUNTIF($A$2:$A$913,A282)&gt;1,"; Duplicate Order ID Conflict",""),3,500),AC282&amp;IF(B282="","; Missing Order Date","")&amp;IF(C282="","; Missing Ship Date","")&amp;IF(P282&lt;0,"; Invalid Discount (Negative)","")&amp;IF(P282&gt;0.5,"; Invalid Discount (Too High)","")&amp;IF(Z282&lt;0,"; Invalid Shipping Record (Ship Before Order)","")&amp;IF(ABS(Q282-W282)&gt;1,"; Sales Mismatch","")&amp;IF(ABS(S282-X282)&gt;1,"; Profit Mismatch","")&amp;IF(COUNTIF($A$2:$A$913,A282)&gt;1,"; Duplicate Order ID Conflict",""))</f>
        <v/>
      </c>
      <c r="AE282" s="10" t="str">
        <f aca="false">IF(OR(ISNUMBER(SEARCH("Invalid Discount",AD282)),ISNUMBER(SEARCH("Invalid Shipping Record",AD282)),ISNUMBER(SEARCH("Sales Mismatch",AD282)),ISNUMBER(SEARCH("Profit Mismatch",AD282)),ISNUMBER(SEARCH("Duplicate Order ID Conflict",AD282)),ISNUMBER(SEARCH("Missing Order Date",AD282)),ISNUMBER(SEARCH("Missing Ship Date",AD282))),"Invalid",IF(AD282&lt;&gt;"","Warning","Clean"))</f>
        <v>Clean</v>
      </c>
    </row>
    <row r="283" customFormat="false" ht="15" hidden="false" customHeight="true" outlineLevel="0" collapsed="false">
      <c r="A283" s="3" t="s">
        <v>871</v>
      </c>
      <c r="B283" s="4" t="n">
        <v>45863</v>
      </c>
      <c r="C283" s="4" t="n">
        <v>45865</v>
      </c>
      <c r="D283" s="3" t="s">
        <v>872</v>
      </c>
      <c r="E283" s="3" t="str">
        <f aca="false">PROPER(TRIM(SUBSTITUTE(Raw_Text_Fields!B284,CHAR(160)," ")))</f>
        <v>Kabir Singh</v>
      </c>
      <c r="F283" s="3" t="str">
        <f aca="false">PROPER(TRIM(SUBSTITUTE(Raw_Text_Fields!C284,CHAR(160)," ")))</f>
        <v>Consumer</v>
      </c>
      <c r="G283" s="3" t="str">
        <f aca="false">PROPER(TRIM(SUBSTITUTE(Raw_Text_Fields!D284,CHAR(160)," ")))</f>
        <v>East</v>
      </c>
      <c r="H283" s="3" t="str">
        <f aca="false">PROPER(TRIM(SUBSTITUTE(Raw_Text_Fields!E284,CHAR(160)," ")))</f>
        <v>Jharkhand</v>
      </c>
      <c r="I283" s="3" t="str">
        <f aca="false">PROPER(TRIM(SUBSTITUTE(Raw_Text_Fields!F284,CHAR(160)," ")))</f>
        <v>Ranchi</v>
      </c>
      <c r="J283" s="3" t="str">
        <f aca="false">PROPER(TRIM(SUBSTITUTE(Raw_Text_Fields!G284,CHAR(160)," ")))</f>
        <v>Office Supplies</v>
      </c>
      <c r="K283" s="3" t="str">
        <f aca="false">PROPER(TRIM(SUBSTITUTE(Raw_Text_Fields!H284,CHAR(160)," ")))</f>
        <v>Binders</v>
      </c>
      <c r="L283" s="3" t="s">
        <v>873</v>
      </c>
      <c r="M283" s="3" t="str">
        <f aca="false">PROPER(TRIM(SUBSTITUTE(Raw_Text_Fields!I284,CHAR(160)," ")))</f>
        <v>Second Class</v>
      </c>
      <c r="N283" s="3" t="n">
        <v>6</v>
      </c>
      <c r="O283" s="5" t="n">
        <v>3438.38</v>
      </c>
      <c r="P283" s="6" t="n">
        <v>0.2</v>
      </c>
      <c r="Q283" s="5" t="n">
        <v>16504.22</v>
      </c>
      <c r="R283" s="5" t="n">
        <v>11262.71</v>
      </c>
      <c r="S283" s="5" t="n">
        <v>5241.51</v>
      </c>
      <c r="T283" s="3" t="str">
        <f aca="false">PROPER(TRIM(SUBSTITUTE(Raw_Text_Fields!J284,CHAR(160)," ")))</f>
        <v>Paid</v>
      </c>
      <c r="U283" s="3" t="str">
        <f aca="false">PROPER(TRIM(SUBSTITUTE(Raw_Text_Fields!K284,CHAR(160)," ")))</f>
        <v>Completed</v>
      </c>
      <c r="V283" s="7" t="n">
        <f aca="false">IF(OR(P283&lt;0,P283&gt;0.5),0,P283)</f>
        <v>0.2</v>
      </c>
      <c r="W283" s="8" t="n">
        <f aca="false">N283*O283*(1-V283)</f>
        <v>16504.224</v>
      </c>
      <c r="X283" s="8" t="n">
        <f aca="false">W283-R283</f>
        <v>5241.514</v>
      </c>
      <c r="Y283" s="7" t="n">
        <f aca="false">IFERROR(X283/W283,0)</f>
        <v>0.317586213080966</v>
      </c>
      <c r="Z283" s="9" t="n">
        <f aca="false">C283-B283</f>
        <v>2</v>
      </c>
      <c r="AA283" s="1" t="str">
        <f aca="false">IF(B283="","",TEXT(B283,"mmm"))</f>
        <v>Jul</v>
      </c>
      <c r="AB283" s="9" t="n">
        <f aca="false">IF(B283="","",YEAR(B283))</f>
        <v>2025</v>
      </c>
      <c r="AC283" s="3"/>
      <c r="AD283" s="3" t="str">
        <f aca="false">IF(LEFT(AC283&amp;IF(B283="","; Missing Order Date","")&amp;IF(C283="","; Missing Ship Date","")&amp;IF(P283&lt;0,"; Invalid Discount (Negative)","")&amp;IF(P283&gt;0.5,"; Invalid Discount (Too High)","")&amp;IF(Z283&lt;0,"; Invalid Shipping Record (Ship Before Order)","")&amp;IF(ABS(Q283-W283)&gt;1,"; Sales Mismatch","")&amp;IF(ABS(S283-X283)&gt;1,"; Profit Mismatch","")&amp;IF(COUNTIF($A$2:$A$913,A283)&gt;1,"; Duplicate Order ID Conflict",""),2)="; ",MID(AC283&amp;IF(B283="","; Missing Order Date","")&amp;IF(C283="","; Missing Ship Date","")&amp;IF(P283&lt;0,"; Invalid Discount (Negative)","")&amp;IF(P283&gt;0.5,"; Invalid Discount (Too High)","")&amp;IF(Z283&lt;0,"; Invalid Shipping Record (Ship Before Order)","")&amp;IF(ABS(Q283-W283)&gt;1,"; Sales Mismatch","")&amp;IF(ABS(S283-X283)&gt;1,"; Profit Mismatch","")&amp;IF(COUNTIF($A$2:$A$913,A283)&gt;1,"; Duplicate Order ID Conflict",""),3,500),AC283&amp;IF(B283="","; Missing Order Date","")&amp;IF(C283="","; Missing Ship Date","")&amp;IF(P283&lt;0,"; Invalid Discount (Negative)","")&amp;IF(P283&gt;0.5,"; Invalid Discount (Too High)","")&amp;IF(Z283&lt;0,"; Invalid Shipping Record (Ship Before Order)","")&amp;IF(ABS(Q283-W283)&gt;1,"; Sales Mismatch","")&amp;IF(ABS(S283-X283)&gt;1,"; Profit Mismatch","")&amp;IF(COUNTIF($A$2:$A$913,A283)&gt;1,"; Duplicate Order ID Conflict",""))</f>
        <v/>
      </c>
      <c r="AE283" s="10" t="str">
        <f aca="false">IF(OR(ISNUMBER(SEARCH("Invalid Discount",AD283)),ISNUMBER(SEARCH("Invalid Shipping Record",AD283)),ISNUMBER(SEARCH("Sales Mismatch",AD283)),ISNUMBER(SEARCH("Profit Mismatch",AD283)),ISNUMBER(SEARCH("Duplicate Order ID Conflict",AD283)),ISNUMBER(SEARCH("Missing Order Date",AD283)),ISNUMBER(SEARCH("Missing Ship Date",AD283))),"Invalid",IF(AD283&lt;&gt;"","Warning","Clean"))</f>
        <v>Clean</v>
      </c>
    </row>
    <row r="284" customFormat="false" ht="15" hidden="false" customHeight="true" outlineLevel="0" collapsed="false">
      <c r="A284" s="3" t="s">
        <v>874</v>
      </c>
      <c r="B284" s="4" t="n">
        <v>45566</v>
      </c>
      <c r="C284" s="4" t="n">
        <v>45567</v>
      </c>
      <c r="D284" s="3" t="s">
        <v>875</v>
      </c>
      <c r="E284" s="3" t="str">
        <f aca="false">PROPER(TRIM(SUBSTITUTE(Raw_Text_Fields!B285,CHAR(160)," ")))</f>
        <v>Karan Malhotra</v>
      </c>
      <c r="F284" s="3" t="str">
        <f aca="false">PROPER(TRIM(SUBSTITUTE(Raw_Text_Fields!C285,CHAR(160)," ")))</f>
        <v>Home Office</v>
      </c>
      <c r="G284" s="3" t="str">
        <f aca="false">PROPER(TRIM(SUBSTITUTE(Raw_Text_Fields!D285,CHAR(160)," ")))</f>
        <v>East</v>
      </c>
      <c r="H284" s="3" t="str">
        <f aca="false">PROPER(TRIM(SUBSTITUTE(Raw_Text_Fields!E285,CHAR(160)," ")))</f>
        <v>Assam</v>
      </c>
      <c r="I284" s="3" t="str">
        <f aca="false">PROPER(TRIM(SUBSTITUTE(Raw_Text_Fields!F285,CHAR(160)," ")))</f>
        <v>Guwahati</v>
      </c>
      <c r="J284" s="3" t="str">
        <f aca="false">PROPER(TRIM(SUBSTITUTE(Raw_Text_Fields!G285,CHAR(160)," ")))</f>
        <v>Furniture</v>
      </c>
      <c r="K284" s="3" t="str">
        <f aca="false">PROPER(TRIM(SUBSTITUTE(Raw_Text_Fields!H285,CHAR(160)," ")))</f>
        <v>Tables</v>
      </c>
      <c r="L284" s="3" t="s">
        <v>876</v>
      </c>
      <c r="M284" s="3" t="str">
        <f aca="false">PROPER(TRIM(SUBSTITUTE(Raw_Text_Fields!I285,CHAR(160)," ")))</f>
        <v>Second Class</v>
      </c>
      <c r="N284" s="3" t="n">
        <v>2</v>
      </c>
      <c r="O284" s="5" t="n">
        <v>2298</v>
      </c>
      <c r="P284" s="6" t="n">
        <v>0</v>
      </c>
      <c r="Q284" s="5" t="n">
        <v>4596</v>
      </c>
      <c r="R284" s="5" t="n">
        <v>3220.33</v>
      </c>
      <c r="S284" s="5" t="n">
        <v>1375.67</v>
      </c>
      <c r="T284" s="3" t="str">
        <f aca="false">PROPER(TRIM(SUBSTITUTE(Raw_Text_Fields!J285,CHAR(160)," ")))</f>
        <v>Paid</v>
      </c>
      <c r="U284" s="3" t="str">
        <f aca="false">PROPER(TRIM(SUBSTITUTE(Raw_Text_Fields!K285,CHAR(160)," ")))</f>
        <v>Completed</v>
      </c>
      <c r="V284" s="7" t="n">
        <f aca="false">IF(OR(P284&lt;0,P284&gt;0.5),0,P284)</f>
        <v>0</v>
      </c>
      <c r="W284" s="8" t="n">
        <f aca="false">N284*O284*(1-V284)</f>
        <v>4596</v>
      </c>
      <c r="X284" s="8" t="n">
        <f aca="false">W284-R284</f>
        <v>1375.67</v>
      </c>
      <c r="Y284" s="7" t="n">
        <f aca="false">IFERROR(X284/W284,0)</f>
        <v>0.299318973020017</v>
      </c>
      <c r="Z284" s="9" t="n">
        <f aca="false">C284-B284</f>
        <v>1</v>
      </c>
      <c r="AA284" s="1" t="str">
        <f aca="false">IF(B284="","",TEXT(B284,"mmm"))</f>
        <v>Oct</v>
      </c>
      <c r="AB284" s="9" t="n">
        <f aca="false">IF(B284="","",YEAR(B284))</f>
        <v>2024</v>
      </c>
      <c r="AC284" s="3"/>
      <c r="AD284" s="3" t="str">
        <f aca="false">IF(LEFT(AC284&amp;IF(B284="","; Missing Order Date","")&amp;IF(C284="","; Missing Ship Date","")&amp;IF(P284&lt;0,"; Invalid Discount (Negative)","")&amp;IF(P284&gt;0.5,"; Invalid Discount (Too High)","")&amp;IF(Z284&lt;0,"; Invalid Shipping Record (Ship Before Order)","")&amp;IF(ABS(Q284-W284)&gt;1,"; Sales Mismatch","")&amp;IF(ABS(S284-X284)&gt;1,"; Profit Mismatch","")&amp;IF(COUNTIF($A$2:$A$913,A284)&gt;1,"; Duplicate Order ID Conflict",""),2)="; ",MID(AC284&amp;IF(B284="","; Missing Order Date","")&amp;IF(C284="","; Missing Ship Date","")&amp;IF(P284&lt;0,"; Invalid Discount (Negative)","")&amp;IF(P284&gt;0.5,"; Invalid Discount (Too High)","")&amp;IF(Z284&lt;0,"; Invalid Shipping Record (Ship Before Order)","")&amp;IF(ABS(Q284-W284)&gt;1,"; Sales Mismatch","")&amp;IF(ABS(S284-X284)&gt;1,"; Profit Mismatch","")&amp;IF(COUNTIF($A$2:$A$913,A284)&gt;1,"; Duplicate Order ID Conflict",""),3,500),AC284&amp;IF(B284="","; Missing Order Date","")&amp;IF(C284="","; Missing Ship Date","")&amp;IF(P284&lt;0,"; Invalid Discount (Negative)","")&amp;IF(P284&gt;0.5,"; Invalid Discount (Too High)","")&amp;IF(Z284&lt;0,"; Invalid Shipping Record (Ship Before Order)","")&amp;IF(ABS(Q284-W284)&gt;1,"; Sales Mismatch","")&amp;IF(ABS(S284-X284)&gt;1,"; Profit Mismatch","")&amp;IF(COUNTIF($A$2:$A$913,A284)&gt;1,"; Duplicate Order ID Conflict",""))</f>
        <v/>
      </c>
      <c r="AE284" s="10" t="str">
        <f aca="false">IF(OR(ISNUMBER(SEARCH("Invalid Discount",AD284)),ISNUMBER(SEARCH("Invalid Shipping Record",AD284)),ISNUMBER(SEARCH("Sales Mismatch",AD284)),ISNUMBER(SEARCH("Profit Mismatch",AD284)),ISNUMBER(SEARCH("Duplicate Order ID Conflict",AD284)),ISNUMBER(SEARCH("Missing Order Date",AD284)),ISNUMBER(SEARCH("Missing Ship Date",AD284))),"Invalid",IF(AD284&lt;&gt;"","Warning","Clean"))</f>
        <v>Clean</v>
      </c>
    </row>
    <row r="285" customFormat="false" ht="15" hidden="false" customHeight="true" outlineLevel="0" collapsed="false">
      <c r="A285" s="3" t="s">
        <v>877</v>
      </c>
      <c r="B285" s="4" t="n">
        <v>45729</v>
      </c>
      <c r="C285" s="4" t="n">
        <v>45736</v>
      </c>
      <c r="D285" s="3" t="s">
        <v>878</v>
      </c>
      <c r="E285" s="3" t="str">
        <f aca="false">PROPER(TRIM(SUBSTITUTE(Raw_Text_Fields!B286,CHAR(160)," ")))</f>
        <v>Vikram Iyer</v>
      </c>
      <c r="F285" s="3" t="str">
        <f aca="false">PROPER(TRIM(SUBSTITUTE(Raw_Text_Fields!C286,CHAR(160)," ")))</f>
        <v>Consumer</v>
      </c>
      <c r="G285" s="3" t="str">
        <f aca="false">PROPER(TRIM(SUBSTITUTE(Raw_Text_Fields!D286,CHAR(160)," ")))</f>
        <v>West</v>
      </c>
      <c r="H285" s="3" t="str">
        <f aca="false">PROPER(TRIM(SUBSTITUTE(Raw_Text_Fields!E286,CHAR(160)," ")))</f>
        <v>Maharashtra</v>
      </c>
      <c r="I285" s="3" t="str">
        <f aca="false">PROPER(TRIM(SUBSTITUTE(Raw_Text_Fields!F286,CHAR(160)," ")))</f>
        <v>Mumbai</v>
      </c>
      <c r="J285" s="3" t="str">
        <f aca="false">PROPER(TRIM(SUBSTITUTE(Raw_Text_Fields!G286,CHAR(160)," ")))</f>
        <v>Furniture</v>
      </c>
      <c r="K285" s="3" t="str">
        <f aca="false">PROPER(TRIM(SUBSTITUTE(Raw_Text_Fields!H286,CHAR(160)," ")))</f>
        <v>Furnishings</v>
      </c>
      <c r="L285" s="3" t="s">
        <v>879</v>
      </c>
      <c r="M285" s="3" t="str">
        <f aca="false">PROPER(TRIM(SUBSTITUTE(Raw_Text_Fields!I286,CHAR(160)," ")))</f>
        <v>First Class</v>
      </c>
      <c r="N285" s="3" t="n">
        <v>1</v>
      </c>
      <c r="O285" s="5" t="n">
        <v>1814.01</v>
      </c>
      <c r="P285" s="6" t="n">
        <v>0</v>
      </c>
      <c r="Q285" s="5" t="n">
        <v>1814.01</v>
      </c>
      <c r="R285" s="5" t="n">
        <v>1033.47</v>
      </c>
      <c r="S285" s="5" t="n">
        <v>780.54</v>
      </c>
      <c r="T285" s="3" t="str">
        <f aca="false">PROPER(TRIM(SUBSTITUTE(Raw_Text_Fields!J286,CHAR(160)," ")))</f>
        <v>Paid</v>
      </c>
      <c r="U285" s="3" t="str">
        <f aca="false">PROPER(TRIM(SUBSTITUTE(Raw_Text_Fields!K286,CHAR(160)," ")))</f>
        <v>Completed</v>
      </c>
      <c r="V285" s="7" t="n">
        <f aca="false">IF(OR(P285&lt;0,P285&gt;0.5),0,P285)</f>
        <v>0</v>
      </c>
      <c r="W285" s="8" t="n">
        <f aca="false">N285*O285*(1-V285)</f>
        <v>1814.01</v>
      </c>
      <c r="X285" s="8" t="n">
        <f aca="false">W285-R285</f>
        <v>780.54</v>
      </c>
      <c r="Y285" s="7" t="n">
        <f aca="false">IFERROR(X285/W285,0)</f>
        <v>0.430284287297203</v>
      </c>
      <c r="Z285" s="9" t="n">
        <f aca="false">C285-B285</f>
        <v>7</v>
      </c>
      <c r="AA285" s="1" t="str">
        <f aca="false">IF(B285="","",TEXT(B285,"mmm"))</f>
        <v>Mar</v>
      </c>
      <c r="AB285" s="9" t="n">
        <f aca="false">IF(B285="","",YEAR(B285))</f>
        <v>2025</v>
      </c>
      <c r="AC285" s="3"/>
      <c r="AD285" s="3" t="str">
        <f aca="false">IF(LEFT(AC285&amp;IF(B285="","; Missing Order Date","")&amp;IF(C285="","; Missing Ship Date","")&amp;IF(P285&lt;0,"; Invalid Discount (Negative)","")&amp;IF(P285&gt;0.5,"; Invalid Discount (Too High)","")&amp;IF(Z285&lt;0,"; Invalid Shipping Record (Ship Before Order)","")&amp;IF(ABS(Q285-W285)&gt;1,"; Sales Mismatch","")&amp;IF(ABS(S285-X285)&gt;1,"; Profit Mismatch","")&amp;IF(COUNTIF($A$2:$A$913,A285)&gt;1,"; Duplicate Order ID Conflict",""),2)="; ",MID(AC285&amp;IF(B285="","; Missing Order Date","")&amp;IF(C285="","; Missing Ship Date","")&amp;IF(P285&lt;0,"; Invalid Discount (Negative)","")&amp;IF(P285&gt;0.5,"; Invalid Discount (Too High)","")&amp;IF(Z285&lt;0,"; Invalid Shipping Record (Ship Before Order)","")&amp;IF(ABS(Q285-W285)&gt;1,"; Sales Mismatch","")&amp;IF(ABS(S285-X285)&gt;1,"; Profit Mismatch","")&amp;IF(COUNTIF($A$2:$A$913,A285)&gt;1,"; Duplicate Order ID Conflict",""),3,500),AC285&amp;IF(B285="","; Missing Order Date","")&amp;IF(C285="","; Missing Ship Date","")&amp;IF(P285&lt;0,"; Invalid Discount (Negative)","")&amp;IF(P285&gt;0.5,"; Invalid Discount (Too High)","")&amp;IF(Z285&lt;0,"; Invalid Shipping Record (Ship Before Order)","")&amp;IF(ABS(Q285-W285)&gt;1,"; Sales Mismatch","")&amp;IF(ABS(S285-X285)&gt;1,"; Profit Mismatch","")&amp;IF(COUNTIF($A$2:$A$913,A285)&gt;1,"; Duplicate Order ID Conflict",""))</f>
        <v/>
      </c>
      <c r="AE285" s="10" t="str">
        <f aca="false">IF(OR(ISNUMBER(SEARCH("Invalid Discount",AD285)),ISNUMBER(SEARCH("Invalid Shipping Record",AD285)),ISNUMBER(SEARCH("Sales Mismatch",AD285)),ISNUMBER(SEARCH("Profit Mismatch",AD285)),ISNUMBER(SEARCH("Duplicate Order ID Conflict",AD285)),ISNUMBER(SEARCH("Missing Order Date",AD285)),ISNUMBER(SEARCH("Missing Ship Date",AD285))),"Invalid",IF(AD285&lt;&gt;"","Warning","Clean"))</f>
        <v>Clean</v>
      </c>
    </row>
    <row r="286" customFormat="false" ht="15" hidden="false" customHeight="true" outlineLevel="0" collapsed="false">
      <c r="A286" s="3" t="s">
        <v>880</v>
      </c>
      <c r="B286" s="4" t="n">
        <v>45634</v>
      </c>
      <c r="C286" s="4" t="n">
        <v>45640</v>
      </c>
      <c r="D286" s="3" t="s">
        <v>881</v>
      </c>
      <c r="E286" s="3" t="str">
        <f aca="false">PROPER(TRIM(SUBSTITUTE(Raw_Text_Fields!B287,CHAR(160)," ")))</f>
        <v>Karan Malhotra</v>
      </c>
      <c r="F286" s="3" t="str">
        <f aca="false">PROPER(TRIM(SUBSTITUTE(Raw_Text_Fields!C287,CHAR(160)," ")))</f>
        <v>Consumer</v>
      </c>
      <c r="G286" s="3" t="str">
        <f aca="false">PROPER(TRIM(SUBSTITUTE(Raw_Text_Fields!D287,CHAR(160)," ")))</f>
        <v>East</v>
      </c>
      <c r="H286" s="3" t="str">
        <f aca="false">PROPER(TRIM(SUBSTITUTE(Raw_Text_Fields!E287,CHAR(160)," ")))</f>
        <v>Odisha</v>
      </c>
      <c r="I286" s="3" t="str">
        <f aca="false">PROPER(TRIM(SUBSTITUTE(Raw_Text_Fields!F287,CHAR(160)," ")))</f>
        <v>Bhubaneswar</v>
      </c>
      <c r="J286" s="3" t="str">
        <f aca="false">PROPER(TRIM(SUBSTITUTE(Raw_Text_Fields!G287,CHAR(160)," ")))</f>
        <v>Furniture</v>
      </c>
      <c r="K286" s="3" t="str">
        <f aca="false">PROPER(TRIM(SUBSTITUTE(Raw_Text_Fields!H287,CHAR(160)," ")))</f>
        <v>Tables</v>
      </c>
      <c r="L286" s="3" t="s">
        <v>882</v>
      </c>
      <c r="M286" s="3" t="str">
        <f aca="false">PROPER(TRIM(SUBSTITUTE(Raw_Text_Fields!I287,CHAR(160)," ")))</f>
        <v>Same Day</v>
      </c>
      <c r="N286" s="3" t="n">
        <v>3</v>
      </c>
      <c r="O286" s="5" t="n">
        <v>1576.92</v>
      </c>
      <c r="P286" s="6" t="n">
        <v>0</v>
      </c>
      <c r="Q286" s="5" t="n">
        <v>4730.76</v>
      </c>
      <c r="R286" s="5" t="n">
        <v>3139.73</v>
      </c>
      <c r="S286" s="5" t="n">
        <v>1591.03</v>
      </c>
      <c r="T286" s="3" t="str">
        <f aca="false">PROPER(TRIM(SUBSTITUTE(Raw_Text_Fields!J287,CHAR(160)," ")))</f>
        <v>Paid</v>
      </c>
      <c r="U286" s="3" t="str">
        <f aca="false">PROPER(TRIM(SUBSTITUTE(Raw_Text_Fields!K287,CHAR(160)," ")))</f>
        <v>Returned</v>
      </c>
      <c r="V286" s="7" t="n">
        <f aca="false">IF(OR(P286&lt;0,P286&gt;0.5),0,P286)</f>
        <v>0</v>
      </c>
      <c r="W286" s="8" t="n">
        <f aca="false">N286*O286*(1-V286)</f>
        <v>4730.76</v>
      </c>
      <c r="X286" s="8" t="n">
        <f aca="false">W286-R286</f>
        <v>1591.03</v>
      </c>
      <c r="Y286" s="7" t="n">
        <f aca="false">IFERROR(X286/W286,0)</f>
        <v>0.336315940779071</v>
      </c>
      <c r="Z286" s="9" t="n">
        <f aca="false">C286-B286</f>
        <v>6</v>
      </c>
      <c r="AA286" s="1" t="str">
        <f aca="false">IF(B286="","",TEXT(B286,"mmm"))</f>
        <v>Dec</v>
      </c>
      <c r="AB286" s="9" t="n">
        <f aca="false">IF(B286="","",YEAR(B286))</f>
        <v>2024</v>
      </c>
      <c r="AC286" s="3"/>
      <c r="AD286" s="3" t="str">
        <f aca="false">IF(LEFT(AC286&amp;IF(B286="","; Missing Order Date","")&amp;IF(C286="","; Missing Ship Date","")&amp;IF(P286&lt;0,"; Invalid Discount (Negative)","")&amp;IF(P286&gt;0.5,"; Invalid Discount (Too High)","")&amp;IF(Z286&lt;0,"; Invalid Shipping Record (Ship Before Order)","")&amp;IF(ABS(Q286-W286)&gt;1,"; Sales Mismatch","")&amp;IF(ABS(S286-X286)&gt;1,"; Profit Mismatch","")&amp;IF(COUNTIF($A$2:$A$913,A286)&gt;1,"; Duplicate Order ID Conflict",""),2)="; ",MID(AC286&amp;IF(B286="","; Missing Order Date","")&amp;IF(C286="","; Missing Ship Date","")&amp;IF(P286&lt;0,"; Invalid Discount (Negative)","")&amp;IF(P286&gt;0.5,"; Invalid Discount (Too High)","")&amp;IF(Z286&lt;0,"; Invalid Shipping Record (Ship Before Order)","")&amp;IF(ABS(Q286-W286)&gt;1,"; Sales Mismatch","")&amp;IF(ABS(S286-X286)&gt;1,"; Profit Mismatch","")&amp;IF(COUNTIF($A$2:$A$913,A286)&gt;1,"; Duplicate Order ID Conflict",""),3,500),AC286&amp;IF(B286="","; Missing Order Date","")&amp;IF(C286="","; Missing Ship Date","")&amp;IF(P286&lt;0,"; Invalid Discount (Negative)","")&amp;IF(P286&gt;0.5,"; Invalid Discount (Too High)","")&amp;IF(Z286&lt;0,"; Invalid Shipping Record (Ship Before Order)","")&amp;IF(ABS(Q286-W286)&gt;1,"; Sales Mismatch","")&amp;IF(ABS(S286-X286)&gt;1,"; Profit Mismatch","")&amp;IF(COUNTIF($A$2:$A$913,A286)&gt;1,"; Duplicate Order ID Conflict",""))</f>
        <v/>
      </c>
      <c r="AE286" s="10" t="str">
        <f aca="false">IF(OR(ISNUMBER(SEARCH("Invalid Discount",AD286)),ISNUMBER(SEARCH("Invalid Shipping Record",AD286)),ISNUMBER(SEARCH("Sales Mismatch",AD286)),ISNUMBER(SEARCH("Profit Mismatch",AD286)),ISNUMBER(SEARCH("Duplicate Order ID Conflict",AD286)),ISNUMBER(SEARCH("Missing Order Date",AD286)),ISNUMBER(SEARCH("Missing Ship Date",AD286))),"Invalid",IF(AD286&lt;&gt;"","Warning","Clean"))</f>
        <v>Clean</v>
      </c>
    </row>
    <row r="287" customFormat="false" ht="15" hidden="false" customHeight="true" outlineLevel="0" collapsed="false">
      <c r="A287" s="3" t="s">
        <v>883</v>
      </c>
      <c r="B287" s="4" t="n">
        <v>45884</v>
      </c>
      <c r="C287" s="4" t="n">
        <v>45889</v>
      </c>
      <c r="D287" s="3" t="s">
        <v>884</v>
      </c>
      <c r="E287" s="3" t="str">
        <f aca="false">PROPER(TRIM(SUBSTITUTE(Raw_Text_Fields!B288,CHAR(160)," ")))</f>
        <v>Neha Gupta</v>
      </c>
      <c r="F287" s="3" t="str">
        <f aca="false">PROPER(TRIM(SUBSTITUTE(Raw_Text_Fields!C288,CHAR(160)," ")))</f>
        <v>Home Office</v>
      </c>
      <c r="G287" s="3" t="str">
        <f aca="false">PROPER(TRIM(SUBSTITUTE(Raw_Text_Fields!D288,CHAR(160)," ")))</f>
        <v>North</v>
      </c>
      <c r="H287" s="3" t="str">
        <f aca="false">PROPER(TRIM(SUBSTITUTE(Raw_Text_Fields!E288,CHAR(160)," ")))</f>
        <v>Rajasthan</v>
      </c>
      <c r="I287" s="3" t="str">
        <f aca="false">PROPER(TRIM(SUBSTITUTE(Raw_Text_Fields!F288,CHAR(160)," ")))</f>
        <v>Jaipur</v>
      </c>
      <c r="J287" s="3" t="str">
        <f aca="false">PROPER(TRIM(SUBSTITUTE(Raw_Text_Fields!G288,CHAR(160)," ")))</f>
        <v>Office Supplies</v>
      </c>
      <c r="K287" s="3" t="str">
        <f aca="false">PROPER(TRIM(SUBSTITUTE(Raw_Text_Fields!H288,CHAR(160)," ")))</f>
        <v>Storage</v>
      </c>
      <c r="L287" s="3" t="s">
        <v>885</v>
      </c>
      <c r="M287" s="3" t="str">
        <f aca="false">PROPER(TRIM(SUBSTITUTE(Raw_Text_Fields!I288,CHAR(160)," ")))</f>
        <v>Standard Class</v>
      </c>
      <c r="N287" s="3" t="n">
        <v>9</v>
      </c>
      <c r="O287" s="5" t="n">
        <v>4081.77</v>
      </c>
      <c r="P287" s="6" t="n">
        <v>0</v>
      </c>
      <c r="Q287" s="5" t="n">
        <v>36735.93</v>
      </c>
      <c r="R287" s="5" t="n">
        <v>30820.84</v>
      </c>
      <c r="S287" s="5" t="n">
        <v>5915.09</v>
      </c>
      <c r="T287" s="3" t="str">
        <f aca="false">PROPER(TRIM(SUBSTITUTE(Raw_Text_Fields!J288,CHAR(160)," ")))</f>
        <v>Paid</v>
      </c>
      <c r="U287" s="3" t="str">
        <f aca="false">PROPER(TRIM(SUBSTITUTE(Raw_Text_Fields!K288,CHAR(160)," ")))</f>
        <v>Completed</v>
      </c>
      <c r="V287" s="7" t="n">
        <f aca="false">IF(OR(P287&lt;0,P287&gt;0.5),0,P287)</f>
        <v>0</v>
      </c>
      <c r="W287" s="8" t="n">
        <f aca="false">N287*O287*(1-V287)</f>
        <v>36735.93</v>
      </c>
      <c r="X287" s="8" t="n">
        <f aca="false">W287-R287</f>
        <v>5915.09</v>
      </c>
      <c r="Y287" s="7" t="n">
        <f aca="false">IFERROR(X287/W287,0)</f>
        <v>0.161016476240019</v>
      </c>
      <c r="Z287" s="9" t="n">
        <f aca="false">C287-B287</f>
        <v>5</v>
      </c>
      <c r="AA287" s="1" t="str">
        <f aca="false">IF(B287="","",TEXT(B287,"mmm"))</f>
        <v>Aug</v>
      </c>
      <c r="AB287" s="9" t="n">
        <f aca="false">IF(B287="","",YEAR(B287))</f>
        <v>2025</v>
      </c>
      <c r="AC287" s="3"/>
      <c r="AD287" s="3" t="str">
        <f aca="false">IF(LEFT(AC287&amp;IF(B287="","; Missing Order Date","")&amp;IF(C287="","; Missing Ship Date","")&amp;IF(P287&lt;0,"; Invalid Discount (Negative)","")&amp;IF(P287&gt;0.5,"; Invalid Discount (Too High)","")&amp;IF(Z287&lt;0,"; Invalid Shipping Record (Ship Before Order)","")&amp;IF(ABS(Q287-W287)&gt;1,"; Sales Mismatch","")&amp;IF(ABS(S287-X287)&gt;1,"; Profit Mismatch","")&amp;IF(COUNTIF($A$2:$A$913,A287)&gt;1,"; Duplicate Order ID Conflict",""),2)="; ",MID(AC287&amp;IF(B287="","; Missing Order Date","")&amp;IF(C287="","; Missing Ship Date","")&amp;IF(P287&lt;0,"; Invalid Discount (Negative)","")&amp;IF(P287&gt;0.5,"; Invalid Discount (Too High)","")&amp;IF(Z287&lt;0,"; Invalid Shipping Record (Ship Before Order)","")&amp;IF(ABS(Q287-W287)&gt;1,"; Sales Mismatch","")&amp;IF(ABS(S287-X287)&gt;1,"; Profit Mismatch","")&amp;IF(COUNTIF($A$2:$A$913,A287)&gt;1,"; Duplicate Order ID Conflict",""),3,500),AC287&amp;IF(B287="","; Missing Order Date","")&amp;IF(C287="","; Missing Ship Date","")&amp;IF(P287&lt;0,"; Invalid Discount (Negative)","")&amp;IF(P287&gt;0.5,"; Invalid Discount (Too High)","")&amp;IF(Z287&lt;0,"; Invalid Shipping Record (Ship Before Order)","")&amp;IF(ABS(Q287-W287)&gt;1,"; Sales Mismatch","")&amp;IF(ABS(S287-X287)&gt;1,"; Profit Mismatch","")&amp;IF(COUNTIF($A$2:$A$913,A287)&gt;1,"; Duplicate Order ID Conflict",""))</f>
        <v/>
      </c>
      <c r="AE287" s="10" t="str">
        <f aca="false">IF(OR(ISNUMBER(SEARCH("Invalid Discount",AD287)),ISNUMBER(SEARCH("Invalid Shipping Record",AD287)),ISNUMBER(SEARCH("Sales Mismatch",AD287)),ISNUMBER(SEARCH("Profit Mismatch",AD287)),ISNUMBER(SEARCH("Duplicate Order ID Conflict",AD287)),ISNUMBER(SEARCH("Missing Order Date",AD287)),ISNUMBER(SEARCH("Missing Ship Date",AD287))),"Invalid",IF(AD287&lt;&gt;"","Warning","Clean"))</f>
        <v>Clean</v>
      </c>
    </row>
    <row r="288" customFormat="false" ht="15" hidden="false" customHeight="true" outlineLevel="0" collapsed="false">
      <c r="A288" s="3" t="s">
        <v>886</v>
      </c>
      <c r="B288" s="4" t="n">
        <v>45350</v>
      </c>
      <c r="C288" s="4" t="n">
        <v>45353</v>
      </c>
      <c r="D288" s="3" t="s">
        <v>887</v>
      </c>
      <c r="E288" s="3" t="str">
        <f aca="false">PROPER(TRIM(SUBSTITUTE(Raw_Text_Fields!B289,CHAR(160)," ")))</f>
        <v>Priya Menon</v>
      </c>
      <c r="F288" s="3" t="str">
        <f aca="false">PROPER(TRIM(SUBSTITUTE(Raw_Text_Fields!C289,CHAR(160)," ")))</f>
        <v>Small Business</v>
      </c>
      <c r="G288" s="3" t="str">
        <f aca="false">PROPER(TRIM(SUBSTITUTE(Raw_Text_Fields!D289,CHAR(160)," ")))</f>
        <v>North</v>
      </c>
      <c r="H288" s="3" t="str">
        <f aca="false">PROPER(TRIM(SUBSTITUTE(Raw_Text_Fields!E289,CHAR(160)," ")))</f>
        <v>Delhi</v>
      </c>
      <c r="I288" s="3" t="str">
        <f aca="false">PROPER(TRIM(SUBSTITUTE(Raw_Text_Fields!F289,CHAR(160)," ")))</f>
        <v>New Delhi</v>
      </c>
      <c r="J288" s="3" t="str">
        <f aca="false">PROPER(TRIM(SUBSTITUTE(Raw_Text_Fields!G289,CHAR(160)," ")))</f>
        <v>Furniture</v>
      </c>
      <c r="K288" s="3" t="str">
        <f aca="false">PROPER(TRIM(SUBSTITUTE(Raw_Text_Fields!H289,CHAR(160)," ")))</f>
        <v>Furnishings</v>
      </c>
      <c r="L288" s="3" t="s">
        <v>888</v>
      </c>
      <c r="M288" s="3" t="str">
        <f aca="false">PROPER(TRIM(SUBSTITUTE(Raw_Text_Fields!I289,CHAR(160)," ")))</f>
        <v>First Class</v>
      </c>
      <c r="N288" s="3" t="n">
        <v>7</v>
      </c>
      <c r="O288" s="5" t="n">
        <v>701.8</v>
      </c>
      <c r="P288" s="6" t="n">
        <v>0.1</v>
      </c>
      <c r="Q288" s="5" t="n">
        <v>4421.34</v>
      </c>
      <c r="R288" s="5" t="n">
        <v>2489.98</v>
      </c>
      <c r="S288" s="5" t="n">
        <v>1931.36</v>
      </c>
      <c r="T288" s="3" t="str">
        <f aca="false">PROPER(TRIM(SUBSTITUTE(Raw_Text_Fields!J289,CHAR(160)," ")))</f>
        <v>Pending</v>
      </c>
      <c r="U288" s="3" t="str">
        <f aca="false">PROPER(TRIM(SUBSTITUTE(Raw_Text_Fields!K289,CHAR(160)," ")))</f>
        <v>Returned</v>
      </c>
      <c r="V288" s="7" t="n">
        <f aca="false">IF(OR(P288&lt;0,P288&gt;0.5),0,P288)</f>
        <v>0.1</v>
      </c>
      <c r="W288" s="8" t="n">
        <f aca="false">N288*O288*(1-V288)</f>
        <v>4421.34</v>
      </c>
      <c r="X288" s="8" t="n">
        <f aca="false">W288-R288</f>
        <v>1931.36</v>
      </c>
      <c r="Y288" s="7" t="n">
        <f aca="false">IFERROR(X288/W288,0)</f>
        <v>0.436826844350355</v>
      </c>
      <c r="Z288" s="9" t="n">
        <f aca="false">C288-B288</f>
        <v>3</v>
      </c>
      <c r="AA288" s="1" t="str">
        <f aca="false">IF(B288="","",TEXT(B288,"mmm"))</f>
        <v>Feb</v>
      </c>
      <c r="AB288" s="9" t="n">
        <f aca="false">IF(B288="","",YEAR(B288))</f>
        <v>2024</v>
      </c>
      <c r="AC288" s="3"/>
      <c r="AD288" s="3" t="str">
        <f aca="false">IF(LEFT(AC288&amp;IF(B288="","; Missing Order Date","")&amp;IF(C288="","; Missing Ship Date","")&amp;IF(P288&lt;0,"; Invalid Discount (Negative)","")&amp;IF(P288&gt;0.5,"; Invalid Discount (Too High)","")&amp;IF(Z288&lt;0,"; Invalid Shipping Record (Ship Before Order)","")&amp;IF(ABS(Q288-W288)&gt;1,"; Sales Mismatch","")&amp;IF(ABS(S288-X288)&gt;1,"; Profit Mismatch","")&amp;IF(COUNTIF($A$2:$A$913,A288)&gt;1,"; Duplicate Order ID Conflict",""),2)="; ",MID(AC288&amp;IF(B288="","; Missing Order Date","")&amp;IF(C288="","; Missing Ship Date","")&amp;IF(P288&lt;0,"; Invalid Discount (Negative)","")&amp;IF(P288&gt;0.5,"; Invalid Discount (Too High)","")&amp;IF(Z288&lt;0,"; Invalid Shipping Record (Ship Before Order)","")&amp;IF(ABS(Q288-W288)&gt;1,"; Sales Mismatch","")&amp;IF(ABS(S288-X288)&gt;1,"; Profit Mismatch","")&amp;IF(COUNTIF($A$2:$A$913,A288)&gt;1,"; Duplicate Order ID Conflict",""),3,500),AC288&amp;IF(B288="","; Missing Order Date","")&amp;IF(C288="","; Missing Ship Date","")&amp;IF(P288&lt;0,"; Invalid Discount (Negative)","")&amp;IF(P288&gt;0.5,"; Invalid Discount (Too High)","")&amp;IF(Z288&lt;0,"; Invalid Shipping Record (Ship Before Order)","")&amp;IF(ABS(Q288-W288)&gt;1,"; Sales Mismatch","")&amp;IF(ABS(S288-X288)&gt;1,"; Profit Mismatch","")&amp;IF(COUNTIF($A$2:$A$913,A288)&gt;1,"; Duplicate Order ID Conflict",""))</f>
        <v/>
      </c>
      <c r="AE288" s="10" t="str">
        <f aca="false">IF(OR(ISNUMBER(SEARCH("Invalid Discount",AD288)),ISNUMBER(SEARCH("Invalid Shipping Record",AD288)),ISNUMBER(SEARCH("Sales Mismatch",AD288)),ISNUMBER(SEARCH("Profit Mismatch",AD288)),ISNUMBER(SEARCH("Duplicate Order ID Conflict",AD288)),ISNUMBER(SEARCH("Missing Order Date",AD288)),ISNUMBER(SEARCH("Missing Ship Date",AD288))),"Invalid",IF(AD288&lt;&gt;"","Warning","Clean"))</f>
        <v>Clean</v>
      </c>
    </row>
    <row r="289" customFormat="false" ht="15" hidden="false" customHeight="true" outlineLevel="0" collapsed="false">
      <c r="A289" s="3" t="s">
        <v>889</v>
      </c>
      <c r="B289" s="4" t="n">
        <v>45540</v>
      </c>
      <c r="C289" s="4" t="n">
        <v>45542</v>
      </c>
      <c r="D289" s="3" t="s">
        <v>890</v>
      </c>
      <c r="E289" s="3" t="str">
        <f aca="false">PROPER(TRIM(SUBSTITUTE(Raw_Text_Fields!B290,CHAR(160)," ")))</f>
        <v>Neha Gupta</v>
      </c>
      <c r="F289" s="3" t="str">
        <f aca="false">PROPER(TRIM(SUBSTITUTE(Raw_Text_Fields!C290,CHAR(160)," ")))</f>
        <v>Small Business</v>
      </c>
      <c r="G289" s="3" t="str">
        <f aca="false">PROPER(TRIM(SUBSTITUTE(Raw_Text_Fields!D290,CHAR(160)," ")))</f>
        <v>South</v>
      </c>
      <c r="H289" s="3" t="str">
        <f aca="false">PROPER(TRIM(SUBSTITUTE(Raw_Text_Fields!E290,CHAR(160)," ")))</f>
        <v>Tamil Nadu</v>
      </c>
      <c r="I289" s="3" t="str">
        <f aca="false">PROPER(TRIM(SUBSTITUTE(Raw_Text_Fields!F290,CHAR(160)," ")))</f>
        <v>Chennai</v>
      </c>
      <c r="J289" s="3" t="str">
        <f aca="false">PROPER(TRIM(SUBSTITUTE(Raw_Text_Fields!G290,CHAR(160)," ")))</f>
        <v>Technology</v>
      </c>
      <c r="K289" s="3" t="str">
        <f aca="false">PROPER(TRIM(SUBSTITUTE(Raw_Text_Fields!H290,CHAR(160)," ")))</f>
        <v>Copiers</v>
      </c>
      <c r="L289" s="3" t="s">
        <v>891</v>
      </c>
      <c r="M289" s="3" t="str">
        <f aca="false">PROPER(TRIM(SUBSTITUTE(Raw_Text_Fields!I290,CHAR(160)," ")))</f>
        <v>Standard Class</v>
      </c>
      <c r="N289" s="3" t="n">
        <v>3</v>
      </c>
      <c r="O289" s="5" t="n">
        <v>2555.66</v>
      </c>
      <c r="P289" s="6" t="n">
        <v>0.15</v>
      </c>
      <c r="Q289" s="5" t="n">
        <v>6516.93</v>
      </c>
      <c r="R289" s="5" t="n">
        <v>4511.54</v>
      </c>
      <c r="S289" s="5" t="n">
        <v>2005.39</v>
      </c>
      <c r="T289" s="3" t="str">
        <f aca="false">PROPER(TRIM(SUBSTITUTE(Raw_Text_Fields!J290,CHAR(160)," ")))</f>
        <v>Paid</v>
      </c>
      <c r="U289" s="3" t="str">
        <f aca="false">PROPER(TRIM(SUBSTITUTE(Raw_Text_Fields!K290,CHAR(160)," ")))</f>
        <v>Cancelled</v>
      </c>
      <c r="V289" s="7" t="n">
        <f aca="false">IF(OR(P289&lt;0,P289&gt;0.5),0,P289)</f>
        <v>0.15</v>
      </c>
      <c r="W289" s="8" t="n">
        <f aca="false">N289*O289*(1-V289)</f>
        <v>6516.933</v>
      </c>
      <c r="X289" s="8" t="n">
        <f aca="false">W289-R289</f>
        <v>2005.393</v>
      </c>
      <c r="Y289" s="7" t="n">
        <f aca="false">IFERROR(X289/W289,0)</f>
        <v>0.307720364778953</v>
      </c>
      <c r="Z289" s="9" t="n">
        <f aca="false">C289-B289</f>
        <v>2</v>
      </c>
      <c r="AA289" s="1" t="str">
        <f aca="false">IF(B289="","",TEXT(B289,"mmm"))</f>
        <v>Sep</v>
      </c>
      <c r="AB289" s="9" t="n">
        <f aca="false">IF(B289="","",YEAR(B289))</f>
        <v>2024</v>
      </c>
      <c r="AC289" s="3"/>
      <c r="AD289" s="3" t="str">
        <f aca="false">IF(LEFT(AC289&amp;IF(B289="","; Missing Order Date","")&amp;IF(C289="","; Missing Ship Date","")&amp;IF(P289&lt;0,"; Invalid Discount (Negative)","")&amp;IF(P289&gt;0.5,"; Invalid Discount (Too High)","")&amp;IF(Z289&lt;0,"; Invalid Shipping Record (Ship Before Order)","")&amp;IF(ABS(Q289-W289)&gt;1,"; Sales Mismatch","")&amp;IF(ABS(S289-X289)&gt;1,"; Profit Mismatch","")&amp;IF(COUNTIF($A$2:$A$913,A289)&gt;1,"; Duplicate Order ID Conflict",""),2)="; ",MID(AC289&amp;IF(B289="","; Missing Order Date","")&amp;IF(C289="","; Missing Ship Date","")&amp;IF(P289&lt;0,"; Invalid Discount (Negative)","")&amp;IF(P289&gt;0.5,"; Invalid Discount (Too High)","")&amp;IF(Z289&lt;0,"; Invalid Shipping Record (Ship Before Order)","")&amp;IF(ABS(Q289-W289)&gt;1,"; Sales Mismatch","")&amp;IF(ABS(S289-X289)&gt;1,"; Profit Mismatch","")&amp;IF(COUNTIF($A$2:$A$913,A289)&gt;1,"; Duplicate Order ID Conflict",""),3,500),AC289&amp;IF(B289="","; Missing Order Date","")&amp;IF(C289="","; Missing Ship Date","")&amp;IF(P289&lt;0,"; Invalid Discount (Negative)","")&amp;IF(P289&gt;0.5,"; Invalid Discount (Too High)","")&amp;IF(Z289&lt;0,"; Invalid Shipping Record (Ship Before Order)","")&amp;IF(ABS(Q289-W289)&gt;1,"; Sales Mismatch","")&amp;IF(ABS(S289-X289)&gt;1,"; Profit Mismatch","")&amp;IF(COUNTIF($A$2:$A$913,A289)&gt;1,"; Duplicate Order ID Conflict",""))</f>
        <v/>
      </c>
      <c r="AE289" s="10" t="str">
        <f aca="false">IF(OR(ISNUMBER(SEARCH("Invalid Discount",AD289)),ISNUMBER(SEARCH("Invalid Shipping Record",AD289)),ISNUMBER(SEARCH("Sales Mismatch",AD289)),ISNUMBER(SEARCH("Profit Mismatch",AD289)),ISNUMBER(SEARCH("Duplicate Order ID Conflict",AD289)),ISNUMBER(SEARCH("Missing Order Date",AD289)),ISNUMBER(SEARCH("Missing Ship Date",AD289))),"Invalid",IF(AD289&lt;&gt;"","Warning","Clean"))</f>
        <v>Clean</v>
      </c>
    </row>
    <row r="290" customFormat="false" ht="15" hidden="false" customHeight="true" outlineLevel="0" collapsed="false">
      <c r="A290" s="3" t="s">
        <v>892</v>
      </c>
      <c r="B290" s="4" t="n">
        <v>45467</v>
      </c>
      <c r="C290" s="4" t="n">
        <v>45467</v>
      </c>
      <c r="D290" s="3" t="s">
        <v>893</v>
      </c>
      <c r="E290" s="3" t="str">
        <f aca="false">PROPER(TRIM(SUBSTITUTE(Raw_Text_Fields!B291,CHAR(160)," ")))</f>
        <v>Rohan Mehta</v>
      </c>
      <c r="F290" s="3" t="str">
        <f aca="false">PROPER(TRIM(SUBSTITUTE(Raw_Text_Fields!C291,CHAR(160)," ")))</f>
        <v>Small Business</v>
      </c>
      <c r="G290" s="3" t="str">
        <f aca="false">PROPER(TRIM(SUBSTITUTE(Raw_Text_Fields!D291,CHAR(160)," ")))</f>
        <v>East</v>
      </c>
      <c r="H290" s="3" t="str">
        <f aca="false">PROPER(TRIM(SUBSTITUTE(Raw_Text_Fields!E291,CHAR(160)," ")))</f>
        <v>Bihar</v>
      </c>
      <c r="I290" s="3" t="str">
        <f aca="false">PROPER(TRIM(SUBSTITUTE(Raw_Text_Fields!F291,CHAR(160)," ")))</f>
        <v>Patna</v>
      </c>
      <c r="J290" s="3" t="str">
        <f aca="false">PROPER(TRIM(SUBSTITUTE(Raw_Text_Fields!G291,CHAR(160)," ")))</f>
        <v>Office Supplies</v>
      </c>
      <c r="K290" s="3" t="str">
        <f aca="false">PROPER(TRIM(SUBSTITUTE(Raw_Text_Fields!H291,CHAR(160)," ")))</f>
        <v>Binders</v>
      </c>
      <c r="L290" s="3" t="s">
        <v>894</v>
      </c>
      <c r="M290" s="3" t="str">
        <f aca="false">PROPER(TRIM(SUBSTITUTE(Raw_Text_Fields!I291,CHAR(160)," ")))</f>
        <v>Same Day</v>
      </c>
      <c r="N290" s="3" t="n">
        <v>2</v>
      </c>
      <c r="O290" s="5" t="n">
        <v>4359.9</v>
      </c>
      <c r="P290" s="6" t="n">
        <v>0.15</v>
      </c>
      <c r="Q290" s="5" t="n">
        <v>7411.83</v>
      </c>
      <c r="R290" s="5" t="n">
        <v>4904.63</v>
      </c>
      <c r="S290" s="5" t="n">
        <v>2507.2</v>
      </c>
      <c r="T290" s="3" t="str">
        <f aca="false">PROPER(TRIM(SUBSTITUTE(Raw_Text_Fields!J291,CHAR(160)," ")))</f>
        <v>Paid</v>
      </c>
      <c r="U290" s="3" t="str">
        <f aca="false">PROPER(TRIM(SUBSTITUTE(Raw_Text_Fields!K291,CHAR(160)," ")))</f>
        <v>Completed</v>
      </c>
      <c r="V290" s="7" t="n">
        <f aca="false">IF(OR(P290&lt;0,P290&gt;0.5),0,P290)</f>
        <v>0.15</v>
      </c>
      <c r="W290" s="8" t="n">
        <f aca="false">N290*O290*(1-V290)</f>
        <v>7411.83</v>
      </c>
      <c r="X290" s="8" t="n">
        <f aca="false">W290-R290</f>
        <v>2507.2</v>
      </c>
      <c r="Y290" s="7" t="n">
        <f aca="false">IFERROR(X290/W290,0)</f>
        <v>0.338270035875081</v>
      </c>
      <c r="Z290" s="9" t="n">
        <f aca="false">C290-B290</f>
        <v>0</v>
      </c>
      <c r="AA290" s="1" t="str">
        <f aca="false">IF(B290="","",TEXT(B290,"mmm"))</f>
        <v>Jun</v>
      </c>
      <c r="AB290" s="9" t="n">
        <f aca="false">IF(B290="","",YEAR(B290))</f>
        <v>2024</v>
      </c>
      <c r="AC290" s="3"/>
      <c r="AD290" s="3" t="str">
        <f aca="false">IF(LEFT(AC290&amp;IF(B290="","; Missing Order Date","")&amp;IF(C290="","; Missing Ship Date","")&amp;IF(P290&lt;0,"; Invalid Discount (Negative)","")&amp;IF(P290&gt;0.5,"; Invalid Discount (Too High)","")&amp;IF(Z290&lt;0,"; Invalid Shipping Record (Ship Before Order)","")&amp;IF(ABS(Q290-W290)&gt;1,"; Sales Mismatch","")&amp;IF(ABS(S290-X290)&gt;1,"; Profit Mismatch","")&amp;IF(COUNTIF($A$2:$A$913,A290)&gt;1,"; Duplicate Order ID Conflict",""),2)="; ",MID(AC290&amp;IF(B290="","; Missing Order Date","")&amp;IF(C290="","; Missing Ship Date","")&amp;IF(P290&lt;0,"; Invalid Discount (Negative)","")&amp;IF(P290&gt;0.5,"; Invalid Discount (Too High)","")&amp;IF(Z290&lt;0,"; Invalid Shipping Record (Ship Before Order)","")&amp;IF(ABS(Q290-W290)&gt;1,"; Sales Mismatch","")&amp;IF(ABS(S290-X290)&gt;1,"; Profit Mismatch","")&amp;IF(COUNTIF($A$2:$A$913,A290)&gt;1,"; Duplicate Order ID Conflict",""),3,500),AC290&amp;IF(B290="","; Missing Order Date","")&amp;IF(C290="","; Missing Ship Date","")&amp;IF(P290&lt;0,"; Invalid Discount (Negative)","")&amp;IF(P290&gt;0.5,"; Invalid Discount (Too High)","")&amp;IF(Z290&lt;0,"; Invalid Shipping Record (Ship Before Order)","")&amp;IF(ABS(Q290-W290)&gt;1,"; Sales Mismatch","")&amp;IF(ABS(S290-X290)&gt;1,"; Profit Mismatch","")&amp;IF(COUNTIF($A$2:$A$913,A290)&gt;1,"; Duplicate Order ID Conflict",""))</f>
        <v/>
      </c>
      <c r="AE290" s="10" t="str">
        <f aca="false">IF(OR(ISNUMBER(SEARCH("Invalid Discount",AD290)),ISNUMBER(SEARCH("Invalid Shipping Record",AD290)),ISNUMBER(SEARCH("Sales Mismatch",AD290)),ISNUMBER(SEARCH("Profit Mismatch",AD290)),ISNUMBER(SEARCH("Duplicate Order ID Conflict",AD290)),ISNUMBER(SEARCH("Missing Order Date",AD290)),ISNUMBER(SEARCH("Missing Ship Date",AD290))),"Invalid",IF(AD290&lt;&gt;"","Warning","Clean"))</f>
        <v>Clean</v>
      </c>
    </row>
    <row r="291" customFormat="false" ht="15" hidden="false" customHeight="true" outlineLevel="0" collapsed="false">
      <c r="A291" s="3" t="s">
        <v>895</v>
      </c>
      <c r="B291" s="4" t="n">
        <v>45827</v>
      </c>
      <c r="C291" s="4" t="n">
        <v>45835</v>
      </c>
      <c r="D291" s="3" t="s">
        <v>896</v>
      </c>
      <c r="E291" s="3" t="str">
        <f aca="false">PROPER(TRIM(SUBSTITUTE(Raw_Text_Fields!B292,CHAR(160)," ")))</f>
        <v>Karan Malhotra</v>
      </c>
      <c r="F291" s="3" t="str">
        <f aca="false">PROPER(TRIM(SUBSTITUTE(Raw_Text_Fields!C292,CHAR(160)," ")))</f>
        <v>Home Office</v>
      </c>
      <c r="G291" s="3" t="str">
        <f aca="false">PROPER(TRIM(SUBSTITUTE(Raw_Text_Fields!D292,CHAR(160)," ")))</f>
        <v>South</v>
      </c>
      <c r="H291" s="3" t="str">
        <f aca="false">PROPER(TRIM(SUBSTITUTE(Raw_Text_Fields!E292,CHAR(160)," ")))</f>
        <v>Tamil Nadu</v>
      </c>
      <c r="I291" s="3" t="str">
        <f aca="false">PROPER(TRIM(SUBSTITUTE(Raw_Text_Fields!F292,CHAR(160)," ")))</f>
        <v>Chennai</v>
      </c>
      <c r="J291" s="3" t="str">
        <f aca="false">PROPER(TRIM(SUBSTITUTE(Raw_Text_Fields!G292,CHAR(160)," ")))</f>
        <v>Furniture</v>
      </c>
      <c r="K291" s="3" t="str">
        <f aca="false">PROPER(TRIM(SUBSTITUTE(Raw_Text_Fields!H292,CHAR(160)," ")))</f>
        <v>Bookcases</v>
      </c>
      <c r="L291" s="3" t="s">
        <v>897</v>
      </c>
      <c r="M291" s="3" t="str">
        <f aca="false">PROPER(TRIM(SUBSTITUTE(Raw_Text_Fields!I292,CHAR(160)," ")))</f>
        <v>First Class</v>
      </c>
      <c r="N291" s="3" t="n">
        <v>2</v>
      </c>
      <c r="O291" s="5" t="n">
        <v>4346.69</v>
      </c>
      <c r="P291" s="6" t="n">
        <v>0.05</v>
      </c>
      <c r="Q291" s="5" t="n">
        <v>8258.71</v>
      </c>
      <c r="R291" s="5" t="n">
        <v>7018.97</v>
      </c>
      <c r="S291" s="5" t="n">
        <v>1239.74</v>
      </c>
      <c r="T291" s="3" t="str">
        <f aca="false">PROPER(TRIM(SUBSTITUTE(Raw_Text_Fields!J292,CHAR(160)," ")))</f>
        <v>Paid</v>
      </c>
      <c r="U291" s="3" t="str">
        <f aca="false">PROPER(TRIM(SUBSTITUTE(Raw_Text_Fields!K292,CHAR(160)," ")))</f>
        <v>Completed</v>
      </c>
      <c r="V291" s="7" t="n">
        <f aca="false">IF(OR(P291&lt;0,P291&gt;0.5),0,P291)</f>
        <v>0.05</v>
      </c>
      <c r="W291" s="8" t="n">
        <f aca="false">N291*O291*(1-V291)</f>
        <v>8258.711</v>
      </c>
      <c r="X291" s="8" t="n">
        <f aca="false">W291-R291</f>
        <v>1239.741</v>
      </c>
      <c r="Y291" s="7" t="n">
        <f aca="false">IFERROR(X291/W291,0)</f>
        <v>0.150113135088514</v>
      </c>
      <c r="Z291" s="9" t="n">
        <f aca="false">C291-B291</f>
        <v>8</v>
      </c>
      <c r="AA291" s="1" t="str">
        <f aca="false">IF(B291="","",TEXT(B291,"mmm"))</f>
        <v>Jun</v>
      </c>
      <c r="AB291" s="9" t="n">
        <f aca="false">IF(B291="","",YEAR(B291))</f>
        <v>2025</v>
      </c>
      <c r="AC291" s="3"/>
      <c r="AD291" s="3" t="str">
        <f aca="false">IF(LEFT(AC291&amp;IF(B291="","; Missing Order Date","")&amp;IF(C291="","; Missing Ship Date","")&amp;IF(P291&lt;0,"; Invalid Discount (Negative)","")&amp;IF(P291&gt;0.5,"; Invalid Discount (Too High)","")&amp;IF(Z291&lt;0,"; Invalid Shipping Record (Ship Before Order)","")&amp;IF(ABS(Q291-W291)&gt;1,"; Sales Mismatch","")&amp;IF(ABS(S291-X291)&gt;1,"; Profit Mismatch","")&amp;IF(COUNTIF($A$2:$A$913,A291)&gt;1,"; Duplicate Order ID Conflict",""),2)="; ",MID(AC291&amp;IF(B291="","; Missing Order Date","")&amp;IF(C291="","; Missing Ship Date","")&amp;IF(P291&lt;0,"; Invalid Discount (Negative)","")&amp;IF(P291&gt;0.5,"; Invalid Discount (Too High)","")&amp;IF(Z291&lt;0,"; Invalid Shipping Record (Ship Before Order)","")&amp;IF(ABS(Q291-W291)&gt;1,"; Sales Mismatch","")&amp;IF(ABS(S291-X291)&gt;1,"; Profit Mismatch","")&amp;IF(COUNTIF($A$2:$A$913,A291)&gt;1,"; Duplicate Order ID Conflict",""),3,500),AC291&amp;IF(B291="","; Missing Order Date","")&amp;IF(C291="","; Missing Ship Date","")&amp;IF(P291&lt;0,"; Invalid Discount (Negative)","")&amp;IF(P291&gt;0.5,"; Invalid Discount (Too High)","")&amp;IF(Z291&lt;0,"; Invalid Shipping Record (Ship Before Order)","")&amp;IF(ABS(Q291-W291)&gt;1,"; Sales Mismatch","")&amp;IF(ABS(S291-X291)&gt;1,"; Profit Mismatch","")&amp;IF(COUNTIF($A$2:$A$913,A291)&gt;1,"; Duplicate Order ID Conflict",""))</f>
        <v/>
      </c>
      <c r="AE291" s="10" t="str">
        <f aca="false">IF(OR(ISNUMBER(SEARCH("Invalid Discount",AD291)),ISNUMBER(SEARCH("Invalid Shipping Record",AD291)),ISNUMBER(SEARCH("Sales Mismatch",AD291)),ISNUMBER(SEARCH("Profit Mismatch",AD291)),ISNUMBER(SEARCH("Duplicate Order ID Conflict",AD291)),ISNUMBER(SEARCH("Missing Order Date",AD291)),ISNUMBER(SEARCH("Missing Ship Date",AD291))),"Invalid",IF(AD291&lt;&gt;"","Warning","Clean"))</f>
        <v>Clean</v>
      </c>
    </row>
    <row r="292" customFormat="false" ht="15" hidden="false" customHeight="true" outlineLevel="0" collapsed="false">
      <c r="A292" s="3" t="s">
        <v>898</v>
      </c>
      <c r="B292" s="4" t="n">
        <v>45891</v>
      </c>
      <c r="C292" s="4" t="n">
        <v>45895</v>
      </c>
      <c r="D292" s="3" t="s">
        <v>899</v>
      </c>
      <c r="E292" s="3" t="str">
        <f aca="false">PROPER(TRIM(SUBSTITUTE(Raw_Text_Fields!B293,CHAR(160)," ")))</f>
        <v>Diya Patel</v>
      </c>
      <c r="F292" s="3" t="str">
        <f aca="false">PROPER(TRIM(SUBSTITUTE(Raw_Text_Fields!C293,CHAR(160)," ")))</f>
        <v>Home Office</v>
      </c>
      <c r="G292" s="3" t="str">
        <f aca="false">PROPER(TRIM(SUBSTITUTE(Raw_Text_Fields!D293,CHAR(160)," ")))</f>
        <v>East</v>
      </c>
      <c r="H292" s="3" t="str">
        <f aca="false">PROPER(TRIM(SUBSTITUTE(Raw_Text_Fields!E293,CHAR(160)," ")))</f>
        <v>Jharkhand</v>
      </c>
      <c r="I292" s="3" t="str">
        <f aca="false">PROPER(TRIM(SUBSTITUTE(Raw_Text_Fields!F293,CHAR(160)," ")))</f>
        <v>Ranchi</v>
      </c>
      <c r="J292" s="3" t="str">
        <f aca="false">PROPER(TRIM(SUBSTITUTE(Raw_Text_Fields!G293,CHAR(160)," ")))</f>
        <v>Furniture</v>
      </c>
      <c r="K292" s="3" t="str">
        <f aca="false">PROPER(TRIM(SUBSTITUTE(Raw_Text_Fields!H293,CHAR(160)," ")))</f>
        <v>Tables</v>
      </c>
      <c r="L292" s="3" t="s">
        <v>900</v>
      </c>
      <c r="M292" s="3" t="str">
        <f aca="false">PROPER(TRIM(SUBSTITUTE(Raw_Text_Fields!I293,CHAR(160)," ")))</f>
        <v>Standard Class</v>
      </c>
      <c r="N292" s="3" t="n">
        <v>1</v>
      </c>
      <c r="O292" s="5" t="n">
        <v>1842.63</v>
      </c>
      <c r="P292" s="6" t="n">
        <v>0.1</v>
      </c>
      <c r="Q292" s="5" t="n">
        <v>1658.37</v>
      </c>
      <c r="R292" s="5" t="n">
        <v>971.12</v>
      </c>
      <c r="S292" s="5" t="n">
        <v>687.25</v>
      </c>
      <c r="T292" s="3" t="str">
        <f aca="false">PROPER(TRIM(SUBSTITUTE(Raw_Text_Fields!J293,CHAR(160)," ")))</f>
        <v>Paid</v>
      </c>
      <c r="U292" s="3" t="str">
        <f aca="false">PROPER(TRIM(SUBSTITUTE(Raw_Text_Fields!K293,CHAR(160)," ")))</f>
        <v>Completed</v>
      </c>
      <c r="V292" s="7" t="n">
        <f aca="false">IF(OR(P292&lt;0,P292&gt;0.5),0,P292)</f>
        <v>0.1</v>
      </c>
      <c r="W292" s="8" t="n">
        <f aca="false">N292*O292*(1-V292)</f>
        <v>1658.367</v>
      </c>
      <c r="X292" s="8" t="n">
        <f aca="false">W292-R292</f>
        <v>687.247</v>
      </c>
      <c r="Y292" s="7" t="n">
        <f aca="false">IFERROR(X292/W292,0)</f>
        <v>0.414411888321463</v>
      </c>
      <c r="Z292" s="9" t="n">
        <f aca="false">C292-B292</f>
        <v>4</v>
      </c>
      <c r="AA292" s="1" t="str">
        <f aca="false">IF(B292="","",TEXT(B292,"mmm"))</f>
        <v>Aug</v>
      </c>
      <c r="AB292" s="9" t="n">
        <f aca="false">IF(B292="","",YEAR(B292))</f>
        <v>2025</v>
      </c>
      <c r="AC292" s="3"/>
      <c r="AD292" s="3" t="str">
        <f aca="false">IF(LEFT(AC292&amp;IF(B292="","; Missing Order Date","")&amp;IF(C292="","; Missing Ship Date","")&amp;IF(P292&lt;0,"; Invalid Discount (Negative)","")&amp;IF(P292&gt;0.5,"; Invalid Discount (Too High)","")&amp;IF(Z292&lt;0,"; Invalid Shipping Record (Ship Before Order)","")&amp;IF(ABS(Q292-W292)&gt;1,"; Sales Mismatch","")&amp;IF(ABS(S292-X292)&gt;1,"; Profit Mismatch","")&amp;IF(COUNTIF($A$2:$A$913,A292)&gt;1,"; Duplicate Order ID Conflict",""),2)="; ",MID(AC292&amp;IF(B292="","; Missing Order Date","")&amp;IF(C292="","; Missing Ship Date","")&amp;IF(P292&lt;0,"; Invalid Discount (Negative)","")&amp;IF(P292&gt;0.5,"; Invalid Discount (Too High)","")&amp;IF(Z292&lt;0,"; Invalid Shipping Record (Ship Before Order)","")&amp;IF(ABS(Q292-W292)&gt;1,"; Sales Mismatch","")&amp;IF(ABS(S292-X292)&gt;1,"; Profit Mismatch","")&amp;IF(COUNTIF($A$2:$A$913,A292)&gt;1,"; Duplicate Order ID Conflict",""),3,500),AC292&amp;IF(B292="","; Missing Order Date","")&amp;IF(C292="","; Missing Ship Date","")&amp;IF(P292&lt;0,"; Invalid Discount (Negative)","")&amp;IF(P292&gt;0.5,"; Invalid Discount (Too High)","")&amp;IF(Z292&lt;0,"; Invalid Shipping Record (Ship Before Order)","")&amp;IF(ABS(Q292-W292)&gt;1,"; Sales Mismatch","")&amp;IF(ABS(S292-X292)&gt;1,"; Profit Mismatch","")&amp;IF(COUNTIF($A$2:$A$913,A292)&gt;1,"; Duplicate Order ID Conflict",""))</f>
        <v/>
      </c>
      <c r="AE292" s="10" t="str">
        <f aca="false">IF(OR(ISNUMBER(SEARCH("Invalid Discount",AD292)),ISNUMBER(SEARCH("Invalid Shipping Record",AD292)),ISNUMBER(SEARCH("Sales Mismatch",AD292)),ISNUMBER(SEARCH("Profit Mismatch",AD292)),ISNUMBER(SEARCH("Duplicate Order ID Conflict",AD292)),ISNUMBER(SEARCH("Missing Order Date",AD292)),ISNUMBER(SEARCH("Missing Ship Date",AD292))),"Invalid",IF(AD292&lt;&gt;"","Warning","Clean"))</f>
        <v>Clean</v>
      </c>
    </row>
    <row r="293" customFormat="false" ht="15" hidden="false" customHeight="true" outlineLevel="0" collapsed="false">
      <c r="A293" s="3" t="s">
        <v>901</v>
      </c>
      <c r="B293" s="4" t="n">
        <v>45387</v>
      </c>
      <c r="C293" s="4" t="n">
        <v>45392</v>
      </c>
      <c r="D293" s="3" t="s">
        <v>902</v>
      </c>
      <c r="E293" s="3" t="str">
        <f aca="false">PROPER(TRIM(SUBSTITUTE(Raw_Text_Fields!B294,CHAR(160)," ")))</f>
        <v>Priya Menon</v>
      </c>
      <c r="F293" s="3" t="str">
        <f aca="false">PROPER(TRIM(SUBSTITUTE(Raw_Text_Fields!C294,CHAR(160)," ")))</f>
        <v>Home Office</v>
      </c>
      <c r="G293" s="3" t="str">
        <f aca="false">PROPER(TRIM(SUBSTITUTE(Raw_Text_Fields!D294,CHAR(160)," ")))</f>
        <v>North</v>
      </c>
      <c r="H293" s="3" t="str">
        <f aca="false">PROPER(TRIM(SUBSTITUTE(Raw_Text_Fields!E294,CHAR(160)," ")))</f>
        <v>Rajasthan</v>
      </c>
      <c r="I293" s="3" t="str">
        <f aca="false">PROPER(TRIM(SUBSTITUTE(Raw_Text_Fields!F294,CHAR(160)," ")))</f>
        <v>Jaipur</v>
      </c>
      <c r="J293" s="3" t="str">
        <f aca="false">PROPER(TRIM(SUBSTITUTE(Raw_Text_Fields!G294,CHAR(160)," ")))</f>
        <v>Office Supplies</v>
      </c>
      <c r="K293" s="3" t="str">
        <f aca="false">PROPER(TRIM(SUBSTITUTE(Raw_Text_Fields!H294,CHAR(160)," ")))</f>
        <v>Binders</v>
      </c>
      <c r="L293" s="3" t="s">
        <v>903</v>
      </c>
      <c r="M293" s="3" t="str">
        <f aca="false">PROPER(TRIM(SUBSTITUTE(Raw_Text_Fields!I294,CHAR(160)," ")))</f>
        <v>Standard Class</v>
      </c>
      <c r="N293" s="3" t="n">
        <v>4</v>
      </c>
      <c r="O293" s="5" t="n">
        <v>3228.66</v>
      </c>
      <c r="P293" s="6" t="n">
        <v>0.25</v>
      </c>
      <c r="Q293" s="5" t="n">
        <v>9685.98</v>
      </c>
      <c r="R293" s="5" t="n">
        <v>7730.04</v>
      </c>
      <c r="S293" s="5" t="n">
        <v>1955.94</v>
      </c>
      <c r="T293" s="3" t="str">
        <f aca="false">PROPER(TRIM(SUBSTITUTE(Raw_Text_Fields!J294,CHAR(160)," ")))</f>
        <v>Paid</v>
      </c>
      <c r="U293" s="3" t="str">
        <f aca="false">PROPER(TRIM(SUBSTITUTE(Raw_Text_Fields!K294,CHAR(160)," ")))</f>
        <v>Completed</v>
      </c>
      <c r="V293" s="7" t="n">
        <f aca="false">IF(OR(P293&lt;0,P293&gt;0.5),0,P293)</f>
        <v>0.25</v>
      </c>
      <c r="W293" s="8" t="n">
        <f aca="false">N293*O293*(1-V293)</f>
        <v>9685.98</v>
      </c>
      <c r="X293" s="8" t="n">
        <f aca="false">W293-R293</f>
        <v>1955.94</v>
      </c>
      <c r="Y293" s="7" t="n">
        <f aca="false">IFERROR(X293/W293,0)</f>
        <v>0.201935168150254</v>
      </c>
      <c r="Z293" s="9" t="n">
        <f aca="false">C293-B293</f>
        <v>5</v>
      </c>
      <c r="AA293" s="1" t="str">
        <f aca="false">IF(B293="","",TEXT(B293,"mmm"))</f>
        <v>Apr</v>
      </c>
      <c r="AB293" s="9" t="n">
        <f aca="false">IF(B293="","",YEAR(B293))</f>
        <v>2024</v>
      </c>
      <c r="AC293" s="3"/>
      <c r="AD293" s="3" t="str">
        <f aca="false">IF(LEFT(AC293&amp;IF(B293="","; Missing Order Date","")&amp;IF(C293="","; Missing Ship Date","")&amp;IF(P293&lt;0,"; Invalid Discount (Negative)","")&amp;IF(P293&gt;0.5,"; Invalid Discount (Too High)","")&amp;IF(Z293&lt;0,"; Invalid Shipping Record (Ship Before Order)","")&amp;IF(ABS(Q293-W293)&gt;1,"; Sales Mismatch","")&amp;IF(ABS(S293-X293)&gt;1,"; Profit Mismatch","")&amp;IF(COUNTIF($A$2:$A$913,A293)&gt;1,"; Duplicate Order ID Conflict",""),2)="; ",MID(AC293&amp;IF(B293="","; Missing Order Date","")&amp;IF(C293="","; Missing Ship Date","")&amp;IF(P293&lt;0,"; Invalid Discount (Negative)","")&amp;IF(P293&gt;0.5,"; Invalid Discount (Too High)","")&amp;IF(Z293&lt;0,"; Invalid Shipping Record (Ship Before Order)","")&amp;IF(ABS(Q293-W293)&gt;1,"; Sales Mismatch","")&amp;IF(ABS(S293-X293)&gt;1,"; Profit Mismatch","")&amp;IF(COUNTIF($A$2:$A$913,A293)&gt;1,"; Duplicate Order ID Conflict",""),3,500),AC293&amp;IF(B293="","; Missing Order Date","")&amp;IF(C293="","; Missing Ship Date","")&amp;IF(P293&lt;0,"; Invalid Discount (Negative)","")&amp;IF(P293&gt;0.5,"; Invalid Discount (Too High)","")&amp;IF(Z293&lt;0,"; Invalid Shipping Record (Ship Before Order)","")&amp;IF(ABS(Q293-W293)&gt;1,"; Sales Mismatch","")&amp;IF(ABS(S293-X293)&gt;1,"; Profit Mismatch","")&amp;IF(COUNTIF($A$2:$A$913,A293)&gt;1,"; Duplicate Order ID Conflict",""))</f>
        <v/>
      </c>
      <c r="AE293" s="10" t="str">
        <f aca="false">IF(OR(ISNUMBER(SEARCH("Invalid Discount",AD293)),ISNUMBER(SEARCH("Invalid Shipping Record",AD293)),ISNUMBER(SEARCH("Sales Mismatch",AD293)),ISNUMBER(SEARCH("Profit Mismatch",AD293)),ISNUMBER(SEARCH("Duplicate Order ID Conflict",AD293)),ISNUMBER(SEARCH("Missing Order Date",AD293)),ISNUMBER(SEARCH("Missing Ship Date",AD293))),"Invalid",IF(AD293&lt;&gt;"","Warning","Clean"))</f>
        <v>Clean</v>
      </c>
    </row>
    <row r="294" customFormat="false" ht="15" hidden="false" customHeight="true" outlineLevel="0" collapsed="false">
      <c r="A294" s="3" t="s">
        <v>904</v>
      </c>
      <c r="B294" s="4" t="n">
        <v>45716</v>
      </c>
      <c r="C294" s="4" t="n">
        <v>45719</v>
      </c>
      <c r="D294" s="3" t="s">
        <v>905</v>
      </c>
      <c r="E294" s="3" t="str">
        <f aca="false">PROPER(TRIM(SUBSTITUTE(Raw_Text_Fields!B295,CHAR(160)," ")))</f>
        <v>Kabir Singh</v>
      </c>
      <c r="F294" s="3" t="str">
        <f aca="false">PROPER(TRIM(SUBSTITUTE(Raw_Text_Fields!C295,CHAR(160)," ")))</f>
        <v>Home Office</v>
      </c>
      <c r="G294" s="3" t="str">
        <f aca="false">PROPER(TRIM(SUBSTITUTE(Raw_Text_Fields!D295,CHAR(160)," ")))</f>
        <v>North</v>
      </c>
      <c r="H294" s="3" t="str">
        <f aca="false">PROPER(TRIM(SUBSTITUTE(Raw_Text_Fields!E295,CHAR(160)," ")))</f>
        <v>Haryana</v>
      </c>
      <c r="I294" s="3" t="str">
        <f aca="false">PROPER(TRIM(SUBSTITUTE(Raw_Text_Fields!F295,CHAR(160)," ")))</f>
        <v>Gurugram</v>
      </c>
      <c r="J294" s="3" t="str">
        <f aca="false">PROPER(TRIM(SUBSTITUTE(Raw_Text_Fields!G295,CHAR(160)," ")))</f>
        <v>Office Supplies</v>
      </c>
      <c r="K294" s="3" t="str">
        <f aca="false">PROPER(TRIM(SUBSTITUTE(Raw_Text_Fields!H295,CHAR(160)," ")))</f>
        <v>Art</v>
      </c>
      <c r="L294" s="3" t="s">
        <v>906</v>
      </c>
      <c r="M294" s="3" t="str">
        <f aca="false">PROPER(TRIM(SUBSTITUTE(Raw_Text_Fields!I295,CHAR(160)," ")))</f>
        <v>Same Day</v>
      </c>
      <c r="N294" s="3" t="n">
        <v>9</v>
      </c>
      <c r="O294" s="5" t="n">
        <v>3748.95</v>
      </c>
      <c r="P294" s="6" t="n">
        <v>0</v>
      </c>
      <c r="Q294" s="5" t="n">
        <v>33740.55</v>
      </c>
      <c r="R294" s="5" t="n">
        <v>24621.89</v>
      </c>
      <c r="S294" s="5" t="n">
        <v>9118.66</v>
      </c>
      <c r="T294" s="3" t="str">
        <f aca="false">PROPER(TRIM(SUBSTITUTE(Raw_Text_Fields!J295,CHAR(160)," ")))</f>
        <v>Pending</v>
      </c>
      <c r="U294" s="3" t="str">
        <f aca="false">PROPER(TRIM(SUBSTITUTE(Raw_Text_Fields!K295,CHAR(160)," ")))</f>
        <v>Cancelled</v>
      </c>
      <c r="V294" s="7" t="n">
        <f aca="false">IF(OR(P294&lt;0,P294&gt;0.5),0,P294)</f>
        <v>0</v>
      </c>
      <c r="W294" s="8" t="n">
        <f aca="false">N294*O294*(1-V294)</f>
        <v>33740.55</v>
      </c>
      <c r="X294" s="8" t="n">
        <f aca="false">W294-R294</f>
        <v>9118.66</v>
      </c>
      <c r="Y294" s="7" t="n">
        <f aca="false">IFERROR(X294/W294,0)</f>
        <v>0.270258190811946</v>
      </c>
      <c r="Z294" s="9" t="n">
        <f aca="false">C294-B294</f>
        <v>3</v>
      </c>
      <c r="AA294" s="1" t="str">
        <f aca="false">IF(B294="","",TEXT(B294,"mmm"))</f>
        <v>Feb</v>
      </c>
      <c r="AB294" s="9" t="n">
        <f aca="false">IF(B294="","",YEAR(B294))</f>
        <v>2025</v>
      </c>
      <c r="AC294" s="3"/>
      <c r="AD294" s="3" t="str">
        <f aca="false">IF(LEFT(AC294&amp;IF(B294="","; Missing Order Date","")&amp;IF(C294="","; Missing Ship Date","")&amp;IF(P294&lt;0,"; Invalid Discount (Negative)","")&amp;IF(P294&gt;0.5,"; Invalid Discount (Too High)","")&amp;IF(Z294&lt;0,"; Invalid Shipping Record (Ship Before Order)","")&amp;IF(ABS(Q294-W294)&gt;1,"; Sales Mismatch","")&amp;IF(ABS(S294-X294)&gt;1,"; Profit Mismatch","")&amp;IF(COUNTIF($A$2:$A$913,A294)&gt;1,"; Duplicate Order ID Conflict",""),2)="; ",MID(AC294&amp;IF(B294="","; Missing Order Date","")&amp;IF(C294="","; Missing Ship Date","")&amp;IF(P294&lt;0,"; Invalid Discount (Negative)","")&amp;IF(P294&gt;0.5,"; Invalid Discount (Too High)","")&amp;IF(Z294&lt;0,"; Invalid Shipping Record (Ship Before Order)","")&amp;IF(ABS(Q294-W294)&gt;1,"; Sales Mismatch","")&amp;IF(ABS(S294-X294)&gt;1,"; Profit Mismatch","")&amp;IF(COUNTIF($A$2:$A$913,A294)&gt;1,"; Duplicate Order ID Conflict",""),3,500),AC294&amp;IF(B294="","; Missing Order Date","")&amp;IF(C294="","; Missing Ship Date","")&amp;IF(P294&lt;0,"; Invalid Discount (Negative)","")&amp;IF(P294&gt;0.5,"; Invalid Discount (Too High)","")&amp;IF(Z294&lt;0,"; Invalid Shipping Record (Ship Before Order)","")&amp;IF(ABS(Q294-W294)&gt;1,"; Sales Mismatch","")&amp;IF(ABS(S294-X294)&gt;1,"; Profit Mismatch","")&amp;IF(COUNTIF($A$2:$A$913,A294)&gt;1,"; Duplicate Order ID Conflict",""))</f>
        <v/>
      </c>
      <c r="AE294" s="10" t="str">
        <f aca="false">IF(OR(ISNUMBER(SEARCH("Invalid Discount",AD294)),ISNUMBER(SEARCH("Invalid Shipping Record",AD294)),ISNUMBER(SEARCH("Sales Mismatch",AD294)),ISNUMBER(SEARCH("Profit Mismatch",AD294)),ISNUMBER(SEARCH("Duplicate Order ID Conflict",AD294)),ISNUMBER(SEARCH("Missing Order Date",AD294)),ISNUMBER(SEARCH("Missing Ship Date",AD294))),"Invalid",IF(AD294&lt;&gt;"","Warning","Clean"))</f>
        <v>Clean</v>
      </c>
    </row>
    <row r="295" customFormat="false" ht="15" hidden="false" customHeight="true" outlineLevel="0" collapsed="false">
      <c r="A295" s="3" t="s">
        <v>907</v>
      </c>
      <c r="B295" s="4" t="n">
        <v>45358</v>
      </c>
      <c r="C295" s="4" t="n">
        <v>45362</v>
      </c>
      <c r="D295" s="3" t="s">
        <v>908</v>
      </c>
      <c r="E295" s="3" t="str">
        <f aca="false">PROPER(TRIM(SUBSTITUTE(Raw_Text_Fields!B296,CHAR(160)," ")))</f>
        <v>Arjun Bose</v>
      </c>
      <c r="F295" s="3" t="str">
        <f aca="false">PROPER(TRIM(SUBSTITUTE(Raw_Text_Fields!C296,CHAR(160)," ")))</f>
        <v>Home Office</v>
      </c>
      <c r="G295" s="3" t="str">
        <f aca="false">PROPER(TRIM(SUBSTITUTE(Raw_Text_Fields!D296,CHAR(160)," ")))</f>
        <v>South</v>
      </c>
      <c r="H295" s="3" t="str">
        <f aca="false">PROPER(TRIM(SUBSTITUTE(Raw_Text_Fields!E296,CHAR(160)," ")))</f>
        <v>Telangana</v>
      </c>
      <c r="I295" s="3" t="str">
        <f aca="false">PROPER(TRIM(SUBSTITUTE(Raw_Text_Fields!F296,CHAR(160)," ")))</f>
        <v>Hyderabad</v>
      </c>
      <c r="J295" s="3" t="str">
        <f aca="false">PROPER(TRIM(SUBSTITUTE(Raw_Text_Fields!G296,CHAR(160)," ")))</f>
        <v>Technology</v>
      </c>
      <c r="K295" s="3" t="str">
        <f aca="false">PROPER(TRIM(SUBSTITUTE(Raw_Text_Fields!H296,CHAR(160)," ")))</f>
        <v>Phones</v>
      </c>
      <c r="L295" s="3" t="s">
        <v>909</v>
      </c>
      <c r="M295" s="3" t="str">
        <f aca="false">PROPER(TRIM(SUBSTITUTE(Raw_Text_Fields!I296,CHAR(160)," ")))</f>
        <v>First Class</v>
      </c>
      <c r="N295" s="3" t="n">
        <v>2</v>
      </c>
      <c r="O295" s="5" t="n">
        <v>4401.51</v>
      </c>
      <c r="P295" s="6" t="n">
        <v>0.65</v>
      </c>
      <c r="Q295" s="5" t="n">
        <v>8362.87</v>
      </c>
      <c r="R295" s="5" t="n">
        <v>6541.04</v>
      </c>
      <c r="S295" s="5" t="n">
        <v>1821.83</v>
      </c>
      <c r="T295" s="3" t="str">
        <f aca="false">PROPER(TRIM(SUBSTITUTE(Raw_Text_Fields!J296,CHAR(160)," ")))</f>
        <v>Paid</v>
      </c>
      <c r="U295" s="3" t="str">
        <f aca="false">PROPER(TRIM(SUBSTITUTE(Raw_Text_Fields!K296,CHAR(160)," ")))</f>
        <v>Completed</v>
      </c>
      <c r="V295" s="7" t="n">
        <f aca="false">IF(OR(P295&lt;0,P295&gt;0.5),0,P295)</f>
        <v>0</v>
      </c>
      <c r="W295" s="8" t="n">
        <f aca="false">N295*O295*(1-V295)</f>
        <v>8803.02</v>
      </c>
      <c r="X295" s="8" t="n">
        <f aca="false">W295-R295</f>
        <v>2261.98</v>
      </c>
      <c r="Y295" s="7" t="n">
        <f aca="false">IFERROR(X295/W295,0)</f>
        <v>0.256954999534251</v>
      </c>
      <c r="Z295" s="9" t="n">
        <f aca="false">C295-B295</f>
        <v>4</v>
      </c>
      <c r="AA295" s="1" t="str">
        <f aca="false">IF(B295="","",TEXT(B295,"mmm"))</f>
        <v>Mar</v>
      </c>
      <c r="AB295" s="9" t="n">
        <f aca="false">IF(B295="","",YEAR(B295))</f>
        <v>2024</v>
      </c>
      <c r="AC295" s="3"/>
      <c r="AD295" s="3" t="str">
        <f aca="false">IF(LEFT(AC295&amp;IF(B295="","; Missing Order Date","")&amp;IF(C295="","; Missing Ship Date","")&amp;IF(P295&lt;0,"; Invalid Discount (Negative)","")&amp;IF(P295&gt;0.5,"; Invalid Discount (Too High)","")&amp;IF(Z295&lt;0,"; Invalid Shipping Record (Ship Before Order)","")&amp;IF(ABS(Q295-W295)&gt;1,"; Sales Mismatch","")&amp;IF(ABS(S295-X295)&gt;1,"; Profit Mismatch","")&amp;IF(COUNTIF($A$2:$A$913,A295)&gt;1,"; Duplicate Order ID Conflict",""),2)="; ",MID(AC295&amp;IF(B295="","; Missing Order Date","")&amp;IF(C295="","; Missing Ship Date","")&amp;IF(P295&lt;0,"; Invalid Discount (Negative)","")&amp;IF(P295&gt;0.5,"; Invalid Discount (Too High)","")&amp;IF(Z295&lt;0,"; Invalid Shipping Record (Ship Before Order)","")&amp;IF(ABS(Q295-W295)&gt;1,"; Sales Mismatch","")&amp;IF(ABS(S295-X295)&gt;1,"; Profit Mismatch","")&amp;IF(COUNTIF($A$2:$A$913,A295)&gt;1,"; Duplicate Order ID Conflict",""),3,500),AC295&amp;IF(B295="","; Missing Order Date","")&amp;IF(C295="","; Missing Ship Date","")&amp;IF(P295&lt;0,"; Invalid Discount (Negative)","")&amp;IF(P295&gt;0.5,"; Invalid Discount (Too High)","")&amp;IF(Z295&lt;0,"; Invalid Shipping Record (Ship Before Order)","")&amp;IF(ABS(Q295-W295)&gt;1,"; Sales Mismatch","")&amp;IF(ABS(S295-X295)&gt;1,"; Profit Mismatch","")&amp;IF(COUNTIF($A$2:$A$913,A295)&gt;1,"; Duplicate Order ID Conflict",""))</f>
        <v>Invalid Discount (Too High); Sales Mismatch; Profit Mismatch</v>
      </c>
      <c r="AE295" s="10" t="str">
        <f aca="false">IF(OR(ISNUMBER(SEARCH("Invalid Discount",AD295)),ISNUMBER(SEARCH("Invalid Shipping Record",AD295)),ISNUMBER(SEARCH("Sales Mismatch",AD295)),ISNUMBER(SEARCH("Profit Mismatch",AD295)),ISNUMBER(SEARCH("Duplicate Order ID Conflict",AD295)),ISNUMBER(SEARCH("Missing Order Date",AD295)),ISNUMBER(SEARCH("Missing Ship Date",AD295))),"Invalid",IF(AD295&lt;&gt;"","Warning","Clean"))</f>
        <v>Invalid</v>
      </c>
    </row>
    <row r="296" customFormat="false" ht="15" hidden="false" customHeight="true" outlineLevel="0" collapsed="false">
      <c r="A296" s="3" t="s">
        <v>910</v>
      </c>
      <c r="B296" s="4" t="n">
        <v>45854</v>
      </c>
      <c r="C296" s="4" t="n">
        <v>45860</v>
      </c>
      <c r="D296" s="3" t="s">
        <v>911</v>
      </c>
      <c r="E296" s="3" t="str">
        <f aca="false">PROPER(TRIM(SUBSTITUTE(Raw_Text_Fields!B297,CHAR(160)," ")))</f>
        <v>Priya Menon</v>
      </c>
      <c r="F296" s="3" t="str">
        <f aca="false">PROPER(TRIM(SUBSTITUTE(Raw_Text_Fields!C297,CHAR(160)," ")))</f>
        <v>Consumer</v>
      </c>
      <c r="G296" s="3" t="str">
        <f aca="false">PROPER(TRIM(SUBSTITUTE(Raw_Text_Fields!D297,CHAR(160)," ")))</f>
        <v>East</v>
      </c>
      <c r="H296" s="3" t="str">
        <f aca="false">PROPER(TRIM(SUBSTITUTE(Raw_Text_Fields!E297,CHAR(160)," ")))</f>
        <v>Odisha</v>
      </c>
      <c r="I296" s="3" t="str">
        <f aca="false">PROPER(TRIM(SUBSTITUTE(Raw_Text_Fields!F297,CHAR(160)," ")))</f>
        <v>Bhubaneswar</v>
      </c>
      <c r="J296" s="3" t="str">
        <f aca="false">PROPER(TRIM(SUBSTITUTE(Raw_Text_Fields!G297,CHAR(160)," ")))</f>
        <v>Technology</v>
      </c>
      <c r="K296" s="3" t="str">
        <f aca="false">PROPER(TRIM(SUBSTITUTE(Raw_Text_Fields!H297,CHAR(160)," ")))</f>
        <v>Phones</v>
      </c>
      <c r="L296" s="3" t="s">
        <v>912</v>
      </c>
      <c r="M296" s="3" t="str">
        <f aca="false">PROPER(TRIM(SUBSTITUTE(Raw_Text_Fields!I297,CHAR(160)," ")))</f>
        <v>Second Class</v>
      </c>
      <c r="N296" s="3" t="n">
        <v>6</v>
      </c>
      <c r="O296" s="5" t="n">
        <v>4159.33</v>
      </c>
      <c r="P296" s="6" t="n">
        <v>0.25</v>
      </c>
      <c r="Q296" s="5" t="n">
        <v>18716.99</v>
      </c>
      <c r="R296" s="5" t="n">
        <v>12282.43</v>
      </c>
      <c r="S296" s="5" t="n">
        <v>6434.56</v>
      </c>
      <c r="T296" s="3" t="str">
        <f aca="false">PROPER(TRIM(SUBSTITUTE(Raw_Text_Fields!J297,CHAR(160)," ")))</f>
        <v>Paid</v>
      </c>
      <c r="U296" s="3" t="str">
        <f aca="false">PROPER(TRIM(SUBSTITUTE(Raw_Text_Fields!K297,CHAR(160)," ")))</f>
        <v>Returned</v>
      </c>
      <c r="V296" s="7" t="n">
        <f aca="false">IF(OR(P296&lt;0,P296&gt;0.5),0,P296)</f>
        <v>0.25</v>
      </c>
      <c r="W296" s="8" t="n">
        <f aca="false">N296*O296*(1-V296)</f>
        <v>18716.985</v>
      </c>
      <c r="X296" s="8" t="n">
        <f aca="false">W296-R296</f>
        <v>6434.555</v>
      </c>
      <c r="Y296" s="7" t="n">
        <f aca="false">IFERROR(X296/W296,0)</f>
        <v>0.343781597303198</v>
      </c>
      <c r="Z296" s="9" t="n">
        <f aca="false">C296-B296</f>
        <v>6</v>
      </c>
      <c r="AA296" s="1" t="str">
        <f aca="false">IF(B296="","",TEXT(B296,"mmm"))</f>
        <v>Jul</v>
      </c>
      <c r="AB296" s="9" t="n">
        <f aca="false">IF(B296="","",YEAR(B296))</f>
        <v>2025</v>
      </c>
      <c r="AC296" s="3"/>
      <c r="AD296" s="3" t="str">
        <f aca="false">IF(LEFT(AC296&amp;IF(B296="","; Missing Order Date","")&amp;IF(C296="","; Missing Ship Date","")&amp;IF(P296&lt;0,"; Invalid Discount (Negative)","")&amp;IF(P296&gt;0.5,"; Invalid Discount (Too High)","")&amp;IF(Z296&lt;0,"; Invalid Shipping Record (Ship Before Order)","")&amp;IF(ABS(Q296-W296)&gt;1,"; Sales Mismatch","")&amp;IF(ABS(S296-X296)&gt;1,"; Profit Mismatch","")&amp;IF(COUNTIF($A$2:$A$913,A296)&gt;1,"; Duplicate Order ID Conflict",""),2)="; ",MID(AC296&amp;IF(B296="","; Missing Order Date","")&amp;IF(C296="","; Missing Ship Date","")&amp;IF(P296&lt;0,"; Invalid Discount (Negative)","")&amp;IF(P296&gt;0.5,"; Invalid Discount (Too High)","")&amp;IF(Z296&lt;0,"; Invalid Shipping Record (Ship Before Order)","")&amp;IF(ABS(Q296-W296)&gt;1,"; Sales Mismatch","")&amp;IF(ABS(S296-X296)&gt;1,"; Profit Mismatch","")&amp;IF(COUNTIF($A$2:$A$913,A296)&gt;1,"; Duplicate Order ID Conflict",""),3,500),AC296&amp;IF(B296="","; Missing Order Date","")&amp;IF(C296="","; Missing Ship Date","")&amp;IF(P296&lt;0,"; Invalid Discount (Negative)","")&amp;IF(P296&gt;0.5,"; Invalid Discount (Too High)","")&amp;IF(Z296&lt;0,"; Invalid Shipping Record (Ship Before Order)","")&amp;IF(ABS(Q296-W296)&gt;1,"; Sales Mismatch","")&amp;IF(ABS(S296-X296)&gt;1,"; Profit Mismatch","")&amp;IF(COUNTIF($A$2:$A$913,A296)&gt;1,"; Duplicate Order ID Conflict",""))</f>
        <v/>
      </c>
      <c r="AE296" s="10" t="str">
        <f aca="false">IF(OR(ISNUMBER(SEARCH("Invalid Discount",AD296)),ISNUMBER(SEARCH("Invalid Shipping Record",AD296)),ISNUMBER(SEARCH("Sales Mismatch",AD296)),ISNUMBER(SEARCH("Profit Mismatch",AD296)),ISNUMBER(SEARCH("Duplicate Order ID Conflict",AD296)),ISNUMBER(SEARCH("Missing Order Date",AD296)),ISNUMBER(SEARCH("Missing Ship Date",AD296))),"Invalid",IF(AD296&lt;&gt;"","Warning","Clean"))</f>
        <v>Clean</v>
      </c>
    </row>
    <row r="297" customFormat="false" ht="15" hidden="false" customHeight="true" outlineLevel="0" collapsed="false">
      <c r="A297" s="3" t="s">
        <v>913</v>
      </c>
      <c r="B297" s="4" t="n">
        <v>45833</v>
      </c>
      <c r="C297" s="4" t="n">
        <v>45836</v>
      </c>
      <c r="D297" s="3" t="s">
        <v>914</v>
      </c>
      <c r="E297" s="3" t="str">
        <f aca="false">PROPER(TRIM(SUBSTITUTE(Raw_Text_Fields!B298,CHAR(160)," ")))</f>
        <v>Aditi Sen</v>
      </c>
      <c r="F297" s="3" t="str">
        <f aca="false">PROPER(TRIM(SUBSTITUTE(Raw_Text_Fields!C298,CHAR(160)," ")))</f>
        <v>Small Business</v>
      </c>
      <c r="G297" s="3" t="str">
        <f aca="false">PROPER(TRIM(SUBSTITUTE(Raw_Text_Fields!D298,CHAR(160)," ")))</f>
        <v>East</v>
      </c>
      <c r="H297" s="3" t="str">
        <f aca="false">PROPER(TRIM(SUBSTITUTE(Raw_Text_Fields!E298,CHAR(160)," ")))</f>
        <v>Assam</v>
      </c>
      <c r="I297" s="3" t="str">
        <f aca="false">PROPER(TRIM(SUBSTITUTE(Raw_Text_Fields!F298,CHAR(160)," ")))</f>
        <v>Guwahati</v>
      </c>
      <c r="J297" s="3" t="str">
        <f aca="false">PROPER(TRIM(SUBSTITUTE(Raw_Text_Fields!G298,CHAR(160)," ")))</f>
        <v>Office Supplies</v>
      </c>
      <c r="K297" s="3" t="str">
        <f aca="false">PROPER(TRIM(SUBSTITUTE(Raw_Text_Fields!H298,CHAR(160)," ")))</f>
        <v>Binders</v>
      </c>
      <c r="L297" s="3" t="s">
        <v>915</v>
      </c>
      <c r="M297" s="3" t="str">
        <f aca="false">PROPER(TRIM(SUBSTITUTE(Raw_Text_Fields!I298,CHAR(160)," ")))</f>
        <v>Standard Class</v>
      </c>
      <c r="N297" s="3" t="n">
        <v>3</v>
      </c>
      <c r="O297" s="5" t="n">
        <v>3476.05</v>
      </c>
      <c r="P297" s="6" t="n">
        <v>0.1</v>
      </c>
      <c r="Q297" s="5" t="n">
        <v>9385.34</v>
      </c>
      <c r="R297" s="5" t="n">
        <v>5828.54</v>
      </c>
      <c r="S297" s="5" t="n">
        <v>3556.8</v>
      </c>
      <c r="T297" s="3" t="str">
        <f aca="false">PROPER(TRIM(SUBSTITUTE(Raw_Text_Fields!J298,CHAR(160)," ")))</f>
        <v>Paid</v>
      </c>
      <c r="U297" s="3" t="str">
        <f aca="false">PROPER(TRIM(SUBSTITUTE(Raw_Text_Fields!K298,CHAR(160)," ")))</f>
        <v>Completed</v>
      </c>
      <c r="V297" s="7" t="n">
        <f aca="false">IF(OR(P297&lt;0,P297&gt;0.5),0,P297)</f>
        <v>0.1</v>
      </c>
      <c r="W297" s="8" t="n">
        <f aca="false">N297*O297*(1-V297)</f>
        <v>9385.335</v>
      </c>
      <c r="X297" s="8" t="n">
        <f aca="false">W297-R297</f>
        <v>3556.795</v>
      </c>
      <c r="Y297" s="7" t="n">
        <f aca="false">IFERROR(X297/W297,0)</f>
        <v>0.378973686075138</v>
      </c>
      <c r="Z297" s="9" t="n">
        <f aca="false">C297-B297</f>
        <v>3</v>
      </c>
      <c r="AA297" s="1" t="str">
        <f aca="false">IF(B297="","",TEXT(B297,"mmm"))</f>
        <v>Jun</v>
      </c>
      <c r="AB297" s="9" t="n">
        <f aca="false">IF(B297="","",YEAR(B297))</f>
        <v>2025</v>
      </c>
      <c r="AC297" s="3"/>
      <c r="AD297" s="3" t="str">
        <f aca="false">IF(LEFT(AC297&amp;IF(B297="","; Missing Order Date","")&amp;IF(C297="","; Missing Ship Date","")&amp;IF(P297&lt;0,"; Invalid Discount (Negative)","")&amp;IF(P297&gt;0.5,"; Invalid Discount (Too High)","")&amp;IF(Z297&lt;0,"; Invalid Shipping Record (Ship Before Order)","")&amp;IF(ABS(Q297-W297)&gt;1,"; Sales Mismatch","")&amp;IF(ABS(S297-X297)&gt;1,"; Profit Mismatch","")&amp;IF(COUNTIF($A$2:$A$913,A297)&gt;1,"; Duplicate Order ID Conflict",""),2)="; ",MID(AC297&amp;IF(B297="","; Missing Order Date","")&amp;IF(C297="","; Missing Ship Date","")&amp;IF(P297&lt;0,"; Invalid Discount (Negative)","")&amp;IF(P297&gt;0.5,"; Invalid Discount (Too High)","")&amp;IF(Z297&lt;0,"; Invalid Shipping Record (Ship Before Order)","")&amp;IF(ABS(Q297-W297)&gt;1,"; Sales Mismatch","")&amp;IF(ABS(S297-X297)&gt;1,"; Profit Mismatch","")&amp;IF(COUNTIF($A$2:$A$913,A297)&gt;1,"; Duplicate Order ID Conflict",""),3,500),AC297&amp;IF(B297="","; Missing Order Date","")&amp;IF(C297="","; Missing Ship Date","")&amp;IF(P297&lt;0,"; Invalid Discount (Negative)","")&amp;IF(P297&gt;0.5,"; Invalid Discount (Too High)","")&amp;IF(Z297&lt;0,"; Invalid Shipping Record (Ship Before Order)","")&amp;IF(ABS(Q297-W297)&gt;1,"; Sales Mismatch","")&amp;IF(ABS(S297-X297)&gt;1,"; Profit Mismatch","")&amp;IF(COUNTIF($A$2:$A$913,A297)&gt;1,"; Duplicate Order ID Conflict",""))</f>
        <v/>
      </c>
      <c r="AE297" s="10" t="str">
        <f aca="false">IF(OR(ISNUMBER(SEARCH("Invalid Discount",AD297)),ISNUMBER(SEARCH("Invalid Shipping Record",AD297)),ISNUMBER(SEARCH("Sales Mismatch",AD297)),ISNUMBER(SEARCH("Profit Mismatch",AD297)),ISNUMBER(SEARCH("Duplicate Order ID Conflict",AD297)),ISNUMBER(SEARCH("Missing Order Date",AD297)),ISNUMBER(SEARCH("Missing Ship Date",AD297))),"Invalid",IF(AD297&lt;&gt;"","Warning","Clean"))</f>
        <v>Clean</v>
      </c>
    </row>
    <row r="298" customFormat="false" ht="15" hidden="false" customHeight="true" outlineLevel="0" collapsed="false">
      <c r="A298" s="3" t="s">
        <v>916</v>
      </c>
      <c r="B298" s="4" t="n">
        <v>45801</v>
      </c>
      <c r="C298" s="4" t="n">
        <v>45803</v>
      </c>
      <c r="D298" s="3" t="s">
        <v>917</v>
      </c>
      <c r="E298" s="3" t="str">
        <f aca="false">PROPER(TRIM(SUBSTITUTE(Raw_Text_Fields!B299,CHAR(160)," ")))</f>
        <v>Aditi Sen</v>
      </c>
      <c r="F298" s="3" t="str">
        <f aca="false">PROPER(TRIM(SUBSTITUTE(Raw_Text_Fields!C299,CHAR(160)," ")))</f>
        <v>Home Office</v>
      </c>
      <c r="G298" s="3" t="str">
        <f aca="false">PROPER(TRIM(SUBSTITUTE(Raw_Text_Fields!D299,CHAR(160)," ")))</f>
        <v>North</v>
      </c>
      <c r="H298" s="3" t="str">
        <f aca="false">PROPER(TRIM(SUBSTITUTE(Raw_Text_Fields!E299,CHAR(160)," ")))</f>
        <v>Haryana</v>
      </c>
      <c r="I298" s="3" t="str">
        <f aca="false">PROPER(TRIM(SUBSTITUTE(Raw_Text_Fields!F299,CHAR(160)," ")))</f>
        <v>Gurugram</v>
      </c>
      <c r="J298" s="3" t="str">
        <f aca="false">PROPER(TRIM(SUBSTITUTE(Raw_Text_Fields!G299,CHAR(160)," ")))</f>
        <v>Furniture</v>
      </c>
      <c r="K298" s="3" t="str">
        <f aca="false">PROPER(TRIM(SUBSTITUTE(Raw_Text_Fields!H299,CHAR(160)," ")))</f>
        <v>Furnishings</v>
      </c>
      <c r="L298" s="3" t="s">
        <v>918</v>
      </c>
      <c r="M298" s="3" t="str">
        <f aca="false">PROPER(TRIM(SUBSTITUTE(Raw_Text_Fields!I299,CHAR(160)," ")))</f>
        <v>Same Day</v>
      </c>
      <c r="N298" s="3" t="n">
        <v>6</v>
      </c>
      <c r="O298" s="5" t="n">
        <v>3495.41</v>
      </c>
      <c r="P298" s="6" t="n">
        <v>0.15</v>
      </c>
      <c r="Q298" s="5" t="n">
        <v>17826.59</v>
      </c>
      <c r="R298" s="5" t="n">
        <v>10855.35</v>
      </c>
      <c r="S298" s="5" t="n">
        <v>6971.24</v>
      </c>
      <c r="T298" s="3" t="str">
        <f aca="false">PROPER(TRIM(SUBSTITUTE(Raw_Text_Fields!J299,CHAR(160)," ")))</f>
        <v>Paid</v>
      </c>
      <c r="U298" s="3" t="str">
        <f aca="false">PROPER(TRIM(SUBSTITUTE(Raw_Text_Fields!K299,CHAR(160)," ")))</f>
        <v>Completed</v>
      </c>
      <c r="V298" s="7" t="n">
        <f aca="false">IF(OR(P298&lt;0,P298&gt;0.5),0,P298)</f>
        <v>0.15</v>
      </c>
      <c r="W298" s="8" t="n">
        <f aca="false">N298*O298*(1-V298)</f>
        <v>17826.591</v>
      </c>
      <c r="X298" s="8" t="n">
        <f aca="false">W298-R298</f>
        <v>6971.241</v>
      </c>
      <c r="Y298" s="7" t="n">
        <f aca="false">IFERROR(X298/W298,0)</f>
        <v>0.391058559653946</v>
      </c>
      <c r="Z298" s="9" t="n">
        <f aca="false">C298-B298</f>
        <v>2</v>
      </c>
      <c r="AA298" s="1" t="str">
        <f aca="false">IF(B298="","",TEXT(B298,"mmm"))</f>
        <v>May</v>
      </c>
      <c r="AB298" s="9" t="n">
        <f aca="false">IF(B298="","",YEAR(B298))</f>
        <v>2025</v>
      </c>
      <c r="AC298" s="3"/>
      <c r="AD298" s="3" t="str">
        <f aca="false">IF(LEFT(AC298&amp;IF(B298="","; Missing Order Date","")&amp;IF(C298="","; Missing Ship Date","")&amp;IF(P298&lt;0,"; Invalid Discount (Negative)","")&amp;IF(P298&gt;0.5,"; Invalid Discount (Too High)","")&amp;IF(Z298&lt;0,"; Invalid Shipping Record (Ship Before Order)","")&amp;IF(ABS(Q298-W298)&gt;1,"; Sales Mismatch","")&amp;IF(ABS(S298-X298)&gt;1,"; Profit Mismatch","")&amp;IF(COUNTIF($A$2:$A$913,A298)&gt;1,"; Duplicate Order ID Conflict",""),2)="; ",MID(AC298&amp;IF(B298="","; Missing Order Date","")&amp;IF(C298="","; Missing Ship Date","")&amp;IF(P298&lt;0,"; Invalid Discount (Negative)","")&amp;IF(P298&gt;0.5,"; Invalid Discount (Too High)","")&amp;IF(Z298&lt;0,"; Invalid Shipping Record (Ship Before Order)","")&amp;IF(ABS(Q298-W298)&gt;1,"; Sales Mismatch","")&amp;IF(ABS(S298-X298)&gt;1,"; Profit Mismatch","")&amp;IF(COUNTIF($A$2:$A$913,A298)&gt;1,"; Duplicate Order ID Conflict",""),3,500),AC298&amp;IF(B298="","; Missing Order Date","")&amp;IF(C298="","; Missing Ship Date","")&amp;IF(P298&lt;0,"; Invalid Discount (Negative)","")&amp;IF(P298&gt;0.5,"; Invalid Discount (Too High)","")&amp;IF(Z298&lt;0,"; Invalid Shipping Record (Ship Before Order)","")&amp;IF(ABS(Q298-W298)&gt;1,"; Sales Mismatch","")&amp;IF(ABS(S298-X298)&gt;1,"; Profit Mismatch","")&amp;IF(COUNTIF($A$2:$A$913,A298)&gt;1,"; Duplicate Order ID Conflict",""))</f>
        <v/>
      </c>
      <c r="AE298" s="10" t="str">
        <f aca="false">IF(OR(ISNUMBER(SEARCH("Invalid Discount",AD298)),ISNUMBER(SEARCH("Invalid Shipping Record",AD298)),ISNUMBER(SEARCH("Sales Mismatch",AD298)),ISNUMBER(SEARCH("Profit Mismatch",AD298)),ISNUMBER(SEARCH("Duplicate Order ID Conflict",AD298)),ISNUMBER(SEARCH("Missing Order Date",AD298)),ISNUMBER(SEARCH("Missing Ship Date",AD298))),"Invalid",IF(AD298&lt;&gt;"","Warning","Clean"))</f>
        <v>Clean</v>
      </c>
    </row>
    <row r="299" customFormat="false" ht="15" hidden="false" customHeight="true" outlineLevel="0" collapsed="false">
      <c r="A299" s="3" t="s">
        <v>919</v>
      </c>
      <c r="B299" s="4" t="n">
        <v>45594</v>
      </c>
      <c r="C299" s="4" t="n">
        <v>45602</v>
      </c>
      <c r="D299" s="3" t="s">
        <v>920</v>
      </c>
      <c r="E299" s="3" t="str">
        <f aca="false">PROPER(TRIM(SUBSTITUTE(Raw_Text_Fields!B300,CHAR(160)," ")))</f>
        <v>Sneha Kapoor</v>
      </c>
      <c r="F299" s="3" t="str">
        <f aca="false">PROPER(TRIM(SUBSTITUTE(Raw_Text_Fields!C300,CHAR(160)," ")))</f>
        <v>Corporate</v>
      </c>
      <c r="G299" s="3" t="str">
        <f aca="false">PROPER(TRIM(SUBSTITUTE(Raw_Text_Fields!D300,CHAR(160)," ")))</f>
        <v>South</v>
      </c>
      <c r="H299" s="3" t="str">
        <f aca="false">PROPER(TRIM(SUBSTITUTE(Raw_Text_Fields!E300,CHAR(160)," ")))</f>
        <v>Tamil Nadu</v>
      </c>
      <c r="I299" s="3" t="str">
        <f aca="false">PROPER(TRIM(SUBSTITUTE(Raw_Text_Fields!F300,CHAR(160)," ")))</f>
        <v>Chennai</v>
      </c>
      <c r="J299" s="3" t="str">
        <f aca="false">PROPER(TRIM(SUBSTITUTE(Raw_Text_Fields!G300,CHAR(160)," ")))</f>
        <v>Technology</v>
      </c>
      <c r="K299" s="3" t="str">
        <f aca="false">PROPER(TRIM(SUBSTITUTE(Raw_Text_Fields!H300,CHAR(160)," ")))</f>
        <v>Copiers</v>
      </c>
      <c r="L299" s="3" t="s">
        <v>921</v>
      </c>
      <c r="M299" s="3" t="str">
        <f aca="false">PROPER(TRIM(SUBSTITUTE(Raw_Text_Fields!I300,CHAR(160)," ")))</f>
        <v>Same Day</v>
      </c>
      <c r="N299" s="3" t="n">
        <v>6</v>
      </c>
      <c r="O299" s="5" t="n">
        <v>1169.92</v>
      </c>
      <c r="P299" s="6" t="n">
        <v>0.15</v>
      </c>
      <c r="Q299" s="5" t="n">
        <v>5966.59</v>
      </c>
      <c r="R299" s="5" t="n">
        <v>3994.72</v>
      </c>
      <c r="S299" s="5" t="n">
        <v>1971.87</v>
      </c>
      <c r="T299" s="3" t="str">
        <f aca="false">PROPER(TRIM(SUBSTITUTE(Raw_Text_Fields!J300,CHAR(160)," ")))</f>
        <v>Paid</v>
      </c>
      <c r="U299" s="3" t="str">
        <f aca="false">PROPER(TRIM(SUBSTITUTE(Raw_Text_Fields!K300,CHAR(160)," ")))</f>
        <v>Completed</v>
      </c>
      <c r="V299" s="7" t="n">
        <f aca="false">IF(OR(P299&lt;0,P299&gt;0.5),0,P299)</f>
        <v>0.15</v>
      </c>
      <c r="W299" s="8" t="n">
        <f aca="false">N299*O299*(1-V299)</f>
        <v>5966.592</v>
      </c>
      <c r="X299" s="8" t="n">
        <f aca="false">W299-R299</f>
        <v>1971.872</v>
      </c>
      <c r="Y299" s="7" t="n">
        <f aca="false">IFERROR(X299/W299,0)</f>
        <v>0.330485476466298</v>
      </c>
      <c r="Z299" s="9" t="n">
        <f aca="false">C299-B299</f>
        <v>8</v>
      </c>
      <c r="AA299" s="1" t="str">
        <f aca="false">IF(B299="","",TEXT(B299,"mmm"))</f>
        <v>Oct</v>
      </c>
      <c r="AB299" s="9" t="n">
        <f aca="false">IF(B299="","",YEAR(B299))</f>
        <v>2024</v>
      </c>
      <c r="AC299" s="3"/>
      <c r="AD299" s="3" t="str">
        <f aca="false">IF(LEFT(AC299&amp;IF(B299="","; Missing Order Date","")&amp;IF(C299="","; Missing Ship Date","")&amp;IF(P299&lt;0,"; Invalid Discount (Negative)","")&amp;IF(P299&gt;0.5,"; Invalid Discount (Too High)","")&amp;IF(Z299&lt;0,"; Invalid Shipping Record (Ship Before Order)","")&amp;IF(ABS(Q299-W299)&gt;1,"; Sales Mismatch","")&amp;IF(ABS(S299-X299)&gt;1,"; Profit Mismatch","")&amp;IF(COUNTIF($A$2:$A$913,A299)&gt;1,"; Duplicate Order ID Conflict",""),2)="; ",MID(AC299&amp;IF(B299="","; Missing Order Date","")&amp;IF(C299="","; Missing Ship Date","")&amp;IF(P299&lt;0,"; Invalid Discount (Negative)","")&amp;IF(P299&gt;0.5,"; Invalid Discount (Too High)","")&amp;IF(Z299&lt;0,"; Invalid Shipping Record (Ship Before Order)","")&amp;IF(ABS(Q299-W299)&gt;1,"; Sales Mismatch","")&amp;IF(ABS(S299-X299)&gt;1,"; Profit Mismatch","")&amp;IF(COUNTIF($A$2:$A$913,A299)&gt;1,"; Duplicate Order ID Conflict",""),3,500),AC299&amp;IF(B299="","; Missing Order Date","")&amp;IF(C299="","; Missing Ship Date","")&amp;IF(P299&lt;0,"; Invalid Discount (Negative)","")&amp;IF(P299&gt;0.5,"; Invalid Discount (Too High)","")&amp;IF(Z299&lt;0,"; Invalid Shipping Record (Ship Before Order)","")&amp;IF(ABS(Q299-W299)&gt;1,"; Sales Mismatch","")&amp;IF(ABS(S299-X299)&gt;1,"; Profit Mismatch","")&amp;IF(COUNTIF($A$2:$A$913,A299)&gt;1,"; Duplicate Order ID Conflict",""))</f>
        <v/>
      </c>
      <c r="AE299" s="10" t="str">
        <f aca="false">IF(OR(ISNUMBER(SEARCH("Invalid Discount",AD299)),ISNUMBER(SEARCH("Invalid Shipping Record",AD299)),ISNUMBER(SEARCH("Sales Mismatch",AD299)),ISNUMBER(SEARCH("Profit Mismatch",AD299)),ISNUMBER(SEARCH("Duplicate Order ID Conflict",AD299)),ISNUMBER(SEARCH("Missing Order Date",AD299)),ISNUMBER(SEARCH("Missing Ship Date",AD299))),"Invalid",IF(AD299&lt;&gt;"","Warning","Clean"))</f>
        <v>Clean</v>
      </c>
    </row>
    <row r="300" customFormat="false" ht="15" hidden="false" customHeight="true" outlineLevel="0" collapsed="false">
      <c r="A300" s="3" t="s">
        <v>922</v>
      </c>
      <c r="B300" s="4" t="n">
        <v>45680</v>
      </c>
      <c r="C300" s="4" t="n">
        <v>45683</v>
      </c>
      <c r="D300" s="3" t="s">
        <v>923</v>
      </c>
      <c r="E300" s="3" t="str">
        <f aca="false">PROPER(TRIM(SUBSTITUTE(Raw_Text_Fields!B301,CHAR(160)," ")))</f>
        <v>Isha Nair</v>
      </c>
      <c r="F300" s="3" t="str">
        <f aca="false">PROPER(TRIM(SUBSTITUTE(Raw_Text_Fields!C301,CHAR(160)," ")))</f>
        <v>Consumer</v>
      </c>
      <c r="G300" s="3" t="str">
        <f aca="false">PROPER(TRIM(SUBSTITUTE(Raw_Text_Fields!D301,CHAR(160)," ")))</f>
        <v>South</v>
      </c>
      <c r="H300" s="3" t="str">
        <f aca="false">PROPER(TRIM(SUBSTITUTE(Raw_Text_Fields!E301,CHAR(160)," ")))</f>
        <v>Kerala</v>
      </c>
      <c r="I300" s="3" t="str">
        <f aca="false">PROPER(TRIM(SUBSTITUTE(Raw_Text_Fields!F301,CHAR(160)," ")))</f>
        <v>Kochi</v>
      </c>
      <c r="J300" s="3" t="str">
        <f aca="false">PROPER(TRIM(SUBSTITUTE(Raw_Text_Fields!G301,CHAR(160)," ")))</f>
        <v>Technology</v>
      </c>
      <c r="K300" s="3" t="str">
        <f aca="false">PROPER(TRIM(SUBSTITUTE(Raw_Text_Fields!H301,CHAR(160)," ")))</f>
        <v>Copiers</v>
      </c>
      <c r="L300" s="3" t="s">
        <v>924</v>
      </c>
      <c r="M300" s="3" t="str">
        <f aca="false">PROPER(TRIM(SUBSTITUTE(Raw_Text_Fields!I301,CHAR(160)," ")))</f>
        <v>First Class</v>
      </c>
      <c r="N300" s="3" t="n">
        <v>7</v>
      </c>
      <c r="O300" s="5" t="n">
        <v>348.49</v>
      </c>
      <c r="P300" s="6" t="n">
        <v>0.2</v>
      </c>
      <c r="Q300" s="5" t="n">
        <v>1951.54</v>
      </c>
      <c r="R300" s="5" t="n">
        <v>1609.95</v>
      </c>
      <c r="S300" s="5" t="n">
        <v>341.59</v>
      </c>
      <c r="T300" s="3" t="str">
        <f aca="false">PROPER(TRIM(SUBSTITUTE(Raw_Text_Fields!J301,CHAR(160)," ")))</f>
        <v>Failed</v>
      </c>
      <c r="U300" s="3" t="str">
        <f aca="false">PROPER(TRIM(SUBSTITUTE(Raw_Text_Fields!K301,CHAR(160)," ")))</f>
        <v>Returned</v>
      </c>
      <c r="V300" s="7" t="n">
        <f aca="false">IF(OR(P300&lt;0,P300&gt;0.5),0,P300)</f>
        <v>0.2</v>
      </c>
      <c r="W300" s="8" t="n">
        <f aca="false">N300*O300*(1-V300)</f>
        <v>1951.544</v>
      </c>
      <c r="X300" s="8" t="n">
        <f aca="false">W300-R300</f>
        <v>341.594</v>
      </c>
      <c r="Y300" s="7" t="n">
        <f aca="false">IFERROR(X300/W300,0)</f>
        <v>0.175037816211164</v>
      </c>
      <c r="Z300" s="9" t="n">
        <f aca="false">C300-B300</f>
        <v>3</v>
      </c>
      <c r="AA300" s="1" t="str">
        <f aca="false">IF(B300="","",TEXT(B300,"mmm"))</f>
        <v>Jan</v>
      </c>
      <c r="AB300" s="9" t="n">
        <f aca="false">IF(B300="","",YEAR(B300))</f>
        <v>2025</v>
      </c>
      <c r="AC300" s="3"/>
      <c r="AD300" s="3" t="str">
        <f aca="false">IF(LEFT(AC300&amp;IF(B300="","; Missing Order Date","")&amp;IF(C300="","; Missing Ship Date","")&amp;IF(P300&lt;0,"; Invalid Discount (Negative)","")&amp;IF(P300&gt;0.5,"; Invalid Discount (Too High)","")&amp;IF(Z300&lt;0,"; Invalid Shipping Record (Ship Before Order)","")&amp;IF(ABS(Q300-W300)&gt;1,"; Sales Mismatch","")&amp;IF(ABS(S300-X300)&gt;1,"; Profit Mismatch","")&amp;IF(COUNTIF($A$2:$A$913,A300)&gt;1,"; Duplicate Order ID Conflict",""),2)="; ",MID(AC300&amp;IF(B300="","; Missing Order Date","")&amp;IF(C300="","; Missing Ship Date","")&amp;IF(P300&lt;0,"; Invalid Discount (Negative)","")&amp;IF(P300&gt;0.5,"; Invalid Discount (Too High)","")&amp;IF(Z300&lt;0,"; Invalid Shipping Record (Ship Before Order)","")&amp;IF(ABS(Q300-W300)&gt;1,"; Sales Mismatch","")&amp;IF(ABS(S300-X300)&gt;1,"; Profit Mismatch","")&amp;IF(COUNTIF($A$2:$A$913,A300)&gt;1,"; Duplicate Order ID Conflict",""),3,500),AC300&amp;IF(B300="","; Missing Order Date","")&amp;IF(C300="","; Missing Ship Date","")&amp;IF(P300&lt;0,"; Invalid Discount (Negative)","")&amp;IF(P300&gt;0.5,"; Invalid Discount (Too High)","")&amp;IF(Z300&lt;0,"; Invalid Shipping Record (Ship Before Order)","")&amp;IF(ABS(Q300-W300)&gt;1,"; Sales Mismatch","")&amp;IF(ABS(S300-X300)&gt;1,"; Profit Mismatch","")&amp;IF(COUNTIF($A$2:$A$913,A300)&gt;1,"; Duplicate Order ID Conflict",""))</f>
        <v/>
      </c>
      <c r="AE300" s="10" t="str">
        <f aca="false">IF(OR(ISNUMBER(SEARCH("Invalid Discount",AD300)),ISNUMBER(SEARCH("Invalid Shipping Record",AD300)),ISNUMBER(SEARCH("Sales Mismatch",AD300)),ISNUMBER(SEARCH("Profit Mismatch",AD300)),ISNUMBER(SEARCH("Duplicate Order ID Conflict",AD300)),ISNUMBER(SEARCH("Missing Order Date",AD300)),ISNUMBER(SEARCH("Missing Ship Date",AD300))),"Invalid",IF(AD300&lt;&gt;"","Warning","Clean"))</f>
        <v>Clean</v>
      </c>
    </row>
    <row r="301" customFormat="false" ht="15" hidden="false" customHeight="true" outlineLevel="0" collapsed="false">
      <c r="A301" s="3" t="s">
        <v>925</v>
      </c>
      <c r="B301" s="4" t="n">
        <v>45602</v>
      </c>
      <c r="C301" s="4" t="n">
        <v>45608</v>
      </c>
      <c r="D301" s="3" t="s">
        <v>926</v>
      </c>
      <c r="E301" s="3" t="str">
        <f aca="false">PROPER(TRIM(SUBSTITUTE(Raw_Text_Fields!B302,CHAR(160)," ")))</f>
        <v>Rahul Verma</v>
      </c>
      <c r="F301" s="3" t="str">
        <f aca="false">PROPER(TRIM(SUBSTITUTE(Raw_Text_Fields!C302,CHAR(160)," ")))</f>
        <v>Small Business</v>
      </c>
      <c r="G301" s="3" t="str">
        <f aca="false">PROPER(TRIM(SUBSTITUTE(Raw_Text_Fields!D302,CHAR(160)," ")))</f>
        <v>West</v>
      </c>
      <c r="H301" s="3" t="str">
        <f aca="false">PROPER(TRIM(SUBSTITUTE(Raw_Text_Fields!E302,CHAR(160)," ")))</f>
        <v>Gujarat</v>
      </c>
      <c r="I301" s="3" t="str">
        <f aca="false">PROPER(TRIM(SUBSTITUTE(Raw_Text_Fields!F302,CHAR(160)," ")))</f>
        <v>Ahmedabad</v>
      </c>
      <c r="J301" s="3" t="str">
        <f aca="false">PROPER(TRIM(SUBSTITUTE(Raw_Text_Fields!G302,CHAR(160)," ")))</f>
        <v>Technology</v>
      </c>
      <c r="K301" s="3" t="str">
        <f aca="false">PROPER(TRIM(SUBSTITUTE(Raw_Text_Fields!H302,CHAR(160)," ")))</f>
        <v>Accessories</v>
      </c>
      <c r="L301" s="3" t="s">
        <v>927</v>
      </c>
      <c r="M301" s="3" t="str">
        <f aca="false">PROPER(TRIM(SUBSTITUTE(Raw_Text_Fields!I302,CHAR(160)," ")))</f>
        <v>Standard Class</v>
      </c>
      <c r="N301" s="3" t="n">
        <v>7</v>
      </c>
      <c r="O301" s="5" t="n">
        <v>1719.05</v>
      </c>
      <c r="P301" s="6" t="n">
        <v>0.1</v>
      </c>
      <c r="Q301" s="5" t="n">
        <v>10830.02</v>
      </c>
      <c r="R301" s="5" t="n">
        <v>7055.31</v>
      </c>
      <c r="S301" s="5" t="n">
        <v>3774.71</v>
      </c>
      <c r="T301" s="3" t="str">
        <f aca="false">PROPER(TRIM(SUBSTITUTE(Raw_Text_Fields!J302,CHAR(160)," ")))</f>
        <v>Paid</v>
      </c>
      <c r="U301" s="3" t="str">
        <f aca="false">PROPER(TRIM(SUBSTITUTE(Raw_Text_Fields!K302,CHAR(160)," ")))</f>
        <v>Completed</v>
      </c>
      <c r="V301" s="7" t="n">
        <f aca="false">IF(OR(P301&lt;0,P301&gt;0.5),0,P301)</f>
        <v>0.1</v>
      </c>
      <c r="W301" s="8" t="n">
        <f aca="false">N301*O301*(1-V301)</f>
        <v>10830.015</v>
      </c>
      <c r="X301" s="8" t="n">
        <f aca="false">W301-R301</f>
        <v>3774.705</v>
      </c>
      <c r="Y301" s="7" t="n">
        <f aca="false">IFERROR(X301/W301,0)</f>
        <v>0.348541068502675</v>
      </c>
      <c r="Z301" s="9" t="n">
        <f aca="false">C301-B301</f>
        <v>6</v>
      </c>
      <c r="AA301" s="1" t="str">
        <f aca="false">IF(B301="","",TEXT(B301,"mmm"))</f>
        <v>Nov</v>
      </c>
      <c r="AB301" s="9" t="n">
        <f aca="false">IF(B301="","",YEAR(B301))</f>
        <v>2024</v>
      </c>
      <c r="AC301" s="3"/>
      <c r="AD301" s="3" t="str">
        <f aca="false">IF(LEFT(AC301&amp;IF(B301="","; Missing Order Date","")&amp;IF(C301="","; Missing Ship Date","")&amp;IF(P301&lt;0,"; Invalid Discount (Negative)","")&amp;IF(P301&gt;0.5,"; Invalid Discount (Too High)","")&amp;IF(Z301&lt;0,"; Invalid Shipping Record (Ship Before Order)","")&amp;IF(ABS(Q301-W301)&gt;1,"; Sales Mismatch","")&amp;IF(ABS(S301-X301)&gt;1,"; Profit Mismatch","")&amp;IF(COUNTIF($A$2:$A$913,A301)&gt;1,"; Duplicate Order ID Conflict",""),2)="; ",MID(AC301&amp;IF(B301="","; Missing Order Date","")&amp;IF(C301="","; Missing Ship Date","")&amp;IF(P301&lt;0,"; Invalid Discount (Negative)","")&amp;IF(P301&gt;0.5,"; Invalid Discount (Too High)","")&amp;IF(Z301&lt;0,"; Invalid Shipping Record (Ship Before Order)","")&amp;IF(ABS(Q301-W301)&gt;1,"; Sales Mismatch","")&amp;IF(ABS(S301-X301)&gt;1,"; Profit Mismatch","")&amp;IF(COUNTIF($A$2:$A$913,A301)&gt;1,"; Duplicate Order ID Conflict",""),3,500),AC301&amp;IF(B301="","; Missing Order Date","")&amp;IF(C301="","; Missing Ship Date","")&amp;IF(P301&lt;0,"; Invalid Discount (Negative)","")&amp;IF(P301&gt;0.5,"; Invalid Discount (Too High)","")&amp;IF(Z301&lt;0,"; Invalid Shipping Record (Ship Before Order)","")&amp;IF(ABS(Q301-W301)&gt;1,"; Sales Mismatch","")&amp;IF(ABS(S301-X301)&gt;1,"; Profit Mismatch","")&amp;IF(COUNTIF($A$2:$A$913,A301)&gt;1,"; Duplicate Order ID Conflict",""))</f>
        <v/>
      </c>
      <c r="AE301" s="10" t="str">
        <f aca="false">IF(OR(ISNUMBER(SEARCH("Invalid Discount",AD301)),ISNUMBER(SEARCH("Invalid Shipping Record",AD301)),ISNUMBER(SEARCH("Sales Mismatch",AD301)),ISNUMBER(SEARCH("Profit Mismatch",AD301)),ISNUMBER(SEARCH("Duplicate Order ID Conflict",AD301)),ISNUMBER(SEARCH("Missing Order Date",AD301)),ISNUMBER(SEARCH("Missing Ship Date",AD301))),"Invalid",IF(AD301&lt;&gt;"","Warning","Clean"))</f>
        <v>Clean</v>
      </c>
    </row>
    <row r="302" customFormat="false" ht="15" hidden="false" customHeight="true" outlineLevel="0" collapsed="false">
      <c r="A302" s="3" t="s">
        <v>928</v>
      </c>
      <c r="B302" s="4" t="n">
        <v>45397</v>
      </c>
      <c r="C302" s="4" t="n">
        <v>45405</v>
      </c>
      <c r="D302" s="3" t="s">
        <v>929</v>
      </c>
      <c r="E302" s="3" t="str">
        <f aca="false">PROPER(TRIM(SUBSTITUTE(Raw_Text_Fields!B303,CHAR(160)," ")))</f>
        <v>Diya Patel</v>
      </c>
      <c r="F302" s="3" t="str">
        <f aca="false">PROPER(TRIM(SUBSTITUTE(Raw_Text_Fields!C303,CHAR(160)," ")))</f>
        <v>Small Business</v>
      </c>
      <c r="G302" s="3" t="str">
        <f aca="false">PROPER(TRIM(SUBSTITUTE(Raw_Text_Fields!D303,CHAR(160)," ")))</f>
        <v>North</v>
      </c>
      <c r="H302" s="3" t="str">
        <f aca="false">PROPER(TRIM(SUBSTITUTE(Raw_Text_Fields!E303,CHAR(160)," ")))</f>
        <v>Punjab</v>
      </c>
      <c r="I302" s="3" t="str">
        <f aca="false">PROPER(TRIM(SUBSTITUTE(Raw_Text_Fields!F303,CHAR(160)," ")))</f>
        <v>Ludhiana</v>
      </c>
      <c r="J302" s="3" t="str">
        <f aca="false">PROPER(TRIM(SUBSTITUTE(Raw_Text_Fields!G303,CHAR(160)," ")))</f>
        <v>Technology</v>
      </c>
      <c r="K302" s="3" t="str">
        <f aca="false">PROPER(TRIM(SUBSTITUTE(Raw_Text_Fields!H303,CHAR(160)," ")))</f>
        <v>Accessories</v>
      </c>
      <c r="L302" s="3" t="s">
        <v>930</v>
      </c>
      <c r="M302" s="3" t="str">
        <f aca="false">PROPER(TRIM(SUBSTITUTE(Raw_Text_Fields!I303,CHAR(160)," ")))</f>
        <v>Second Class</v>
      </c>
      <c r="N302" s="3" t="n">
        <v>9</v>
      </c>
      <c r="O302" s="5" t="n">
        <v>3893.74</v>
      </c>
      <c r="P302" s="6" t="n">
        <v>0.1</v>
      </c>
      <c r="Q302" s="5" t="n">
        <v>31539.29</v>
      </c>
      <c r="R302" s="5" t="n">
        <v>22100.14</v>
      </c>
      <c r="S302" s="5" t="n">
        <v>9439.15</v>
      </c>
      <c r="T302" s="3" t="str">
        <f aca="false">PROPER(TRIM(SUBSTITUTE(Raw_Text_Fields!J303,CHAR(160)," ")))</f>
        <v>Paid</v>
      </c>
      <c r="U302" s="3" t="str">
        <f aca="false">PROPER(TRIM(SUBSTITUTE(Raw_Text_Fields!K303,CHAR(160)," ")))</f>
        <v>Completed</v>
      </c>
      <c r="V302" s="7" t="n">
        <f aca="false">IF(OR(P302&lt;0,P302&gt;0.5),0,P302)</f>
        <v>0.1</v>
      </c>
      <c r="W302" s="8" t="n">
        <f aca="false">N302*O302*(1-V302)</f>
        <v>31539.294</v>
      </c>
      <c r="X302" s="8" t="n">
        <f aca="false">W302-R302</f>
        <v>9439.154</v>
      </c>
      <c r="Y302" s="7" t="n">
        <f aca="false">IFERROR(X302/W302,0)</f>
        <v>0.299282349186383</v>
      </c>
      <c r="Z302" s="9" t="n">
        <f aca="false">C302-B302</f>
        <v>8</v>
      </c>
      <c r="AA302" s="1" t="str">
        <f aca="false">IF(B302="","",TEXT(B302,"mmm"))</f>
        <v>Apr</v>
      </c>
      <c r="AB302" s="9" t="n">
        <f aca="false">IF(B302="","",YEAR(B302))</f>
        <v>2024</v>
      </c>
      <c r="AC302" s="3"/>
      <c r="AD302" s="3" t="str">
        <f aca="false">IF(LEFT(AC302&amp;IF(B302="","; Missing Order Date","")&amp;IF(C302="","; Missing Ship Date","")&amp;IF(P302&lt;0,"; Invalid Discount (Negative)","")&amp;IF(P302&gt;0.5,"; Invalid Discount (Too High)","")&amp;IF(Z302&lt;0,"; Invalid Shipping Record (Ship Before Order)","")&amp;IF(ABS(Q302-W302)&gt;1,"; Sales Mismatch","")&amp;IF(ABS(S302-X302)&gt;1,"; Profit Mismatch","")&amp;IF(COUNTIF($A$2:$A$913,A302)&gt;1,"; Duplicate Order ID Conflict",""),2)="; ",MID(AC302&amp;IF(B302="","; Missing Order Date","")&amp;IF(C302="","; Missing Ship Date","")&amp;IF(P302&lt;0,"; Invalid Discount (Negative)","")&amp;IF(P302&gt;0.5,"; Invalid Discount (Too High)","")&amp;IF(Z302&lt;0,"; Invalid Shipping Record (Ship Before Order)","")&amp;IF(ABS(Q302-W302)&gt;1,"; Sales Mismatch","")&amp;IF(ABS(S302-X302)&gt;1,"; Profit Mismatch","")&amp;IF(COUNTIF($A$2:$A$913,A302)&gt;1,"; Duplicate Order ID Conflict",""),3,500),AC302&amp;IF(B302="","; Missing Order Date","")&amp;IF(C302="","; Missing Ship Date","")&amp;IF(P302&lt;0,"; Invalid Discount (Negative)","")&amp;IF(P302&gt;0.5,"; Invalid Discount (Too High)","")&amp;IF(Z302&lt;0,"; Invalid Shipping Record (Ship Before Order)","")&amp;IF(ABS(Q302-W302)&gt;1,"; Sales Mismatch","")&amp;IF(ABS(S302-X302)&gt;1,"; Profit Mismatch","")&amp;IF(COUNTIF($A$2:$A$913,A302)&gt;1,"; Duplicate Order ID Conflict",""))</f>
        <v/>
      </c>
      <c r="AE302" s="10" t="str">
        <f aca="false">IF(OR(ISNUMBER(SEARCH("Invalid Discount",AD302)),ISNUMBER(SEARCH("Invalid Shipping Record",AD302)),ISNUMBER(SEARCH("Sales Mismatch",AD302)),ISNUMBER(SEARCH("Profit Mismatch",AD302)),ISNUMBER(SEARCH("Duplicate Order ID Conflict",AD302)),ISNUMBER(SEARCH("Missing Order Date",AD302)),ISNUMBER(SEARCH("Missing Ship Date",AD302))),"Invalid",IF(AD302&lt;&gt;"","Warning","Clean"))</f>
        <v>Clean</v>
      </c>
    </row>
    <row r="303" customFormat="false" ht="15" hidden="false" customHeight="true" outlineLevel="0" collapsed="false">
      <c r="A303" s="3" t="s">
        <v>931</v>
      </c>
      <c r="B303" s="4" t="n">
        <v>45805</v>
      </c>
      <c r="C303" s="4" t="n">
        <v>45809</v>
      </c>
      <c r="D303" s="3" t="s">
        <v>932</v>
      </c>
      <c r="E303" s="3" t="str">
        <f aca="false">PROPER(TRIM(SUBSTITUTE(Raw_Text_Fields!B304,CHAR(160)," ")))</f>
        <v>Isha Nair</v>
      </c>
      <c r="F303" s="3" t="str">
        <f aca="false">PROPER(TRIM(SUBSTITUTE(Raw_Text_Fields!C304,CHAR(160)," ")))</f>
        <v>Home Office</v>
      </c>
      <c r="G303" s="3" t="str">
        <f aca="false">PROPER(TRIM(SUBSTITUTE(Raw_Text_Fields!D304,CHAR(160)," ")))</f>
        <v>East</v>
      </c>
      <c r="H303" s="3" t="str">
        <f aca="false">PROPER(TRIM(SUBSTITUTE(Raw_Text_Fields!E304,CHAR(160)," ")))</f>
        <v>Bihar</v>
      </c>
      <c r="I303" s="3" t="str">
        <f aca="false">PROPER(TRIM(SUBSTITUTE(Raw_Text_Fields!F304,CHAR(160)," ")))</f>
        <v>Patna</v>
      </c>
      <c r="J303" s="3" t="str">
        <f aca="false">PROPER(TRIM(SUBSTITUTE(Raw_Text_Fields!G304,CHAR(160)," ")))</f>
        <v>Technology</v>
      </c>
      <c r="K303" s="3" t="str">
        <f aca="false">PROPER(TRIM(SUBSTITUTE(Raw_Text_Fields!H304,CHAR(160)," ")))</f>
        <v>Phones</v>
      </c>
      <c r="L303" s="3" t="s">
        <v>933</v>
      </c>
      <c r="M303" s="3" t="str">
        <f aca="false">PROPER(TRIM(SUBSTITUTE(Raw_Text_Fields!I304,CHAR(160)," ")))</f>
        <v>Same Day</v>
      </c>
      <c r="N303" s="3" t="n">
        <v>4</v>
      </c>
      <c r="O303" s="5" t="n">
        <v>1654.11</v>
      </c>
      <c r="P303" s="6" t="n">
        <v>0.05</v>
      </c>
      <c r="Q303" s="5" t="n">
        <v>6285.62</v>
      </c>
      <c r="R303" s="5" t="n">
        <v>3705.38</v>
      </c>
      <c r="S303" s="5" t="n">
        <v>2580.24</v>
      </c>
      <c r="T303" s="3" t="str">
        <f aca="false">PROPER(TRIM(SUBSTITUTE(Raw_Text_Fields!J304,CHAR(160)," ")))</f>
        <v>Paid</v>
      </c>
      <c r="U303" s="3" t="str">
        <f aca="false">PROPER(TRIM(SUBSTITUTE(Raw_Text_Fields!K304,CHAR(160)," ")))</f>
        <v>Completed</v>
      </c>
      <c r="V303" s="7" t="n">
        <f aca="false">IF(OR(P303&lt;0,P303&gt;0.5),0,P303)</f>
        <v>0.05</v>
      </c>
      <c r="W303" s="8" t="n">
        <f aca="false">N303*O303*(1-V303)</f>
        <v>6285.618</v>
      </c>
      <c r="X303" s="8" t="n">
        <f aca="false">W303-R303</f>
        <v>2580.238</v>
      </c>
      <c r="Y303" s="7" t="n">
        <f aca="false">IFERROR(X303/W303,0)</f>
        <v>0.410498697184589</v>
      </c>
      <c r="Z303" s="9" t="n">
        <f aca="false">C303-B303</f>
        <v>4</v>
      </c>
      <c r="AA303" s="1" t="str">
        <f aca="false">IF(B303="","",TEXT(B303,"mmm"))</f>
        <v>May</v>
      </c>
      <c r="AB303" s="9" t="n">
        <f aca="false">IF(B303="","",YEAR(B303))</f>
        <v>2025</v>
      </c>
      <c r="AC303" s="3"/>
      <c r="AD303" s="3" t="str">
        <f aca="false">IF(LEFT(AC303&amp;IF(B303="","; Missing Order Date","")&amp;IF(C303="","; Missing Ship Date","")&amp;IF(P303&lt;0,"; Invalid Discount (Negative)","")&amp;IF(P303&gt;0.5,"; Invalid Discount (Too High)","")&amp;IF(Z303&lt;0,"; Invalid Shipping Record (Ship Before Order)","")&amp;IF(ABS(Q303-W303)&gt;1,"; Sales Mismatch","")&amp;IF(ABS(S303-X303)&gt;1,"; Profit Mismatch","")&amp;IF(COUNTIF($A$2:$A$913,A303)&gt;1,"; Duplicate Order ID Conflict",""),2)="; ",MID(AC303&amp;IF(B303="","; Missing Order Date","")&amp;IF(C303="","; Missing Ship Date","")&amp;IF(P303&lt;0,"; Invalid Discount (Negative)","")&amp;IF(P303&gt;0.5,"; Invalid Discount (Too High)","")&amp;IF(Z303&lt;0,"; Invalid Shipping Record (Ship Before Order)","")&amp;IF(ABS(Q303-W303)&gt;1,"; Sales Mismatch","")&amp;IF(ABS(S303-X303)&gt;1,"; Profit Mismatch","")&amp;IF(COUNTIF($A$2:$A$913,A303)&gt;1,"; Duplicate Order ID Conflict",""),3,500),AC303&amp;IF(B303="","; Missing Order Date","")&amp;IF(C303="","; Missing Ship Date","")&amp;IF(P303&lt;0,"; Invalid Discount (Negative)","")&amp;IF(P303&gt;0.5,"; Invalid Discount (Too High)","")&amp;IF(Z303&lt;0,"; Invalid Shipping Record (Ship Before Order)","")&amp;IF(ABS(Q303-W303)&gt;1,"; Sales Mismatch","")&amp;IF(ABS(S303-X303)&gt;1,"; Profit Mismatch","")&amp;IF(COUNTIF($A$2:$A$913,A303)&gt;1,"; Duplicate Order ID Conflict",""))</f>
        <v/>
      </c>
      <c r="AE303" s="10" t="str">
        <f aca="false">IF(OR(ISNUMBER(SEARCH("Invalid Discount",AD303)),ISNUMBER(SEARCH("Invalid Shipping Record",AD303)),ISNUMBER(SEARCH("Sales Mismatch",AD303)),ISNUMBER(SEARCH("Profit Mismatch",AD303)),ISNUMBER(SEARCH("Duplicate Order ID Conflict",AD303)),ISNUMBER(SEARCH("Missing Order Date",AD303)),ISNUMBER(SEARCH("Missing Ship Date",AD303))),"Invalid",IF(AD303&lt;&gt;"","Warning","Clean"))</f>
        <v>Clean</v>
      </c>
    </row>
    <row r="304" customFormat="false" ht="15" hidden="false" customHeight="true" outlineLevel="0" collapsed="false">
      <c r="A304" s="3" t="s">
        <v>934</v>
      </c>
      <c r="B304" s="4" t="n">
        <v>45812</v>
      </c>
      <c r="C304" s="4" t="n">
        <v>45820</v>
      </c>
      <c r="D304" s="3" t="s">
        <v>935</v>
      </c>
      <c r="E304" s="3" t="str">
        <f aca="false">PROPER(TRIM(SUBSTITUTE(Raw_Text_Fields!B305,CHAR(160)," ")))</f>
        <v>Neha Gupta</v>
      </c>
      <c r="F304" s="3" t="str">
        <f aca="false">PROPER(TRIM(SUBSTITUTE(Raw_Text_Fields!C305,CHAR(160)," ")))</f>
        <v>Consumer</v>
      </c>
      <c r="G304" s="3" t="str">
        <f aca="false">PROPER(TRIM(SUBSTITUTE(Raw_Text_Fields!D305,CHAR(160)," ")))</f>
        <v>West</v>
      </c>
      <c r="H304" s="3" t="str">
        <f aca="false">PROPER(TRIM(SUBSTITUTE(Raw_Text_Fields!E305,CHAR(160)," ")))</f>
        <v>Goa</v>
      </c>
      <c r="I304" s="3" t="str">
        <f aca="false">PROPER(TRIM(SUBSTITUTE(Raw_Text_Fields!F305,CHAR(160)," ")))</f>
        <v>Panaji</v>
      </c>
      <c r="J304" s="3" t="str">
        <f aca="false">PROPER(TRIM(SUBSTITUTE(Raw_Text_Fields!G305,CHAR(160)," ")))</f>
        <v>Office Supplies</v>
      </c>
      <c r="K304" s="3" t="str">
        <f aca="false">PROPER(TRIM(SUBSTITUTE(Raw_Text_Fields!H305,CHAR(160)," ")))</f>
        <v>Storage</v>
      </c>
      <c r="L304" s="3" t="s">
        <v>936</v>
      </c>
      <c r="M304" s="3" t="str">
        <f aca="false">PROPER(TRIM(SUBSTITUTE(Raw_Text_Fields!I305,CHAR(160)," ")))</f>
        <v>Same Day</v>
      </c>
      <c r="N304" s="3" t="n">
        <v>2</v>
      </c>
      <c r="O304" s="5" t="n">
        <v>2703.28</v>
      </c>
      <c r="P304" s="6" t="n">
        <v>0.25</v>
      </c>
      <c r="Q304" s="5" t="n">
        <v>4054.92</v>
      </c>
      <c r="R304" s="5" t="n">
        <v>2424.83</v>
      </c>
      <c r="S304" s="5" t="n">
        <v>1630.09</v>
      </c>
      <c r="T304" s="3" t="str">
        <f aca="false">PROPER(TRIM(SUBSTITUTE(Raw_Text_Fields!J305,CHAR(160)," ")))</f>
        <v>Paid</v>
      </c>
      <c r="U304" s="3" t="str">
        <f aca="false">PROPER(TRIM(SUBSTITUTE(Raw_Text_Fields!K305,CHAR(160)," ")))</f>
        <v>Completed</v>
      </c>
      <c r="V304" s="7" t="n">
        <f aca="false">IF(OR(P304&lt;0,P304&gt;0.5),0,P304)</f>
        <v>0.25</v>
      </c>
      <c r="W304" s="8" t="n">
        <f aca="false">N304*O304*(1-V304)</f>
        <v>4054.92</v>
      </c>
      <c r="X304" s="8" t="n">
        <f aca="false">W304-R304</f>
        <v>1630.09</v>
      </c>
      <c r="Y304" s="7" t="n">
        <f aca="false">IFERROR(X304/W304,0)</f>
        <v>0.402002998826117</v>
      </c>
      <c r="Z304" s="9" t="n">
        <f aca="false">C304-B304</f>
        <v>8</v>
      </c>
      <c r="AA304" s="1" t="str">
        <f aca="false">IF(B304="","",TEXT(B304,"mmm"))</f>
        <v>Jun</v>
      </c>
      <c r="AB304" s="9" t="n">
        <f aca="false">IF(B304="","",YEAR(B304))</f>
        <v>2025</v>
      </c>
      <c r="AC304" s="3"/>
      <c r="AD304" s="3" t="str">
        <f aca="false">IF(LEFT(AC304&amp;IF(B304="","; Missing Order Date","")&amp;IF(C304="","; Missing Ship Date","")&amp;IF(P304&lt;0,"; Invalid Discount (Negative)","")&amp;IF(P304&gt;0.5,"; Invalid Discount (Too High)","")&amp;IF(Z304&lt;0,"; Invalid Shipping Record (Ship Before Order)","")&amp;IF(ABS(Q304-W304)&gt;1,"; Sales Mismatch","")&amp;IF(ABS(S304-X304)&gt;1,"; Profit Mismatch","")&amp;IF(COUNTIF($A$2:$A$913,A304)&gt;1,"; Duplicate Order ID Conflict",""),2)="; ",MID(AC304&amp;IF(B304="","; Missing Order Date","")&amp;IF(C304="","; Missing Ship Date","")&amp;IF(P304&lt;0,"; Invalid Discount (Negative)","")&amp;IF(P304&gt;0.5,"; Invalid Discount (Too High)","")&amp;IF(Z304&lt;0,"; Invalid Shipping Record (Ship Before Order)","")&amp;IF(ABS(Q304-W304)&gt;1,"; Sales Mismatch","")&amp;IF(ABS(S304-X304)&gt;1,"; Profit Mismatch","")&amp;IF(COUNTIF($A$2:$A$913,A304)&gt;1,"; Duplicate Order ID Conflict",""),3,500),AC304&amp;IF(B304="","; Missing Order Date","")&amp;IF(C304="","; Missing Ship Date","")&amp;IF(P304&lt;0,"; Invalid Discount (Negative)","")&amp;IF(P304&gt;0.5,"; Invalid Discount (Too High)","")&amp;IF(Z304&lt;0,"; Invalid Shipping Record (Ship Before Order)","")&amp;IF(ABS(Q304-W304)&gt;1,"; Sales Mismatch","")&amp;IF(ABS(S304-X304)&gt;1,"; Profit Mismatch","")&amp;IF(COUNTIF($A$2:$A$913,A304)&gt;1,"; Duplicate Order ID Conflict",""))</f>
        <v/>
      </c>
      <c r="AE304" s="10" t="str">
        <f aca="false">IF(OR(ISNUMBER(SEARCH("Invalid Discount",AD304)),ISNUMBER(SEARCH("Invalid Shipping Record",AD304)),ISNUMBER(SEARCH("Sales Mismatch",AD304)),ISNUMBER(SEARCH("Profit Mismatch",AD304)),ISNUMBER(SEARCH("Duplicate Order ID Conflict",AD304)),ISNUMBER(SEARCH("Missing Order Date",AD304)),ISNUMBER(SEARCH("Missing Ship Date",AD304))),"Invalid",IF(AD304&lt;&gt;"","Warning","Clean"))</f>
        <v>Clean</v>
      </c>
    </row>
    <row r="305" customFormat="false" ht="15" hidden="false" customHeight="true" outlineLevel="0" collapsed="false">
      <c r="A305" s="3" t="s">
        <v>937</v>
      </c>
      <c r="B305" s="4" t="n">
        <v>45466</v>
      </c>
      <c r="C305" s="4" t="n">
        <v>45471</v>
      </c>
      <c r="D305" s="3" t="s">
        <v>938</v>
      </c>
      <c r="E305" s="3" t="str">
        <f aca="false">PROPER(TRIM(SUBSTITUTE(Raw_Text_Fields!B306,CHAR(160)," ")))</f>
        <v>Diya Patel</v>
      </c>
      <c r="F305" s="3" t="str">
        <f aca="false">PROPER(TRIM(SUBSTITUTE(Raw_Text_Fields!C306,CHAR(160)," ")))</f>
        <v>Home Office</v>
      </c>
      <c r="G305" s="3" t="str">
        <f aca="false">PROPER(TRIM(SUBSTITUTE(Raw_Text_Fields!D306,CHAR(160)," ")))</f>
        <v>West</v>
      </c>
      <c r="H305" s="3" t="str">
        <f aca="false">PROPER(TRIM(SUBSTITUTE(Raw_Text_Fields!E306,CHAR(160)," ")))</f>
        <v>Gujarat</v>
      </c>
      <c r="I305" s="3" t="str">
        <f aca="false">PROPER(TRIM(SUBSTITUTE(Raw_Text_Fields!F306,CHAR(160)," ")))</f>
        <v>Ahmedabad</v>
      </c>
      <c r="J305" s="3" t="str">
        <f aca="false">PROPER(TRIM(SUBSTITUTE(Raw_Text_Fields!G306,CHAR(160)," ")))</f>
        <v>Furniture</v>
      </c>
      <c r="K305" s="3" t="str">
        <f aca="false">PROPER(TRIM(SUBSTITUTE(Raw_Text_Fields!H306,CHAR(160)," ")))</f>
        <v>Chairs</v>
      </c>
      <c r="L305" s="3" t="s">
        <v>939</v>
      </c>
      <c r="M305" s="3" t="str">
        <f aca="false">PROPER(TRIM(SUBSTITUTE(Raw_Text_Fields!I306,CHAR(160)," ")))</f>
        <v>Standard Class</v>
      </c>
      <c r="N305" s="3" t="n">
        <v>2</v>
      </c>
      <c r="O305" s="5" t="n">
        <v>1313.14</v>
      </c>
      <c r="P305" s="6" t="n">
        <v>0.1</v>
      </c>
      <c r="Q305" s="5" t="n">
        <v>2363.65</v>
      </c>
      <c r="R305" s="5" t="n">
        <v>1876.1</v>
      </c>
      <c r="S305" s="5" t="n">
        <v>487.55</v>
      </c>
      <c r="T305" s="3" t="str">
        <f aca="false">PROPER(TRIM(SUBSTITUTE(Raw_Text_Fields!J306,CHAR(160)," ")))</f>
        <v>Pending</v>
      </c>
      <c r="U305" s="3" t="str">
        <f aca="false">PROPER(TRIM(SUBSTITUTE(Raw_Text_Fields!K306,CHAR(160)," ")))</f>
        <v>Returned</v>
      </c>
      <c r="V305" s="7" t="n">
        <f aca="false">IF(OR(P305&lt;0,P305&gt;0.5),0,P305)</f>
        <v>0.1</v>
      </c>
      <c r="W305" s="8" t="n">
        <f aca="false">N305*O305*(1-V305)</f>
        <v>2363.652</v>
      </c>
      <c r="X305" s="8" t="n">
        <f aca="false">W305-R305</f>
        <v>487.552</v>
      </c>
      <c r="Y305" s="7" t="n">
        <f aca="false">IFERROR(X305/W305,0)</f>
        <v>0.206270635440412</v>
      </c>
      <c r="Z305" s="9" t="n">
        <f aca="false">C305-B305</f>
        <v>5</v>
      </c>
      <c r="AA305" s="1" t="str">
        <f aca="false">IF(B305="","",TEXT(B305,"mmm"))</f>
        <v>Jun</v>
      </c>
      <c r="AB305" s="9" t="n">
        <f aca="false">IF(B305="","",YEAR(B305))</f>
        <v>2024</v>
      </c>
      <c r="AC305" s="3"/>
      <c r="AD305" s="3" t="str">
        <f aca="false">IF(LEFT(AC305&amp;IF(B305="","; Missing Order Date","")&amp;IF(C305="","; Missing Ship Date","")&amp;IF(P305&lt;0,"; Invalid Discount (Negative)","")&amp;IF(P305&gt;0.5,"; Invalid Discount (Too High)","")&amp;IF(Z305&lt;0,"; Invalid Shipping Record (Ship Before Order)","")&amp;IF(ABS(Q305-W305)&gt;1,"; Sales Mismatch","")&amp;IF(ABS(S305-X305)&gt;1,"; Profit Mismatch","")&amp;IF(COUNTIF($A$2:$A$913,A305)&gt;1,"; Duplicate Order ID Conflict",""),2)="; ",MID(AC305&amp;IF(B305="","; Missing Order Date","")&amp;IF(C305="","; Missing Ship Date","")&amp;IF(P305&lt;0,"; Invalid Discount (Negative)","")&amp;IF(P305&gt;0.5,"; Invalid Discount (Too High)","")&amp;IF(Z305&lt;0,"; Invalid Shipping Record (Ship Before Order)","")&amp;IF(ABS(Q305-W305)&gt;1,"; Sales Mismatch","")&amp;IF(ABS(S305-X305)&gt;1,"; Profit Mismatch","")&amp;IF(COUNTIF($A$2:$A$913,A305)&gt;1,"; Duplicate Order ID Conflict",""),3,500),AC305&amp;IF(B305="","; Missing Order Date","")&amp;IF(C305="","; Missing Ship Date","")&amp;IF(P305&lt;0,"; Invalid Discount (Negative)","")&amp;IF(P305&gt;0.5,"; Invalid Discount (Too High)","")&amp;IF(Z305&lt;0,"; Invalid Shipping Record (Ship Before Order)","")&amp;IF(ABS(Q305-W305)&gt;1,"; Sales Mismatch","")&amp;IF(ABS(S305-X305)&gt;1,"; Profit Mismatch","")&amp;IF(COUNTIF($A$2:$A$913,A305)&gt;1,"; Duplicate Order ID Conflict",""))</f>
        <v/>
      </c>
      <c r="AE305" s="10" t="str">
        <f aca="false">IF(OR(ISNUMBER(SEARCH("Invalid Discount",AD305)),ISNUMBER(SEARCH("Invalid Shipping Record",AD305)),ISNUMBER(SEARCH("Sales Mismatch",AD305)),ISNUMBER(SEARCH("Profit Mismatch",AD305)),ISNUMBER(SEARCH("Duplicate Order ID Conflict",AD305)),ISNUMBER(SEARCH("Missing Order Date",AD305)),ISNUMBER(SEARCH("Missing Ship Date",AD305))),"Invalid",IF(AD305&lt;&gt;"","Warning","Clean"))</f>
        <v>Clean</v>
      </c>
    </row>
    <row r="306" customFormat="false" ht="15" hidden="false" customHeight="true" outlineLevel="0" collapsed="false">
      <c r="A306" s="3" t="s">
        <v>940</v>
      </c>
      <c r="B306" s="4" t="n">
        <v>45357</v>
      </c>
      <c r="C306" s="4" t="n">
        <v>45364</v>
      </c>
      <c r="D306" s="3" t="s">
        <v>941</v>
      </c>
      <c r="E306" s="3" t="str">
        <f aca="false">PROPER(TRIM(SUBSTITUTE(Raw_Text_Fields!B307,CHAR(160)," ")))</f>
        <v>Karan Malhotra</v>
      </c>
      <c r="F306" s="3" t="str">
        <f aca="false">PROPER(TRIM(SUBSTITUTE(Raw_Text_Fields!C307,CHAR(160)," ")))</f>
        <v>Consumer</v>
      </c>
      <c r="G306" s="3" t="str">
        <f aca="false">PROPER(TRIM(SUBSTITUTE(Raw_Text_Fields!D307,CHAR(160)," ")))</f>
        <v>North</v>
      </c>
      <c r="H306" s="3" t="str">
        <f aca="false">PROPER(TRIM(SUBSTITUTE(Raw_Text_Fields!E307,CHAR(160)," ")))</f>
        <v>Punjab</v>
      </c>
      <c r="I306" s="3" t="str">
        <f aca="false">PROPER(TRIM(SUBSTITUTE(Raw_Text_Fields!F307,CHAR(160)," ")))</f>
        <v>Ludhiana</v>
      </c>
      <c r="J306" s="3" t="str">
        <f aca="false">PROPER(TRIM(SUBSTITUTE(Raw_Text_Fields!G307,CHAR(160)," ")))</f>
        <v>Furniture</v>
      </c>
      <c r="K306" s="3" t="str">
        <f aca="false">PROPER(TRIM(SUBSTITUTE(Raw_Text_Fields!H307,CHAR(160)," ")))</f>
        <v>Furnishings</v>
      </c>
      <c r="L306" s="3" t="s">
        <v>942</v>
      </c>
      <c r="M306" s="3" t="str">
        <f aca="false">PROPER(TRIM(SUBSTITUTE(Raw_Text_Fields!I307,CHAR(160)," ")))</f>
        <v>Standard Class</v>
      </c>
      <c r="N306" s="3" t="n">
        <v>6</v>
      </c>
      <c r="O306" s="5" t="n">
        <v>2403.05</v>
      </c>
      <c r="P306" s="6" t="n">
        <v>0.1</v>
      </c>
      <c r="Q306" s="5" t="n">
        <v>12976.47</v>
      </c>
      <c r="R306" s="5" t="n">
        <v>10019.98</v>
      </c>
      <c r="S306" s="5" t="n">
        <v>2956.49</v>
      </c>
      <c r="T306" s="3" t="str">
        <f aca="false">PROPER(TRIM(SUBSTITUTE(Raw_Text_Fields!J307,CHAR(160)," ")))</f>
        <v>Paid</v>
      </c>
      <c r="U306" s="3" t="str">
        <f aca="false">PROPER(TRIM(SUBSTITUTE(Raw_Text_Fields!K307,CHAR(160)," ")))</f>
        <v>Completed</v>
      </c>
      <c r="V306" s="7" t="n">
        <f aca="false">IF(OR(P306&lt;0,P306&gt;0.5),0,P306)</f>
        <v>0.1</v>
      </c>
      <c r="W306" s="8" t="n">
        <f aca="false">N306*O306*(1-V306)</f>
        <v>12976.47</v>
      </c>
      <c r="X306" s="8" t="n">
        <f aca="false">W306-R306</f>
        <v>2956.49</v>
      </c>
      <c r="Y306" s="7" t="n">
        <f aca="false">IFERROR(X306/W306,0)</f>
        <v>0.227834688478454</v>
      </c>
      <c r="Z306" s="9" t="n">
        <f aca="false">C306-B306</f>
        <v>7</v>
      </c>
      <c r="AA306" s="1" t="str">
        <f aca="false">IF(B306="","",TEXT(B306,"mmm"))</f>
        <v>Mar</v>
      </c>
      <c r="AB306" s="9" t="n">
        <f aca="false">IF(B306="","",YEAR(B306))</f>
        <v>2024</v>
      </c>
      <c r="AC306" s="3"/>
      <c r="AD306" s="3" t="str">
        <f aca="false">IF(LEFT(AC306&amp;IF(B306="","; Missing Order Date","")&amp;IF(C306="","; Missing Ship Date","")&amp;IF(P306&lt;0,"; Invalid Discount (Negative)","")&amp;IF(P306&gt;0.5,"; Invalid Discount (Too High)","")&amp;IF(Z306&lt;0,"; Invalid Shipping Record (Ship Before Order)","")&amp;IF(ABS(Q306-W306)&gt;1,"; Sales Mismatch","")&amp;IF(ABS(S306-X306)&gt;1,"; Profit Mismatch","")&amp;IF(COUNTIF($A$2:$A$913,A306)&gt;1,"; Duplicate Order ID Conflict",""),2)="; ",MID(AC306&amp;IF(B306="","; Missing Order Date","")&amp;IF(C306="","; Missing Ship Date","")&amp;IF(P306&lt;0,"; Invalid Discount (Negative)","")&amp;IF(P306&gt;0.5,"; Invalid Discount (Too High)","")&amp;IF(Z306&lt;0,"; Invalid Shipping Record (Ship Before Order)","")&amp;IF(ABS(Q306-W306)&gt;1,"; Sales Mismatch","")&amp;IF(ABS(S306-X306)&gt;1,"; Profit Mismatch","")&amp;IF(COUNTIF($A$2:$A$913,A306)&gt;1,"; Duplicate Order ID Conflict",""),3,500),AC306&amp;IF(B306="","; Missing Order Date","")&amp;IF(C306="","; Missing Ship Date","")&amp;IF(P306&lt;0,"; Invalid Discount (Negative)","")&amp;IF(P306&gt;0.5,"; Invalid Discount (Too High)","")&amp;IF(Z306&lt;0,"; Invalid Shipping Record (Ship Before Order)","")&amp;IF(ABS(Q306-W306)&gt;1,"; Sales Mismatch","")&amp;IF(ABS(S306-X306)&gt;1,"; Profit Mismatch","")&amp;IF(COUNTIF($A$2:$A$913,A306)&gt;1,"; Duplicate Order ID Conflict",""))</f>
        <v/>
      </c>
      <c r="AE306" s="10" t="str">
        <f aca="false">IF(OR(ISNUMBER(SEARCH("Invalid Discount",AD306)),ISNUMBER(SEARCH("Invalid Shipping Record",AD306)),ISNUMBER(SEARCH("Sales Mismatch",AD306)),ISNUMBER(SEARCH("Profit Mismatch",AD306)),ISNUMBER(SEARCH("Duplicate Order ID Conflict",AD306)),ISNUMBER(SEARCH("Missing Order Date",AD306)),ISNUMBER(SEARCH("Missing Ship Date",AD306))),"Invalid",IF(AD306&lt;&gt;"","Warning","Clean"))</f>
        <v>Clean</v>
      </c>
    </row>
    <row r="307" customFormat="false" ht="15" hidden="false" customHeight="true" outlineLevel="0" collapsed="false">
      <c r="A307" s="3" t="s">
        <v>943</v>
      </c>
      <c r="B307" s="4" t="n">
        <v>45413</v>
      </c>
      <c r="C307" s="4" t="n">
        <v>45414</v>
      </c>
      <c r="D307" s="3" t="s">
        <v>944</v>
      </c>
      <c r="E307" s="3" t="str">
        <f aca="false">PROPER(TRIM(SUBSTITUTE(Raw_Text_Fields!B308,CHAR(160)," ")))</f>
        <v>Ananya Rao</v>
      </c>
      <c r="F307" s="3" t="str">
        <f aca="false">PROPER(TRIM(SUBSTITUTE(Raw_Text_Fields!C308,CHAR(160)," ")))</f>
        <v>Consumer</v>
      </c>
      <c r="G307" s="3" t="str">
        <f aca="false">PROPER(TRIM(SUBSTITUTE(Raw_Text_Fields!D308,CHAR(160)," ")))</f>
        <v>East</v>
      </c>
      <c r="H307" s="3" t="str">
        <f aca="false">PROPER(TRIM(SUBSTITUTE(Raw_Text_Fields!E308,CHAR(160)," ")))</f>
        <v>Assam</v>
      </c>
      <c r="I307" s="3" t="str">
        <f aca="false">PROPER(TRIM(SUBSTITUTE(Raw_Text_Fields!F308,CHAR(160)," ")))</f>
        <v>Guwahati</v>
      </c>
      <c r="J307" s="3" t="str">
        <f aca="false">PROPER(TRIM(SUBSTITUTE(Raw_Text_Fields!G308,CHAR(160)," ")))</f>
        <v>Furniture</v>
      </c>
      <c r="K307" s="3" t="str">
        <f aca="false">PROPER(TRIM(SUBSTITUTE(Raw_Text_Fields!H308,CHAR(160)," ")))</f>
        <v>Chairs</v>
      </c>
      <c r="L307" s="3" t="s">
        <v>945</v>
      </c>
      <c r="M307" s="3" t="str">
        <f aca="false">PROPER(TRIM(SUBSTITUTE(Raw_Text_Fields!I308,CHAR(160)," ")))</f>
        <v>First Class</v>
      </c>
      <c r="N307" s="3" t="n">
        <v>4</v>
      </c>
      <c r="O307" s="5" t="n">
        <v>4156.06</v>
      </c>
      <c r="P307" s="6" t="n">
        <v>0.55</v>
      </c>
      <c r="Q307" s="5" t="n">
        <v>13299.39</v>
      </c>
      <c r="R307" s="5" t="n">
        <v>9851.91</v>
      </c>
      <c r="S307" s="5" t="n">
        <v>3447.48</v>
      </c>
      <c r="T307" s="3" t="str">
        <f aca="false">PROPER(TRIM(SUBSTITUTE(Raw_Text_Fields!J308,CHAR(160)," ")))</f>
        <v>Paid</v>
      </c>
      <c r="U307" s="3" t="str">
        <f aca="false">PROPER(TRIM(SUBSTITUTE(Raw_Text_Fields!K308,CHAR(160)," ")))</f>
        <v>Cancelled</v>
      </c>
      <c r="V307" s="7" t="n">
        <f aca="false">IF(OR(P307&lt;0,P307&gt;0.5),0,P307)</f>
        <v>0</v>
      </c>
      <c r="W307" s="8" t="n">
        <f aca="false">N307*O307*(1-V307)</f>
        <v>16624.24</v>
      </c>
      <c r="X307" s="8" t="n">
        <f aca="false">W307-R307</f>
        <v>6772.33</v>
      </c>
      <c r="Y307" s="7" t="n">
        <f aca="false">IFERROR(X307/W307,0)</f>
        <v>0.407376818428993</v>
      </c>
      <c r="Z307" s="9" t="n">
        <f aca="false">C307-B307</f>
        <v>1</v>
      </c>
      <c r="AA307" s="1" t="str">
        <f aca="false">IF(B307="","",TEXT(B307,"mmm"))</f>
        <v>May</v>
      </c>
      <c r="AB307" s="9" t="n">
        <f aca="false">IF(B307="","",YEAR(B307))</f>
        <v>2024</v>
      </c>
      <c r="AC307" s="3"/>
      <c r="AD307" s="3" t="str">
        <f aca="false">IF(LEFT(AC307&amp;IF(B307="","; Missing Order Date","")&amp;IF(C307="","; Missing Ship Date","")&amp;IF(P307&lt;0,"; Invalid Discount (Negative)","")&amp;IF(P307&gt;0.5,"; Invalid Discount (Too High)","")&amp;IF(Z307&lt;0,"; Invalid Shipping Record (Ship Before Order)","")&amp;IF(ABS(Q307-W307)&gt;1,"; Sales Mismatch","")&amp;IF(ABS(S307-X307)&gt;1,"; Profit Mismatch","")&amp;IF(COUNTIF($A$2:$A$913,A307)&gt;1,"; Duplicate Order ID Conflict",""),2)="; ",MID(AC307&amp;IF(B307="","; Missing Order Date","")&amp;IF(C307="","; Missing Ship Date","")&amp;IF(P307&lt;0,"; Invalid Discount (Negative)","")&amp;IF(P307&gt;0.5,"; Invalid Discount (Too High)","")&amp;IF(Z307&lt;0,"; Invalid Shipping Record (Ship Before Order)","")&amp;IF(ABS(Q307-W307)&gt;1,"; Sales Mismatch","")&amp;IF(ABS(S307-X307)&gt;1,"; Profit Mismatch","")&amp;IF(COUNTIF($A$2:$A$913,A307)&gt;1,"; Duplicate Order ID Conflict",""),3,500),AC307&amp;IF(B307="","; Missing Order Date","")&amp;IF(C307="","; Missing Ship Date","")&amp;IF(P307&lt;0,"; Invalid Discount (Negative)","")&amp;IF(P307&gt;0.5,"; Invalid Discount (Too High)","")&amp;IF(Z307&lt;0,"; Invalid Shipping Record (Ship Before Order)","")&amp;IF(ABS(Q307-W307)&gt;1,"; Sales Mismatch","")&amp;IF(ABS(S307-X307)&gt;1,"; Profit Mismatch","")&amp;IF(COUNTIF($A$2:$A$913,A307)&gt;1,"; Duplicate Order ID Conflict",""))</f>
        <v>Invalid Discount (Too High); Sales Mismatch; Profit Mismatch</v>
      </c>
      <c r="AE307" s="10" t="str">
        <f aca="false">IF(OR(ISNUMBER(SEARCH("Invalid Discount",AD307)),ISNUMBER(SEARCH("Invalid Shipping Record",AD307)),ISNUMBER(SEARCH("Sales Mismatch",AD307)),ISNUMBER(SEARCH("Profit Mismatch",AD307)),ISNUMBER(SEARCH("Duplicate Order ID Conflict",AD307)),ISNUMBER(SEARCH("Missing Order Date",AD307)),ISNUMBER(SEARCH("Missing Ship Date",AD307))),"Invalid",IF(AD307&lt;&gt;"","Warning","Clean"))</f>
        <v>Invalid</v>
      </c>
    </row>
    <row r="308" customFormat="false" ht="15" hidden="false" customHeight="true" outlineLevel="0" collapsed="false">
      <c r="A308" s="3" t="s">
        <v>946</v>
      </c>
      <c r="B308" s="4" t="n">
        <v>45708</v>
      </c>
      <c r="C308" s="4" t="n">
        <v>45711</v>
      </c>
      <c r="D308" s="3" t="s">
        <v>947</v>
      </c>
      <c r="E308" s="3" t="str">
        <f aca="false">PROPER(TRIM(SUBSTITUTE(Raw_Text_Fields!B309,CHAR(160)," ")))</f>
        <v>Aarav Sharma</v>
      </c>
      <c r="F308" s="3" t="str">
        <f aca="false">PROPER(TRIM(SUBSTITUTE(Raw_Text_Fields!C309,CHAR(160)," ")))</f>
        <v>Consumer</v>
      </c>
      <c r="G308" s="3" t="str">
        <f aca="false">PROPER(TRIM(SUBSTITUTE(Raw_Text_Fields!D309,CHAR(160)," ")))</f>
        <v>North</v>
      </c>
      <c r="H308" s="3" t="str">
        <f aca="false">PROPER(TRIM(SUBSTITUTE(Raw_Text_Fields!E309,CHAR(160)," ")))</f>
        <v>Rajasthan</v>
      </c>
      <c r="I308" s="3" t="str">
        <f aca="false">PROPER(TRIM(SUBSTITUTE(Raw_Text_Fields!F309,CHAR(160)," ")))</f>
        <v>Jaipur</v>
      </c>
      <c r="J308" s="3" t="str">
        <f aca="false">PROPER(TRIM(SUBSTITUTE(Raw_Text_Fields!G309,CHAR(160)," ")))</f>
        <v>Technology</v>
      </c>
      <c r="K308" s="3" t="str">
        <f aca="false">PROPER(TRIM(SUBSTITUTE(Raw_Text_Fields!H309,CHAR(160)," ")))</f>
        <v>Phones</v>
      </c>
      <c r="L308" s="3" t="s">
        <v>948</v>
      </c>
      <c r="M308" s="3" t="str">
        <f aca="false">PROPER(TRIM(SUBSTITUTE(Raw_Text_Fields!I309,CHAR(160)," ")))</f>
        <v>Second Class</v>
      </c>
      <c r="N308" s="3" t="n">
        <v>4</v>
      </c>
      <c r="O308" s="5" t="n">
        <v>3673.11</v>
      </c>
      <c r="P308" s="6" t="n">
        <v>0</v>
      </c>
      <c r="Q308" s="5" t="n">
        <v>14692.44</v>
      </c>
      <c r="R308" s="5" t="n">
        <v>10082.19</v>
      </c>
      <c r="S308" s="5" t="n">
        <v>4610.25</v>
      </c>
      <c r="T308" s="3" t="str">
        <f aca="false">PROPER(TRIM(SUBSTITUTE(Raw_Text_Fields!J309,CHAR(160)," ")))</f>
        <v>Paid</v>
      </c>
      <c r="U308" s="3" t="str">
        <f aca="false">PROPER(TRIM(SUBSTITUTE(Raw_Text_Fields!K309,CHAR(160)," ")))</f>
        <v>Completed</v>
      </c>
      <c r="V308" s="7" t="n">
        <f aca="false">IF(OR(P308&lt;0,P308&gt;0.5),0,P308)</f>
        <v>0</v>
      </c>
      <c r="W308" s="8" t="n">
        <f aca="false">N308*O308*(1-V308)</f>
        <v>14692.44</v>
      </c>
      <c r="X308" s="8" t="n">
        <f aca="false">W308-R308</f>
        <v>4610.25</v>
      </c>
      <c r="Y308" s="7" t="n">
        <f aca="false">IFERROR(X308/W308,0)</f>
        <v>0.313783823517401</v>
      </c>
      <c r="Z308" s="9" t="n">
        <f aca="false">C308-B308</f>
        <v>3</v>
      </c>
      <c r="AA308" s="1" t="str">
        <f aca="false">IF(B308="","",TEXT(B308,"mmm"))</f>
        <v>Feb</v>
      </c>
      <c r="AB308" s="9" t="n">
        <f aca="false">IF(B308="","",YEAR(B308))</f>
        <v>2025</v>
      </c>
      <c r="AC308" s="3"/>
      <c r="AD308" s="3" t="str">
        <f aca="false">IF(LEFT(AC308&amp;IF(B308="","; Missing Order Date","")&amp;IF(C308="","; Missing Ship Date","")&amp;IF(P308&lt;0,"; Invalid Discount (Negative)","")&amp;IF(P308&gt;0.5,"; Invalid Discount (Too High)","")&amp;IF(Z308&lt;0,"; Invalid Shipping Record (Ship Before Order)","")&amp;IF(ABS(Q308-W308)&gt;1,"; Sales Mismatch","")&amp;IF(ABS(S308-X308)&gt;1,"; Profit Mismatch","")&amp;IF(COUNTIF($A$2:$A$913,A308)&gt;1,"; Duplicate Order ID Conflict",""),2)="; ",MID(AC308&amp;IF(B308="","; Missing Order Date","")&amp;IF(C308="","; Missing Ship Date","")&amp;IF(P308&lt;0,"; Invalid Discount (Negative)","")&amp;IF(P308&gt;0.5,"; Invalid Discount (Too High)","")&amp;IF(Z308&lt;0,"; Invalid Shipping Record (Ship Before Order)","")&amp;IF(ABS(Q308-W308)&gt;1,"; Sales Mismatch","")&amp;IF(ABS(S308-X308)&gt;1,"; Profit Mismatch","")&amp;IF(COUNTIF($A$2:$A$913,A308)&gt;1,"; Duplicate Order ID Conflict",""),3,500),AC308&amp;IF(B308="","; Missing Order Date","")&amp;IF(C308="","; Missing Ship Date","")&amp;IF(P308&lt;0,"; Invalid Discount (Negative)","")&amp;IF(P308&gt;0.5,"; Invalid Discount (Too High)","")&amp;IF(Z308&lt;0,"; Invalid Shipping Record (Ship Before Order)","")&amp;IF(ABS(Q308-W308)&gt;1,"; Sales Mismatch","")&amp;IF(ABS(S308-X308)&gt;1,"; Profit Mismatch","")&amp;IF(COUNTIF($A$2:$A$913,A308)&gt;1,"; Duplicate Order ID Conflict",""))</f>
        <v/>
      </c>
      <c r="AE308" s="10" t="str">
        <f aca="false">IF(OR(ISNUMBER(SEARCH("Invalid Discount",AD308)),ISNUMBER(SEARCH("Invalid Shipping Record",AD308)),ISNUMBER(SEARCH("Sales Mismatch",AD308)),ISNUMBER(SEARCH("Profit Mismatch",AD308)),ISNUMBER(SEARCH("Duplicate Order ID Conflict",AD308)),ISNUMBER(SEARCH("Missing Order Date",AD308)),ISNUMBER(SEARCH("Missing Ship Date",AD308))),"Invalid",IF(AD308&lt;&gt;"","Warning","Clean"))</f>
        <v>Clean</v>
      </c>
    </row>
    <row r="309" customFormat="false" ht="15" hidden="false" customHeight="true" outlineLevel="0" collapsed="false">
      <c r="A309" s="3" t="s">
        <v>949</v>
      </c>
      <c r="B309" s="4" t="n">
        <v>45850</v>
      </c>
      <c r="C309" s="4" t="n">
        <v>45857</v>
      </c>
      <c r="D309" s="3" t="s">
        <v>950</v>
      </c>
      <c r="E309" s="3" t="str">
        <f aca="false">PROPER(TRIM(SUBSTITUTE(Raw_Text_Fields!B310,CHAR(160)," ")))</f>
        <v>Ananya Rao</v>
      </c>
      <c r="F309" s="3" t="str">
        <f aca="false">PROPER(TRIM(SUBSTITUTE(Raw_Text_Fields!C310,CHAR(160)," ")))</f>
        <v>Corporate</v>
      </c>
      <c r="G309" s="3" t="str">
        <f aca="false">PROPER(TRIM(SUBSTITUTE(Raw_Text_Fields!D310,CHAR(160)," ")))</f>
        <v>North</v>
      </c>
      <c r="H309" s="3" t="str">
        <f aca="false">PROPER(TRIM(SUBSTITUTE(Raw_Text_Fields!E310,CHAR(160)," ")))</f>
        <v>Uttar Pradesh</v>
      </c>
      <c r="I309" s="3" t="str">
        <f aca="false">PROPER(TRIM(SUBSTITUTE(Raw_Text_Fields!F310,CHAR(160)," ")))</f>
        <v>Noida</v>
      </c>
      <c r="J309" s="3" t="str">
        <f aca="false">PROPER(TRIM(SUBSTITUTE(Raw_Text_Fields!G310,CHAR(160)," ")))</f>
        <v>Furniture</v>
      </c>
      <c r="K309" s="3" t="str">
        <f aca="false">PROPER(TRIM(SUBSTITUTE(Raw_Text_Fields!H310,CHAR(160)," ")))</f>
        <v>Tables</v>
      </c>
      <c r="L309" s="3" t="s">
        <v>951</v>
      </c>
      <c r="M309" s="3" t="str">
        <f aca="false">PROPER(TRIM(SUBSTITUTE(Raw_Text_Fields!I310,CHAR(160)," ")))</f>
        <v>First Class</v>
      </c>
      <c r="N309" s="3" t="n">
        <v>9</v>
      </c>
      <c r="O309" s="5" t="n">
        <v>4093.04</v>
      </c>
      <c r="P309" s="6" t="n">
        <v>0.2</v>
      </c>
      <c r="Q309" s="5" t="n">
        <v>29469.89</v>
      </c>
      <c r="R309" s="5" t="n">
        <v>18935.51</v>
      </c>
      <c r="S309" s="5" t="n">
        <v>10534.38</v>
      </c>
      <c r="T309" s="3" t="str">
        <f aca="false">PROPER(TRIM(SUBSTITUTE(Raw_Text_Fields!J310,CHAR(160)," ")))</f>
        <v>Pending</v>
      </c>
      <c r="U309" s="3" t="str">
        <f aca="false">PROPER(TRIM(SUBSTITUTE(Raw_Text_Fields!K310,CHAR(160)," ")))</f>
        <v>Cancelled</v>
      </c>
      <c r="V309" s="7" t="n">
        <f aca="false">IF(OR(P309&lt;0,P309&gt;0.5),0,P309)</f>
        <v>0.2</v>
      </c>
      <c r="W309" s="8" t="n">
        <f aca="false">N309*O309*(1-V309)</f>
        <v>29469.888</v>
      </c>
      <c r="X309" s="8" t="n">
        <f aca="false">W309-R309</f>
        <v>10534.378</v>
      </c>
      <c r="Y309" s="7" t="n">
        <f aca="false">IFERROR(X309/W309,0)</f>
        <v>0.357462437590533</v>
      </c>
      <c r="Z309" s="9" t="n">
        <f aca="false">C309-B309</f>
        <v>7</v>
      </c>
      <c r="AA309" s="1" t="str">
        <f aca="false">IF(B309="","",TEXT(B309,"mmm"))</f>
        <v>Jul</v>
      </c>
      <c r="AB309" s="9" t="n">
        <f aca="false">IF(B309="","",YEAR(B309))</f>
        <v>2025</v>
      </c>
      <c r="AC309" s="3"/>
      <c r="AD309" s="3" t="str">
        <f aca="false">IF(LEFT(AC309&amp;IF(B309="","; Missing Order Date","")&amp;IF(C309="","; Missing Ship Date","")&amp;IF(P309&lt;0,"; Invalid Discount (Negative)","")&amp;IF(P309&gt;0.5,"; Invalid Discount (Too High)","")&amp;IF(Z309&lt;0,"; Invalid Shipping Record (Ship Before Order)","")&amp;IF(ABS(Q309-W309)&gt;1,"; Sales Mismatch","")&amp;IF(ABS(S309-X309)&gt;1,"; Profit Mismatch","")&amp;IF(COUNTIF($A$2:$A$913,A309)&gt;1,"; Duplicate Order ID Conflict",""),2)="; ",MID(AC309&amp;IF(B309="","; Missing Order Date","")&amp;IF(C309="","; Missing Ship Date","")&amp;IF(P309&lt;0,"; Invalid Discount (Negative)","")&amp;IF(P309&gt;0.5,"; Invalid Discount (Too High)","")&amp;IF(Z309&lt;0,"; Invalid Shipping Record (Ship Before Order)","")&amp;IF(ABS(Q309-W309)&gt;1,"; Sales Mismatch","")&amp;IF(ABS(S309-X309)&gt;1,"; Profit Mismatch","")&amp;IF(COUNTIF($A$2:$A$913,A309)&gt;1,"; Duplicate Order ID Conflict",""),3,500),AC309&amp;IF(B309="","; Missing Order Date","")&amp;IF(C309="","; Missing Ship Date","")&amp;IF(P309&lt;0,"; Invalid Discount (Negative)","")&amp;IF(P309&gt;0.5,"; Invalid Discount (Too High)","")&amp;IF(Z309&lt;0,"; Invalid Shipping Record (Ship Before Order)","")&amp;IF(ABS(Q309-W309)&gt;1,"; Sales Mismatch","")&amp;IF(ABS(S309-X309)&gt;1,"; Profit Mismatch","")&amp;IF(COUNTIF($A$2:$A$913,A309)&gt;1,"; Duplicate Order ID Conflict",""))</f>
        <v/>
      </c>
      <c r="AE309" s="10" t="str">
        <f aca="false">IF(OR(ISNUMBER(SEARCH("Invalid Discount",AD309)),ISNUMBER(SEARCH("Invalid Shipping Record",AD309)),ISNUMBER(SEARCH("Sales Mismatch",AD309)),ISNUMBER(SEARCH("Profit Mismatch",AD309)),ISNUMBER(SEARCH("Duplicate Order ID Conflict",AD309)),ISNUMBER(SEARCH("Missing Order Date",AD309)),ISNUMBER(SEARCH("Missing Ship Date",AD309))),"Invalid",IF(AD309&lt;&gt;"","Warning","Clean"))</f>
        <v>Clean</v>
      </c>
    </row>
    <row r="310" customFormat="false" ht="15" hidden="false" customHeight="true" outlineLevel="0" collapsed="false">
      <c r="A310" s="3" t="s">
        <v>952</v>
      </c>
      <c r="B310" s="4" t="n">
        <v>45821</v>
      </c>
      <c r="C310" s="4" t="n">
        <v>45827</v>
      </c>
      <c r="D310" s="3" t="s">
        <v>953</v>
      </c>
      <c r="E310" s="3" t="str">
        <f aca="false">PROPER(TRIM(SUBSTITUTE(Raw_Text_Fields!B311,CHAR(160)," ")))</f>
        <v>Rohan Mehta</v>
      </c>
      <c r="F310" s="3" t="str">
        <f aca="false">PROPER(TRIM(SUBSTITUTE(Raw_Text_Fields!C311,CHAR(160)," ")))</f>
        <v>Consumer</v>
      </c>
      <c r="G310" s="3" t="str">
        <f aca="false">PROPER(TRIM(SUBSTITUTE(Raw_Text_Fields!D311,CHAR(160)," ")))</f>
        <v>North</v>
      </c>
      <c r="H310" s="3" t="str">
        <f aca="false">PROPER(TRIM(SUBSTITUTE(Raw_Text_Fields!E311,CHAR(160)," ")))</f>
        <v>Rajasthan</v>
      </c>
      <c r="I310" s="3" t="str">
        <f aca="false">PROPER(TRIM(SUBSTITUTE(Raw_Text_Fields!F311,CHAR(160)," ")))</f>
        <v>Jaipur</v>
      </c>
      <c r="J310" s="3" t="str">
        <f aca="false">PROPER(TRIM(SUBSTITUTE(Raw_Text_Fields!G311,CHAR(160)," ")))</f>
        <v>Furniture</v>
      </c>
      <c r="K310" s="3" t="str">
        <f aca="false">PROPER(TRIM(SUBSTITUTE(Raw_Text_Fields!H311,CHAR(160)," ")))</f>
        <v>Tables</v>
      </c>
      <c r="L310" s="3" t="s">
        <v>954</v>
      </c>
      <c r="M310" s="3" t="str">
        <f aca="false">PROPER(TRIM(SUBSTITUTE(Raw_Text_Fields!I311,CHAR(160)," ")))</f>
        <v>First Class</v>
      </c>
      <c r="N310" s="3" t="n">
        <v>4</v>
      </c>
      <c r="O310" s="5" t="n">
        <v>731.57</v>
      </c>
      <c r="P310" s="6" t="n">
        <v>0.2</v>
      </c>
      <c r="Q310" s="5" t="n">
        <v>2341.02</v>
      </c>
      <c r="R310" s="5" t="n">
        <v>1565.49</v>
      </c>
      <c r="S310" s="5" t="n">
        <v>775.53</v>
      </c>
      <c r="T310" s="3" t="str">
        <f aca="false">PROPER(TRIM(SUBSTITUTE(Raw_Text_Fields!J311,CHAR(160)," ")))</f>
        <v>Paid</v>
      </c>
      <c r="U310" s="3" t="str">
        <f aca="false">PROPER(TRIM(SUBSTITUTE(Raw_Text_Fields!K311,CHAR(160)," ")))</f>
        <v>Completed</v>
      </c>
      <c r="V310" s="7" t="n">
        <f aca="false">IF(OR(P310&lt;0,P310&gt;0.5),0,P310)</f>
        <v>0.2</v>
      </c>
      <c r="W310" s="8" t="n">
        <f aca="false">N310*O310*(1-V310)</f>
        <v>2341.024</v>
      </c>
      <c r="X310" s="8" t="n">
        <f aca="false">W310-R310</f>
        <v>775.534</v>
      </c>
      <c r="Y310" s="7" t="n">
        <f aca="false">IFERROR(X310/W310,0)</f>
        <v>0.331279816012138</v>
      </c>
      <c r="Z310" s="9" t="n">
        <f aca="false">C310-B310</f>
        <v>6</v>
      </c>
      <c r="AA310" s="1" t="str">
        <f aca="false">IF(B310="","",TEXT(B310,"mmm"))</f>
        <v>Jun</v>
      </c>
      <c r="AB310" s="9" t="n">
        <f aca="false">IF(B310="","",YEAR(B310))</f>
        <v>2025</v>
      </c>
      <c r="AC310" s="3"/>
      <c r="AD310" s="3" t="str">
        <f aca="false">IF(LEFT(AC310&amp;IF(B310="","; Missing Order Date","")&amp;IF(C310="","; Missing Ship Date","")&amp;IF(P310&lt;0,"; Invalid Discount (Negative)","")&amp;IF(P310&gt;0.5,"; Invalid Discount (Too High)","")&amp;IF(Z310&lt;0,"; Invalid Shipping Record (Ship Before Order)","")&amp;IF(ABS(Q310-W310)&gt;1,"; Sales Mismatch","")&amp;IF(ABS(S310-X310)&gt;1,"; Profit Mismatch","")&amp;IF(COUNTIF($A$2:$A$913,A310)&gt;1,"; Duplicate Order ID Conflict",""),2)="; ",MID(AC310&amp;IF(B310="","; Missing Order Date","")&amp;IF(C310="","; Missing Ship Date","")&amp;IF(P310&lt;0,"; Invalid Discount (Negative)","")&amp;IF(P310&gt;0.5,"; Invalid Discount (Too High)","")&amp;IF(Z310&lt;0,"; Invalid Shipping Record (Ship Before Order)","")&amp;IF(ABS(Q310-W310)&gt;1,"; Sales Mismatch","")&amp;IF(ABS(S310-X310)&gt;1,"; Profit Mismatch","")&amp;IF(COUNTIF($A$2:$A$913,A310)&gt;1,"; Duplicate Order ID Conflict",""),3,500),AC310&amp;IF(B310="","; Missing Order Date","")&amp;IF(C310="","; Missing Ship Date","")&amp;IF(P310&lt;0,"; Invalid Discount (Negative)","")&amp;IF(P310&gt;0.5,"; Invalid Discount (Too High)","")&amp;IF(Z310&lt;0,"; Invalid Shipping Record (Ship Before Order)","")&amp;IF(ABS(Q310-W310)&gt;1,"; Sales Mismatch","")&amp;IF(ABS(S310-X310)&gt;1,"; Profit Mismatch","")&amp;IF(COUNTIF($A$2:$A$913,A310)&gt;1,"; Duplicate Order ID Conflict",""))</f>
        <v/>
      </c>
      <c r="AE310" s="10" t="str">
        <f aca="false">IF(OR(ISNUMBER(SEARCH("Invalid Discount",AD310)),ISNUMBER(SEARCH("Invalid Shipping Record",AD310)),ISNUMBER(SEARCH("Sales Mismatch",AD310)),ISNUMBER(SEARCH("Profit Mismatch",AD310)),ISNUMBER(SEARCH("Duplicate Order ID Conflict",AD310)),ISNUMBER(SEARCH("Missing Order Date",AD310)),ISNUMBER(SEARCH("Missing Ship Date",AD310))),"Invalid",IF(AD310&lt;&gt;"","Warning","Clean"))</f>
        <v>Clean</v>
      </c>
    </row>
    <row r="311" customFormat="false" ht="15" hidden="false" customHeight="true" outlineLevel="0" collapsed="false">
      <c r="A311" s="3" t="s">
        <v>955</v>
      </c>
      <c r="B311" s="4" t="n">
        <v>45493</v>
      </c>
      <c r="C311" s="4" t="n">
        <v>45495</v>
      </c>
      <c r="D311" s="3" t="s">
        <v>956</v>
      </c>
      <c r="E311" s="3" t="str">
        <f aca="false">PROPER(TRIM(SUBSTITUTE(Raw_Text_Fields!B312,CHAR(160)," ")))</f>
        <v>Ananya Rao</v>
      </c>
      <c r="F311" s="3" t="str">
        <f aca="false">PROPER(TRIM(SUBSTITUTE(Raw_Text_Fields!C312,CHAR(160)," ")))</f>
        <v>Consumer</v>
      </c>
      <c r="G311" s="3" t="str">
        <f aca="false">PROPER(TRIM(SUBSTITUTE(Raw_Text_Fields!D312,CHAR(160)," ")))</f>
        <v>South</v>
      </c>
      <c r="H311" s="3" t="str">
        <f aca="false">PROPER(TRIM(SUBSTITUTE(Raw_Text_Fields!E312,CHAR(160)," ")))</f>
        <v>Tamil Nadu</v>
      </c>
      <c r="I311" s="3" t="str">
        <f aca="false">PROPER(TRIM(SUBSTITUTE(Raw_Text_Fields!F312,CHAR(160)," ")))</f>
        <v>Chennai</v>
      </c>
      <c r="J311" s="3" t="str">
        <f aca="false">PROPER(TRIM(SUBSTITUTE(Raw_Text_Fields!G312,CHAR(160)," ")))</f>
        <v>Furniture</v>
      </c>
      <c r="K311" s="3" t="str">
        <f aca="false">PROPER(TRIM(SUBSTITUTE(Raw_Text_Fields!H312,CHAR(160)," ")))</f>
        <v>Tables</v>
      </c>
      <c r="L311" s="3" t="s">
        <v>957</v>
      </c>
      <c r="M311" s="3" t="str">
        <f aca="false">PROPER(TRIM(SUBSTITUTE(Raw_Text_Fields!I312,CHAR(160)," ")))</f>
        <v>First Class</v>
      </c>
      <c r="N311" s="3" t="n">
        <v>7</v>
      </c>
      <c r="O311" s="5" t="n">
        <v>2060.73</v>
      </c>
      <c r="P311" s="6" t="n">
        <v>0.1</v>
      </c>
      <c r="Q311" s="5" t="n">
        <v>12982.6</v>
      </c>
      <c r="R311" s="5" t="n">
        <v>7246.36</v>
      </c>
      <c r="S311" s="5" t="n">
        <v>5736.24</v>
      </c>
      <c r="T311" s="3" t="str">
        <f aca="false">PROPER(TRIM(SUBSTITUTE(Raw_Text_Fields!J312,CHAR(160)," ")))</f>
        <v>Paid</v>
      </c>
      <c r="U311" s="3" t="str">
        <f aca="false">PROPER(TRIM(SUBSTITUTE(Raw_Text_Fields!K312,CHAR(160)," ")))</f>
        <v>Cancelled</v>
      </c>
      <c r="V311" s="7" t="n">
        <f aca="false">IF(OR(P311&lt;0,P311&gt;0.5),0,P311)</f>
        <v>0.1</v>
      </c>
      <c r="W311" s="8" t="n">
        <f aca="false">N311*O311*(1-V311)</f>
        <v>12982.599</v>
      </c>
      <c r="X311" s="8" t="n">
        <f aca="false">W311-R311</f>
        <v>5736.239</v>
      </c>
      <c r="Y311" s="7" t="n">
        <f aca="false">IFERROR(X311/W311,0)</f>
        <v>0.441840574448922</v>
      </c>
      <c r="Z311" s="9" t="n">
        <f aca="false">C311-B311</f>
        <v>2</v>
      </c>
      <c r="AA311" s="1" t="str">
        <f aca="false">IF(B311="","",TEXT(B311,"mmm"))</f>
        <v>Jul</v>
      </c>
      <c r="AB311" s="9" t="n">
        <f aca="false">IF(B311="","",YEAR(B311))</f>
        <v>2024</v>
      </c>
      <c r="AC311" s="3"/>
      <c r="AD311" s="3" t="str">
        <f aca="false">IF(LEFT(AC311&amp;IF(B311="","; Missing Order Date","")&amp;IF(C311="","; Missing Ship Date","")&amp;IF(P311&lt;0,"; Invalid Discount (Negative)","")&amp;IF(P311&gt;0.5,"; Invalid Discount (Too High)","")&amp;IF(Z311&lt;0,"; Invalid Shipping Record (Ship Before Order)","")&amp;IF(ABS(Q311-W311)&gt;1,"; Sales Mismatch","")&amp;IF(ABS(S311-X311)&gt;1,"; Profit Mismatch","")&amp;IF(COUNTIF($A$2:$A$913,A311)&gt;1,"; Duplicate Order ID Conflict",""),2)="; ",MID(AC311&amp;IF(B311="","; Missing Order Date","")&amp;IF(C311="","; Missing Ship Date","")&amp;IF(P311&lt;0,"; Invalid Discount (Negative)","")&amp;IF(P311&gt;0.5,"; Invalid Discount (Too High)","")&amp;IF(Z311&lt;0,"; Invalid Shipping Record (Ship Before Order)","")&amp;IF(ABS(Q311-W311)&gt;1,"; Sales Mismatch","")&amp;IF(ABS(S311-X311)&gt;1,"; Profit Mismatch","")&amp;IF(COUNTIF($A$2:$A$913,A311)&gt;1,"; Duplicate Order ID Conflict",""),3,500),AC311&amp;IF(B311="","; Missing Order Date","")&amp;IF(C311="","; Missing Ship Date","")&amp;IF(P311&lt;0,"; Invalid Discount (Negative)","")&amp;IF(P311&gt;0.5,"; Invalid Discount (Too High)","")&amp;IF(Z311&lt;0,"; Invalid Shipping Record (Ship Before Order)","")&amp;IF(ABS(Q311-W311)&gt;1,"; Sales Mismatch","")&amp;IF(ABS(S311-X311)&gt;1,"; Profit Mismatch","")&amp;IF(COUNTIF($A$2:$A$913,A311)&gt;1,"; Duplicate Order ID Conflict",""))</f>
        <v/>
      </c>
      <c r="AE311" s="10" t="str">
        <f aca="false">IF(OR(ISNUMBER(SEARCH("Invalid Discount",AD311)),ISNUMBER(SEARCH("Invalid Shipping Record",AD311)),ISNUMBER(SEARCH("Sales Mismatch",AD311)),ISNUMBER(SEARCH("Profit Mismatch",AD311)),ISNUMBER(SEARCH("Duplicate Order ID Conflict",AD311)),ISNUMBER(SEARCH("Missing Order Date",AD311)),ISNUMBER(SEARCH("Missing Ship Date",AD311))),"Invalid",IF(AD311&lt;&gt;"","Warning","Clean"))</f>
        <v>Clean</v>
      </c>
    </row>
    <row r="312" customFormat="false" ht="15" hidden="false" customHeight="true" outlineLevel="0" collapsed="false">
      <c r="A312" s="3" t="s">
        <v>958</v>
      </c>
      <c r="B312" s="4" t="n">
        <v>45477</v>
      </c>
      <c r="C312" s="4" t="n">
        <v>45481</v>
      </c>
      <c r="D312" s="3" t="s">
        <v>959</v>
      </c>
      <c r="E312" s="3" t="str">
        <f aca="false">PROPER(TRIM(SUBSTITUTE(Raw_Text_Fields!B313,CHAR(160)," ")))</f>
        <v>Rohan Mehta</v>
      </c>
      <c r="F312" s="3" t="str">
        <f aca="false">PROPER(TRIM(SUBSTITUTE(Raw_Text_Fields!C313,CHAR(160)," ")))</f>
        <v>Small Business</v>
      </c>
      <c r="G312" s="3" t="str">
        <f aca="false">PROPER(TRIM(SUBSTITUTE(Raw_Text_Fields!D313,CHAR(160)," ")))</f>
        <v>South</v>
      </c>
      <c r="H312" s="3" t="str">
        <f aca="false">PROPER(TRIM(SUBSTITUTE(Raw_Text_Fields!E313,CHAR(160)," ")))</f>
        <v>Tamil Nadu</v>
      </c>
      <c r="I312" s="3" t="str">
        <f aca="false">PROPER(TRIM(SUBSTITUTE(Raw_Text_Fields!F313,CHAR(160)," ")))</f>
        <v>Chennai</v>
      </c>
      <c r="J312" s="3" t="str">
        <f aca="false">PROPER(TRIM(SUBSTITUTE(Raw_Text_Fields!G313,CHAR(160)," ")))</f>
        <v>Technology</v>
      </c>
      <c r="K312" s="3" t="str">
        <f aca="false">PROPER(TRIM(SUBSTITUTE(Raw_Text_Fields!H313,CHAR(160)," ")))</f>
        <v>Machines</v>
      </c>
      <c r="L312" s="3" t="s">
        <v>960</v>
      </c>
      <c r="M312" s="3" t="str">
        <f aca="false">PROPER(TRIM(SUBSTITUTE(Raw_Text_Fields!I313,CHAR(160)," ")))</f>
        <v>First Class</v>
      </c>
      <c r="N312" s="3" t="n">
        <v>8</v>
      </c>
      <c r="O312" s="5" t="n">
        <v>2034.25</v>
      </c>
      <c r="P312" s="6" t="n">
        <v>0</v>
      </c>
      <c r="Q312" s="5" t="n">
        <v>16274</v>
      </c>
      <c r="R312" s="5" t="n">
        <v>9424.25</v>
      </c>
      <c r="S312" s="5" t="n">
        <v>6849.75</v>
      </c>
      <c r="T312" s="3" t="str">
        <f aca="false">PROPER(TRIM(SUBSTITUTE(Raw_Text_Fields!J313,CHAR(160)," ")))</f>
        <v>Paid</v>
      </c>
      <c r="U312" s="3" t="str">
        <f aca="false">PROPER(TRIM(SUBSTITUTE(Raw_Text_Fields!K313,CHAR(160)," ")))</f>
        <v>Completed</v>
      </c>
      <c r="V312" s="7" t="n">
        <f aca="false">IF(OR(P312&lt;0,P312&gt;0.5),0,P312)</f>
        <v>0</v>
      </c>
      <c r="W312" s="8" t="n">
        <f aca="false">N312*O312*(1-V312)</f>
        <v>16274</v>
      </c>
      <c r="X312" s="8" t="n">
        <f aca="false">W312-R312</f>
        <v>6849.75</v>
      </c>
      <c r="Y312" s="7" t="n">
        <f aca="false">IFERROR(X312/W312,0)</f>
        <v>0.420901437876367</v>
      </c>
      <c r="Z312" s="9" t="n">
        <f aca="false">C312-B312</f>
        <v>4</v>
      </c>
      <c r="AA312" s="1" t="str">
        <f aca="false">IF(B312="","",TEXT(B312,"mmm"))</f>
        <v>Jul</v>
      </c>
      <c r="AB312" s="9" t="n">
        <f aca="false">IF(B312="","",YEAR(B312))</f>
        <v>2024</v>
      </c>
      <c r="AC312" s="3"/>
      <c r="AD312" s="3" t="str">
        <f aca="false">IF(LEFT(AC312&amp;IF(B312="","; Missing Order Date","")&amp;IF(C312="","; Missing Ship Date","")&amp;IF(P312&lt;0,"; Invalid Discount (Negative)","")&amp;IF(P312&gt;0.5,"; Invalid Discount (Too High)","")&amp;IF(Z312&lt;0,"; Invalid Shipping Record (Ship Before Order)","")&amp;IF(ABS(Q312-W312)&gt;1,"; Sales Mismatch","")&amp;IF(ABS(S312-X312)&gt;1,"; Profit Mismatch","")&amp;IF(COUNTIF($A$2:$A$913,A312)&gt;1,"; Duplicate Order ID Conflict",""),2)="; ",MID(AC312&amp;IF(B312="","; Missing Order Date","")&amp;IF(C312="","; Missing Ship Date","")&amp;IF(P312&lt;0,"; Invalid Discount (Negative)","")&amp;IF(P312&gt;0.5,"; Invalid Discount (Too High)","")&amp;IF(Z312&lt;0,"; Invalid Shipping Record (Ship Before Order)","")&amp;IF(ABS(Q312-W312)&gt;1,"; Sales Mismatch","")&amp;IF(ABS(S312-X312)&gt;1,"; Profit Mismatch","")&amp;IF(COUNTIF($A$2:$A$913,A312)&gt;1,"; Duplicate Order ID Conflict",""),3,500),AC312&amp;IF(B312="","; Missing Order Date","")&amp;IF(C312="","; Missing Ship Date","")&amp;IF(P312&lt;0,"; Invalid Discount (Negative)","")&amp;IF(P312&gt;0.5,"; Invalid Discount (Too High)","")&amp;IF(Z312&lt;0,"; Invalid Shipping Record (Ship Before Order)","")&amp;IF(ABS(Q312-W312)&gt;1,"; Sales Mismatch","")&amp;IF(ABS(S312-X312)&gt;1,"; Profit Mismatch","")&amp;IF(COUNTIF($A$2:$A$913,A312)&gt;1,"; Duplicate Order ID Conflict",""))</f>
        <v/>
      </c>
      <c r="AE312" s="10" t="str">
        <f aca="false">IF(OR(ISNUMBER(SEARCH("Invalid Discount",AD312)),ISNUMBER(SEARCH("Invalid Shipping Record",AD312)),ISNUMBER(SEARCH("Sales Mismatch",AD312)),ISNUMBER(SEARCH("Profit Mismatch",AD312)),ISNUMBER(SEARCH("Duplicate Order ID Conflict",AD312)),ISNUMBER(SEARCH("Missing Order Date",AD312)),ISNUMBER(SEARCH("Missing Ship Date",AD312))),"Invalid",IF(AD312&lt;&gt;"","Warning","Clean"))</f>
        <v>Clean</v>
      </c>
    </row>
    <row r="313" customFormat="false" ht="15" hidden="false" customHeight="true" outlineLevel="0" collapsed="false">
      <c r="A313" s="3" t="s">
        <v>961</v>
      </c>
      <c r="B313" s="4" t="n">
        <v>45409</v>
      </c>
      <c r="C313" s="4" t="n">
        <v>45414</v>
      </c>
      <c r="D313" s="3" t="s">
        <v>962</v>
      </c>
      <c r="E313" s="3" t="str">
        <f aca="false">PROPER(TRIM(SUBSTITUTE(Raw_Text_Fields!B314,CHAR(160)," ")))</f>
        <v>Mira Das</v>
      </c>
      <c r="F313" s="3" t="str">
        <f aca="false">PROPER(TRIM(SUBSTITUTE(Raw_Text_Fields!C314,CHAR(160)," ")))</f>
        <v>Corporate</v>
      </c>
      <c r="G313" s="3" t="str">
        <f aca="false">PROPER(TRIM(SUBSTITUTE(Raw_Text_Fields!D314,CHAR(160)," ")))</f>
        <v>South</v>
      </c>
      <c r="H313" s="3" t="str">
        <f aca="false">PROPER(TRIM(SUBSTITUTE(Raw_Text_Fields!E314,CHAR(160)," ")))</f>
        <v>Karnataka</v>
      </c>
      <c r="I313" s="3" t="str">
        <f aca="false">PROPER(TRIM(SUBSTITUTE(Raw_Text_Fields!F314,CHAR(160)," ")))</f>
        <v>Bengaluru</v>
      </c>
      <c r="J313" s="3" t="str">
        <f aca="false">PROPER(TRIM(SUBSTITUTE(Raw_Text_Fields!G314,CHAR(160)," ")))</f>
        <v>Office Supplies</v>
      </c>
      <c r="K313" s="3" t="str">
        <f aca="false">PROPER(TRIM(SUBSTITUTE(Raw_Text_Fields!H314,CHAR(160)," ")))</f>
        <v>Binders</v>
      </c>
      <c r="L313" s="3" t="s">
        <v>963</v>
      </c>
      <c r="M313" s="3" t="str">
        <f aca="false">PROPER(TRIM(SUBSTITUTE(Raw_Text_Fields!I314,CHAR(160)," ")))</f>
        <v>Second Class</v>
      </c>
      <c r="N313" s="3" t="n">
        <v>5</v>
      </c>
      <c r="O313" s="5" t="n">
        <v>554.04</v>
      </c>
      <c r="P313" s="6" t="n">
        <v>0.1</v>
      </c>
      <c r="Q313" s="5" t="n">
        <v>2493.18</v>
      </c>
      <c r="R313" s="5" t="n">
        <v>1764</v>
      </c>
      <c r="S313" s="5" t="n">
        <v>729.18</v>
      </c>
      <c r="T313" s="3" t="str">
        <f aca="false">PROPER(TRIM(SUBSTITUTE(Raw_Text_Fields!J314,CHAR(160)," ")))</f>
        <v>Paid</v>
      </c>
      <c r="U313" s="3" t="str">
        <f aca="false">PROPER(TRIM(SUBSTITUTE(Raw_Text_Fields!K314,CHAR(160)," ")))</f>
        <v>Completed</v>
      </c>
      <c r="V313" s="7" t="n">
        <f aca="false">IF(OR(P313&lt;0,P313&gt;0.5),0,P313)</f>
        <v>0.1</v>
      </c>
      <c r="W313" s="8" t="n">
        <f aca="false">N313*O313*(1-V313)</f>
        <v>2493.18</v>
      </c>
      <c r="X313" s="8" t="n">
        <f aca="false">W313-R313</f>
        <v>729.18</v>
      </c>
      <c r="Y313" s="7" t="n">
        <f aca="false">IFERROR(X313/W313,0)</f>
        <v>0.292469857772002</v>
      </c>
      <c r="Z313" s="9" t="n">
        <f aca="false">C313-B313</f>
        <v>5</v>
      </c>
      <c r="AA313" s="1" t="str">
        <f aca="false">IF(B313="","",TEXT(B313,"mmm"))</f>
        <v>Apr</v>
      </c>
      <c r="AB313" s="9" t="n">
        <f aca="false">IF(B313="","",YEAR(B313))</f>
        <v>2024</v>
      </c>
      <c r="AC313" s="3"/>
      <c r="AD313" s="3" t="str">
        <f aca="false">IF(LEFT(AC313&amp;IF(B313="","; Missing Order Date","")&amp;IF(C313="","; Missing Ship Date","")&amp;IF(P313&lt;0,"; Invalid Discount (Negative)","")&amp;IF(P313&gt;0.5,"; Invalid Discount (Too High)","")&amp;IF(Z313&lt;0,"; Invalid Shipping Record (Ship Before Order)","")&amp;IF(ABS(Q313-W313)&gt;1,"; Sales Mismatch","")&amp;IF(ABS(S313-X313)&gt;1,"; Profit Mismatch","")&amp;IF(COUNTIF($A$2:$A$913,A313)&gt;1,"; Duplicate Order ID Conflict",""),2)="; ",MID(AC313&amp;IF(B313="","; Missing Order Date","")&amp;IF(C313="","; Missing Ship Date","")&amp;IF(P313&lt;0,"; Invalid Discount (Negative)","")&amp;IF(P313&gt;0.5,"; Invalid Discount (Too High)","")&amp;IF(Z313&lt;0,"; Invalid Shipping Record (Ship Before Order)","")&amp;IF(ABS(Q313-W313)&gt;1,"; Sales Mismatch","")&amp;IF(ABS(S313-X313)&gt;1,"; Profit Mismatch","")&amp;IF(COUNTIF($A$2:$A$913,A313)&gt;1,"; Duplicate Order ID Conflict",""),3,500),AC313&amp;IF(B313="","; Missing Order Date","")&amp;IF(C313="","; Missing Ship Date","")&amp;IF(P313&lt;0,"; Invalid Discount (Negative)","")&amp;IF(P313&gt;0.5,"; Invalid Discount (Too High)","")&amp;IF(Z313&lt;0,"; Invalid Shipping Record (Ship Before Order)","")&amp;IF(ABS(Q313-W313)&gt;1,"; Sales Mismatch","")&amp;IF(ABS(S313-X313)&gt;1,"; Profit Mismatch","")&amp;IF(COUNTIF($A$2:$A$913,A313)&gt;1,"; Duplicate Order ID Conflict",""))</f>
        <v/>
      </c>
      <c r="AE313" s="10" t="str">
        <f aca="false">IF(OR(ISNUMBER(SEARCH("Invalid Discount",AD313)),ISNUMBER(SEARCH("Invalid Shipping Record",AD313)),ISNUMBER(SEARCH("Sales Mismatch",AD313)),ISNUMBER(SEARCH("Profit Mismatch",AD313)),ISNUMBER(SEARCH("Duplicate Order ID Conflict",AD313)),ISNUMBER(SEARCH("Missing Order Date",AD313)),ISNUMBER(SEARCH("Missing Ship Date",AD313))),"Invalid",IF(AD313&lt;&gt;"","Warning","Clean"))</f>
        <v>Clean</v>
      </c>
    </row>
    <row r="314" customFormat="false" ht="15" hidden="false" customHeight="true" outlineLevel="0" collapsed="false">
      <c r="A314" s="3" t="s">
        <v>964</v>
      </c>
      <c r="B314" s="4" t="n">
        <v>45504</v>
      </c>
      <c r="C314" s="4" t="n">
        <v>45508</v>
      </c>
      <c r="D314" s="3" t="s">
        <v>965</v>
      </c>
      <c r="E314" s="3" t="str">
        <f aca="false">PROPER(TRIM(SUBSTITUTE(Raw_Text_Fields!B315,CHAR(160)," ")))</f>
        <v>Karan Malhotra</v>
      </c>
      <c r="F314" s="3" t="str">
        <f aca="false">PROPER(TRIM(SUBSTITUTE(Raw_Text_Fields!C315,CHAR(160)," ")))</f>
        <v>Small Business</v>
      </c>
      <c r="G314" s="3" t="str">
        <f aca="false">PROPER(TRIM(SUBSTITUTE(Raw_Text_Fields!D315,CHAR(160)," ")))</f>
        <v>East</v>
      </c>
      <c r="H314" s="3" t="str">
        <f aca="false">PROPER(TRIM(SUBSTITUTE(Raw_Text_Fields!E315,CHAR(160)," ")))</f>
        <v>Assam</v>
      </c>
      <c r="I314" s="3" t="str">
        <f aca="false">PROPER(TRIM(SUBSTITUTE(Raw_Text_Fields!F315,CHAR(160)," ")))</f>
        <v>Guwahati</v>
      </c>
      <c r="J314" s="3" t="str">
        <f aca="false">PROPER(TRIM(SUBSTITUTE(Raw_Text_Fields!G315,CHAR(160)," ")))</f>
        <v>Technology</v>
      </c>
      <c r="K314" s="3" t="str">
        <f aca="false">PROPER(TRIM(SUBSTITUTE(Raw_Text_Fields!H315,CHAR(160)," ")))</f>
        <v>Phones</v>
      </c>
      <c r="L314" s="3" t="s">
        <v>966</v>
      </c>
      <c r="M314" s="3" t="str">
        <f aca="false">PROPER(TRIM(SUBSTITUTE(Raw_Text_Fields!I315,CHAR(160)," ")))</f>
        <v>Standard Class</v>
      </c>
      <c r="N314" s="3" t="n">
        <v>8</v>
      </c>
      <c r="O314" s="5" t="n">
        <v>2614.74</v>
      </c>
      <c r="P314" s="6" t="n">
        <v>0</v>
      </c>
      <c r="Q314" s="5" t="n">
        <v>15688.44</v>
      </c>
      <c r="R314" s="5" t="n">
        <v>10047.33</v>
      </c>
      <c r="S314" s="5" t="n">
        <v>5641.11</v>
      </c>
      <c r="T314" s="3" t="str">
        <f aca="false">PROPER(TRIM(SUBSTITUTE(Raw_Text_Fields!J315,CHAR(160)," ")))</f>
        <v>Paid</v>
      </c>
      <c r="U314" s="3" t="str">
        <f aca="false">PROPER(TRIM(SUBSTITUTE(Raw_Text_Fields!K315,CHAR(160)," ")))</f>
        <v>Cancelled</v>
      </c>
      <c r="V314" s="7" t="n">
        <f aca="false">IF(OR(P314&lt;0,P314&gt;0.5),0,P314)</f>
        <v>0</v>
      </c>
      <c r="W314" s="8" t="n">
        <f aca="false">N314*O314*(1-V314)</f>
        <v>20917.92</v>
      </c>
      <c r="X314" s="8" t="n">
        <f aca="false">W314-R314</f>
        <v>10870.59</v>
      </c>
      <c r="Y314" s="7" t="n">
        <f aca="false">IFERROR(X314/W314,0)</f>
        <v>0.519678342779779</v>
      </c>
      <c r="Z314" s="9" t="n">
        <f aca="false">C314-B314</f>
        <v>4</v>
      </c>
      <c r="AA314" s="1" t="str">
        <f aca="false">IF(B314="","",TEXT(B314,"mmm"))</f>
        <v>Jul</v>
      </c>
      <c r="AB314" s="9" t="n">
        <f aca="false">IF(B314="","",YEAR(B314))</f>
        <v>2024</v>
      </c>
      <c r="AC314" s="3" t="s">
        <v>130</v>
      </c>
      <c r="AD314" s="3" t="str">
        <f aca="false">IF(LEFT(AC314&amp;IF(B314="","; Missing Order Date","")&amp;IF(C314="","; Missing Ship Date","")&amp;IF(P314&lt;0,"; Invalid Discount (Negative)","")&amp;IF(P314&gt;0.5,"; Invalid Discount (Too High)","")&amp;IF(Z314&lt;0,"; Invalid Shipping Record (Ship Before Order)","")&amp;IF(ABS(Q314-W314)&gt;1,"; Sales Mismatch","")&amp;IF(ABS(S314-X314)&gt;1,"; Profit Mismatch","")&amp;IF(COUNTIF($A$2:$A$913,A314)&gt;1,"; Duplicate Order ID Conflict",""),2)="; ",MID(AC314&amp;IF(B314="","; Missing Order Date","")&amp;IF(C314="","; Missing Ship Date","")&amp;IF(P314&lt;0,"; Invalid Discount (Negative)","")&amp;IF(P314&gt;0.5,"; Invalid Discount (Too High)","")&amp;IF(Z314&lt;0,"; Invalid Shipping Record (Ship Before Order)","")&amp;IF(ABS(Q314-W314)&gt;1,"; Sales Mismatch","")&amp;IF(ABS(S314-X314)&gt;1,"; Profit Mismatch","")&amp;IF(COUNTIF($A$2:$A$913,A314)&gt;1,"; Duplicate Order ID Conflict",""),3,500),AC314&amp;IF(B314="","; Missing Order Date","")&amp;IF(C314="","; Missing Ship Date","")&amp;IF(P314&lt;0,"; Invalid Discount (Negative)","")&amp;IF(P314&gt;0.5,"; Invalid Discount (Too High)","")&amp;IF(Z314&lt;0,"; Invalid Shipping Record (Ship Before Order)","")&amp;IF(ABS(Q314-W314)&gt;1,"; Sales Mismatch","")&amp;IF(ABS(S314-X314)&gt;1,"; Profit Mismatch","")&amp;IF(COUNTIF($A$2:$A$913,A314)&gt;1,"; Duplicate Order ID Conflict",""))</f>
        <v>Missing Discount (defaulted 0); Sales Mismatch; Profit Mismatch</v>
      </c>
      <c r="AE314" s="10" t="str">
        <f aca="false">IF(OR(ISNUMBER(SEARCH("Invalid Discount",AD314)),ISNUMBER(SEARCH("Invalid Shipping Record",AD314)),ISNUMBER(SEARCH("Sales Mismatch",AD314)),ISNUMBER(SEARCH("Profit Mismatch",AD314)),ISNUMBER(SEARCH("Duplicate Order ID Conflict",AD314)),ISNUMBER(SEARCH("Missing Order Date",AD314)),ISNUMBER(SEARCH("Missing Ship Date",AD314))),"Invalid",IF(AD314&lt;&gt;"","Warning","Clean"))</f>
        <v>Invalid</v>
      </c>
    </row>
    <row r="315" customFormat="false" ht="15" hidden="false" customHeight="true" outlineLevel="0" collapsed="false">
      <c r="A315" s="3" t="s">
        <v>967</v>
      </c>
      <c r="B315" s="4" t="n">
        <v>45807</v>
      </c>
      <c r="C315" s="4" t="n">
        <v>45808</v>
      </c>
      <c r="D315" s="3" t="s">
        <v>968</v>
      </c>
      <c r="E315" s="3" t="str">
        <f aca="false">PROPER(TRIM(SUBSTITUTE(Raw_Text_Fields!B316,CHAR(160)," ")))</f>
        <v>Rahul Verma</v>
      </c>
      <c r="F315" s="3" t="str">
        <f aca="false">PROPER(TRIM(SUBSTITUTE(Raw_Text_Fields!C316,CHAR(160)," ")))</f>
        <v>Corporate</v>
      </c>
      <c r="G315" s="3" t="str">
        <f aca="false">PROPER(TRIM(SUBSTITUTE(Raw_Text_Fields!D316,CHAR(160)," ")))</f>
        <v>North</v>
      </c>
      <c r="H315" s="3" t="str">
        <f aca="false">PROPER(TRIM(SUBSTITUTE(Raw_Text_Fields!E316,CHAR(160)," ")))</f>
        <v>Uttar Pradesh</v>
      </c>
      <c r="I315" s="3" t="str">
        <f aca="false">PROPER(TRIM(SUBSTITUTE(Raw_Text_Fields!F316,CHAR(160)," ")))</f>
        <v>Noida</v>
      </c>
      <c r="J315" s="3" t="str">
        <f aca="false">PROPER(TRIM(SUBSTITUTE(Raw_Text_Fields!G316,CHAR(160)," ")))</f>
        <v>Technology</v>
      </c>
      <c r="K315" s="3" t="str">
        <f aca="false">PROPER(TRIM(SUBSTITUTE(Raw_Text_Fields!H316,CHAR(160)," ")))</f>
        <v>Phones</v>
      </c>
      <c r="L315" s="3" t="s">
        <v>969</v>
      </c>
      <c r="M315" s="3" t="str">
        <f aca="false">PROPER(TRIM(SUBSTITUTE(Raw_Text_Fields!I316,CHAR(160)," ")))</f>
        <v>First Class</v>
      </c>
      <c r="N315" s="3" t="n">
        <v>8</v>
      </c>
      <c r="O315" s="5" t="n">
        <v>2081.43</v>
      </c>
      <c r="P315" s="6" t="n">
        <v>0.25</v>
      </c>
      <c r="Q315" s="5" t="n">
        <v>12488.58</v>
      </c>
      <c r="R315" s="5" t="n">
        <v>10717.4</v>
      </c>
      <c r="S315" s="5" t="n">
        <v>1771.18</v>
      </c>
      <c r="T315" s="3" t="str">
        <f aca="false">PROPER(TRIM(SUBSTITUTE(Raw_Text_Fields!J316,CHAR(160)," ")))</f>
        <v>Refunded</v>
      </c>
      <c r="U315" s="3" t="str">
        <f aca="false">PROPER(TRIM(SUBSTITUTE(Raw_Text_Fields!K316,CHAR(160)," ")))</f>
        <v>Cancelled</v>
      </c>
      <c r="V315" s="7" t="n">
        <f aca="false">IF(OR(P315&lt;0,P315&gt;0.5),0,P315)</f>
        <v>0.25</v>
      </c>
      <c r="W315" s="8" t="n">
        <f aca="false">N315*O315*(1-V315)</f>
        <v>12488.58</v>
      </c>
      <c r="X315" s="8" t="n">
        <f aca="false">W315-R315</f>
        <v>1771.18</v>
      </c>
      <c r="Y315" s="7" t="n">
        <f aca="false">IFERROR(X315/W315,0)</f>
        <v>0.141823970379338</v>
      </c>
      <c r="Z315" s="9" t="n">
        <f aca="false">C315-B315</f>
        <v>1</v>
      </c>
      <c r="AA315" s="1" t="str">
        <f aca="false">IF(B315="","",TEXT(B315,"mmm"))</f>
        <v>May</v>
      </c>
      <c r="AB315" s="9" t="n">
        <f aca="false">IF(B315="","",YEAR(B315))</f>
        <v>2025</v>
      </c>
      <c r="AC315" s="3"/>
      <c r="AD315" s="3" t="str">
        <f aca="false">IF(LEFT(AC315&amp;IF(B315="","; Missing Order Date","")&amp;IF(C315="","; Missing Ship Date","")&amp;IF(P315&lt;0,"; Invalid Discount (Negative)","")&amp;IF(P315&gt;0.5,"; Invalid Discount (Too High)","")&amp;IF(Z315&lt;0,"; Invalid Shipping Record (Ship Before Order)","")&amp;IF(ABS(Q315-W315)&gt;1,"; Sales Mismatch","")&amp;IF(ABS(S315-X315)&gt;1,"; Profit Mismatch","")&amp;IF(COUNTIF($A$2:$A$913,A315)&gt;1,"; Duplicate Order ID Conflict",""),2)="; ",MID(AC315&amp;IF(B315="","; Missing Order Date","")&amp;IF(C315="","; Missing Ship Date","")&amp;IF(P315&lt;0,"; Invalid Discount (Negative)","")&amp;IF(P315&gt;0.5,"; Invalid Discount (Too High)","")&amp;IF(Z315&lt;0,"; Invalid Shipping Record (Ship Before Order)","")&amp;IF(ABS(Q315-W315)&gt;1,"; Sales Mismatch","")&amp;IF(ABS(S315-X315)&gt;1,"; Profit Mismatch","")&amp;IF(COUNTIF($A$2:$A$913,A315)&gt;1,"; Duplicate Order ID Conflict",""),3,500),AC315&amp;IF(B315="","; Missing Order Date","")&amp;IF(C315="","; Missing Ship Date","")&amp;IF(P315&lt;0,"; Invalid Discount (Negative)","")&amp;IF(P315&gt;0.5,"; Invalid Discount (Too High)","")&amp;IF(Z315&lt;0,"; Invalid Shipping Record (Ship Before Order)","")&amp;IF(ABS(Q315-W315)&gt;1,"; Sales Mismatch","")&amp;IF(ABS(S315-X315)&gt;1,"; Profit Mismatch","")&amp;IF(COUNTIF($A$2:$A$913,A315)&gt;1,"; Duplicate Order ID Conflict",""))</f>
        <v/>
      </c>
      <c r="AE315" s="10" t="str">
        <f aca="false">IF(OR(ISNUMBER(SEARCH("Invalid Discount",AD315)),ISNUMBER(SEARCH("Invalid Shipping Record",AD315)),ISNUMBER(SEARCH("Sales Mismatch",AD315)),ISNUMBER(SEARCH("Profit Mismatch",AD315)),ISNUMBER(SEARCH("Duplicate Order ID Conflict",AD315)),ISNUMBER(SEARCH("Missing Order Date",AD315)),ISNUMBER(SEARCH("Missing Ship Date",AD315))),"Invalid",IF(AD315&lt;&gt;"","Warning","Clean"))</f>
        <v>Clean</v>
      </c>
    </row>
    <row r="316" customFormat="false" ht="15" hidden="false" customHeight="true" outlineLevel="0" collapsed="false">
      <c r="A316" s="3" t="s">
        <v>970</v>
      </c>
      <c r="B316" s="4" t="n">
        <v>45795</v>
      </c>
      <c r="C316" s="4" t="n">
        <v>45797</v>
      </c>
      <c r="D316" s="3" t="s">
        <v>971</v>
      </c>
      <c r="E316" s="3" t="str">
        <f aca="false">PROPER(TRIM(SUBSTITUTE(Raw_Text_Fields!B317,CHAR(160)," ")))</f>
        <v>Isha Nair</v>
      </c>
      <c r="F316" s="3" t="str">
        <f aca="false">PROPER(TRIM(SUBSTITUTE(Raw_Text_Fields!C317,CHAR(160)," ")))</f>
        <v>Corporate</v>
      </c>
      <c r="G316" s="3" t="str">
        <f aca="false">PROPER(TRIM(SUBSTITUTE(Raw_Text_Fields!D317,CHAR(160)," ")))</f>
        <v>West</v>
      </c>
      <c r="H316" s="3" t="str">
        <f aca="false">PROPER(TRIM(SUBSTITUTE(Raw_Text_Fields!E317,CHAR(160)," ")))</f>
        <v>Madhya Pradesh</v>
      </c>
      <c r="I316" s="3" t="str">
        <f aca="false">PROPER(TRIM(SUBSTITUTE(Raw_Text_Fields!F317,CHAR(160)," ")))</f>
        <v>Indore</v>
      </c>
      <c r="J316" s="3" t="str">
        <f aca="false">PROPER(TRIM(SUBSTITUTE(Raw_Text_Fields!G317,CHAR(160)," ")))</f>
        <v>Office Supplies</v>
      </c>
      <c r="K316" s="3" t="str">
        <f aca="false">PROPER(TRIM(SUBSTITUTE(Raw_Text_Fields!H317,CHAR(160)," ")))</f>
        <v>Labels</v>
      </c>
      <c r="L316" s="3" t="s">
        <v>972</v>
      </c>
      <c r="M316" s="3" t="str">
        <f aca="false">PROPER(TRIM(SUBSTITUTE(Raw_Text_Fields!I317,CHAR(160)," ")))</f>
        <v>Standard Class</v>
      </c>
      <c r="N316" s="3" t="n">
        <v>9</v>
      </c>
      <c r="O316" s="5" t="n">
        <v>847.76</v>
      </c>
      <c r="P316" s="6" t="n">
        <v>0.15</v>
      </c>
      <c r="Q316" s="5" t="n">
        <v>6485.36</v>
      </c>
      <c r="R316" s="5" t="n">
        <v>5376.17</v>
      </c>
      <c r="S316" s="5" t="n">
        <v>1109.19</v>
      </c>
      <c r="T316" s="3" t="str">
        <f aca="false">PROPER(TRIM(SUBSTITUTE(Raw_Text_Fields!J317,CHAR(160)," ")))</f>
        <v>Failed</v>
      </c>
      <c r="U316" s="3" t="str">
        <f aca="false">PROPER(TRIM(SUBSTITUTE(Raw_Text_Fields!K317,CHAR(160)," ")))</f>
        <v>Returned</v>
      </c>
      <c r="V316" s="7" t="n">
        <f aca="false">IF(OR(P316&lt;0,P316&gt;0.5),0,P316)</f>
        <v>0.15</v>
      </c>
      <c r="W316" s="8" t="n">
        <f aca="false">N316*O316*(1-V316)</f>
        <v>6485.364</v>
      </c>
      <c r="X316" s="8" t="n">
        <f aca="false">W316-R316</f>
        <v>1109.194</v>
      </c>
      <c r="Y316" s="7" t="n">
        <f aca="false">IFERROR(X316/W316,0)</f>
        <v>0.171030338466738</v>
      </c>
      <c r="Z316" s="9" t="n">
        <f aca="false">C316-B316</f>
        <v>2</v>
      </c>
      <c r="AA316" s="1" t="str">
        <f aca="false">IF(B316="","",TEXT(B316,"mmm"))</f>
        <v>May</v>
      </c>
      <c r="AB316" s="9" t="n">
        <f aca="false">IF(B316="","",YEAR(B316))</f>
        <v>2025</v>
      </c>
      <c r="AC316" s="3"/>
      <c r="AD316" s="3" t="str">
        <f aca="false">IF(LEFT(AC316&amp;IF(B316="","; Missing Order Date","")&amp;IF(C316="","; Missing Ship Date","")&amp;IF(P316&lt;0,"; Invalid Discount (Negative)","")&amp;IF(P316&gt;0.5,"; Invalid Discount (Too High)","")&amp;IF(Z316&lt;0,"; Invalid Shipping Record (Ship Before Order)","")&amp;IF(ABS(Q316-W316)&gt;1,"; Sales Mismatch","")&amp;IF(ABS(S316-X316)&gt;1,"; Profit Mismatch","")&amp;IF(COUNTIF($A$2:$A$913,A316)&gt;1,"; Duplicate Order ID Conflict",""),2)="; ",MID(AC316&amp;IF(B316="","; Missing Order Date","")&amp;IF(C316="","; Missing Ship Date","")&amp;IF(P316&lt;0,"; Invalid Discount (Negative)","")&amp;IF(P316&gt;0.5,"; Invalid Discount (Too High)","")&amp;IF(Z316&lt;0,"; Invalid Shipping Record (Ship Before Order)","")&amp;IF(ABS(Q316-W316)&gt;1,"; Sales Mismatch","")&amp;IF(ABS(S316-X316)&gt;1,"; Profit Mismatch","")&amp;IF(COUNTIF($A$2:$A$913,A316)&gt;1,"; Duplicate Order ID Conflict",""),3,500),AC316&amp;IF(B316="","; Missing Order Date","")&amp;IF(C316="","; Missing Ship Date","")&amp;IF(P316&lt;0,"; Invalid Discount (Negative)","")&amp;IF(P316&gt;0.5,"; Invalid Discount (Too High)","")&amp;IF(Z316&lt;0,"; Invalid Shipping Record (Ship Before Order)","")&amp;IF(ABS(Q316-W316)&gt;1,"; Sales Mismatch","")&amp;IF(ABS(S316-X316)&gt;1,"; Profit Mismatch","")&amp;IF(COUNTIF($A$2:$A$913,A316)&gt;1,"; Duplicate Order ID Conflict",""))</f>
        <v>Duplicate Order ID Conflict</v>
      </c>
      <c r="AE316" s="10" t="str">
        <f aca="false">IF(OR(ISNUMBER(SEARCH("Invalid Discount",AD316)),ISNUMBER(SEARCH("Invalid Shipping Record",AD316)),ISNUMBER(SEARCH("Sales Mismatch",AD316)),ISNUMBER(SEARCH("Profit Mismatch",AD316)),ISNUMBER(SEARCH("Duplicate Order ID Conflict",AD316)),ISNUMBER(SEARCH("Missing Order Date",AD316)),ISNUMBER(SEARCH("Missing Ship Date",AD316))),"Invalid",IF(AD316&lt;&gt;"","Warning","Clean"))</f>
        <v>Invalid</v>
      </c>
    </row>
    <row r="317" customFormat="false" ht="15" hidden="false" customHeight="true" outlineLevel="0" collapsed="false">
      <c r="A317" s="3" t="s">
        <v>973</v>
      </c>
      <c r="B317" s="4" t="n">
        <v>45475</v>
      </c>
      <c r="C317" s="4" t="n">
        <v>45481</v>
      </c>
      <c r="D317" s="3" t="s">
        <v>974</v>
      </c>
      <c r="E317" s="3" t="str">
        <f aca="false">PROPER(TRIM(SUBSTITUTE(Raw_Text_Fields!B318,CHAR(160)," ")))</f>
        <v>Rohan Mehta</v>
      </c>
      <c r="F317" s="3" t="str">
        <f aca="false">PROPER(TRIM(SUBSTITUTE(Raw_Text_Fields!C318,CHAR(160)," ")))</f>
        <v>Consumer</v>
      </c>
      <c r="G317" s="3" t="str">
        <f aca="false">PROPER(TRIM(SUBSTITUTE(Raw_Text_Fields!D318,CHAR(160)," ")))</f>
        <v>North</v>
      </c>
      <c r="H317" s="3" t="str">
        <f aca="false">PROPER(TRIM(SUBSTITUTE(Raw_Text_Fields!E318,CHAR(160)," ")))</f>
        <v>Delhi</v>
      </c>
      <c r="I317" s="3" t="str">
        <f aca="false">PROPER(TRIM(SUBSTITUTE(Raw_Text_Fields!F318,CHAR(160)," ")))</f>
        <v>New Delhi</v>
      </c>
      <c r="J317" s="3" t="str">
        <f aca="false">PROPER(TRIM(SUBSTITUTE(Raw_Text_Fields!G318,CHAR(160)," ")))</f>
        <v>Office Supplies</v>
      </c>
      <c r="K317" s="3" t="str">
        <f aca="false">PROPER(TRIM(SUBSTITUTE(Raw_Text_Fields!H318,CHAR(160)," ")))</f>
        <v>Paper</v>
      </c>
      <c r="L317" s="3" t="s">
        <v>975</v>
      </c>
      <c r="M317" s="3" t="str">
        <f aca="false">PROPER(TRIM(SUBSTITUTE(Raw_Text_Fields!I318,CHAR(160)," ")))</f>
        <v>Standard Class</v>
      </c>
      <c r="N317" s="3" t="n">
        <v>9</v>
      </c>
      <c r="O317" s="5" t="n">
        <v>3450.4</v>
      </c>
      <c r="P317" s="6" t="n">
        <v>0.05</v>
      </c>
      <c r="Q317" s="5" t="n">
        <v>29500.92</v>
      </c>
      <c r="R317" s="5" t="n">
        <v>17989.68</v>
      </c>
      <c r="S317" s="5" t="n">
        <v>11511.24</v>
      </c>
      <c r="T317" s="3" t="str">
        <f aca="false">PROPER(TRIM(SUBSTITUTE(Raw_Text_Fields!J318,CHAR(160)," ")))</f>
        <v>Pending</v>
      </c>
      <c r="U317" s="3" t="str">
        <f aca="false">PROPER(TRIM(SUBSTITUTE(Raw_Text_Fields!K318,CHAR(160)," ")))</f>
        <v>Returned</v>
      </c>
      <c r="V317" s="7" t="n">
        <f aca="false">IF(OR(P317&lt;0,P317&gt;0.5),0,P317)</f>
        <v>0.05</v>
      </c>
      <c r="W317" s="8" t="n">
        <f aca="false">N317*O317*(1-V317)</f>
        <v>29500.92</v>
      </c>
      <c r="X317" s="8" t="n">
        <f aca="false">W317-R317</f>
        <v>11511.24</v>
      </c>
      <c r="Y317" s="7" t="n">
        <f aca="false">IFERROR(X317/W317,0)</f>
        <v>0.390199356494645</v>
      </c>
      <c r="Z317" s="9" t="n">
        <f aca="false">C317-B317</f>
        <v>6</v>
      </c>
      <c r="AA317" s="1" t="str">
        <f aca="false">IF(B317="","",TEXT(B317,"mmm"))</f>
        <v>Jul</v>
      </c>
      <c r="AB317" s="9" t="n">
        <f aca="false">IF(B317="","",YEAR(B317))</f>
        <v>2024</v>
      </c>
      <c r="AC317" s="3"/>
      <c r="AD317" s="3" t="str">
        <f aca="false">IF(LEFT(AC317&amp;IF(B317="","; Missing Order Date","")&amp;IF(C317="","; Missing Ship Date","")&amp;IF(P317&lt;0,"; Invalid Discount (Negative)","")&amp;IF(P317&gt;0.5,"; Invalid Discount (Too High)","")&amp;IF(Z317&lt;0,"; Invalid Shipping Record (Ship Before Order)","")&amp;IF(ABS(Q317-W317)&gt;1,"; Sales Mismatch","")&amp;IF(ABS(S317-X317)&gt;1,"; Profit Mismatch","")&amp;IF(COUNTIF($A$2:$A$913,A317)&gt;1,"; Duplicate Order ID Conflict",""),2)="; ",MID(AC317&amp;IF(B317="","; Missing Order Date","")&amp;IF(C317="","; Missing Ship Date","")&amp;IF(P317&lt;0,"; Invalid Discount (Negative)","")&amp;IF(P317&gt;0.5,"; Invalid Discount (Too High)","")&amp;IF(Z317&lt;0,"; Invalid Shipping Record (Ship Before Order)","")&amp;IF(ABS(Q317-W317)&gt;1,"; Sales Mismatch","")&amp;IF(ABS(S317-X317)&gt;1,"; Profit Mismatch","")&amp;IF(COUNTIF($A$2:$A$913,A317)&gt;1,"; Duplicate Order ID Conflict",""),3,500),AC317&amp;IF(B317="","; Missing Order Date","")&amp;IF(C317="","; Missing Ship Date","")&amp;IF(P317&lt;0,"; Invalid Discount (Negative)","")&amp;IF(P317&gt;0.5,"; Invalid Discount (Too High)","")&amp;IF(Z317&lt;0,"; Invalid Shipping Record (Ship Before Order)","")&amp;IF(ABS(Q317-W317)&gt;1,"; Sales Mismatch","")&amp;IF(ABS(S317-X317)&gt;1,"; Profit Mismatch","")&amp;IF(COUNTIF($A$2:$A$913,A317)&gt;1,"; Duplicate Order ID Conflict",""))</f>
        <v/>
      </c>
      <c r="AE317" s="10" t="str">
        <f aca="false">IF(OR(ISNUMBER(SEARCH("Invalid Discount",AD317)),ISNUMBER(SEARCH("Invalid Shipping Record",AD317)),ISNUMBER(SEARCH("Sales Mismatch",AD317)),ISNUMBER(SEARCH("Profit Mismatch",AD317)),ISNUMBER(SEARCH("Duplicate Order ID Conflict",AD317)),ISNUMBER(SEARCH("Missing Order Date",AD317)),ISNUMBER(SEARCH("Missing Ship Date",AD317))),"Invalid",IF(AD317&lt;&gt;"","Warning","Clean"))</f>
        <v>Clean</v>
      </c>
    </row>
    <row r="318" customFormat="false" ht="15" hidden="false" customHeight="true" outlineLevel="0" collapsed="false">
      <c r="A318" s="3" t="s">
        <v>976</v>
      </c>
      <c r="B318" s="4" t="n">
        <v>45338</v>
      </c>
      <c r="C318" s="4" t="n">
        <v>45340</v>
      </c>
      <c r="D318" s="3" t="s">
        <v>977</v>
      </c>
      <c r="E318" s="3" t="str">
        <f aca="false">PROPER(TRIM(SUBSTITUTE(Raw_Text_Fields!B319,CHAR(160)," ")))</f>
        <v>Karan Malhotra</v>
      </c>
      <c r="F318" s="3" t="str">
        <f aca="false">PROPER(TRIM(SUBSTITUTE(Raw_Text_Fields!C319,CHAR(160)," ")))</f>
        <v>Corporate</v>
      </c>
      <c r="G318" s="3" t="str">
        <f aca="false">PROPER(TRIM(SUBSTITUTE(Raw_Text_Fields!D319,CHAR(160)," ")))</f>
        <v>North</v>
      </c>
      <c r="H318" s="3" t="str">
        <f aca="false">PROPER(TRIM(SUBSTITUTE(Raw_Text_Fields!E319,CHAR(160)," ")))</f>
        <v>Punjab</v>
      </c>
      <c r="I318" s="3" t="str">
        <f aca="false">PROPER(TRIM(SUBSTITUTE(Raw_Text_Fields!F319,CHAR(160)," ")))</f>
        <v>Ludhiana</v>
      </c>
      <c r="J318" s="3" t="str">
        <f aca="false">PROPER(TRIM(SUBSTITUTE(Raw_Text_Fields!G319,CHAR(160)," ")))</f>
        <v>Office Supplies</v>
      </c>
      <c r="K318" s="3" t="str">
        <f aca="false">PROPER(TRIM(SUBSTITUTE(Raw_Text_Fields!H319,CHAR(160)," ")))</f>
        <v>Labels</v>
      </c>
      <c r="L318" s="3" t="s">
        <v>978</v>
      </c>
      <c r="M318" s="3" t="str">
        <f aca="false">PROPER(TRIM(SUBSTITUTE(Raw_Text_Fields!I319,CHAR(160)," ")))</f>
        <v>Standard Class</v>
      </c>
      <c r="N318" s="3" t="n">
        <v>2</v>
      </c>
      <c r="O318" s="5" t="n">
        <v>1947.53</v>
      </c>
      <c r="P318" s="6" t="n">
        <v>0.2</v>
      </c>
      <c r="Q318" s="5" t="n">
        <v>3116.05</v>
      </c>
      <c r="R318" s="5" t="n">
        <v>1956.63</v>
      </c>
      <c r="S318" s="5" t="n">
        <v>1159.42</v>
      </c>
      <c r="T318" s="3" t="str">
        <f aca="false">PROPER(TRIM(SUBSTITUTE(Raw_Text_Fields!J319,CHAR(160)," ")))</f>
        <v>Paid</v>
      </c>
      <c r="U318" s="3" t="str">
        <f aca="false">PROPER(TRIM(SUBSTITUTE(Raw_Text_Fields!K319,CHAR(160)," ")))</f>
        <v>Cancelled</v>
      </c>
      <c r="V318" s="7" t="n">
        <f aca="false">IF(OR(P318&lt;0,P318&gt;0.5),0,P318)</f>
        <v>0.2</v>
      </c>
      <c r="W318" s="8" t="n">
        <f aca="false">N318*O318*(1-V318)</f>
        <v>3116.048</v>
      </c>
      <c r="X318" s="8" t="n">
        <f aca="false">W318-R318</f>
        <v>1159.418</v>
      </c>
      <c r="Y318" s="7" t="n">
        <f aca="false">IFERROR(X318/W318,0)</f>
        <v>0.372079634203324</v>
      </c>
      <c r="Z318" s="9" t="n">
        <f aca="false">C318-B318</f>
        <v>2</v>
      </c>
      <c r="AA318" s="1" t="str">
        <f aca="false">IF(B318="","",TEXT(B318,"mmm"))</f>
        <v>Feb</v>
      </c>
      <c r="AB318" s="9" t="n">
        <f aca="false">IF(B318="","",YEAR(B318))</f>
        <v>2024</v>
      </c>
      <c r="AC318" s="3"/>
      <c r="AD318" s="3" t="str">
        <f aca="false">IF(LEFT(AC318&amp;IF(B318="","; Missing Order Date","")&amp;IF(C318="","; Missing Ship Date","")&amp;IF(P318&lt;0,"; Invalid Discount (Negative)","")&amp;IF(P318&gt;0.5,"; Invalid Discount (Too High)","")&amp;IF(Z318&lt;0,"; Invalid Shipping Record (Ship Before Order)","")&amp;IF(ABS(Q318-W318)&gt;1,"; Sales Mismatch","")&amp;IF(ABS(S318-X318)&gt;1,"; Profit Mismatch","")&amp;IF(COUNTIF($A$2:$A$913,A318)&gt;1,"; Duplicate Order ID Conflict",""),2)="; ",MID(AC318&amp;IF(B318="","; Missing Order Date","")&amp;IF(C318="","; Missing Ship Date","")&amp;IF(P318&lt;0,"; Invalid Discount (Negative)","")&amp;IF(P318&gt;0.5,"; Invalid Discount (Too High)","")&amp;IF(Z318&lt;0,"; Invalid Shipping Record (Ship Before Order)","")&amp;IF(ABS(Q318-W318)&gt;1,"; Sales Mismatch","")&amp;IF(ABS(S318-X318)&gt;1,"; Profit Mismatch","")&amp;IF(COUNTIF($A$2:$A$913,A318)&gt;1,"; Duplicate Order ID Conflict",""),3,500),AC318&amp;IF(B318="","; Missing Order Date","")&amp;IF(C318="","; Missing Ship Date","")&amp;IF(P318&lt;0,"; Invalid Discount (Negative)","")&amp;IF(P318&gt;0.5,"; Invalid Discount (Too High)","")&amp;IF(Z318&lt;0,"; Invalid Shipping Record (Ship Before Order)","")&amp;IF(ABS(Q318-W318)&gt;1,"; Sales Mismatch","")&amp;IF(ABS(S318-X318)&gt;1,"; Profit Mismatch","")&amp;IF(COUNTIF($A$2:$A$913,A318)&gt;1,"; Duplicate Order ID Conflict",""))</f>
        <v/>
      </c>
      <c r="AE318" s="10" t="str">
        <f aca="false">IF(OR(ISNUMBER(SEARCH("Invalid Discount",AD318)),ISNUMBER(SEARCH("Invalid Shipping Record",AD318)),ISNUMBER(SEARCH("Sales Mismatch",AD318)),ISNUMBER(SEARCH("Profit Mismatch",AD318)),ISNUMBER(SEARCH("Duplicate Order ID Conflict",AD318)),ISNUMBER(SEARCH("Missing Order Date",AD318)),ISNUMBER(SEARCH("Missing Ship Date",AD318))),"Invalid",IF(AD318&lt;&gt;"","Warning","Clean"))</f>
        <v>Clean</v>
      </c>
    </row>
    <row r="319" customFormat="false" ht="15" hidden="false" customHeight="true" outlineLevel="0" collapsed="false">
      <c r="A319" s="3" t="s">
        <v>979</v>
      </c>
      <c r="B319" s="4" t="n">
        <v>45898</v>
      </c>
      <c r="C319" s="4" t="n">
        <v>45904</v>
      </c>
      <c r="D319" s="3" t="s">
        <v>980</v>
      </c>
      <c r="E319" s="3" t="str">
        <f aca="false">PROPER(TRIM(SUBSTITUTE(Raw_Text_Fields!B320,CHAR(160)," ")))</f>
        <v>Neha Gupta</v>
      </c>
      <c r="F319" s="3" t="str">
        <f aca="false">PROPER(TRIM(SUBSTITUTE(Raw_Text_Fields!C320,CHAR(160)," ")))</f>
        <v>Corporate</v>
      </c>
      <c r="G319" s="3" t="str">
        <f aca="false">PROPER(TRIM(SUBSTITUTE(Raw_Text_Fields!D320,CHAR(160)," ")))</f>
        <v>South</v>
      </c>
      <c r="H319" s="3" t="str">
        <f aca="false">PROPER(TRIM(SUBSTITUTE(Raw_Text_Fields!E320,CHAR(160)," ")))</f>
        <v>Kerala</v>
      </c>
      <c r="I319" s="3" t="str">
        <f aca="false">PROPER(TRIM(SUBSTITUTE(Raw_Text_Fields!F320,CHAR(160)," ")))</f>
        <v>Kochi</v>
      </c>
      <c r="J319" s="3" t="str">
        <f aca="false">PROPER(TRIM(SUBSTITUTE(Raw_Text_Fields!G320,CHAR(160)," ")))</f>
        <v>Furniture</v>
      </c>
      <c r="K319" s="3" t="str">
        <f aca="false">PROPER(TRIM(SUBSTITUTE(Raw_Text_Fields!H320,CHAR(160)," ")))</f>
        <v>Tables</v>
      </c>
      <c r="L319" s="3" t="s">
        <v>981</v>
      </c>
      <c r="M319" s="3" t="str">
        <f aca="false">PROPER(TRIM(SUBSTITUTE(Raw_Text_Fields!I320,CHAR(160)," ")))</f>
        <v>First Class</v>
      </c>
      <c r="N319" s="3" t="n">
        <v>9</v>
      </c>
      <c r="O319" s="5" t="n">
        <v>2996.97</v>
      </c>
      <c r="P319" s="6" t="n">
        <v>0.15</v>
      </c>
      <c r="Q319" s="5" t="n">
        <v>22926.82</v>
      </c>
      <c r="R319" s="5" t="n">
        <v>14621.59</v>
      </c>
      <c r="S319" s="5" t="n">
        <v>8305.23</v>
      </c>
      <c r="T319" s="3" t="str">
        <f aca="false">PROPER(TRIM(SUBSTITUTE(Raw_Text_Fields!J320,CHAR(160)," ")))</f>
        <v>Paid</v>
      </c>
      <c r="U319" s="3" t="str">
        <f aca="false">PROPER(TRIM(SUBSTITUTE(Raw_Text_Fields!K320,CHAR(160)," ")))</f>
        <v>Completed</v>
      </c>
      <c r="V319" s="7" t="n">
        <f aca="false">IF(OR(P319&lt;0,P319&gt;0.5),0,P319)</f>
        <v>0.15</v>
      </c>
      <c r="W319" s="8" t="n">
        <f aca="false">N319*O319*(1-V319)</f>
        <v>22926.8205</v>
      </c>
      <c r="X319" s="8" t="n">
        <f aca="false">W319-R319</f>
        <v>8305.2305</v>
      </c>
      <c r="Y319" s="7" t="n">
        <f aca="false">IFERROR(X319/W319,0)</f>
        <v>0.362249553966718</v>
      </c>
      <c r="Z319" s="9" t="n">
        <f aca="false">C319-B319</f>
        <v>6</v>
      </c>
      <c r="AA319" s="1" t="str">
        <f aca="false">IF(B319="","",TEXT(B319,"mmm"))</f>
        <v>Aug</v>
      </c>
      <c r="AB319" s="9" t="n">
        <f aca="false">IF(B319="","",YEAR(B319))</f>
        <v>2025</v>
      </c>
      <c r="AC319" s="3"/>
      <c r="AD319" s="3" t="str">
        <f aca="false">IF(LEFT(AC319&amp;IF(B319="","; Missing Order Date","")&amp;IF(C319="","; Missing Ship Date","")&amp;IF(P319&lt;0,"; Invalid Discount (Negative)","")&amp;IF(P319&gt;0.5,"; Invalid Discount (Too High)","")&amp;IF(Z319&lt;0,"; Invalid Shipping Record (Ship Before Order)","")&amp;IF(ABS(Q319-W319)&gt;1,"; Sales Mismatch","")&amp;IF(ABS(S319-X319)&gt;1,"; Profit Mismatch","")&amp;IF(COUNTIF($A$2:$A$913,A319)&gt;1,"; Duplicate Order ID Conflict",""),2)="; ",MID(AC319&amp;IF(B319="","; Missing Order Date","")&amp;IF(C319="","; Missing Ship Date","")&amp;IF(P319&lt;0,"; Invalid Discount (Negative)","")&amp;IF(P319&gt;0.5,"; Invalid Discount (Too High)","")&amp;IF(Z319&lt;0,"; Invalid Shipping Record (Ship Before Order)","")&amp;IF(ABS(Q319-W319)&gt;1,"; Sales Mismatch","")&amp;IF(ABS(S319-X319)&gt;1,"; Profit Mismatch","")&amp;IF(COUNTIF($A$2:$A$913,A319)&gt;1,"; Duplicate Order ID Conflict",""),3,500),AC319&amp;IF(B319="","; Missing Order Date","")&amp;IF(C319="","; Missing Ship Date","")&amp;IF(P319&lt;0,"; Invalid Discount (Negative)","")&amp;IF(P319&gt;0.5,"; Invalid Discount (Too High)","")&amp;IF(Z319&lt;0,"; Invalid Shipping Record (Ship Before Order)","")&amp;IF(ABS(Q319-W319)&gt;1,"; Sales Mismatch","")&amp;IF(ABS(S319-X319)&gt;1,"; Profit Mismatch","")&amp;IF(COUNTIF($A$2:$A$913,A319)&gt;1,"; Duplicate Order ID Conflict",""))</f>
        <v/>
      </c>
      <c r="AE319" s="10" t="str">
        <f aca="false">IF(OR(ISNUMBER(SEARCH("Invalid Discount",AD319)),ISNUMBER(SEARCH("Invalid Shipping Record",AD319)),ISNUMBER(SEARCH("Sales Mismatch",AD319)),ISNUMBER(SEARCH("Profit Mismatch",AD319)),ISNUMBER(SEARCH("Duplicate Order ID Conflict",AD319)),ISNUMBER(SEARCH("Missing Order Date",AD319)),ISNUMBER(SEARCH("Missing Ship Date",AD319))),"Invalid",IF(AD319&lt;&gt;"","Warning","Clean"))</f>
        <v>Clean</v>
      </c>
    </row>
    <row r="320" customFormat="false" ht="15" hidden="false" customHeight="true" outlineLevel="0" collapsed="false">
      <c r="A320" s="3" t="s">
        <v>982</v>
      </c>
      <c r="B320" s="4" t="n">
        <v>45407</v>
      </c>
      <c r="C320" s="4" t="n">
        <v>45412</v>
      </c>
      <c r="D320" s="3" t="s">
        <v>983</v>
      </c>
      <c r="E320" s="3" t="str">
        <f aca="false">PROPER(TRIM(SUBSTITUTE(Raw_Text_Fields!B321,CHAR(160)," ")))</f>
        <v>Mira Das</v>
      </c>
      <c r="F320" s="3" t="str">
        <f aca="false">PROPER(TRIM(SUBSTITUTE(Raw_Text_Fields!C321,CHAR(160)," ")))</f>
        <v>Small Business</v>
      </c>
      <c r="G320" s="3" t="str">
        <f aca="false">PROPER(TRIM(SUBSTITUTE(Raw_Text_Fields!D321,CHAR(160)," ")))</f>
        <v>South</v>
      </c>
      <c r="H320" s="3" t="str">
        <f aca="false">PROPER(TRIM(SUBSTITUTE(Raw_Text_Fields!E321,CHAR(160)," ")))</f>
        <v>Karnataka</v>
      </c>
      <c r="I320" s="3" t="str">
        <f aca="false">PROPER(TRIM(SUBSTITUTE(Raw_Text_Fields!F321,CHAR(160)," ")))</f>
        <v>Bengaluru</v>
      </c>
      <c r="J320" s="3" t="str">
        <f aca="false">PROPER(TRIM(SUBSTITUTE(Raw_Text_Fields!G321,CHAR(160)," ")))</f>
        <v>Technology</v>
      </c>
      <c r="K320" s="3" t="str">
        <f aca="false">PROPER(TRIM(SUBSTITUTE(Raw_Text_Fields!H321,CHAR(160)," ")))</f>
        <v>Phones</v>
      </c>
      <c r="L320" s="3" t="s">
        <v>984</v>
      </c>
      <c r="M320" s="3" t="str">
        <f aca="false">PROPER(TRIM(SUBSTITUTE(Raw_Text_Fields!I321,CHAR(160)," ")))</f>
        <v>Standard Class</v>
      </c>
      <c r="N320" s="3" t="n">
        <v>3</v>
      </c>
      <c r="O320" s="5" t="n">
        <v>4149.46</v>
      </c>
      <c r="P320" s="6" t="n">
        <v>0.1</v>
      </c>
      <c r="Q320" s="5" t="n">
        <v>11203.54</v>
      </c>
      <c r="R320" s="5" t="n">
        <v>8452.93</v>
      </c>
      <c r="S320" s="5" t="n">
        <v>2750.61</v>
      </c>
      <c r="T320" s="3" t="str">
        <f aca="false">PROPER(TRIM(SUBSTITUTE(Raw_Text_Fields!J321,CHAR(160)," ")))</f>
        <v>Paid</v>
      </c>
      <c r="U320" s="3" t="str">
        <f aca="false">PROPER(TRIM(SUBSTITUTE(Raw_Text_Fields!K321,CHAR(160)," ")))</f>
        <v>Completed</v>
      </c>
      <c r="V320" s="7" t="n">
        <f aca="false">IF(OR(P320&lt;0,P320&gt;0.5),0,P320)</f>
        <v>0.1</v>
      </c>
      <c r="W320" s="8" t="n">
        <f aca="false">N320*O320*(1-V320)</f>
        <v>11203.542</v>
      </c>
      <c r="X320" s="8" t="n">
        <f aca="false">W320-R320</f>
        <v>2750.612</v>
      </c>
      <c r="Y320" s="7" t="n">
        <f aca="false">IFERROR(X320/W320,0)</f>
        <v>0.245512713747135</v>
      </c>
      <c r="Z320" s="9" t="n">
        <f aca="false">C320-B320</f>
        <v>5</v>
      </c>
      <c r="AA320" s="1" t="str">
        <f aca="false">IF(B320="","",TEXT(B320,"mmm"))</f>
        <v>Apr</v>
      </c>
      <c r="AB320" s="9" t="n">
        <f aca="false">IF(B320="","",YEAR(B320))</f>
        <v>2024</v>
      </c>
      <c r="AC320" s="3"/>
      <c r="AD320" s="3" t="str">
        <f aca="false">IF(LEFT(AC320&amp;IF(B320="","; Missing Order Date","")&amp;IF(C320="","; Missing Ship Date","")&amp;IF(P320&lt;0,"; Invalid Discount (Negative)","")&amp;IF(P320&gt;0.5,"; Invalid Discount (Too High)","")&amp;IF(Z320&lt;0,"; Invalid Shipping Record (Ship Before Order)","")&amp;IF(ABS(Q320-W320)&gt;1,"; Sales Mismatch","")&amp;IF(ABS(S320-X320)&gt;1,"; Profit Mismatch","")&amp;IF(COUNTIF($A$2:$A$913,A320)&gt;1,"; Duplicate Order ID Conflict",""),2)="; ",MID(AC320&amp;IF(B320="","; Missing Order Date","")&amp;IF(C320="","; Missing Ship Date","")&amp;IF(P320&lt;0,"; Invalid Discount (Negative)","")&amp;IF(P320&gt;0.5,"; Invalid Discount (Too High)","")&amp;IF(Z320&lt;0,"; Invalid Shipping Record (Ship Before Order)","")&amp;IF(ABS(Q320-W320)&gt;1,"; Sales Mismatch","")&amp;IF(ABS(S320-X320)&gt;1,"; Profit Mismatch","")&amp;IF(COUNTIF($A$2:$A$913,A320)&gt;1,"; Duplicate Order ID Conflict",""),3,500),AC320&amp;IF(B320="","; Missing Order Date","")&amp;IF(C320="","; Missing Ship Date","")&amp;IF(P320&lt;0,"; Invalid Discount (Negative)","")&amp;IF(P320&gt;0.5,"; Invalid Discount (Too High)","")&amp;IF(Z320&lt;0,"; Invalid Shipping Record (Ship Before Order)","")&amp;IF(ABS(Q320-W320)&gt;1,"; Sales Mismatch","")&amp;IF(ABS(S320-X320)&gt;1,"; Profit Mismatch","")&amp;IF(COUNTIF($A$2:$A$913,A320)&gt;1,"; Duplicate Order ID Conflict",""))</f>
        <v/>
      </c>
      <c r="AE320" s="10" t="str">
        <f aca="false">IF(OR(ISNUMBER(SEARCH("Invalid Discount",AD320)),ISNUMBER(SEARCH("Invalid Shipping Record",AD320)),ISNUMBER(SEARCH("Sales Mismatch",AD320)),ISNUMBER(SEARCH("Profit Mismatch",AD320)),ISNUMBER(SEARCH("Duplicate Order ID Conflict",AD320)),ISNUMBER(SEARCH("Missing Order Date",AD320)),ISNUMBER(SEARCH("Missing Ship Date",AD320))),"Invalid",IF(AD320&lt;&gt;"","Warning","Clean"))</f>
        <v>Clean</v>
      </c>
    </row>
    <row r="321" customFormat="false" ht="15" hidden="false" customHeight="true" outlineLevel="0" collapsed="false">
      <c r="A321" s="3" t="s">
        <v>985</v>
      </c>
      <c r="B321" s="4" t="n">
        <v>45525</v>
      </c>
      <c r="C321" s="4" t="n">
        <v>45529</v>
      </c>
      <c r="D321" s="3" t="s">
        <v>986</v>
      </c>
      <c r="E321" s="3" t="str">
        <f aca="false">PROPER(TRIM(SUBSTITUTE(Raw_Text_Fields!B322,CHAR(160)," ")))</f>
        <v>Diya Patel</v>
      </c>
      <c r="F321" s="3" t="str">
        <f aca="false">PROPER(TRIM(SUBSTITUTE(Raw_Text_Fields!C322,CHAR(160)," ")))</f>
        <v>Consumer</v>
      </c>
      <c r="G321" s="3" t="str">
        <f aca="false">PROPER(TRIM(SUBSTITUTE(Raw_Text_Fields!D322,CHAR(160)," ")))</f>
        <v>West</v>
      </c>
      <c r="H321" s="3" t="str">
        <f aca="false">PROPER(TRIM(SUBSTITUTE(Raw_Text_Fields!E322,CHAR(160)," ")))</f>
        <v>Gujarat</v>
      </c>
      <c r="I321" s="3" t="str">
        <f aca="false">PROPER(TRIM(SUBSTITUTE(Raw_Text_Fields!F322,CHAR(160)," ")))</f>
        <v>Ahmedabad</v>
      </c>
      <c r="J321" s="3" t="str">
        <f aca="false">PROPER(TRIM(SUBSTITUTE(Raw_Text_Fields!G322,CHAR(160)," ")))</f>
        <v>Office Supplies</v>
      </c>
      <c r="K321" s="3" t="str">
        <f aca="false">PROPER(TRIM(SUBSTITUTE(Raw_Text_Fields!H322,CHAR(160)," ")))</f>
        <v>Binders</v>
      </c>
      <c r="L321" s="3" t="s">
        <v>987</v>
      </c>
      <c r="M321" s="3" t="str">
        <f aca="false">PROPER(TRIM(SUBSTITUTE(Raw_Text_Fields!I322,CHAR(160)," ")))</f>
        <v>First Class</v>
      </c>
      <c r="N321" s="3" t="n">
        <v>1</v>
      </c>
      <c r="O321" s="5" t="n">
        <v>270.28</v>
      </c>
      <c r="P321" s="6" t="n">
        <v>0</v>
      </c>
      <c r="Q321" s="5" t="n">
        <v>270.28</v>
      </c>
      <c r="R321" s="5" t="n">
        <v>156.34</v>
      </c>
      <c r="S321" s="5" t="n">
        <v>113.94</v>
      </c>
      <c r="T321" s="3" t="str">
        <f aca="false">PROPER(TRIM(SUBSTITUTE(Raw_Text_Fields!J322,CHAR(160)," ")))</f>
        <v>Paid</v>
      </c>
      <c r="U321" s="3" t="str">
        <f aca="false">PROPER(TRIM(SUBSTITUTE(Raw_Text_Fields!K322,CHAR(160)," ")))</f>
        <v>Completed</v>
      </c>
      <c r="V321" s="7" t="n">
        <f aca="false">IF(OR(P321&lt;0,P321&gt;0.5),0,P321)</f>
        <v>0</v>
      </c>
      <c r="W321" s="8" t="n">
        <f aca="false">N321*O321*(1-V321)</f>
        <v>270.28</v>
      </c>
      <c r="X321" s="8" t="n">
        <f aca="false">W321-R321</f>
        <v>113.94</v>
      </c>
      <c r="Y321" s="7" t="n">
        <f aca="false">IFERROR(X321/W321,0)</f>
        <v>0.421562823738345</v>
      </c>
      <c r="Z321" s="9" t="n">
        <f aca="false">C321-B321</f>
        <v>4</v>
      </c>
      <c r="AA321" s="1" t="str">
        <f aca="false">IF(B321="","",TEXT(B321,"mmm"))</f>
        <v>Aug</v>
      </c>
      <c r="AB321" s="9" t="n">
        <f aca="false">IF(B321="","",YEAR(B321))</f>
        <v>2024</v>
      </c>
      <c r="AC321" s="3"/>
      <c r="AD321" s="3" t="str">
        <f aca="false">IF(LEFT(AC321&amp;IF(B321="","; Missing Order Date","")&amp;IF(C321="","; Missing Ship Date","")&amp;IF(P321&lt;0,"; Invalid Discount (Negative)","")&amp;IF(P321&gt;0.5,"; Invalid Discount (Too High)","")&amp;IF(Z321&lt;0,"; Invalid Shipping Record (Ship Before Order)","")&amp;IF(ABS(Q321-W321)&gt;1,"; Sales Mismatch","")&amp;IF(ABS(S321-X321)&gt;1,"; Profit Mismatch","")&amp;IF(COUNTIF($A$2:$A$913,A321)&gt;1,"; Duplicate Order ID Conflict",""),2)="; ",MID(AC321&amp;IF(B321="","; Missing Order Date","")&amp;IF(C321="","; Missing Ship Date","")&amp;IF(P321&lt;0,"; Invalid Discount (Negative)","")&amp;IF(P321&gt;0.5,"; Invalid Discount (Too High)","")&amp;IF(Z321&lt;0,"; Invalid Shipping Record (Ship Before Order)","")&amp;IF(ABS(Q321-W321)&gt;1,"; Sales Mismatch","")&amp;IF(ABS(S321-X321)&gt;1,"; Profit Mismatch","")&amp;IF(COUNTIF($A$2:$A$913,A321)&gt;1,"; Duplicate Order ID Conflict",""),3,500),AC321&amp;IF(B321="","; Missing Order Date","")&amp;IF(C321="","; Missing Ship Date","")&amp;IF(P321&lt;0,"; Invalid Discount (Negative)","")&amp;IF(P321&gt;0.5,"; Invalid Discount (Too High)","")&amp;IF(Z321&lt;0,"; Invalid Shipping Record (Ship Before Order)","")&amp;IF(ABS(Q321-W321)&gt;1,"; Sales Mismatch","")&amp;IF(ABS(S321-X321)&gt;1,"; Profit Mismatch","")&amp;IF(COUNTIF($A$2:$A$913,A321)&gt;1,"; Duplicate Order ID Conflict",""))</f>
        <v/>
      </c>
      <c r="AE321" s="10" t="str">
        <f aca="false">IF(OR(ISNUMBER(SEARCH("Invalid Discount",AD321)),ISNUMBER(SEARCH("Invalid Shipping Record",AD321)),ISNUMBER(SEARCH("Sales Mismatch",AD321)),ISNUMBER(SEARCH("Profit Mismatch",AD321)),ISNUMBER(SEARCH("Duplicate Order ID Conflict",AD321)),ISNUMBER(SEARCH("Missing Order Date",AD321)),ISNUMBER(SEARCH("Missing Ship Date",AD321))),"Invalid",IF(AD321&lt;&gt;"","Warning","Clean"))</f>
        <v>Clean</v>
      </c>
    </row>
    <row r="322" customFormat="false" ht="15" hidden="false" customHeight="true" outlineLevel="0" collapsed="false">
      <c r="A322" s="3" t="s">
        <v>988</v>
      </c>
      <c r="B322" s="4" t="n">
        <v>45630</v>
      </c>
      <c r="C322" s="4" t="n">
        <v>45632</v>
      </c>
      <c r="D322" s="3" t="s">
        <v>989</v>
      </c>
      <c r="E322" s="3" t="str">
        <f aca="false">PROPER(TRIM(SUBSTITUTE(Raw_Text_Fields!B323,CHAR(160)," ")))</f>
        <v>Aarav Sharma</v>
      </c>
      <c r="F322" s="3" t="str">
        <f aca="false">PROPER(TRIM(SUBSTITUTE(Raw_Text_Fields!C323,CHAR(160)," ")))</f>
        <v>Home Office</v>
      </c>
      <c r="G322" s="3" t="str">
        <f aca="false">PROPER(TRIM(SUBSTITUTE(Raw_Text_Fields!D323,CHAR(160)," ")))</f>
        <v>East</v>
      </c>
      <c r="H322" s="3" t="str">
        <f aca="false">PROPER(TRIM(SUBSTITUTE(Raw_Text_Fields!E323,CHAR(160)," ")))</f>
        <v>West Bengal</v>
      </c>
      <c r="I322" s="3" t="str">
        <f aca="false">PROPER(TRIM(SUBSTITUTE(Raw_Text_Fields!F323,CHAR(160)," ")))</f>
        <v>Kolkata</v>
      </c>
      <c r="J322" s="3" t="str">
        <f aca="false">PROPER(TRIM(SUBSTITUTE(Raw_Text_Fields!G323,CHAR(160)," ")))</f>
        <v>Office Supplies</v>
      </c>
      <c r="K322" s="3" t="str">
        <f aca="false">PROPER(TRIM(SUBSTITUTE(Raw_Text_Fields!H323,CHAR(160)," ")))</f>
        <v>Art</v>
      </c>
      <c r="L322" s="3" t="s">
        <v>990</v>
      </c>
      <c r="M322" s="3" t="str">
        <f aca="false">PROPER(TRIM(SUBSTITUTE(Raw_Text_Fields!I323,CHAR(160)," ")))</f>
        <v>Second Class</v>
      </c>
      <c r="N322" s="3" t="n">
        <v>3</v>
      </c>
      <c r="O322" s="5" t="n">
        <v>876.14</v>
      </c>
      <c r="P322" s="6" t="n">
        <v>0.7</v>
      </c>
      <c r="Q322" s="5" t="n">
        <v>2628.42</v>
      </c>
      <c r="R322" s="5" t="n">
        <v>1541.54</v>
      </c>
      <c r="S322" s="5" t="n">
        <v>1086.88</v>
      </c>
      <c r="T322" s="3" t="str">
        <f aca="false">PROPER(TRIM(SUBSTITUTE(Raw_Text_Fields!J323,CHAR(160)," ")))</f>
        <v>Pending</v>
      </c>
      <c r="U322" s="3" t="str">
        <f aca="false">PROPER(TRIM(SUBSTITUTE(Raw_Text_Fields!K323,CHAR(160)," ")))</f>
        <v>Returned</v>
      </c>
      <c r="V322" s="7" t="n">
        <f aca="false">IF(OR(P322&lt;0,P322&gt;0.5),0,P322)</f>
        <v>0</v>
      </c>
      <c r="W322" s="8" t="n">
        <f aca="false">N322*O322*(1-V322)</f>
        <v>2628.42</v>
      </c>
      <c r="X322" s="8" t="n">
        <f aca="false">W322-R322</f>
        <v>1086.88</v>
      </c>
      <c r="Y322" s="7" t="n">
        <f aca="false">IFERROR(X322/W322,0)</f>
        <v>0.413510778338317</v>
      </c>
      <c r="Z322" s="9" t="n">
        <f aca="false">C322-B322</f>
        <v>2</v>
      </c>
      <c r="AA322" s="1" t="str">
        <f aca="false">IF(B322="","",TEXT(B322,"mmm"))</f>
        <v>Dec</v>
      </c>
      <c r="AB322" s="9" t="n">
        <f aca="false">IF(B322="","",YEAR(B322))</f>
        <v>2024</v>
      </c>
      <c r="AC322" s="3"/>
      <c r="AD322" s="3" t="str">
        <f aca="false">IF(LEFT(AC322&amp;IF(B322="","; Missing Order Date","")&amp;IF(C322="","; Missing Ship Date","")&amp;IF(P322&lt;0,"; Invalid Discount (Negative)","")&amp;IF(P322&gt;0.5,"; Invalid Discount (Too High)","")&amp;IF(Z322&lt;0,"; Invalid Shipping Record (Ship Before Order)","")&amp;IF(ABS(Q322-W322)&gt;1,"; Sales Mismatch","")&amp;IF(ABS(S322-X322)&gt;1,"; Profit Mismatch","")&amp;IF(COUNTIF($A$2:$A$913,A322)&gt;1,"; Duplicate Order ID Conflict",""),2)="; ",MID(AC322&amp;IF(B322="","; Missing Order Date","")&amp;IF(C322="","; Missing Ship Date","")&amp;IF(P322&lt;0,"; Invalid Discount (Negative)","")&amp;IF(P322&gt;0.5,"; Invalid Discount (Too High)","")&amp;IF(Z322&lt;0,"; Invalid Shipping Record (Ship Before Order)","")&amp;IF(ABS(Q322-W322)&gt;1,"; Sales Mismatch","")&amp;IF(ABS(S322-X322)&gt;1,"; Profit Mismatch","")&amp;IF(COUNTIF($A$2:$A$913,A322)&gt;1,"; Duplicate Order ID Conflict",""),3,500),AC322&amp;IF(B322="","; Missing Order Date","")&amp;IF(C322="","; Missing Ship Date","")&amp;IF(P322&lt;0,"; Invalid Discount (Negative)","")&amp;IF(P322&gt;0.5,"; Invalid Discount (Too High)","")&amp;IF(Z322&lt;0,"; Invalid Shipping Record (Ship Before Order)","")&amp;IF(ABS(Q322-W322)&gt;1,"; Sales Mismatch","")&amp;IF(ABS(S322-X322)&gt;1,"; Profit Mismatch","")&amp;IF(COUNTIF($A$2:$A$913,A322)&gt;1,"; Duplicate Order ID Conflict",""))</f>
        <v>Invalid Discount (Too High)</v>
      </c>
      <c r="AE322" s="10" t="str">
        <f aca="false">IF(OR(ISNUMBER(SEARCH("Invalid Discount",AD322)),ISNUMBER(SEARCH("Invalid Shipping Record",AD322)),ISNUMBER(SEARCH("Sales Mismatch",AD322)),ISNUMBER(SEARCH("Profit Mismatch",AD322)),ISNUMBER(SEARCH("Duplicate Order ID Conflict",AD322)),ISNUMBER(SEARCH("Missing Order Date",AD322)),ISNUMBER(SEARCH("Missing Ship Date",AD322))),"Invalid",IF(AD322&lt;&gt;"","Warning","Clean"))</f>
        <v>Invalid</v>
      </c>
    </row>
    <row r="323" customFormat="false" ht="15" hidden="false" customHeight="true" outlineLevel="0" collapsed="false">
      <c r="A323" s="3" t="s">
        <v>991</v>
      </c>
      <c r="B323" s="4" t="n">
        <v>45466</v>
      </c>
      <c r="C323" s="4" t="n">
        <v>45473</v>
      </c>
      <c r="D323" s="3" t="s">
        <v>992</v>
      </c>
      <c r="E323" s="3" t="str">
        <f aca="false">PROPER(TRIM(SUBSTITUTE(Raw_Text_Fields!B324,CHAR(160)," ")))</f>
        <v>Neha Gupta</v>
      </c>
      <c r="F323" s="3" t="str">
        <f aca="false">PROPER(TRIM(SUBSTITUTE(Raw_Text_Fields!C324,CHAR(160)," ")))</f>
        <v>Small Business</v>
      </c>
      <c r="G323" s="3" t="str">
        <f aca="false">PROPER(TRIM(SUBSTITUTE(Raw_Text_Fields!D324,CHAR(160)," ")))</f>
        <v>West</v>
      </c>
      <c r="H323" s="3" t="str">
        <f aca="false">PROPER(TRIM(SUBSTITUTE(Raw_Text_Fields!E324,CHAR(160)," ")))</f>
        <v>Goa</v>
      </c>
      <c r="I323" s="3" t="str">
        <f aca="false">PROPER(TRIM(SUBSTITUTE(Raw_Text_Fields!F324,CHAR(160)," ")))</f>
        <v>Panaji</v>
      </c>
      <c r="J323" s="3" t="str">
        <f aca="false">PROPER(TRIM(SUBSTITUTE(Raw_Text_Fields!G324,CHAR(160)," ")))</f>
        <v>Technology</v>
      </c>
      <c r="K323" s="3" t="str">
        <f aca="false">PROPER(TRIM(SUBSTITUTE(Raw_Text_Fields!H324,CHAR(160)," ")))</f>
        <v>Accessories</v>
      </c>
      <c r="L323" s="3" t="s">
        <v>993</v>
      </c>
      <c r="M323" s="3" t="str">
        <f aca="false">PROPER(TRIM(SUBSTITUTE(Raw_Text_Fields!I324,CHAR(160)," ")))</f>
        <v>Same Day</v>
      </c>
      <c r="N323" s="3" t="n">
        <v>4</v>
      </c>
      <c r="O323" s="5" t="n">
        <v>674.82</v>
      </c>
      <c r="P323" s="6" t="n">
        <v>0</v>
      </c>
      <c r="Q323" s="5" t="n">
        <v>2699.28</v>
      </c>
      <c r="R323" s="5" t="n">
        <v>1759.76</v>
      </c>
      <c r="S323" s="5" t="n">
        <v>939.52</v>
      </c>
      <c r="T323" s="3" t="str">
        <f aca="false">PROPER(TRIM(SUBSTITUTE(Raw_Text_Fields!J324,CHAR(160)," ")))</f>
        <v>Failed</v>
      </c>
      <c r="U323" s="3" t="str">
        <f aca="false">PROPER(TRIM(SUBSTITUTE(Raw_Text_Fields!K324,CHAR(160)," ")))</f>
        <v>Cancelled</v>
      </c>
      <c r="V323" s="7" t="n">
        <f aca="false">IF(OR(P323&lt;0,P323&gt;0.5),0,P323)</f>
        <v>0</v>
      </c>
      <c r="W323" s="8" t="n">
        <f aca="false">N323*O323*(1-V323)</f>
        <v>2699.28</v>
      </c>
      <c r="X323" s="8" t="n">
        <f aca="false">W323-R323</f>
        <v>939.52</v>
      </c>
      <c r="Y323" s="7" t="n">
        <f aca="false">IFERROR(X323/W323,0)</f>
        <v>0.348063187220296</v>
      </c>
      <c r="Z323" s="9" t="n">
        <f aca="false">C323-B323</f>
        <v>7</v>
      </c>
      <c r="AA323" s="1" t="str">
        <f aca="false">IF(B323="","",TEXT(B323,"mmm"))</f>
        <v>Jun</v>
      </c>
      <c r="AB323" s="9" t="n">
        <f aca="false">IF(B323="","",YEAR(B323))</f>
        <v>2024</v>
      </c>
      <c r="AC323" s="3"/>
      <c r="AD323" s="3" t="str">
        <f aca="false">IF(LEFT(AC323&amp;IF(B323="","; Missing Order Date","")&amp;IF(C323="","; Missing Ship Date","")&amp;IF(P323&lt;0,"; Invalid Discount (Negative)","")&amp;IF(P323&gt;0.5,"; Invalid Discount (Too High)","")&amp;IF(Z323&lt;0,"; Invalid Shipping Record (Ship Before Order)","")&amp;IF(ABS(Q323-W323)&gt;1,"; Sales Mismatch","")&amp;IF(ABS(S323-X323)&gt;1,"; Profit Mismatch","")&amp;IF(COUNTIF($A$2:$A$913,A323)&gt;1,"; Duplicate Order ID Conflict",""),2)="; ",MID(AC323&amp;IF(B323="","; Missing Order Date","")&amp;IF(C323="","; Missing Ship Date","")&amp;IF(P323&lt;0,"; Invalid Discount (Negative)","")&amp;IF(P323&gt;0.5,"; Invalid Discount (Too High)","")&amp;IF(Z323&lt;0,"; Invalid Shipping Record (Ship Before Order)","")&amp;IF(ABS(Q323-W323)&gt;1,"; Sales Mismatch","")&amp;IF(ABS(S323-X323)&gt;1,"; Profit Mismatch","")&amp;IF(COUNTIF($A$2:$A$913,A323)&gt;1,"; Duplicate Order ID Conflict",""),3,500),AC323&amp;IF(B323="","; Missing Order Date","")&amp;IF(C323="","; Missing Ship Date","")&amp;IF(P323&lt;0,"; Invalid Discount (Negative)","")&amp;IF(P323&gt;0.5,"; Invalid Discount (Too High)","")&amp;IF(Z323&lt;0,"; Invalid Shipping Record (Ship Before Order)","")&amp;IF(ABS(Q323-W323)&gt;1,"; Sales Mismatch","")&amp;IF(ABS(S323-X323)&gt;1,"; Profit Mismatch","")&amp;IF(COUNTIF($A$2:$A$913,A323)&gt;1,"; Duplicate Order ID Conflict",""))</f>
        <v/>
      </c>
      <c r="AE323" s="10" t="str">
        <f aca="false">IF(OR(ISNUMBER(SEARCH("Invalid Discount",AD323)),ISNUMBER(SEARCH("Invalid Shipping Record",AD323)),ISNUMBER(SEARCH("Sales Mismatch",AD323)),ISNUMBER(SEARCH("Profit Mismatch",AD323)),ISNUMBER(SEARCH("Duplicate Order ID Conflict",AD323)),ISNUMBER(SEARCH("Missing Order Date",AD323)),ISNUMBER(SEARCH("Missing Ship Date",AD323))),"Invalid",IF(AD323&lt;&gt;"","Warning","Clean"))</f>
        <v>Clean</v>
      </c>
    </row>
    <row r="324" customFormat="false" ht="15" hidden="false" customHeight="true" outlineLevel="0" collapsed="false">
      <c r="A324" s="3" t="s">
        <v>994</v>
      </c>
      <c r="B324" s="4" t="n">
        <v>45608</v>
      </c>
      <c r="C324" s="4" t="n">
        <v>45608</v>
      </c>
      <c r="D324" s="3" t="s">
        <v>995</v>
      </c>
      <c r="E324" s="3" t="str">
        <f aca="false">PROPER(TRIM(SUBSTITUTE(Raw_Text_Fields!B325,CHAR(160)," ")))</f>
        <v>Isha Nair</v>
      </c>
      <c r="F324" s="3" t="str">
        <f aca="false">PROPER(TRIM(SUBSTITUTE(Raw_Text_Fields!C325,CHAR(160)," ")))</f>
        <v>Consumer</v>
      </c>
      <c r="G324" s="3" t="str">
        <f aca="false">PROPER(TRIM(SUBSTITUTE(Raw_Text_Fields!D325,CHAR(160)," ")))</f>
        <v>North</v>
      </c>
      <c r="H324" s="3" t="str">
        <f aca="false">PROPER(TRIM(SUBSTITUTE(Raw_Text_Fields!E325,CHAR(160)," ")))</f>
        <v>Uttar Pradesh</v>
      </c>
      <c r="I324" s="3" t="str">
        <f aca="false">PROPER(TRIM(SUBSTITUTE(Raw_Text_Fields!F325,CHAR(160)," ")))</f>
        <v>Noida</v>
      </c>
      <c r="J324" s="3" t="str">
        <f aca="false">PROPER(TRIM(SUBSTITUTE(Raw_Text_Fields!G325,CHAR(160)," ")))</f>
        <v>Technology</v>
      </c>
      <c r="K324" s="3" t="str">
        <f aca="false">PROPER(TRIM(SUBSTITUTE(Raw_Text_Fields!H325,CHAR(160)," ")))</f>
        <v>Phones</v>
      </c>
      <c r="L324" s="3" t="s">
        <v>996</v>
      </c>
      <c r="M324" s="3" t="str">
        <f aca="false">PROPER(TRIM(SUBSTITUTE(Raw_Text_Fields!I325,CHAR(160)," ")))</f>
        <v>Second Class</v>
      </c>
      <c r="N324" s="3" t="n">
        <v>6</v>
      </c>
      <c r="O324" s="5" t="n">
        <v>1369.48</v>
      </c>
      <c r="P324" s="6" t="n">
        <v>0.15</v>
      </c>
      <c r="Q324" s="5" t="n">
        <v>6984.35</v>
      </c>
      <c r="R324" s="5" t="n">
        <v>4023.63</v>
      </c>
      <c r="S324" s="5" t="n">
        <v>2960.72</v>
      </c>
      <c r="T324" s="3" t="str">
        <f aca="false">PROPER(TRIM(SUBSTITUTE(Raw_Text_Fields!J325,CHAR(160)," ")))</f>
        <v>Paid</v>
      </c>
      <c r="U324" s="3" t="str">
        <f aca="false">PROPER(TRIM(SUBSTITUTE(Raw_Text_Fields!K325,CHAR(160)," ")))</f>
        <v>Completed</v>
      </c>
      <c r="V324" s="7" t="n">
        <f aca="false">IF(OR(P324&lt;0,P324&gt;0.5),0,P324)</f>
        <v>0.15</v>
      </c>
      <c r="W324" s="8" t="n">
        <f aca="false">N324*O324*(1-V324)</f>
        <v>6984.348</v>
      </c>
      <c r="X324" s="8" t="n">
        <f aca="false">W324-R324</f>
        <v>2960.718</v>
      </c>
      <c r="Y324" s="7" t="n">
        <f aca="false">IFERROR(X324/W324,0)</f>
        <v>0.423907571615847</v>
      </c>
      <c r="Z324" s="9" t="n">
        <f aca="false">C324-B324</f>
        <v>0</v>
      </c>
      <c r="AA324" s="1" t="str">
        <f aca="false">IF(B324="","",TEXT(B324,"mmm"))</f>
        <v>Nov</v>
      </c>
      <c r="AB324" s="9" t="n">
        <f aca="false">IF(B324="","",YEAR(B324))</f>
        <v>2024</v>
      </c>
      <c r="AC324" s="3"/>
      <c r="AD324" s="3" t="str">
        <f aca="false">IF(LEFT(AC324&amp;IF(B324="","; Missing Order Date","")&amp;IF(C324="","; Missing Ship Date","")&amp;IF(P324&lt;0,"; Invalid Discount (Negative)","")&amp;IF(P324&gt;0.5,"; Invalid Discount (Too High)","")&amp;IF(Z324&lt;0,"; Invalid Shipping Record (Ship Before Order)","")&amp;IF(ABS(Q324-W324)&gt;1,"; Sales Mismatch","")&amp;IF(ABS(S324-X324)&gt;1,"; Profit Mismatch","")&amp;IF(COUNTIF($A$2:$A$913,A324)&gt;1,"; Duplicate Order ID Conflict",""),2)="; ",MID(AC324&amp;IF(B324="","; Missing Order Date","")&amp;IF(C324="","; Missing Ship Date","")&amp;IF(P324&lt;0,"; Invalid Discount (Negative)","")&amp;IF(P324&gt;0.5,"; Invalid Discount (Too High)","")&amp;IF(Z324&lt;0,"; Invalid Shipping Record (Ship Before Order)","")&amp;IF(ABS(Q324-W324)&gt;1,"; Sales Mismatch","")&amp;IF(ABS(S324-X324)&gt;1,"; Profit Mismatch","")&amp;IF(COUNTIF($A$2:$A$913,A324)&gt;1,"; Duplicate Order ID Conflict",""),3,500),AC324&amp;IF(B324="","; Missing Order Date","")&amp;IF(C324="","; Missing Ship Date","")&amp;IF(P324&lt;0,"; Invalid Discount (Negative)","")&amp;IF(P324&gt;0.5,"; Invalid Discount (Too High)","")&amp;IF(Z324&lt;0,"; Invalid Shipping Record (Ship Before Order)","")&amp;IF(ABS(Q324-W324)&gt;1,"; Sales Mismatch","")&amp;IF(ABS(S324-X324)&gt;1,"; Profit Mismatch","")&amp;IF(COUNTIF($A$2:$A$913,A324)&gt;1,"; Duplicate Order ID Conflict",""))</f>
        <v/>
      </c>
      <c r="AE324" s="10" t="str">
        <f aca="false">IF(OR(ISNUMBER(SEARCH("Invalid Discount",AD324)),ISNUMBER(SEARCH("Invalid Shipping Record",AD324)),ISNUMBER(SEARCH("Sales Mismatch",AD324)),ISNUMBER(SEARCH("Profit Mismatch",AD324)),ISNUMBER(SEARCH("Duplicate Order ID Conflict",AD324)),ISNUMBER(SEARCH("Missing Order Date",AD324)),ISNUMBER(SEARCH("Missing Ship Date",AD324))),"Invalid",IF(AD324&lt;&gt;"","Warning","Clean"))</f>
        <v>Clean</v>
      </c>
    </row>
    <row r="325" customFormat="false" ht="15" hidden="false" customHeight="true" outlineLevel="0" collapsed="false">
      <c r="A325" s="3" t="s">
        <v>997</v>
      </c>
      <c r="B325" s="4" t="n">
        <v>45347</v>
      </c>
      <c r="C325" s="4" t="n">
        <v>45351</v>
      </c>
      <c r="D325" s="3" t="s">
        <v>998</v>
      </c>
      <c r="E325" s="3" t="str">
        <f aca="false">PROPER(TRIM(SUBSTITUTE(Raw_Text_Fields!B326,CHAR(160)," ")))</f>
        <v>Isha Nair</v>
      </c>
      <c r="F325" s="3" t="str">
        <f aca="false">PROPER(TRIM(SUBSTITUTE(Raw_Text_Fields!C326,CHAR(160)," ")))</f>
        <v>Small Business</v>
      </c>
      <c r="G325" s="3" t="str">
        <f aca="false">PROPER(TRIM(SUBSTITUTE(Raw_Text_Fields!D326,CHAR(160)," ")))</f>
        <v>West</v>
      </c>
      <c r="H325" s="3" t="str">
        <f aca="false">PROPER(TRIM(SUBSTITUTE(Raw_Text_Fields!E326,CHAR(160)," ")))</f>
        <v>Goa</v>
      </c>
      <c r="I325" s="3" t="str">
        <f aca="false">PROPER(TRIM(SUBSTITUTE(Raw_Text_Fields!F326,CHAR(160)," ")))</f>
        <v>Panaji</v>
      </c>
      <c r="J325" s="3" t="str">
        <f aca="false">PROPER(TRIM(SUBSTITUTE(Raw_Text_Fields!G326,CHAR(160)," ")))</f>
        <v>Furniture</v>
      </c>
      <c r="K325" s="3" t="str">
        <f aca="false">PROPER(TRIM(SUBSTITUTE(Raw_Text_Fields!H326,CHAR(160)," ")))</f>
        <v>Furnishings</v>
      </c>
      <c r="L325" s="3" t="s">
        <v>96</v>
      </c>
      <c r="M325" s="3" t="str">
        <f aca="false">PROPER(TRIM(SUBSTITUTE(Raw_Text_Fields!I326,CHAR(160)," ")))</f>
        <v>Standard Class</v>
      </c>
      <c r="N325" s="3" t="n">
        <v>9</v>
      </c>
      <c r="O325" s="5" t="n">
        <v>1331.46</v>
      </c>
      <c r="P325" s="6" t="n">
        <v>0.15</v>
      </c>
      <c r="Q325" s="5" t="n">
        <v>10185.67</v>
      </c>
      <c r="R325" s="5" t="n">
        <v>6479.31</v>
      </c>
      <c r="S325" s="5" t="n">
        <v>3706.36</v>
      </c>
      <c r="T325" s="3" t="str">
        <f aca="false">PROPER(TRIM(SUBSTITUTE(Raw_Text_Fields!J326,CHAR(160)," ")))</f>
        <v>Paid</v>
      </c>
      <c r="U325" s="3" t="str">
        <f aca="false">PROPER(TRIM(SUBSTITUTE(Raw_Text_Fields!K326,CHAR(160)," ")))</f>
        <v>Completed</v>
      </c>
      <c r="V325" s="7" t="n">
        <f aca="false">IF(OR(P325&lt;0,P325&gt;0.5),0,P325)</f>
        <v>0.15</v>
      </c>
      <c r="W325" s="8" t="n">
        <f aca="false">N325*O325*(1-V325)</f>
        <v>10185.669</v>
      </c>
      <c r="X325" s="8" t="n">
        <f aca="false">W325-R325</f>
        <v>3706.359</v>
      </c>
      <c r="Y325" s="7" t="n">
        <f aca="false">IFERROR(X325/W325,0)</f>
        <v>0.363879780503372</v>
      </c>
      <c r="Z325" s="9" t="n">
        <f aca="false">C325-B325</f>
        <v>4</v>
      </c>
      <c r="AA325" s="1" t="str">
        <f aca="false">IF(B325="","",TEXT(B325,"mmm"))</f>
        <v>Feb</v>
      </c>
      <c r="AB325" s="9" t="n">
        <f aca="false">IF(B325="","",YEAR(B325))</f>
        <v>2024</v>
      </c>
      <c r="AC325" s="3"/>
      <c r="AD325" s="3" t="str">
        <f aca="false">IF(LEFT(AC325&amp;IF(B325="","; Missing Order Date","")&amp;IF(C325="","; Missing Ship Date","")&amp;IF(P325&lt;0,"; Invalid Discount (Negative)","")&amp;IF(P325&gt;0.5,"; Invalid Discount (Too High)","")&amp;IF(Z325&lt;0,"; Invalid Shipping Record (Ship Before Order)","")&amp;IF(ABS(Q325-W325)&gt;1,"; Sales Mismatch","")&amp;IF(ABS(S325-X325)&gt;1,"; Profit Mismatch","")&amp;IF(COUNTIF($A$2:$A$913,A325)&gt;1,"; Duplicate Order ID Conflict",""),2)="; ",MID(AC325&amp;IF(B325="","; Missing Order Date","")&amp;IF(C325="","; Missing Ship Date","")&amp;IF(P325&lt;0,"; Invalid Discount (Negative)","")&amp;IF(P325&gt;0.5,"; Invalid Discount (Too High)","")&amp;IF(Z325&lt;0,"; Invalid Shipping Record (Ship Before Order)","")&amp;IF(ABS(Q325-W325)&gt;1,"; Sales Mismatch","")&amp;IF(ABS(S325-X325)&gt;1,"; Profit Mismatch","")&amp;IF(COUNTIF($A$2:$A$913,A325)&gt;1,"; Duplicate Order ID Conflict",""),3,500),AC325&amp;IF(B325="","; Missing Order Date","")&amp;IF(C325="","; Missing Ship Date","")&amp;IF(P325&lt;0,"; Invalid Discount (Negative)","")&amp;IF(P325&gt;0.5,"; Invalid Discount (Too High)","")&amp;IF(Z325&lt;0,"; Invalid Shipping Record (Ship Before Order)","")&amp;IF(ABS(Q325-W325)&gt;1,"; Sales Mismatch","")&amp;IF(ABS(S325-X325)&gt;1,"; Profit Mismatch","")&amp;IF(COUNTIF($A$2:$A$913,A325)&gt;1,"; Duplicate Order ID Conflict",""))</f>
        <v/>
      </c>
      <c r="AE325" s="10" t="str">
        <f aca="false">IF(OR(ISNUMBER(SEARCH("Invalid Discount",AD325)),ISNUMBER(SEARCH("Invalid Shipping Record",AD325)),ISNUMBER(SEARCH("Sales Mismatch",AD325)),ISNUMBER(SEARCH("Profit Mismatch",AD325)),ISNUMBER(SEARCH("Duplicate Order ID Conflict",AD325)),ISNUMBER(SEARCH("Missing Order Date",AD325)),ISNUMBER(SEARCH("Missing Ship Date",AD325))),"Invalid",IF(AD325&lt;&gt;"","Warning","Clean"))</f>
        <v>Clean</v>
      </c>
    </row>
    <row r="326" customFormat="false" ht="15" hidden="false" customHeight="true" outlineLevel="0" collapsed="false">
      <c r="A326" s="3" t="s">
        <v>999</v>
      </c>
      <c r="B326" s="4" t="n">
        <v>45869</v>
      </c>
      <c r="C326" s="4" t="n">
        <v>45871</v>
      </c>
      <c r="D326" s="3" t="s">
        <v>1000</v>
      </c>
      <c r="E326" s="3" t="str">
        <f aca="false">PROPER(TRIM(SUBSTITUTE(Raw_Text_Fields!B327,CHAR(160)," ")))</f>
        <v>Rohan Mehta</v>
      </c>
      <c r="F326" s="3" t="str">
        <f aca="false">PROPER(TRIM(SUBSTITUTE(Raw_Text_Fields!C327,CHAR(160)," ")))</f>
        <v>Home Office</v>
      </c>
      <c r="G326" s="3" t="str">
        <f aca="false">PROPER(TRIM(SUBSTITUTE(Raw_Text_Fields!D327,CHAR(160)," ")))</f>
        <v>South</v>
      </c>
      <c r="H326" s="3" t="str">
        <f aca="false">PROPER(TRIM(SUBSTITUTE(Raw_Text_Fields!E327,CHAR(160)," ")))</f>
        <v>Andhra Pradesh</v>
      </c>
      <c r="I326" s="3" t="str">
        <f aca="false">PROPER(TRIM(SUBSTITUTE(Raw_Text_Fields!F327,CHAR(160)," ")))</f>
        <v>Vijayawada</v>
      </c>
      <c r="J326" s="3" t="str">
        <f aca="false">PROPER(TRIM(SUBSTITUTE(Raw_Text_Fields!G327,CHAR(160)," ")))</f>
        <v>Office Supplies</v>
      </c>
      <c r="K326" s="3" t="str">
        <f aca="false">PROPER(TRIM(SUBSTITUTE(Raw_Text_Fields!H327,CHAR(160)," ")))</f>
        <v>Labels</v>
      </c>
      <c r="L326" s="3" t="s">
        <v>1001</v>
      </c>
      <c r="M326" s="3" t="str">
        <f aca="false">PROPER(TRIM(SUBSTITUTE(Raw_Text_Fields!I327,CHAR(160)," ")))</f>
        <v>Same Day</v>
      </c>
      <c r="N326" s="3" t="n">
        <v>1</v>
      </c>
      <c r="O326" s="5" t="n">
        <v>1947.88</v>
      </c>
      <c r="P326" s="6" t="n">
        <v>0.15</v>
      </c>
      <c r="Q326" s="5" t="n">
        <v>1655.7</v>
      </c>
      <c r="R326" s="5" t="n">
        <v>1354.8</v>
      </c>
      <c r="S326" s="5" t="n">
        <v>300.9</v>
      </c>
      <c r="T326" s="3" t="str">
        <f aca="false">PROPER(TRIM(SUBSTITUTE(Raw_Text_Fields!J327,CHAR(160)," ")))</f>
        <v>Paid</v>
      </c>
      <c r="U326" s="3" t="str">
        <f aca="false">PROPER(TRIM(SUBSTITUTE(Raw_Text_Fields!K327,CHAR(160)," ")))</f>
        <v>Returned</v>
      </c>
      <c r="V326" s="7" t="n">
        <f aca="false">IF(OR(P326&lt;0,P326&gt;0.5),0,P326)</f>
        <v>0.15</v>
      </c>
      <c r="W326" s="8" t="n">
        <f aca="false">N326*O326*(1-V326)</f>
        <v>1655.698</v>
      </c>
      <c r="X326" s="8" t="n">
        <f aca="false">W326-R326</f>
        <v>300.898</v>
      </c>
      <c r="Y326" s="7" t="n">
        <f aca="false">IFERROR(X326/W326,0)</f>
        <v>0.181734833284814</v>
      </c>
      <c r="Z326" s="9" t="n">
        <f aca="false">C326-B326</f>
        <v>2</v>
      </c>
      <c r="AA326" s="1" t="str">
        <f aca="false">IF(B326="","",TEXT(B326,"mmm"))</f>
        <v>Jul</v>
      </c>
      <c r="AB326" s="9" t="n">
        <f aca="false">IF(B326="","",YEAR(B326))</f>
        <v>2025</v>
      </c>
      <c r="AC326" s="3"/>
      <c r="AD326" s="3" t="str">
        <f aca="false">IF(LEFT(AC326&amp;IF(B326="","; Missing Order Date","")&amp;IF(C326="","; Missing Ship Date","")&amp;IF(P326&lt;0,"; Invalid Discount (Negative)","")&amp;IF(P326&gt;0.5,"; Invalid Discount (Too High)","")&amp;IF(Z326&lt;0,"; Invalid Shipping Record (Ship Before Order)","")&amp;IF(ABS(Q326-W326)&gt;1,"; Sales Mismatch","")&amp;IF(ABS(S326-X326)&gt;1,"; Profit Mismatch","")&amp;IF(COUNTIF($A$2:$A$913,A326)&gt;1,"; Duplicate Order ID Conflict",""),2)="; ",MID(AC326&amp;IF(B326="","; Missing Order Date","")&amp;IF(C326="","; Missing Ship Date","")&amp;IF(P326&lt;0,"; Invalid Discount (Negative)","")&amp;IF(P326&gt;0.5,"; Invalid Discount (Too High)","")&amp;IF(Z326&lt;0,"; Invalid Shipping Record (Ship Before Order)","")&amp;IF(ABS(Q326-W326)&gt;1,"; Sales Mismatch","")&amp;IF(ABS(S326-X326)&gt;1,"; Profit Mismatch","")&amp;IF(COUNTIF($A$2:$A$913,A326)&gt;1,"; Duplicate Order ID Conflict",""),3,500),AC326&amp;IF(B326="","; Missing Order Date","")&amp;IF(C326="","; Missing Ship Date","")&amp;IF(P326&lt;0,"; Invalid Discount (Negative)","")&amp;IF(P326&gt;0.5,"; Invalid Discount (Too High)","")&amp;IF(Z326&lt;0,"; Invalid Shipping Record (Ship Before Order)","")&amp;IF(ABS(Q326-W326)&gt;1,"; Sales Mismatch","")&amp;IF(ABS(S326-X326)&gt;1,"; Profit Mismatch","")&amp;IF(COUNTIF($A$2:$A$913,A326)&gt;1,"; Duplicate Order ID Conflict",""))</f>
        <v/>
      </c>
      <c r="AE326" s="10" t="str">
        <f aca="false">IF(OR(ISNUMBER(SEARCH("Invalid Discount",AD326)),ISNUMBER(SEARCH("Invalid Shipping Record",AD326)),ISNUMBER(SEARCH("Sales Mismatch",AD326)),ISNUMBER(SEARCH("Profit Mismatch",AD326)),ISNUMBER(SEARCH("Duplicate Order ID Conflict",AD326)),ISNUMBER(SEARCH("Missing Order Date",AD326)),ISNUMBER(SEARCH("Missing Ship Date",AD326))),"Invalid",IF(AD326&lt;&gt;"","Warning","Clean"))</f>
        <v>Clean</v>
      </c>
    </row>
    <row r="327" customFormat="false" ht="15" hidden="false" customHeight="true" outlineLevel="0" collapsed="false">
      <c r="A327" s="3" t="s">
        <v>1002</v>
      </c>
      <c r="B327" s="4" t="n">
        <v>45916</v>
      </c>
      <c r="C327" s="4" t="n">
        <v>45922</v>
      </c>
      <c r="D327" s="3" t="s">
        <v>1003</v>
      </c>
      <c r="E327" s="3" t="str">
        <f aca="false">PROPER(TRIM(SUBSTITUTE(Raw_Text_Fields!B328,CHAR(160)," ")))</f>
        <v>Sneha Kapoor</v>
      </c>
      <c r="F327" s="3" t="str">
        <f aca="false">PROPER(TRIM(SUBSTITUTE(Raw_Text_Fields!C328,CHAR(160)," ")))</f>
        <v>Home Office</v>
      </c>
      <c r="G327" s="3" t="str">
        <f aca="false">PROPER(TRIM(SUBSTITUTE(Raw_Text_Fields!D328,CHAR(160)," ")))</f>
        <v>East</v>
      </c>
      <c r="H327" s="3" t="str">
        <f aca="false">PROPER(TRIM(SUBSTITUTE(Raw_Text_Fields!E328,CHAR(160)," ")))</f>
        <v>West Bengal</v>
      </c>
      <c r="I327" s="3" t="str">
        <f aca="false">PROPER(TRIM(SUBSTITUTE(Raw_Text_Fields!F328,CHAR(160)," ")))</f>
        <v>Kolkata</v>
      </c>
      <c r="J327" s="3" t="str">
        <f aca="false">PROPER(TRIM(SUBSTITUTE(Raw_Text_Fields!G328,CHAR(160)," ")))</f>
        <v>Technology</v>
      </c>
      <c r="K327" s="3" t="str">
        <f aca="false">PROPER(TRIM(SUBSTITUTE(Raw_Text_Fields!H328,CHAR(160)," ")))</f>
        <v>Copiers</v>
      </c>
      <c r="L327" s="3" t="s">
        <v>1004</v>
      </c>
      <c r="M327" s="3" t="str">
        <f aca="false">PROPER(TRIM(SUBSTITUTE(Raw_Text_Fields!I328,CHAR(160)," ")))</f>
        <v>Second Class</v>
      </c>
      <c r="N327" s="3" t="n">
        <v>5</v>
      </c>
      <c r="O327" s="5" t="n">
        <v>3671.2</v>
      </c>
      <c r="P327" s="6" t="n">
        <v>0.15</v>
      </c>
      <c r="Q327" s="5" t="n">
        <v>15602.6</v>
      </c>
      <c r="R327" s="5" t="n">
        <v>11908.52</v>
      </c>
      <c r="S327" s="5" t="n">
        <v>3694.08</v>
      </c>
      <c r="T327" s="3" t="str">
        <f aca="false">PROPER(TRIM(SUBSTITUTE(Raw_Text_Fields!J328,CHAR(160)," ")))</f>
        <v>Paid</v>
      </c>
      <c r="U327" s="3" t="str">
        <f aca="false">PROPER(TRIM(SUBSTITUTE(Raw_Text_Fields!K328,CHAR(160)," ")))</f>
        <v>Completed</v>
      </c>
      <c r="V327" s="7" t="n">
        <f aca="false">IF(OR(P327&lt;0,P327&gt;0.5),0,P327)</f>
        <v>0.15</v>
      </c>
      <c r="W327" s="8" t="n">
        <f aca="false">N327*O327*(1-V327)</f>
        <v>15602.6</v>
      </c>
      <c r="X327" s="8" t="n">
        <f aca="false">W327-R327</f>
        <v>3694.08</v>
      </c>
      <c r="Y327" s="7" t="n">
        <f aca="false">IFERROR(X327/W327,0)</f>
        <v>0.236760539910015</v>
      </c>
      <c r="Z327" s="9" t="n">
        <f aca="false">C327-B327</f>
        <v>6</v>
      </c>
      <c r="AA327" s="1" t="str">
        <f aca="false">IF(B327="","",TEXT(B327,"mmm"))</f>
        <v>Sep</v>
      </c>
      <c r="AB327" s="9" t="n">
        <f aca="false">IF(B327="","",YEAR(B327))</f>
        <v>2025</v>
      </c>
      <c r="AC327" s="3"/>
      <c r="AD327" s="3" t="str">
        <f aca="false">IF(LEFT(AC327&amp;IF(B327="","; Missing Order Date","")&amp;IF(C327="","; Missing Ship Date","")&amp;IF(P327&lt;0,"; Invalid Discount (Negative)","")&amp;IF(P327&gt;0.5,"; Invalid Discount (Too High)","")&amp;IF(Z327&lt;0,"; Invalid Shipping Record (Ship Before Order)","")&amp;IF(ABS(Q327-W327)&gt;1,"; Sales Mismatch","")&amp;IF(ABS(S327-X327)&gt;1,"; Profit Mismatch","")&amp;IF(COUNTIF($A$2:$A$913,A327)&gt;1,"; Duplicate Order ID Conflict",""),2)="; ",MID(AC327&amp;IF(B327="","; Missing Order Date","")&amp;IF(C327="","; Missing Ship Date","")&amp;IF(P327&lt;0,"; Invalid Discount (Negative)","")&amp;IF(P327&gt;0.5,"; Invalid Discount (Too High)","")&amp;IF(Z327&lt;0,"; Invalid Shipping Record (Ship Before Order)","")&amp;IF(ABS(Q327-W327)&gt;1,"; Sales Mismatch","")&amp;IF(ABS(S327-X327)&gt;1,"; Profit Mismatch","")&amp;IF(COUNTIF($A$2:$A$913,A327)&gt;1,"; Duplicate Order ID Conflict",""),3,500),AC327&amp;IF(B327="","; Missing Order Date","")&amp;IF(C327="","; Missing Ship Date","")&amp;IF(P327&lt;0,"; Invalid Discount (Negative)","")&amp;IF(P327&gt;0.5,"; Invalid Discount (Too High)","")&amp;IF(Z327&lt;0,"; Invalid Shipping Record (Ship Before Order)","")&amp;IF(ABS(Q327-W327)&gt;1,"; Sales Mismatch","")&amp;IF(ABS(S327-X327)&gt;1,"; Profit Mismatch","")&amp;IF(COUNTIF($A$2:$A$913,A327)&gt;1,"; Duplicate Order ID Conflict",""))</f>
        <v/>
      </c>
      <c r="AE327" s="10" t="str">
        <f aca="false">IF(OR(ISNUMBER(SEARCH("Invalid Discount",AD327)),ISNUMBER(SEARCH("Invalid Shipping Record",AD327)),ISNUMBER(SEARCH("Sales Mismatch",AD327)),ISNUMBER(SEARCH("Profit Mismatch",AD327)),ISNUMBER(SEARCH("Duplicate Order ID Conflict",AD327)),ISNUMBER(SEARCH("Missing Order Date",AD327)),ISNUMBER(SEARCH("Missing Ship Date",AD327))),"Invalid",IF(AD327&lt;&gt;"","Warning","Clean"))</f>
        <v>Clean</v>
      </c>
    </row>
    <row r="328" customFormat="false" ht="15" hidden="false" customHeight="true" outlineLevel="0" collapsed="false">
      <c r="A328" s="3" t="s">
        <v>1005</v>
      </c>
      <c r="B328" s="4" t="n">
        <v>45860</v>
      </c>
      <c r="C328" s="4" t="n">
        <v>45860</v>
      </c>
      <c r="D328" s="3" t="s">
        <v>1006</v>
      </c>
      <c r="E328" s="3" t="str">
        <f aca="false">PROPER(TRIM(SUBSTITUTE(Raw_Text_Fields!B329,CHAR(160)," ")))</f>
        <v>Sneha Kapoor</v>
      </c>
      <c r="F328" s="3" t="str">
        <f aca="false">PROPER(TRIM(SUBSTITUTE(Raw_Text_Fields!C329,CHAR(160)," ")))</f>
        <v>Corporate</v>
      </c>
      <c r="G328" s="3" t="str">
        <f aca="false">PROPER(TRIM(SUBSTITUTE(Raw_Text_Fields!D329,CHAR(160)," ")))</f>
        <v>East</v>
      </c>
      <c r="H328" s="3" t="str">
        <f aca="false">PROPER(TRIM(SUBSTITUTE(Raw_Text_Fields!E329,CHAR(160)," ")))</f>
        <v>Jharkhand</v>
      </c>
      <c r="I328" s="3" t="str">
        <f aca="false">PROPER(TRIM(SUBSTITUTE(Raw_Text_Fields!F329,CHAR(160)," ")))</f>
        <v>Ranchi</v>
      </c>
      <c r="J328" s="3" t="str">
        <f aca="false">PROPER(TRIM(SUBSTITUTE(Raw_Text_Fields!G329,CHAR(160)," ")))</f>
        <v>Furniture</v>
      </c>
      <c r="K328" s="3" t="str">
        <f aca="false">PROPER(TRIM(SUBSTITUTE(Raw_Text_Fields!H329,CHAR(160)," ")))</f>
        <v>Furnishings</v>
      </c>
      <c r="L328" s="3" t="s">
        <v>1007</v>
      </c>
      <c r="M328" s="3" t="str">
        <f aca="false">PROPER(TRIM(SUBSTITUTE(Raw_Text_Fields!I329,CHAR(160)," ")))</f>
        <v>Same Day</v>
      </c>
      <c r="N328" s="3" t="n">
        <v>5</v>
      </c>
      <c r="O328" s="5" t="n">
        <v>3187.05</v>
      </c>
      <c r="P328" s="6" t="n">
        <v>0.05</v>
      </c>
      <c r="Q328" s="5" t="n">
        <v>15138.49</v>
      </c>
      <c r="R328" s="5" t="n">
        <v>11235.72</v>
      </c>
      <c r="S328" s="5" t="n">
        <v>3902.77</v>
      </c>
      <c r="T328" s="3" t="str">
        <f aca="false">PROPER(TRIM(SUBSTITUTE(Raw_Text_Fields!J329,CHAR(160)," ")))</f>
        <v>Paid</v>
      </c>
      <c r="U328" s="3" t="str">
        <f aca="false">PROPER(TRIM(SUBSTITUTE(Raw_Text_Fields!K329,CHAR(160)," ")))</f>
        <v>Completed</v>
      </c>
      <c r="V328" s="7" t="n">
        <f aca="false">IF(OR(P328&lt;0,P328&gt;0.5),0,P328)</f>
        <v>0.05</v>
      </c>
      <c r="W328" s="8" t="n">
        <f aca="false">N328*O328*(1-V328)</f>
        <v>15138.4875</v>
      </c>
      <c r="X328" s="8" t="n">
        <f aca="false">W328-R328</f>
        <v>3902.7675</v>
      </c>
      <c r="Y328" s="7" t="n">
        <f aca="false">IFERROR(X328/W328,0)</f>
        <v>0.25780432160082</v>
      </c>
      <c r="Z328" s="9" t="n">
        <f aca="false">C328-B328</f>
        <v>0</v>
      </c>
      <c r="AA328" s="1" t="str">
        <f aca="false">IF(B328="","",TEXT(B328,"mmm"))</f>
        <v>Jul</v>
      </c>
      <c r="AB328" s="9" t="n">
        <f aca="false">IF(B328="","",YEAR(B328))</f>
        <v>2025</v>
      </c>
      <c r="AC328" s="3"/>
      <c r="AD328" s="3" t="str">
        <f aca="false">IF(LEFT(AC328&amp;IF(B328="","; Missing Order Date","")&amp;IF(C328="","; Missing Ship Date","")&amp;IF(P328&lt;0,"; Invalid Discount (Negative)","")&amp;IF(P328&gt;0.5,"; Invalid Discount (Too High)","")&amp;IF(Z328&lt;0,"; Invalid Shipping Record (Ship Before Order)","")&amp;IF(ABS(Q328-W328)&gt;1,"; Sales Mismatch","")&amp;IF(ABS(S328-X328)&gt;1,"; Profit Mismatch","")&amp;IF(COUNTIF($A$2:$A$913,A328)&gt;1,"; Duplicate Order ID Conflict",""),2)="; ",MID(AC328&amp;IF(B328="","; Missing Order Date","")&amp;IF(C328="","; Missing Ship Date","")&amp;IF(P328&lt;0,"; Invalid Discount (Negative)","")&amp;IF(P328&gt;0.5,"; Invalid Discount (Too High)","")&amp;IF(Z328&lt;0,"; Invalid Shipping Record (Ship Before Order)","")&amp;IF(ABS(Q328-W328)&gt;1,"; Sales Mismatch","")&amp;IF(ABS(S328-X328)&gt;1,"; Profit Mismatch","")&amp;IF(COUNTIF($A$2:$A$913,A328)&gt;1,"; Duplicate Order ID Conflict",""),3,500),AC328&amp;IF(B328="","; Missing Order Date","")&amp;IF(C328="","; Missing Ship Date","")&amp;IF(P328&lt;0,"; Invalid Discount (Negative)","")&amp;IF(P328&gt;0.5,"; Invalid Discount (Too High)","")&amp;IF(Z328&lt;0,"; Invalid Shipping Record (Ship Before Order)","")&amp;IF(ABS(Q328-W328)&gt;1,"; Sales Mismatch","")&amp;IF(ABS(S328-X328)&gt;1,"; Profit Mismatch","")&amp;IF(COUNTIF($A$2:$A$913,A328)&gt;1,"; Duplicate Order ID Conflict",""))</f>
        <v/>
      </c>
      <c r="AE328" s="10" t="str">
        <f aca="false">IF(OR(ISNUMBER(SEARCH("Invalid Discount",AD328)),ISNUMBER(SEARCH("Invalid Shipping Record",AD328)),ISNUMBER(SEARCH("Sales Mismatch",AD328)),ISNUMBER(SEARCH("Profit Mismatch",AD328)),ISNUMBER(SEARCH("Duplicate Order ID Conflict",AD328)),ISNUMBER(SEARCH("Missing Order Date",AD328)),ISNUMBER(SEARCH("Missing Ship Date",AD328))),"Invalid",IF(AD328&lt;&gt;"","Warning","Clean"))</f>
        <v>Clean</v>
      </c>
    </row>
    <row r="329" customFormat="false" ht="15" hidden="false" customHeight="true" outlineLevel="0" collapsed="false">
      <c r="A329" s="3" t="s">
        <v>1008</v>
      </c>
      <c r="B329" s="4" t="n">
        <v>45497</v>
      </c>
      <c r="C329" s="4" t="n">
        <v>45500</v>
      </c>
      <c r="D329" s="3" t="s">
        <v>1009</v>
      </c>
      <c r="E329" s="3" t="str">
        <f aca="false">PROPER(TRIM(SUBSTITUTE(Raw_Text_Fields!B330,CHAR(160)," ")))</f>
        <v>Isha Nair</v>
      </c>
      <c r="F329" s="3" t="str">
        <f aca="false">PROPER(TRIM(SUBSTITUTE(Raw_Text_Fields!C330,CHAR(160)," ")))</f>
        <v>Consumer</v>
      </c>
      <c r="G329" s="3" t="str">
        <f aca="false">PROPER(TRIM(SUBSTITUTE(Raw_Text_Fields!D330,CHAR(160)," ")))</f>
        <v>West</v>
      </c>
      <c r="H329" s="3" t="str">
        <f aca="false">PROPER(TRIM(SUBSTITUTE(Raw_Text_Fields!E330,CHAR(160)," ")))</f>
        <v>Rajasthan</v>
      </c>
      <c r="I329" s="3" t="str">
        <f aca="false">PROPER(TRIM(SUBSTITUTE(Raw_Text_Fields!F330,CHAR(160)," ")))</f>
        <v>Udaipur</v>
      </c>
      <c r="J329" s="3" t="str">
        <f aca="false">PROPER(TRIM(SUBSTITUTE(Raw_Text_Fields!G330,CHAR(160)," ")))</f>
        <v>Technology</v>
      </c>
      <c r="K329" s="3" t="str">
        <f aca="false">PROPER(TRIM(SUBSTITUTE(Raw_Text_Fields!H330,CHAR(160)," ")))</f>
        <v>Accessories</v>
      </c>
      <c r="L329" s="3" t="s">
        <v>1010</v>
      </c>
      <c r="M329" s="3" t="str">
        <f aca="false">PROPER(TRIM(SUBSTITUTE(Raw_Text_Fields!I330,CHAR(160)," ")))</f>
        <v>Second Class</v>
      </c>
      <c r="N329" s="3" t="n">
        <v>3</v>
      </c>
      <c r="O329" s="5" t="n">
        <v>1834.55</v>
      </c>
      <c r="P329" s="6" t="n">
        <v>0.2</v>
      </c>
      <c r="Q329" s="5" t="n">
        <v>4402.92</v>
      </c>
      <c r="R329" s="5" t="n">
        <v>2993.94</v>
      </c>
      <c r="S329" s="5" t="n">
        <v>1408.98</v>
      </c>
      <c r="T329" s="3" t="str">
        <f aca="false">PROPER(TRIM(SUBSTITUTE(Raw_Text_Fields!J330,CHAR(160)," ")))</f>
        <v>Pending</v>
      </c>
      <c r="U329" s="3" t="str">
        <f aca="false">PROPER(TRIM(SUBSTITUTE(Raw_Text_Fields!K330,CHAR(160)," ")))</f>
        <v>Cancelled</v>
      </c>
      <c r="V329" s="7" t="n">
        <f aca="false">IF(OR(P329&lt;0,P329&gt;0.5),0,P329)</f>
        <v>0.2</v>
      </c>
      <c r="W329" s="8" t="n">
        <f aca="false">N329*O329*(1-V329)</f>
        <v>4402.92</v>
      </c>
      <c r="X329" s="8" t="n">
        <f aca="false">W329-R329</f>
        <v>1408.98</v>
      </c>
      <c r="Y329" s="7" t="n">
        <f aca="false">IFERROR(X329/W329,0)</f>
        <v>0.320010356763239</v>
      </c>
      <c r="Z329" s="9" t="n">
        <f aca="false">C329-B329</f>
        <v>3</v>
      </c>
      <c r="AA329" s="1" t="str">
        <f aca="false">IF(B329="","",TEXT(B329,"mmm"))</f>
        <v>Jul</v>
      </c>
      <c r="AB329" s="9" t="n">
        <f aca="false">IF(B329="","",YEAR(B329))</f>
        <v>2024</v>
      </c>
      <c r="AC329" s="3"/>
      <c r="AD329" s="3" t="str">
        <f aca="false">IF(LEFT(AC329&amp;IF(B329="","; Missing Order Date","")&amp;IF(C329="","; Missing Ship Date","")&amp;IF(P329&lt;0,"; Invalid Discount (Negative)","")&amp;IF(P329&gt;0.5,"; Invalid Discount (Too High)","")&amp;IF(Z329&lt;0,"; Invalid Shipping Record (Ship Before Order)","")&amp;IF(ABS(Q329-W329)&gt;1,"; Sales Mismatch","")&amp;IF(ABS(S329-X329)&gt;1,"; Profit Mismatch","")&amp;IF(COUNTIF($A$2:$A$913,A329)&gt;1,"; Duplicate Order ID Conflict",""),2)="; ",MID(AC329&amp;IF(B329="","; Missing Order Date","")&amp;IF(C329="","; Missing Ship Date","")&amp;IF(P329&lt;0,"; Invalid Discount (Negative)","")&amp;IF(P329&gt;0.5,"; Invalid Discount (Too High)","")&amp;IF(Z329&lt;0,"; Invalid Shipping Record (Ship Before Order)","")&amp;IF(ABS(Q329-W329)&gt;1,"; Sales Mismatch","")&amp;IF(ABS(S329-X329)&gt;1,"; Profit Mismatch","")&amp;IF(COUNTIF($A$2:$A$913,A329)&gt;1,"; Duplicate Order ID Conflict",""),3,500),AC329&amp;IF(B329="","; Missing Order Date","")&amp;IF(C329="","; Missing Ship Date","")&amp;IF(P329&lt;0,"; Invalid Discount (Negative)","")&amp;IF(P329&gt;0.5,"; Invalid Discount (Too High)","")&amp;IF(Z329&lt;0,"; Invalid Shipping Record (Ship Before Order)","")&amp;IF(ABS(Q329-W329)&gt;1,"; Sales Mismatch","")&amp;IF(ABS(S329-X329)&gt;1,"; Profit Mismatch","")&amp;IF(COUNTIF($A$2:$A$913,A329)&gt;1,"; Duplicate Order ID Conflict",""))</f>
        <v/>
      </c>
      <c r="AE329" s="10" t="str">
        <f aca="false">IF(OR(ISNUMBER(SEARCH("Invalid Discount",AD329)),ISNUMBER(SEARCH("Invalid Shipping Record",AD329)),ISNUMBER(SEARCH("Sales Mismatch",AD329)),ISNUMBER(SEARCH("Profit Mismatch",AD329)),ISNUMBER(SEARCH("Duplicate Order ID Conflict",AD329)),ISNUMBER(SEARCH("Missing Order Date",AD329)),ISNUMBER(SEARCH("Missing Ship Date",AD329))),"Invalid",IF(AD329&lt;&gt;"","Warning","Clean"))</f>
        <v>Clean</v>
      </c>
    </row>
    <row r="330" customFormat="false" ht="15" hidden="false" customHeight="true" outlineLevel="0" collapsed="false">
      <c r="A330" s="3" t="s">
        <v>1011</v>
      </c>
      <c r="B330" s="4" t="n">
        <v>45806</v>
      </c>
      <c r="C330" s="4" t="n">
        <v>45812</v>
      </c>
      <c r="D330" s="3" t="s">
        <v>1012</v>
      </c>
      <c r="E330" s="3" t="str">
        <f aca="false">PROPER(TRIM(SUBSTITUTE(Raw_Text_Fields!B331,CHAR(160)," ")))</f>
        <v>Diya Patel</v>
      </c>
      <c r="F330" s="3" t="str">
        <f aca="false">PROPER(TRIM(SUBSTITUTE(Raw_Text_Fields!C331,CHAR(160)," ")))</f>
        <v>Consumer</v>
      </c>
      <c r="G330" s="3" t="str">
        <f aca="false">PROPER(TRIM(SUBSTITUTE(Raw_Text_Fields!D331,CHAR(160)," ")))</f>
        <v>West</v>
      </c>
      <c r="H330" s="3" t="str">
        <f aca="false">PROPER(TRIM(SUBSTITUTE(Raw_Text_Fields!E331,CHAR(160)," ")))</f>
        <v>Maharashtra</v>
      </c>
      <c r="I330" s="3" t="str">
        <f aca="false">PROPER(TRIM(SUBSTITUTE(Raw_Text_Fields!F331,CHAR(160)," ")))</f>
        <v>Mumbai</v>
      </c>
      <c r="J330" s="3" t="str">
        <f aca="false">PROPER(TRIM(SUBSTITUTE(Raw_Text_Fields!G331,CHAR(160)," ")))</f>
        <v>Office Supplies</v>
      </c>
      <c r="K330" s="3" t="str">
        <f aca="false">PROPER(TRIM(SUBSTITUTE(Raw_Text_Fields!H331,CHAR(160)," ")))</f>
        <v>Storage</v>
      </c>
      <c r="L330" s="3" t="s">
        <v>1013</v>
      </c>
      <c r="M330" s="3" t="str">
        <f aca="false">PROPER(TRIM(SUBSTITUTE(Raw_Text_Fields!I331,CHAR(160)," ")))</f>
        <v>First Class</v>
      </c>
      <c r="N330" s="3" t="n">
        <v>6</v>
      </c>
      <c r="O330" s="5" t="n">
        <v>3100.68</v>
      </c>
      <c r="P330" s="6" t="n">
        <v>0</v>
      </c>
      <c r="Q330" s="5" t="n">
        <v>18604.08</v>
      </c>
      <c r="R330" s="5" t="n">
        <v>15834.3</v>
      </c>
      <c r="S330" s="5" t="n">
        <v>2769.78</v>
      </c>
      <c r="T330" s="3" t="str">
        <f aca="false">PROPER(TRIM(SUBSTITUTE(Raw_Text_Fields!J331,CHAR(160)," ")))</f>
        <v>Paid</v>
      </c>
      <c r="U330" s="3" t="str">
        <f aca="false">PROPER(TRIM(SUBSTITUTE(Raw_Text_Fields!K331,CHAR(160)," ")))</f>
        <v>Completed</v>
      </c>
      <c r="V330" s="7" t="n">
        <f aca="false">IF(OR(P330&lt;0,P330&gt;0.5),0,P330)</f>
        <v>0</v>
      </c>
      <c r="W330" s="8" t="n">
        <f aca="false">N330*O330*(1-V330)</f>
        <v>18604.08</v>
      </c>
      <c r="X330" s="8" t="n">
        <f aca="false">W330-R330</f>
        <v>2769.78</v>
      </c>
      <c r="Y330" s="7" t="n">
        <f aca="false">IFERROR(X330/W330,0)</f>
        <v>0.148880245623541</v>
      </c>
      <c r="Z330" s="9" t="n">
        <f aca="false">C330-B330</f>
        <v>6</v>
      </c>
      <c r="AA330" s="1" t="str">
        <f aca="false">IF(B330="","",TEXT(B330,"mmm"))</f>
        <v>May</v>
      </c>
      <c r="AB330" s="9" t="n">
        <f aca="false">IF(B330="","",YEAR(B330))</f>
        <v>2025</v>
      </c>
      <c r="AC330" s="3"/>
      <c r="AD330" s="3" t="str">
        <f aca="false">IF(LEFT(AC330&amp;IF(B330="","; Missing Order Date","")&amp;IF(C330="","; Missing Ship Date","")&amp;IF(P330&lt;0,"; Invalid Discount (Negative)","")&amp;IF(P330&gt;0.5,"; Invalid Discount (Too High)","")&amp;IF(Z330&lt;0,"; Invalid Shipping Record (Ship Before Order)","")&amp;IF(ABS(Q330-W330)&gt;1,"; Sales Mismatch","")&amp;IF(ABS(S330-X330)&gt;1,"; Profit Mismatch","")&amp;IF(COUNTIF($A$2:$A$913,A330)&gt;1,"; Duplicate Order ID Conflict",""),2)="; ",MID(AC330&amp;IF(B330="","; Missing Order Date","")&amp;IF(C330="","; Missing Ship Date","")&amp;IF(P330&lt;0,"; Invalid Discount (Negative)","")&amp;IF(P330&gt;0.5,"; Invalid Discount (Too High)","")&amp;IF(Z330&lt;0,"; Invalid Shipping Record (Ship Before Order)","")&amp;IF(ABS(Q330-W330)&gt;1,"; Sales Mismatch","")&amp;IF(ABS(S330-X330)&gt;1,"; Profit Mismatch","")&amp;IF(COUNTIF($A$2:$A$913,A330)&gt;1,"; Duplicate Order ID Conflict",""),3,500),AC330&amp;IF(B330="","; Missing Order Date","")&amp;IF(C330="","; Missing Ship Date","")&amp;IF(P330&lt;0,"; Invalid Discount (Negative)","")&amp;IF(P330&gt;0.5,"; Invalid Discount (Too High)","")&amp;IF(Z330&lt;0,"; Invalid Shipping Record (Ship Before Order)","")&amp;IF(ABS(Q330-W330)&gt;1,"; Sales Mismatch","")&amp;IF(ABS(S330-X330)&gt;1,"; Profit Mismatch","")&amp;IF(COUNTIF($A$2:$A$913,A330)&gt;1,"; Duplicate Order ID Conflict",""))</f>
        <v/>
      </c>
      <c r="AE330" s="10" t="str">
        <f aca="false">IF(OR(ISNUMBER(SEARCH("Invalid Discount",AD330)),ISNUMBER(SEARCH("Invalid Shipping Record",AD330)),ISNUMBER(SEARCH("Sales Mismatch",AD330)),ISNUMBER(SEARCH("Profit Mismatch",AD330)),ISNUMBER(SEARCH("Duplicate Order ID Conflict",AD330)),ISNUMBER(SEARCH("Missing Order Date",AD330)),ISNUMBER(SEARCH("Missing Ship Date",AD330))),"Invalid",IF(AD330&lt;&gt;"","Warning","Clean"))</f>
        <v>Clean</v>
      </c>
    </row>
    <row r="331" customFormat="false" ht="15" hidden="false" customHeight="true" outlineLevel="0" collapsed="false">
      <c r="A331" s="3" t="s">
        <v>1014</v>
      </c>
      <c r="B331" s="4" t="n">
        <v>45789</v>
      </c>
      <c r="C331" s="4" t="n">
        <v>45795</v>
      </c>
      <c r="D331" s="3" t="s">
        <v>1015</v>
      </c>
      <c r="E331" s="3" t="str">
        <f aca="false">PROPER(TRIM(SUBSTITUTE(Raw_Text_Fields!B332,CHAR(160)," ")))</f>
        <v>Neha Gupta</v>
      </c>
      <c r="F331" s="3" t="str">
        <f aca="false">PROPER(TRIM(SUBSTITUTE(Raw_Text_Fields!C332,CHAR(160)," ")))</f>
        <v>Small Business</v>
      </c>
      <c r="G331" s="3" t="str">
        <f aca="false">PROPER(TRIM(SUBSTITUTE(Raw_Text_Fields!D332,CHAR(160)," ")))</f>
        <v>West</v>
      </c>
      <c r="H331" s="3" t="str">
        <f aca="false">PROPER(TRIM(SUBSTITUTE(Raw_Text_Fields!E332,CHAR(160)," ")))</f>
        <v>Maharashtra</v>
      </c>
      <c r="I331" s="3" t="str">
        <f aca="false">PROPER(TRIM(SUBSTITUTE(Raw_Text_Fields!F332,CHAR(160)," ")))</f>
        <v>Mumbai</v>
      </c>
      <c r="J331" s="3" t="str">
        <f aca="false">PROPER(TRIM(SUBSTITUTE(Raw_Text_Fields!G332,CHAR(160)," ")))</f>
        <v>Office Supplies</v>
      </c>
      <c r="K331" s="3" t="str">
        <f aca="false">PROPER(TRIM(SUBSTITUTE(Raw_Text_Fields!H332,CHAR(160)," ")))</f>
        <v>Storage</v>
      </c>
      <c r="L331" s="3" t="s">
        <v>1016</v>
      </c>
      <c r="M331" s="3" t="str">
        <f aca="false">PROPER(TRIM(SUBSTITUTE(Raw_Text_Fields!I332,CHAR(160)," ")))</f>
        <v>Standard Class</v>
      </c>
      <c r="N331" s="3" t="n">
        <v>4</v>
      </c>
      <c r="O331" s="5" t="n">
        <v>4053.03</v>
      </c>
      <c r="P331" s="6" t="n">
        <v>0.05</v>
      </c>
      <c r="Q331" s="5" t="n">
        <v>15401.51</v>
      </c>
      <c r="R331" s="5" t="n">
        <v>8650.42</v>
      </c>
      <c r="S331" s="5" t="n">
        <v>6751.09</v>
      </c>
      <c r="T331" s="3" t="str">
        <f aca="false">PROPER(TRIM(SUBSTITUTE(Raw_Text_Fields!J332,CHAR(160)," ")))</f>
        <v>Paid</v>
      </c>
      <c r="U331" s="3" t="str">
        <f aca="false">PROPER(TRIM(SUBSTITUTE(Raw_Text_Fields!K332,CHAR(160)," ")))</f>
        <v>Completed</v>
      </c>
      <c r="V331" s="7" t="n">
        <f aca="false">IF(OR(P331&lt;0,P331&gt;0.5),0,P331)</f>
        <v>0.05</v>
      </c>
      <c r="W331" s="8" t="n">
        <f aca="false">N331*O331*(1-V331)</f>
        <v>15401.514</v>
      </c>
      <c r="X331" s="8" t="n">
        <f aca="false">W331-R331</f>
        <v>6751.094</v>
      </c>
      <c r="Y331" s="7" t="n">
        <f aca="false">IFERROR(X331/W331,0)</f>
        <v>0.438339633363317</v>
      </c>
      <c r="Z331" s="9" t="n">
        <f aca="false">C331-B331</f>
        <v>6</v>
      </c>
      <c r="AA331" s="1" t="str">
        <f aca="false">IF(B331="","",TEXT(B331,"mmm"))</f>
        <v>May</v>
      </c>
      <c r="AB331" s="9" t="n">
        <f aca="false">IF(B331="","",YEAR(B331))</f>
        <v>2025</v>
      </c>
      <c r="AC331" s="3"/>
      <c r="AD331" s="3" t="str">
        <f aca="false">IF(LEFT(AC331&amp;IF(B331="","; Missing Order Date","")&amp;IF(C331="","; Missing Ship Date","")&amp;IF(P331&lt;0,"; Invalid Discount (Negative)","")&amp;IF(P331&gt;0.5,"; Invalid Discount (Too High)","")&amp;IF(Z331&lt;0,"; Invalid Shipping Record (Ship Before Order)","")&amp;IF(ABS(Q331-W331)&gt;1,"; Sales Mismatch","")&amp;IF(ABS(S331-X331)&gt;1,"; Profit Mismatch","")&amp;IF(COUNTIF($A$2:$A$913,A331)&gt;1,"; Duplicate Order ID Conflict",""),2)="; ",MID(AC331&amp;IF(B331="","; Missing Order Date","")&amp;IF(C331="","; Missing Ship Date","")&amp;IF(P331&lt;0,"; Invalid Discount (Negative)","")&amp;IF(P331&gt;0.5,"; Invalid Discount (Too High)","")&amp;IF(Z331&lt;0,"; Invalid Shipping Record (Ship Before Order)","")&amp;IF(ABS(Q331-W331)&gt;1,"; Sales Mismatch","")&amp;IF(ABS(S331-X331)&gt;1,"; Profit Mismatch","")&amp;IF(COUNTIF($A$2:$A$913,A331)&gt;1,"; Duplicate Order ID Conflict",""),3,500),AC331&amp;IF(B331="","; Missing Order Date","")&amp;IF(C331="","; Missing Ship Date","")&amp;IF(P331&lt;0,"; Invalid Discount (Negative)","")&amp;IF(P331&gt;0.5,"; Invalid Discount (Too High)","")&amp;IF(Z331&lt;0,"; Invalid Shipping Record (Ship Before Order)","")&amp;IF(ABS(Q331-W331)&gt;1,"; Sales Mismatch","")&amp;IF(ABS(S331-X331)&gt;1,"; Profit Mismatch","")&amp;IF(COUNTIF($A$2:$A$913,A331)&gt;1,"; Duplicate Order ID Conflict",""))</f>
        <v/>
      </c>
      <c r="AE331" s="10" t="str">
        <f aca="false">IF(OR(ISNUMBER(SEARCH("Invalid Discount",AD331)),ISNUMBER(SEARCH("Invalid Shipping Record",AD331)),ISNUMBER(SEARCH("Sales Mismatch",AD331)),ISNUMBER(SEARCH("Profit Mismatch",AD331)),ISNUMBER(SEARCH("Duplicate Order ID Conflict",AD331)),ISNUMBER(SEARCH("Missing Order Date",AD331)),ISNUMBER(SEARCH("Missing Ship Date",AD331))),"Invalid",IF(AD331&lt;&gt;"","Warning","Clean"))</f>
        <v>Clean</v>
      </c>
    </row>
    <row r="332" customFormat="false" ht="15" hidden="false" customHeight="true" outlineLevel="0" collapsed="false">
      <c r="A332" s="3" t="s">
        <v>1017</v>
      </c>
      <c r="B332" s="4" t="n">
        <v>45428</v>
      </c>
      <c r="C332" s="4" t="n">
        <v>45436</v>
      </c>
      <c r="D332" s="3" t="s">
        <v>1018</v>
      </c>
      <c r="E332" s="3" t="str">
        <f aca="false">PROPER(TRIM(SUBSTITUTE(Raw_Text_Fields!B333,CHAR(160)," ")))</f>
        <v>Arjun Bose</v>
      </c>
      <c r="F332" s="3" t="str">
        <f aca="false">PROPER(TRIM(SUBSTITUTE(Raw_Text_Fields!C333,CHAR(160)," ")))</f>
        <v>Home Office</v>
      </c>
      <c r="G332" s="3" t="str">
        <f aca="false">PROPER(TRIM(SUBSTITUTE(Raw_Text_Fields!D333,CHAR(160)," ")))</f>
        <v>North</v>
      </c>
      <c r="H332" s="3" t="str">
        <f aca="false">PROPER(TRIM(SUBSTITUTE(Raw_Text_Fields!E333,CHAR(160)," ")))</f>
        <v>Punjab</v>
      </c>
      <c r="I332" s="3" t="str">
        <f aca="false">PROPER(TRIM(SUBSTITUTE(Raw_Text_Fields!F333,CHAR(160)," ")))</f>
        <v>Ludhiana</v>
      </c>
      <c r="J332" s="3" t="str">
        <f aca="false">PROPER(TRIM(SUBSTITUTE(Raw_Text_Fields!G333,CHAR(160)," ")))</f>
        <v>Technology</v>
      </c>
      <c r="K332" s="3" t="str">
        <f aca="false">PROPER(TRIM(SUBSTITUTE(Raw_Text_Fields!H333,CHAR(160)," ")))</f>
        <v>Accessories</v>
      </c>
      <c r="L332" s="3" t="s">
        <v>1019</v>
      </c>
      <c r="M332" s="3" t="str">
        <f aca="false">PROPER(TRIM(SUBSTITUTE(Raw_Text_Fields!I333,CHAR(160)," ")))</f>
        <v>Same Day</v>
      </c>
      <c r="N332" s="3" t="n">
        <v>1</v>
      </c>
      <c r="O332" s="5" t="n">
        <v>783.09</v>
      </c>
      <c r="P332" s="6" t="n">
        <v>0</v>
      </c>
      <c r="Q332" s="5" t="n">
        <v>783.09</v>
      </c>
      <c r="R332" s="5" t="n">
        <v>503.89</v>
      </c>
      <c r="S332" s="5" t="n">
        <v>279.2</v>
      </c>
      <c r="T332" s="3" t="str">
        <f aca="false">PROPER(TRIM(SUBSTITUTE(Raw_Text_Fields!J333,CHAR(160)," ")))</f>
        <v>Failed</v>
      </c>
      <c r="U332" s="3" t="str">
        <f aca="false">PROPER(TRIM(SUBSTITUTE(Raw_Text_Fields!K333,CHAR(160)," ")))</f>
        <v>Cancelled</v>
      </c>
      <c r="V332" s="7" t="n">
        <f aca="false">IF(OR(P332&lt;0,P332&gt;0.5),0,P332)</f>
        <v>0</v>
      </c>
      <c r="W332" s="8" t="n">
        <f aca="false">N332*O332*(1-V332)</f>
        <v>783.09</v>
      </c>
      <c r="X332" s="8" t="n">
        <f aca="false">W332-R332</f>
        <v>279.2</v>
      </c>
      <c r="Y332" s="7" t="n">
        <f aca="false">IFERROR(X332/W332,0)</f>
        <v>0.356536285739826</v>
      </c>
      <c r="Z332" s="9" t="n">
        <f aca="false">C332-B332</f>
        <v>8</v>
      </c>
      <c r="AA332" s="1" t="str">
        <f aca="false">IF(B332="","",TEXT(B332,"mmm"))</f>
        <v>May</v>
      </c>
      <c r="AB332" s="9" t="n">
        <f aca="false">IF(B332="","",YEAR(B332))</f>
        <v>2024</v>
      </c>
      <c r="AC332" s="3"/>
      <c r="AD332" s="3" t="str">
        <f aca="false">IF(LEFT(AC332&amp;IF(B332="","; Missing Order Date","")&amp;IF(C332="","; Missing Ship Date","")&amp;IF(P332&lt;0,"; Invalid Discount (Negative)","")&amp;IF(P332&gt;0.5,"; Invalid Discount (Too High)","")&amp;IF(Z332&lt;0,"; Invalid Shipping Record (Ship Before Order)","")&amp;IF(ABS(Q332-W332)&gt;1,"; Sales Mismatch","")&amp;IF(ABS(S332-X332)&gt;1,"; Profit Mismatch","")&amp;IF(COUNTIF($A$2:$A$913,A332)&gt;1,"; Duplicate Order ID Conflict",""),2)="; ",MID(AC332&amp;IF(B332="","; Missing Order Date","")&amp;IF(C332="","; Missing Ship Date","")&amp;IF(P332&lt;0,"; Invalid Discount (Negative)","")&amp;IF(P332&gt;0.5,"; Invalid Discount (Too High)","")&amp;IF(Z332&lt;0,"; Invalid Shipping Record (Ship Before Order)","")&amp;IF(ABS(Q332-W332)&gt;1,"; Sales Mismatch","")&amp;IF(ABS(S332-X332)&gt;1,"; Profit Mismatch","")&amp;IF(COUNTIF($A$2:$A$913,A332)&gt;1,"; Duplicate Order ID Conflict",""),3,500),AC332&amp;IF(B332="","; Missing Order Date","")&amp;IF(C332="","; Missing Ship Date","")&amp;IF(P332&lt;0,"; Invalid Discount (Negative)","")&amp;IF(P332&gt;0.5,"; Invalid Discount (Too High)","")&amp;IF(Z332&lt;0,"; Invalid Shipping Record (Ship Before Order)","")&amp;IF(ABS(Q332-W332)&gt;1,"; Sales Mismatch","")&amp;IF(ABS(S332-X332)&gt;1,"; Profit Mismatch","")&amp;IF(COUNTIF($A$2:$A$913,A332)&gt;1,"; Duplicate Order ID Conflict",""))</f>
        <v/>
      </c>
      <c r="AE332" s="10" t="str">
        <f aca="false">IF(OR(ISNUMBER(SEARCH("Invalid Discount",AD332)),ISNUMBER(SEARCH("Invalid Shipping Record",AD332)),ISNUMBER(SEARCH("Sales Mismatch",AD332)),ISNUMBER(SEARCH("Profit Mismatch",AD332)),ISNUMBER(SEARCH("Duplicate Order ID Conflict",AD332)),ISNUMBER(SEARCH("Missing Order Date",AD332)),ISNUMBER(SEARCH("Missing Ship Date",AD332))),"Invalid",IF(AD332&lt;&gt;"","Warning","Clean"))</f>
        <v>Clean</v>
      </c>
    </row>
    <row r="333" customFormat="false" ht="15" hidden="false" customHeight="true" outlineLevel="0" collapsed="false">
      <c r="A333" s="3" t="s">
        <v>1020</v>
      </c>
      <c r="B333" s="4" t="n">
        <v>45630</v>
      </c>
      <c r="C333" s="4" t="n">
        <v>45632</v>
      </c>
      <c r="D333" s="3" t="s">
        <v>1021</v>
      </c>
      <c r="E333" s="3" t="str">
        <f aca="false">PROPER(TRIM(SUBSTITUTE(Raw_Text_Fields!B334,CHAR(160)," ")))</f>
        <v>Sneha Kapoor</v>
      </c>
      <c r="F333" s="3" t="str">
        <f aca="false">PROPER(TRIM(SUBSTITUTE(Raw_Text_Fields!C334,CHAR(160)," ")))</f>
        <v>Home Office</v>
      </c>
      <c r="G333" s="3" t="str">
        <f aca="false">PROPER(TRIM(SUBSTITUTE(Raw_Text_Fields!D334,CHAR(160)," ")))</f>
        <v>East</v>
      </c>
      <c r="H333" s="3" t="str">
        <f aca="false">PROPER(TRIM(SUBSTITUTE(Raw_Text_Fields!E334,CHAR(160)," ")))</f>
        <v>Odisha</v>
      </c>
      <c r="I333" s="3" t="str">
        <f aca="false">PROPER(TRIM(SUBSTITUTE(Raw_Text_Fields!F334,CHAR(160)," ")))</f>
        <v>Bhubaneswar</v>
      </c>
      <c r="J333" s="3" t="str">
        <f aca="false">PROPER(TRIM(SUBSTITUTE(Raw_Text_Fields!G334,CHAR(160)," ")))</f>
        <v>Office Supplies</v>
      </c>
      <c r="K333" s="3" t="str">
        <f aca="false">PROPER(TRIM(SUBSTITUTE(Raw_Text_Fields!H334,CHAR(160)," ")))</f>
        <v>Binders</v>
      </c>
      <c r="L333" s="3" t="s">
        <v>1022</v>
      </c>
      <c r="M333" s="3" t="str">
        <f aca="false">PROPER(TRIM(SUBSTITUTE(Raw_Text_Fields!I334,CHAR(160)," ")))</f>
        <v>Second Class</v>
      </c>
      <c r="N333" s="3" t="n">
        <v>4</v>
      </c>
      <c r="O333" s="5" t="n">
        <v>2685.66</v>
      </c>
      <c r="P333" s="6" t="n">
        <v>0</v>
      </c>
      <c r="Q333" s="5" t="n">
        <v>10742.64</v>
      </c>
      <c r="R333" s="5" t="n">
        <v>6477.37</v>
      </c>
      <c r="S333" s="5" t="n">
        <v>4265.27</v>
      </c>
      <c r="T333" s="3" t="str">
        <f aca="false">PROPER(TRIM(SUBSTITUTE(Raw_Text_Fields!J334,CHAR(160)," ")))</f>
        <v>Paid</v>
      </c>
      <c r="U333" s="3" t="str">
        <f aca="false">PROPER(TRIM(SUBSTITUTE(Raw_Text_Fields!K334,CHAR(160)," ")))</f>
        <v>Returned</v>
      </c>
      <c r="V333" s="7" t="n">
        <f aca="false">IF(OR(P333&lt;0,P333&gt;0.5),0,P333)</f>
        <v>0</v>
      </c>
      <c r="W333" s="8" t="n">
        <f aca="false">N333*O333*(1-V333)</f>
        <v>10742.64</v>
      </c>
      <c r="X333" s="8" t="n">
        <f aca="false">W333-R333</f>
        <v>4265.27</v>
      </c>
      <c r="Y333" s="7" t="n">
        <f aca="false">IFERROR(X333/W333,0)</f>
        <v>0.397041137001705</v>
      </c>
      <c r="Z333" s="9" t="n">
        <f aca="false">C333-B333</f>
        <v>2</v>
      </c>
      <c r="AA333" s="1" t="str">
        <f aca="false">IF(B333="","",TEXT(B333,"mmm"))</f>
        <v>Dec</v>
      </c>
      <c r="AB333" s="9" t="n">
        <f aca="false">IF(B333="","",YEAR(B333))</f>
        <v>2024</v>
      </c>
      <c r="AC333" s="3"/>
      <c r="AD333" s="3" t="str">
        <f aca="false">IF(LEFT(AC333&amp;IF(B333="","; Missing Order Date","")&amp;IF(C333="","; Missing Ship Date","")&amp;IF(P333&lt;0,"; Invalid Discount (Negative)","")&amp;IF(P333&gt;0.5,"; Invalid Discount (Too High)","")&amp;IF(Z333&lt;0,"; Invalid Shipping Record (Ship Before Order)","")&amp;IF(ABS(Q333-W333)&gt;1,"; Sales Mismatch","")&amp;IF(ABS(S333-X333)&gt;1,"; Profit Mismatch","")&amp;IF(COUNTIF($A$2:$A$913,A333)&gt;1,"; Duplicate Order ID Conflict",""),2)="; ",MID(AC333&amp;IF(B333="","; Missing Order Date","")&amp;IF(C333="","; Missing Ship Date","")&amp;IF(P333&lt;0,"; Invalid Discount (Negative)","")&amp;IF(P333&gt;0.5,"; Invalid Discount (Too High)","")&amp;IF(Z333&lt;0,"; Invalid Shipping Record (Ship Before Order)","")&amp;IF(ABS(Q333-W333)&gt;1,"; Sales Mismatch","")&amp;IF(ABS(S333-X333)&gt;1,"; Profit Mismatch","")&amp;IF(COUNTIF($A$2:$A$913,A333)&gt;1,"; Duplicate Order ID Conflict",""),3,500),AC333&amp;IF(B333="","; Missing Order Date","")&amp;IF(C333="","; Missing Ship Date","")&amp;IF(P333&lt;0,"; Invalid Discount (Negative)","")&amp;IF(P333&gt;0.5,"; Invalid Discount (Too High)","")&amp;IF(Z333&lt;0,"; Invalid Shipping Record (Ship Before Order)","")&amp;IF(ABS(Q333-W333)&gt;1,"; Sales Mismatch","")&amp;IF(ABS(S333-X333)&gt;1,"; Profit Mismatch","")&amp;IF(COUNTIF($A$2:$A$913,A333)&gt;1,"; Duplicate Order ID Conflict",""))</f>
        <v>Duplicate Order ID Conflict</v>
      </c>
      <c r="AE333" s="10" t="str">
        <f aca="false">IF(OR(ISNUMBER(SEARCH("Invalid Discount",AD333)),ISNUMBER(SEARCH("Invalid Shipping Record",AD333)),ISNUMBER(SEARCH("Sales Mismatch",AD333)),ISNUMBER(SEARCH("Profit Mismatch",AD333)),ISNUMBER(SEARCH("Duplicate Order ID Conflict",AD333)),ISNUMBER(SEARCH("Missing Order Date",AD333)),ISNUMBER(SEARCH("Missing Ship Date",AD333))),"Invalid",IF(AD333&lt;&gt;"","Warning","Clean"))</f>
        <v>Invalid</v>
      </c>
    </row>
    <row r="334" customFormat="false" ht="15" hidden="false" customHeight="true" outlineLevel="0" collapsed="false">
      <c r="A334" s="3" t="s">
        <v>1023</v>
      </c>
      <c r="B334" s="4" t="n">
        <v>45804</v>
      </c>
      <c r="C334" s="4" t="n">
        <v>45805</v>
      </c>
      <c r="D334" s="3" t="s">
        <v>1024</v>
      </c>
      <c r="E334" s="3" t="str">
        <f aca="false">PROPER(TRIM(SUBSTITUTE(Raw_Text_Fields!B335,CHAR(160)," ")))</f>
        <v>Aarav Sharma</v>
      </c>
      <c r="F334" s="3" t="str">
        <f aca="false">PROPER(TRIM(SUBSTITUTE(Raw_Text_Fields!C335,CHAR(160)," ")))</f>
        <v>Consumer</v>
      </c>
      <c r="G334" s="3" t="str">
        <f aca="false">PROPER(TRIM(SUBSTITUTE(Raw_Text_Fields!D335,CHAR(160)," ")))</f>
        <v>South</v>
      </c>
      <c r="H334" s="3" t="str">
        <f aca="false">PROPER(TRIM(SUBSTITUTE(Raw_Text_Fields!E335,CHAR(160)," ")))</f>
        <v>Andhra Pradesh</v>
      </c>
      <c r="I334" s="3" t="str">
        <f aca="false">PROPER(TRIM(SUBSTITUTE(Raw_Text_Fields!F335,CHAR(160)," ")))</f>
        <v>Vijayawada</v>
      </c>
      <c r="J334" s="3" t="str">
        <f aca="false">PROPER(TRIM(SUBSTITUTE(Raw_Text_Fields!G335,CHAR(160)," ")))</f>
        <v>Technology</v>
      </c>
      <c r="K334" s="3" t="str">
        <f aca="false">PROPER(TRIM(SUBSTITUTE(Raw_Text_Fields!H335,CHAR(160)," ")))</f>
        <v>Machines</v>
      </c>
      <c r="L334" s="3" t="s">
        <v>1025</v>
      </c>
      <c r="M334" s="3" t="str">
        <f aca="false">PROPER(TRIM(SUBSTITUTE(Raw_Text_Fields!I335,CHAR(160)," ")))</f>
        <v>Second Class</v>
      </c>
      <c r="N334" s="3" t="n">
        <v>2</v>
      </c>
      <c r="O334" s="5" t="n">
        <v>3911.96</v>
      </c>
      <c r="P334" s="6" t="n">
        <v>0</v>
      </c>
      <c r="Q334" s="5" t="n">
        <v>7823.92</v>
      </c>
      <c r="R334" s="5" t="n">
        <v>6034.63</v>
      </c>
      <c r="S334" s="5" t="n">
        <v>1789.29</v>
      </c>
      <c r="T334" s="3" t="str">
        <f aca="false">PROPER(TRIM(SUBSTITUTE(Raw_Text_Fields!J335,CHAR(160)," ")))</f>
        <v>Paid</v>
      </c>
      <c r="U334" s="3" t="str">
        <f aca="false">PROPER(TRIM(SUBSTITUTE(Raw_Text_Fields!K335,CHAR(160)," ")))</f>
        <v>Completed</v>
      </c>
      <c r="V334" s="7" t="n">
        <f aca="false">IF(OR(P334&lt;0,P334&gt;0.5),0,P334)</f>
        <v>0</v>
      </c>
      <c r="W334" s="8" t="n">
        <f aca="false">N334*O334*(1-V334)</f>
        <v>7823.92</v>
      </c>
      <c r="X334" s="8" t="n">
        <f aca="false">W334-R334</f>
        <v>1789.29</v>
      </c>
      <c r="Y334" s="7" t="n">
        <f aca="false">IFERROR(X334/W334,0)</f>
        <v>0.22869482305545</v>
      </c>
      <c r="Z334" s="9" t="n">
        <f aca="false">C334-B334</f>
        <v>1</v>
      </c>
      <c r="AA334" s="1" t="str">
        <f aca="false">IF(B334="","",TEXT(B334,"mmm"))</f>
        <v>May</v>
      </c>
      <c r="AB334" s="9" t="n">
        <f aca="false">IF(B334="","",YEAR(B334))</f>
        <v>2025</v>
      </c>
      <c r="AC334" s="3"/>
      <c r="AD334" s="3" t="str">
        <f aca="false">IF(LEFT(AC334&amp;IF(B334="","; Missing Order Date","")&amp;IF(C334="","; Missing Ship Date","")&amp;IF(P334&lt;0,"; Invalid Discount (Negative)","")&amp;IF(P334&gt;0.5,"; Invalid Discount (Too High)","")&amp;IF(Z334&lt;0,"; Invalid Shipping Record (Ship Before Order)","")&amp;IF(ABS(Q334-W334)&gt;1,"; Sales Mismatch","")&amp;IF(ABS(S334-X334)&gt;1,"; Profit Mismatch","")&amp;IF(COUNTIF($A$2:$A$913,A334)&gt;1,"; Duplicate Order ID Conflict",""),2)="; ",MID(AC334&amp;IF(B334="","; Missing Order Date","")&amp;IF(C334="","; Missing Ship Date","")&amp;IF(P334&lt;0,"; Invalid Discount (Negative)","")&amp;IF(P334&gt;0.5,"; Invalid Discount (Too High)","")&amp;IF(Z334&lt;0,"; Invalid Shipping Record (Ship Before Order)","")&amp;IF(ABS(Q334-W334)&gt;1,"; Sales Mismatch","")&amp;IF(ABS(S334-X334)&gt;1,"; Profit Mismatch","")&amp;IF(COUNTIF($A$2:$A$913,A334)&gt;1,"; Duplicate Order ID Conflict",""),3,500),AC334&amp;IF(B334="","; Missing Order Date","")&amp;IF(C334="","; Missing Ship Date","")&amp;IF(P334&lt;0,"; Invalid Discount (Negative)","")&amp;IF(P334&gt;0.5,"; Invalid Discount (Too High)","")&amp;IF(Z334&lt;0,"; Invalid Shipping Record (Ship Before Order)","")&amp;IF(ABS(Q334-W334)&gt;1,"; Sales Mismatch","")&amp;IF(ABS(S334-X334)&gt;1,"; Profit Mismatch","")&amp;IF(COUNTIF($A$2:$A$913,A334)&gt;1,"; Duplicate Order ID Conflict",""))</f>
        <v/>
      </c>
      <c r="AE334" s="10" t="str">
        <f aca="false">IF(OR(ISNUMBER(SEARCH("Invalid Discount",AD334)),ISNUMBER(SEARCH("Invalid Shipping Record",AD334)),ISNUMBER(SEARCH("Sales Mismatch",AD334)),ISNUMBER(SEARCH("Profit Mismatch",AD334)),ISNUMBER(SEARCH("Duplicate Order ID Conflict",AD334)),ISNUMBER(SEARCH("Missing Order Date",AD334)),ISNUMBER(SEARCH("Missing Ship Date",AD334))),"Invalid",IF(AD334&lt;&gt;"","Warning","Clean"))</f>
        <v>Clean</v>
      </c>
    </row>
    <row r="335" customFormat="false" ht="15" hidden="false" customHeight="true" outlineLevel="0" collapsed="false">
      <c r="A335" s="3" t="s">
        <v>1026</v>
      </c>
      <c r="B335" s="4" t="n">
        <v>45830</v>
      </c>
      <c r="C335" s="4" t="n">
        <v>45835</v>
      </c>
      <c r="D335" s="3" t="s">
        <v>1027</v>
      </c>
      <c r="E335" s="3" t="str">
        <f aca="false">PROPER(TRIM(SUBSTITUTE(Raw_Text_Fields!B336,CHAR(160)," ")))</f>
        <v>Rohan Mehta</v>
      </c>
      <c r="F335" s="3" t="str">
        <f aca="false">PROPER(TRIM(SUBSTITUTE(Raw_Text_Fields!C336,CHAR(160)," ")))</f>
        <v>Home Office</v>
      </c>
      <c r="G335" s="3" t="str">
        <f aca="false">PROPER(TRIM(SUBSTITUTE(Raw_Text_Fields!D336,CHAR(160)," ")))</f>
        <v>Unknown</v>
      </c>
      <c r="H335" s="3" t="str">
        <f aca="false">PROPER(TRIM(SUBSTITUTE(Raw_Text_Fields!E336,CHAR(160)," ")))</f>
        <v>Delhi</v>
      </c>
      <c r="I335" s="3" t="str">
        <f aca="false">PROPER(TRIM(SUBSTITUTE(Raw_Text_Fields!F336,CHAR(160)," ")))</f>
        <v>New Delhi</v>
      </c>
      <c r="J335" s="3" t="str">
        <f aca="false">PROPER(TRIM(SUBSTITUTE(Raw_Text_Fields!G336,CHAR(160)," ")))</f>
        <v>Technology</v>
      </c>
      <c r="K335" s="3" t="str">
        <f aca="false">PROPER(TRIM(SUBSTITUTE(Raw_Text_Fields!H336,CHAR(160)," ")))</f>
        <v>Phones</v>
      </c>
      <c r="L335" s="3" t="s">
        <v>1028</v>
      </c>
      <c r="M335" s="3" t="str">
        <f aca="false">PROPER(TRIM(SUBSTITUTE(Raw_Text_Fields!I336,CHAR(160)," ")))</f>
        <v>First Class</v>
      </c>
      <c r="N335" s="3" t="n">
        <v>2</v>
      </c>
      <c r="O335" s="5" t="n">
        <v>1468.05</v>
      </c>
      <c r="P335" s="6" t="n">
        <v>0</v>
      </c>
      <c r="Q335" s="5" t="n">
        <v>2936.1</v>
      </c>
      <c r="R335" s="5" t="n">
        <v>1923.1</v>
      </c>
      <c r="S335" s="5" t="n">
        <v>1013</v>
      </c>
      <c r="T335" s="3" t="str">
        <f aca="false">PROPER(TRIM(SUBSTITUTE(Raw_Text_Fields!J336,CHAR(160)," ")))</f>
        <v>Paid</v>
      </c>
      <c r="U335" s="3" t="str">
        <f aca="false">PROPER(TRIM(SUBSTITUTE(Raw_Text_Fields!K336,CHAR(160)," ")))</f>
        <v>Completed</v>
      </c>
      <c r="V335" s="7" t="n">
        <f aca="false">IF(OR(P335&lt;0,P335&gt;0.5),0,P335)</f>
        <v>0</v>
      </c>
      <c r="W335" s="8" t="n">
        <f aca="false">N335*O335*(1-V335)</f>
        <v>2936.1</v>
      </c>
      <c r="X335" s="8" t="n">
        <f aca="false">W335-R335</f>
        <v>1013</v>
      </c>
      <c r="Y335" s="7" t="n">
        <f aca="false">IFERROR(X335/W335,0)</f>
        <v>0.345015496747386</v>
      </c>
      <c r="Z335" s="9" t="n">
        <f aca="false">C335-B335</f>
        <v>5</v>
      </c>
      <c r="AA335" s="1" t="str">
        <f aca="false">IF(B335="","",TEXT(B335,"mmm"))</f>
        <v>Jun</v>
      </c>
      <c r="AB335" s="9" t="n">
        <f aca="false">IF(B335="","",YEAR(B335))</f>
        <v>2025</v>
      </c>
      <c r="AC335" s="3" t="s">
        <v>372</v>
      </c>
      <c r="AD335" s="3" t="str">
        <f aca="false">IF(LEFT(AC335&amp;IF(B335="","; Missing Order Date","")&amp;IF(C335="","; Missing Ship Date","")&amp;IF(P335&lt;0,"; Invalid Discount (Negative)","")&amp;IF(P335&gt;0.5,"; Invalid Discount (Too High)","")&amp;IF(Z335&lt;0,"; Invalid Shipping Record (Ship Before Order)","")&amp;IF(ABS(Q335-W335)&gt;1,"; Sales Mismatch","")&amp;IF(ABS(S335-X335)&gt;1,"; Profit Mismatch","")&amp;IF(COUNTIF($A$2:$A$913,A335)&gt;1,"; Duplicate Order ID Conflict",""),2)="; ",MID(AC335&amp;IF(B335="","; Missing Order Date","")&amp;IF(C335="","; Missing Ship Date","")&amp;IF(P335&lt;0,"; Invalid Discount (Negative)","")&amp;IF(P335&gt;0.5,"; Invalid Discount (Too High)","")&amp;IF(Z335&lt;0,"; Invalid Shipping Record (Ship Before Order)","")&amp;IF(ABS(Q335-W335)&gt;1,"; Sales Mismatch","")&amp;IF(ABS(S335-X335)&gt;1,"; Profit Mismatch","")&amp;IF(COUNTIF($A$2:$A$913,A335)&gt;1,"; Duplicate Order ID Conflict",""),3,500),AC335&amp;IF(B335="","; Missing Order Date","")&amp;IF(C335="","; Missing Ship Date","")&amp;IF(P335&lt;0,"; Invalid Discount (Negative)","")&amp;IF(P335&gt;0.5,"; Invalid Discount (Too High)","")&amp;IF(Z335&lt;0,"; Invalid Shipping Record (Ship Before Order)","")&amp;IF(ABS(Q335-W335)&gt;1,"; Sales Mismatch","")&amp;IF(ABS(S335-X335)&gt;1,"; Profit Mismatch","")&amp;IF(COUNTIF($A$2:$A$913,A335)&gt;1,"; Duplicate Order ID Conflict",""))</f>
        <v>Missing Region (filled Unknown)</v>
      </c>
      <c r="AE335" s="10" t="str">
        <f aca="false">IF(OR(ISNUMBER(SEARCH("Invalid Discount",AD335)),ISNUMBER(SEARCH("Invalid Shipping Record",AD335)),ISNUMBER(SEARCH("Sales Mismatch",AD335)),ISNUMBER(SEARCH("Profit Mismatch",AD335)),ISNUMBER(SEARCH("Duplicate Order ID Conflict",AD335)),ISNUMBER(SEARCH("Missing Order Date",AD335)),ISNUMBER(SEARCH("Missing Ship Date",AD335))),"Invalid",IF(AD335&lt;&gt;"","Warning","Clean"))</f>
        <v>Warning</v>
      </c>
    </row>
    <row r="336" customFormat="false" ht="15" hidden="false" customHeight="true" outlineLevel="0" collapsed="false">
      <c r="A336" s="3" t="s">
        <v>1029</v>
      </c>
      <c r="B336" s="4" t="n">
        <v>45547</v>
      </c>
      <c r="C336" s="4" t="n">
        <v>45552</v>
      </c>
      <c r="D336" s="3" t="s">
        <v>1030</v>
      </c>
      <c r="E336" s="3" t="str">
        <f aca="false">PROPER(TRIM(SUBSTITUTE(Raw_Text_Fields!B337,CHAR(160)," ")))</f>
        <v>Ananya Rao</v>
      </c>
      <c r="F336" s="3" t="str">
        <f aca="false">PROPER(TRIM(SUBSTITUTE(Raw_Text_Fields!C337,CHAR(160)," ")))</f>
        <v>Consumer</v>
      </c>
      <c r="G336" s="3" t="str">
        <f aca="false">PROPER(TRIM(SUBSTITUTE(Raw_Text_Fields!D337,CHAR(160)," ")))</f>
        <v>East</v>
      </c>
      <c r="H336" s="3" t="str">
        <f aca="false">PROPER(TRIM(SUBSTITUTE(Raw_Text_Fields!E337,CHAR(160)," ")))</f>
        <v>Jharkhand</v>
      </c>
      <c r="I336" s="3" t="str">
        <f aca="false">PROPER(TRIM(SUBSTITUTE(Raw_Text_Fields!F337,CHAR(160)," ")))</f>
        <v>Ranchi</v>
      </c>
      <c r="J336" s="3" t="str">
        <f aca="false">PROPER(TRIM(SUBSTITUTE(Raw_Text_Fields!G337,CHAR(160)," ")))</f>
        <v>Office Supplies</v>
      </c>
      <c r="K336" s="3" t="str">
        <f aca="false">PROPER(TRIM(SUBSTITUTE(Raw_Text_Fields!H337,CHAR(160)," ")))</f>
        <v>Storage</v>
      </c>
      <c r="L336" s="3" t="s">
        <v>1031</v>
      </c>
      <c r="M336" s="3" t="str">
        <f aca="false">PROPER(TRIM(SUBSTITUTE(Raw_Text_Fields!I337,CHAR(160)," ")))</f>
        <v>First Class</v>
      </c>
      <c r="N336" s="3" t="n">
        <v>9</v>
      </c>
      <c r="O336" s="5" t="n">
        <v>1921.47</v>
      </c>
      <c r="P336" s="6" t="n">
        <v>0.25</v>
      </c>
      <c r="Q336" s="5" t="n">
        <v>12969.92</v>
      </c>
      <c r="R336" s="5" t="n">
        <v>9398.46</v>
      </c>
      <c r="S336" s="5" t="n">
        <v>3571.46</v>
      </c>
      <c r="T336" s="3" t="str">
        <f aca="false">PROPER(TRIM(SUBSTITUTE(Raw_Text_Fields!J337,CHAR(160)," ")))</f>
        <v>Paid</v>
      </c>
      <c r="U336" s="3" t="str">
        <f aca="false">PROPER(TRIM(SUBSTITUTE(Raw_Text_Fields!K337,CHAR(160)," ")))</f>
        <v>Completed</v>
      </c>
      <c r="V336" s="7" t="n">
        <f aca="false">IF(OR(P336&lt;0,P336&gt;0.5),0,P336)</f>
        <v>0.25</v>
      </c>
      <c r="W336" s="8" t="n">
        <f aca="false">N336*O336*(1-V336)</f>
        <v>12969.9225</v>
      </c>
      <c r="X336" s="8" t="n">
        <f aca="false">W336-R336</f>
        <v>3571.4625</v>
      </c>
      <c r="Y336" s="7" t="n">
        <f aca="false">IFERROR(X336/W336,0)</f>
        <v>0.27536498386941</v>
      </c>
      <c r="Z336" s="9" t="n">
        <f aca="false">C336-B336</f>
        <v>5</v>
      </c>
      <c r="AA336" s="1" t="str">
        <f aca="false">IF(B336="","",TEXT(B336,"mmm"))</f>
        <v>Sep</v>
      </c>
      <c r="AB336" s="9" t="n">
        <f aca="false">IF(B336="","",YEAR(B336))</f>
        <v>2024</v>
      </c>
      <c r="AC336" s="3"/>
      <c r="AD336" s="3" t="str">
        <f aca="false">IF(LEFT(AC336&amp;IF(B336="","; Missing Order Date","")&amp;IF(C336="","; Missing Ship Date","")&amp;IF(P336&lt;0,"; Invalid Discount (Negative)","")&amp;IF(P336&gt;0.5,"; Invalid Discount (Too High)","")&amp;IF(Z336&lt;0,"; Invalid Shipping Record (Ship Before Order)","")&amp;IF(ABS(Q336-W336)&gt;1,"; Sales Mismatch","")&amp;IF(ABS(S336-X336)&gt;1,"; Profit Mismatch","")&amp;IF(COUNTIF($A$2:$A$913,A336)&gt;1,"; Duplicate Order ID Conflict",""),2)="; ",MID(AC336&amp;IF(B336="","; Missing Order Date","")&amp;IF(C336="","; Missing Ship Date","")&amp;IF(P336&lt;0,"; Invalid Discount (Negative)","")&amp;IF(P336&gt;0.5,"; Invalid Discount (Too High)","")&amp;IF(Z336&lt;0,"; Invalid Shipping Record (Ship Before Order)","")&amp;IF(ABS(Q336-W336)&gt;1,"; Sales Mismatch","")&amp;IF(ABS(S336-X336)&gt;1,"; Profit Mismatch","")&amp;IF(COUNTIF($A$2:$A$913,A336)&gt;1,"; Duplicate Order ID Conflict",""),3,500),AC336&amp;IF(B336="","; Missing Order Date","")&amp;IF(C336="","; Missing Ship Date","")&amp;IF(P336&lt;0,"; Invalid Discount (Negative)","")&amp;IF(P336&gt;0.5,"; Invalid Discount (Too High)","")&amp;IF(Z336&lt;0,"; Invalid Shipping Record (Ship Before Order)","")&amp;IF(ABS(Q336-W336)&gt;1,"; Sales Mismatch","")&amp;IF(ABS(S336-X336)&gt;1,"; Profit Mismatch","")&amp;IF(COUNTIF($A$2:$A$913,A336)&gt;1,"; Duplicate Order ID Conflict",""))</f>
        <v/>
      </c>
      <c r="AE336" s="10" t="str">
        <f aca="false">IF(OR(ISNUMBER(SEARCH("Invalid Discount",AD336)),ISNUMBER(SEARCH("Invalid Shipping Record",AD336)),ISNUMBER(SEARCH("Sales Mismatch",AD336)),ISNUMBER(SEARCH("Profit Mismatch",AD336)),ISNUMBER(SEARCH("Duplicate Order ID Conflict",AD336)),ISNUMBER(SEARCH("Missing Order Date",AD336)),ISNUMBER(SEARCH("Missing Ship Date",AD336))),"Invalid",IF(AD336&lt;&gt;"","Warning","Clean"))</f>
        <v>Clean</v>
      </c>
    </row>
    <row r="337" customFormat="false" ht="15" hidden="false" customHeight="true" outlineLevel="0" collapsed="false">
      <c r="A337" s="3" t="s">
        <v>1032</v>
      </c>
      <c r="B337" s="4" t="n">
        <v>45824</v>
      </c>
      <c r="C337" s="4" t="n">
        <v>45826</v>
      </c>
      <c r="D337" s="3" t="s">
        <v>1033</v>
      </c>
      <c r="E337" s="3" t="str">
        <f aca="false">PROPER(TRIM(SUBSTITUTE(Raw_Text_Fields!B338,CHAR(160)," ")))</f>
        <v>Rahul Verma</v>
      </c>
      <c r="F337" s="3" t="str">
        <f aca="false">PROPER(TRIM(SUBSTITUTE(Raw_Text_Fields!C338,CHAR(160)," ")))</f>
        <v>Home Office</v>
      </c>
      <c r="G337" s="3" t="str">
        <f aca="false">PROPER(TRIM(SUBSTITUTE(Raw_Text_Fields!D338,CHAR(160)," ")))</f>
        <v>West</v>
      </c>
      <c r="H337" s="3" t="str">
        <f aca="false">PROPER(TRIM(SUBSTITUTE(Raw_Text_Fields!E338,CHAR(160)," ")))</f>
        <v>Madhya Pradesh</v>
      </c>
      <c r="I337" s="3" t="str">
        <f aca="false">PROPER(TRIM(SUBSTITUTE(Raw_Text_Fields!F338,CHAR(160)," ")))</f>
        <v>Indore</v>
      </c>
      <c r="J337" s="3" t="str">
        <f aca="false">PROPER(TRIM(SUBSTITUTE(Raw_Text_Fields!G338,CHAR(160)," ")))</f>
        <v>Office Supplies</v>
      </c>
      <c r="K337" s="3" t="str">
        <f aca="false">PROPER(TRIM(SUBSTITUTE(Raw_Text_Fields!H338,CHAR(160)," ")))</f>
        <v>Paper</v>
      </c>
      <c r="L337" s="3" t="s">
        <v>1034</v>
      </c>
      <c r="M337" s="3" t="str">
        <f aca="false">PROPER(TRIM(SUBSTITUTE(Raw_Text_Fields!I338,CHAR(160)," ")))</f>
        <v>First Class</v>
      </c>
      <c r="N337" s="3" t="n">
        <v>3</v>
      </c>
      <c r="O337" s="5" t="n">
        <v>4289.37</v>
      </c>
      <c r="P337" s="6" t="n">
        <v>0.1</v>
      </c>
      <c r="Q337" s="5" t="n">
        <v>11581.3</v>
      </c>
      <c r="R337" s="5" t="n">
        <v>6829.43</v>
      </c>
      <c r="S337" s="5" t="n">
        <v>4751.87</v>
      </c>
      <c r="T337" s="3" t="str">
        <f aca="false">PROPER(TRIM(SUBSTITUTE(Raw_Text_Fields!J338,CHAR(160)," ")))</f>
        <v>Paid</v>
      </c>
      <c r="U337" s="3" t="str">
        <f aca="false">PROPER(TRIM(SUBSTITUTE(Raw_Text_Fields!K338,CHAR(160)," ")))</f>
        <v>Completed</v>
      </c>
      <c r="V337" s="7" t="n">
        <f aca="false">IF(OR(P337&lt;0,P337&gt;0.5),0,P337)</f>
        <v>0.1</v>
      </c>
      <c r="W337" s="8" t="n">
        <f aca="false">N337*O337*(1-V337)</f>
        <v>11581.299</v>
      </c>
      <c r="X337" s="8" t="n">
        <f aca="false">W337-R337</f>
        <v>4751.869</v>
      </c>
      <c r="Y337" s="7" t="n">
        <f aca="false">IFERROR(X337/W337,0)</f>
        <v>0.410305355211017</v>
      </c>
      <c r="Z337" s="9" t="n">
        <f aca="false">C337-B337</f>
        <v>2</v>
      </c>
      <c r="AA337" s="1" t="str">
        <f aca="false">IF(B337="","",TEXT(B337,"mmm"))</f>
        <v>Jun</v>
      </c>
      <c r="AB337" s="9" t="n">
        <f aca="false">IF(B337="","",YEAR(B337))</f>
        <v>2025</v>
      </c>
      <c r="AC337" s="3"/>
      <c r="AD337" s="3" t="str">
        <f aca="false">IF(LEFT(AC337&amp;IF(B337="","; Missing Order Date","")&amp;IF(C337="","; Missing Ship Date","")&amp;IF(P337&lt;0,"; Invalid Discount (Negative)","")&amp;IF(P337&gt;0.5,"; Invalid Discount (Too High)","")&amp;IF(Z337&lt;0,"; Invalid Shipping Record (Ship Before Order)","")&amp;IF(ABS(Q337-W337)&gt;1,"; Sales Mismatch","")&amp;IF(ABS(S337-X337)&gt;1,"; Profit Mismatch","")&amp;IF(COUNTIF($A$2:$A$913,A337)&gt;1,"; Duplicate Order ID Conflict",""),2)="; ",MID(AC337&amp;IF(B337="","; Missing Order Date","")&amp;IF(C337="","; Missing Ship Date","")&amp;IF(P337&lt;0,"; Invalid Discount (Negative)","")&amp;IF(P337&gt;0.5,"; Invalid Discount (Too High)","")&amp;IF(Z337&lt;0,"; Invalid Shipping Record (Ship Before Order)","")&amp;IF(ABS(Q337-W337)&gt;1,"; Sales Mismatch","")&amp;IF(ABS(S337-X337)&gt;1,"; Profit Mismatch","")&amp;IF(COUNTIF($A$2:$A$913,A337)&gt;1,"; Duplicate Order ID Conflict",""),3,500),AC337&amp;IF(B337="","; Missing Order Date","")&amp;IF(C337="","; Missing Ship Date","")&amp;IF(P337&lt;0,"; Invalid Discount (Negative)","")&amp;IF(P337&gt;0.5,"; Invalid Discount (Too High)","")&amp;IF(Z337&lt;0,"; Invalid Shipping Record (Ship Before Order)","")&amp;IF(ABS(Q337-W337)&gt;1,"; Sales Mismatch","")&amp;IF(ABS(S337-X337)&gt;1,"; Profit Mismatch","")&amp;IF(COUNTIF($A$2:$A$913,A337)&gt;1,"; Duplicate Order ID Conflict",""))</f>
        <v>Duplicate Order ID Conflict</v>
      </c>
      <c r="AE337" s="10" t="str">
        <f aca="false">IF(OR(ISNUMBER(SEARCH("Invalid Discount",AD337)),ISNUMBER(SEARCH("Invalid Shipping Record",AD337)),ISNUMBER(SEARCH("Sales Mismatch",AD337)),ISNUMBER(SEARCH("Profit Mismatch",AD337)),ISNUMBER(SEARCH("Duplicate Order ID Conflict",AD337)),ISNUMBER(SEARCH("Missing Order Date",AD337)),ISNUMBER(SEARCH("Missing Ship Date",AD337))),"Invalid",IF(AD337&lt;&gt;"","Warning","Clean"))</f>
        <v>Invalid</v>
      </c>
    </row>
    <row r="338" customFormat="false" ht="15" hidden="false" customHeight="true" outlineLevel="0" collapsed="false">
      <c r="A338" s="3" t="s">
        <v>1035</v>
      </c>
      <c r="B338" s="4" t="n">
        <v>45368</v>
      </c>
      <c r="C338" s="4" t="n">
        <v>45372</v>
      </c>
      <c r="D338" s="3" t="s">
        <v>787</v>
      </c>
      <c r="E338" s="3" t="str">
        <f aca="false">PROPER(TRIM(SUBSTITUTE(Raw_Text_Fields!B339,CHAR(160)," ")))</f>
        <v>Aarav Sharma</v>
      </c>
      <c r="F338" s="3" t="str">
        <f aca="false">PROPER(TRIM(SUBSTITUTE(Raw_Text_Fields!C339,CHAR(160)," ")))</f>
        <v>Consumer</v>
      </c>
      <c r="G338" s="3" t="str">
        <f aca="false">PROPER(TRIM(SUBSTITUTE(Raw_Text_Fields!D339,CHAR(160)," ")))</f>
        <v>North</v>
      </c>
      <c r="H338" s="3" t="str">
        <f aca="false">PROPER(TRIM(SUBSTITUTE(Raw_Text_Fields!E339,CHAR(160)," ")))</f>
        <v>Rajasthan</v>
      </c>
      <c r="I338" s="3" t="str">
        <f aca="false">PROPER(TRIM(SUBSTITUTE(Raw_Text_Fields!F339,CHAR(160)," ")))</f>
        <v>Jaipur</v>
      </c>
      <c r="J338" s="3" t="str">
        <f aca="false">PROPER(TRIM(SUBSTITUTE(Raw_Text_Fields!G339,CHAR(160)," ")))</f>
        <v>Technology</v>
      </c>
      <c r="K338" s="3" t="str">
        <f aca="false">PROPER(TRIM(SUBSTITUTE(Raw_Text_Fields!H339,CHAR(160)," ")))</f>
        <v>Copiers</v>
      </c>
      <c r="L338" s="3" t="s">
        <v>1036</v>
      </c>
      <c r="M338" s="3" t="str">
        <f aca="false">PROPER(TRIM(SUBSTITUTE(Raw_Text_Fields!I339,CHAR(160)," ")))</f>
        <v>First Class</v>
      </c>
      <c r="N338" s="3" t="n">
        <v>8</v>
      </c>
      <c r="O338" s="5" t="n">
        <v>1992.57</v>
      </c>
      <c r="P338" s="6" t="n">
        <v>0</v>
      </c>
      <c r="Q338" s="5" t="n">
        <v>15940.56</v>
      </c>
      <c r="R338" s="5" t="n">
        <v>12347.15</v>
      </c>
      <c r="S338" s="5" t="n">
        <v>3593.41</v>
      </c>
      <c r="T338" s="3" t="str">
        <f aca="false">PROPER(TRIM(SUBSTITUTE(Raw_Text_Fields!J339,CHAR(160)," ")))</f>
        <v>Paid</v>
      </c>
      <c r="U338" s="3" t="str">
        <f aca="false">PROPER(TRIM(SUBSTITUTE(Raw_Text_Fields!K339,CHAR(160)," ")))</f>
        <v>Completed</v>
      </c>
      <c r="V338" s="7" t="n">
        <f aca="false">IF(OR(P338&lt;0,P338&gt;0.5),0,P338)</f>
        <v>0</v>
      </c>
      <c r="W338" s="8" t="n">
        <f aca="false">N338*O338*(1-V338)</f>
        <v>15940.56</v>
      </c>
      <c r="X338" s="8" t="n">
        <f aca="false">W338-R338</f>
        <v>3593.41</v>
      </c>
      <c r="Y338" s="7" t="n">
        <f aca="false">IFERROR(X338/W338,0)</f>
        <v>0.22542558103354</v>
      </c>
      <c r="Z338" s="9" t="n">
        <f aca="false">C338-B338</f>
        <v>4</v>
      </c>
      <c r="AA338" s="1" t="str">
        <f aca="false">IF(B338="","",TEXT(B338,"mmm"))</f>
        <v>Mar</v>
      </c>
      <c r="AB338" s="9" t="n">
        <f aca="false">IF(B338="","",YEAR(B338))</f>
        <v>2024</v>
      </c>
      <c r="AC338" s="3"/>
      <c r="AD338" s="3" t="str">
        <f aca="false">IF(LEFT(AC338&amp;IF(B338="","; Missing Order Date","")&amp;IF(C338="","; Missing Ship Date","")&amp;IF(P338&lt;0,"; Invalid Discount (Negative)","")&amp;IF(P338&gt;0.5,"; Invalid Discount (Too High)","")&amp;IF(Z338&lt;0,"; Invalid Shipping Record (Ship Before Order)","")&amp;IF(ABS(Q338-W338)&gt;1,"; Sales Mismatch","")&amp;IF(ABS(S338-X338)&gt;1,"; Profit Mismatch","")&amp;IF(COUNTIF($A$2:$A$913,A338)&gt;1,"; Duplicate Order ID Conflict",""),2)="; ",MID(AC338&amp;IF(B338="","; Missing Order Date","")&amp;IF(C338="","; Missing Ship Date","")&amp;IF(P338&lt;0,"; Invalid Discount (Negative)","")&amp;IF(P338&gt;0.5,"; Invalid Discount (Too High)","")&amp;IF(Z338&lt;0,"; Invalid Shipping Record (Ship Before Order)","")&amp;IF(ABS(Q338-W338)&gt;1,"; Sales Mismatch","")&amp;IF(ABS(S338-X338)&gt;1,"; Profit Mismatch","")&amp;IF(COUNTIF($A$2:$A$913,A338)&gt;1,"; Duplicate Order ID Conflict",""),3,500),AC338&amp;IF(B338="","; Missing Order Date","")&amp;IF(C338="","; Missing Ship Date","")&amp;IF(P338&lt;0,"; Invalid Discount (Negative)","")&amp;IF(P338&gt;0.5,"; Invalid Discount (Too High)","")&amp;IF(Z338&lt;0,"; Invalid Shipping Record (Ship Before Order)","")&amp;IF(ABS(Q338-W338)&gt;1,"; Sales Mismatch","")&amp;IF(ABS(S338-X338)&gt;1,"; Profit Mismatch","")&amp;IF(COUNTIF($A$2:$A$913,A338)&gt;1,"; Duplicate Order ID Conflict",""))</f>
        <v/>
      </c>
      <c r="AE338" s="10" t="str">
        <f aca="false">IF(OR(ISNUMBER(SEARCH("Invalid Discount",AD338)),ISNUMBER(SEARCH("Invalid Shipping Record",AD338)),ISNUMBER(SEARCH("Sales Mismatch",AD338)),ISNUMBER(SEARCH("Profit Mismatch",AD338)),ISNUMBER(SEARCH("Duplicate Order ID Conflict",AD338)),ISNUMBER(SEARCH("Missing Order Date",AD338)),ISNUMBER(SEARCH("Missing Ship Date",AD338))),"Invalid",IF(AD338&lt;&gt;"","Warning","Clean"))</f>
        <v>Clean</v>
      </c>
    </row>
    <row r="339" customFormat="false" ht="15" hidden="false" customHeight="true" outlineLevel="0" collapsed="false">
      <c r="A339" s="3" t="s">
        <v>1037</v>
      </c>
      <c r="B339" s="4" t="n">
        <v>45516</v>
      </c>
      <c r="C339" s="4" t="n">
        <v>45522</v>
      </c>
      <c r="D339" s="3" t="s">
        <v>1038</v>
      </c>
      <c r="E339" s="3" t="str">
        <f aca="false">PROPER(TRIM(SUBSTITUTE(Raw_Text_Fields!B340,CHAR(160)," ")))</f>
        <v>Ananya Rao</v>
      </c>
      <c r="F339" s="3" t="str">
        <f aca="false">PROPER(TRIM(SUBSTITUTE(Raw_Text_Fields!C340,CHAR(160)," ")))</f>
        <v>Consumer</v>
      </c>
      <c r="G339" s="3" t="str">
        <f aca="false">PROPER(TRIM(SUBSTITUTE(Raw_Text_Fields!D340,CHAR(160)," ")))</f>
        <v>East</v>
      </c>
      <c r="H339" s="3" t="str">
        <f aca="false">PROPER(TRIM(SUBSTITUTE(Raw_Text_Fields!E340,CHAR(160)," ")))</f>
        <v>Assam</v>
      </c>
      <c r="I339" s="3" t="str">
        <f aca="false">PROPER(TRIM(SUBSTITUTE(Raw_Text_Fields!F340,CHAR(160)," ")))</f>
        <v>Guwahati</v>
      </c>
      <c r="J339" s="3" t="str">
        <f aca="false">PROPER(TRIM(SUBSTITUTE(Raw_Text_Fields!G340,CHAR(160)," ")))</f>
        <v>Office Supplies</v>
      </c>
      <c r="K339" s="3" t="str">
        <f aca="false">PROPER(TRIM(SUBSTITUTE(Raw_Text_Fields!H340,CHAR(160)," ")))</f>
        <v>Labels</v>
      </c>
      <c r="L339" s="3" t="s">
        <v>1039</v>
      </c>
      <c r="M339" s="3" t="str">
        <f aca="false">PROPER(TRIM(SUBSTITUTE(Raw_Text_Fields!I340,CHAR(160)," ")))</f>
        <v>Same Day</v>
      </c>
      <c r="N339" s="3" t="n">
        <v>6</v>
      </c>
      <c r="O339" s="5" t="n">
        <v>1181.74</v>
      </c>
      <c r="P339" s="6" t="n">
        <v>0</v>
      </c>
      <c r="Q339" s="5" t="n">
        <v>7090.44</v>
      </c>
      <c r="R339" s="5" t="n">
        <v>5672.27</v>
      </c>
      <c r="S339" s="5" t="n">
        <v>1262.87</v>
      </c>
      <c r="T339" s="3" t="str">
        <f aca="false">PROPER(TRIM(SUBSTITUTE(Raw_Text_Fields!J340,CHAR(160)," ")))</f>
        <v>Paid</v>
      </c>
      <c r="U339" s="3" t="str">
        <f aca="false">PROPER(TRIM(SUBSTITUTE(Raw_Text_Fields!K340,CHAR(160)," ")))</f>
        <v>Completed</v>
      </c>
      <c r="V339" s="7" t="n">
        <f aca="false">IF(OR(P339&lt;0,P339&gt;0.5),0,P339)</f>
        <v>0</v>
      </c>
      <c r="W339" s="8" t="n">
        <f aca="false">N339*O339*(1-V339)</f>
        <v>7090.44</v>
      </c>
      <c r="X339" s="8" t="n">
        <f aca="false">W339-R339</f>
        <v>1418.17</v>
      </c>
      <c r="Y339" s="7" t="n">
        <f aca="false">IFERROR(X339/W339,0)</f>
        <v>0.200011564867625</v>
      </c>
      <c r="Z339" s="9" t="n">
        <f aca="false">C339-B339</f>
        <v>6</v>
      </c>
      <c r="AA339" s="1" t="str">
        <f aca="false">IF(B339="","",TEXT(B339,"mmm"))</f>
        <v>Aug</v>
      </c>
      <c r="AB339" s="9" t="n">
        <f aca="false">IF(B339="","",YEAR(B339))</f>
        <v>2024</v>
      </c>
      <c r="AC339" s="3"/>
      <c r="AD339" s="3" t="str">
        <f aca="false">IF(LEFT(AC339&amp;IF(B339="","; Missing Order Date","")&amp;IF(C339="","; Missing Ship Date","")&amp;IF(P339&lt;0,"; Invalid Discount (Negative)","")&amp;IF(P339&gt;0.5,"; Invalid Discount (Too High)","")&amp;IF(Z339&lt;0,"; Invalid Shipping Record (Ship Before Order)","")&amp;IF(ABS(Q339-W339)&gt;1,"; Sales Mismatch","")&amp;IF(ABS(S339-X339)&gt;1,"; Profit Mismatch","")&amp;IF(COUNTIF($A$2:$A$913,A339)&gt;1,"; Duplicate Order ID Conflict",""),2)="; ",MID(AC339&amp;IF(B339="","; Missing Order Date","")&amp;IF(C339="","; Missing Ship Date","")&amp;IF(P339&lt;0,"; Invalid Discount (Negative)","")&amp;IF(P339&gt;0.5,"; Invalid Discount (Too High)","")&amp;IF(Z339&lt;0,"; Invalid Shipping Record (Ship Before Order)","")&amp;IF(ABS(Q339-W339)&gt;1,"; Sales Mismatch","")&amp;IF(ABS(S339-X339)&gt;1,"; Profit Mismatch","")&amp;IF(COUNTIF($A$2:$A$913,A339)&gt;1,"; Duplicate Order ID Conflict",""),3,500),AC339&amp;IF(B339="","; Missing Order Date","")&amp;IF(C339="","; Missing Ship Date","")&amp;IF(P339&lt;0,"; Invalid Discount (Negative)","")&amp;IF(P339&gt;0.5,"; Invalid Discount (Too High)","")&amp;IF(Z339&lt;0,"; Invalid Shipping Record (Ship Before Order)","")&amp;IF(ABS(Q339-W339)&gt;1,"; Sales Mismatch","")&amp;IF(ABS(S339-X339)&gt;1,"; Profit Mismatch","")&amp;IF(COUNTIF($A$2:$A$913,A339)&gt;1,"; Duplicate Order ID Conflict",""))</f>
        <v>Profit Mismatch</v>
      </c>
      <c r="AE339" s="10" t="str">
        <f aca="false">IF(OR(ISNUMBER(SEARCH("Invalid Discount",AD339)),ISNUMBER(SEARCH("Invalid Shipping Record",AD339)),ISNUMBER(SEARCH("Sales Mismatch",AD339)),ISNUMBER(SEARCH("Profit Mismatch",AD339)),ISNUMBER(SEARCH("Duplicate Order ID Conflict",AD339)),ISNUMBER(SEARCH("Missing Order Date",AD339)),ISNUMBER(SEARCH("Missing Ship Date",AD339))),"Invalid",IF(AD339&lt;&gt;"","Warning","Clean"))</f>
        <v>Invalid</v>
      </c>
    </row>
    <row r="340" customFormat="false" ht="15" hidden="false" customHeight="true" outlineLevel="0" collapsed="false">
      <c r="A340" s="3" t="s">
        <v>1040</v>
      </c>
      <c r="B340" s="4" t="n">
        <v>45634</v>
      </c>
      <c r="C340" s="4" t="n">
        <v>45634</v>
      </c>
      <c r="D340" s="3" t="s">
        <v>1041</v>
      </c>
      <c r="E340" s="3" t="str">
        <f aca="false">PROPER(TRIM(SUBSTITUTE(Raw_Text_Fields!B341,CHAR(160)," ")))</f>
        <v>Arjun Bose</v>
      </c>
      <c r="F340" s="3" t="str">
        <f aca="false">PROPER(TRIM(SUBSTITUTE(Raw_Text_Fields!C341,CHAR(160)," ")))</f>
        <v>Small Business</v>
      </c>
      <c r="G340" s="3" t="str">
        <f aca="false">PROPER(TRIM(SUBSTITUTE(Raw_Text_Fields!D341,CHAR(160)," ")))</f>
        <v>South</v>
      </c>
      <c r="H340" s="3" t="str">
        <f aca="false">PROPER(TRIM(SUBSTITUTE(Raw_Text_Fields!E341,CHAR(160)," ")))</f>
        <v>Andhra Pradesh</v>
      </c>
      <c r="I340" s="3" t="str">
        <f aca="false">PROPER(TRIM(SUBSTITUTE(Raw_Text_Fields!F341,CHAR(160)," ")))</f>
        <v>Vijayawada</v>
      </c>
      <c r="J340" s="3" t="str">
        <f aca="false">PROPER(TRIM(SUBSTITUTE(Raw_Text_Fields!G341,CHAR(160)," ")))</f>
        <v>Technology</v>
      </c>
      <c r="K340" s="3" t="str">
        <f aca="false">PROPER(TRIM(SUBSTITUTE(Raw_Text_Fields!H341,CHAR(160)," ")))</f>
        <v>Accessories</v>
      </c>
      <c r="L340" s="3" t="s">
        <v>1042</v>
      </c>
      <c r="M340" s="3" t="str">
        <f aca="false">PROPER(TRIM(SUBSTITUTE(Raw_Text_Fields!I341,CHAR(160)," ")))</f>
        <v>First Class</v>
      </c>
      <c r="N340" s="3" t="n">
        <v>8</v>
      </c>
      <c r="O340" s="5" t="n">
        <v>4402.36</v>
      </c>
      <c r="P340" s="6" t="n">
        <v>0.25</v>
      </c>
      <c r="Q340" s="5" t="n">
        <v>26414.16</v>
      </c>
      <c r="R340" s="5" t="n">
        <v>21822.53</v>
      </c>
      <c r="S340" s="5" t="n">
        <v>4591.63</v>
      </c>
      <c r="T340" s="3" t="str">
        <f aca="false">PROPER(TRIM(SUBSTITUTE(Raw_Text_Fields!J341,CHAR(160)," ")))</f>
        <v>Paid</v>
      </c>
      <c r="U340" s="3" t="str">
        <f aca="false">PROPER(TRIM(SUBSTITUTE(Raw_Text_Fields!K341,CHAR(160)," ")))</f>
        <v>Completed</v>
      </c>
      <c r="V340" s="7" t="n">
        <f aca="false">IF(OR(P340&lt;0,P340&gt;0.5),0,P340)</f>
        <v>0.25</v>
      </c>
      <c r="W340" s="8" t="n">
        <f aca="false">N340*O340*(1-V340)</f>
        <v>26414.16</v>
      </c>
      <c r="X340" s="8" t="n">
        <f aca="false">W340-R340</f>
        <v>4591.63</v>
      </c>
      <c r="Y340" s="7" t="n">
        <f aca="false">IFERROR(X340/W340,0)</f>
        <v>0.173832141548321</v>
      </c>
      <c r="Z340" s="9" t="n">
        <f aca="false">C340-B340</f>
        <v>0</v>
      </c>
      <c r="AA340" s="1" t="str">
        <f aca="false">IF(B340="","",TEXT(B340,"mmm"))</f>
        <v>Dec</v>
      </c>
      <c r="AB340" s="9" t="n">
        <f aca="false">IF(B340="","",YEAR(B340))</f>
        <v>2024</v>
      </c>
      <c r="AC340" s="3"/>
      <c r="AD340" s="3" t="str">
        <f aca="false">IF(LEFT(AC340&amp;IF(B340="","; Missing Order Date","")&amp;IF(C340="","; Missing Ship Date","")&amp;IF(P340&lt;0,"; Invalid Discount (Negative)","")&amp;IF(P340&gt;0.5,"; Invalid Discount (Too High)","")&amp;IF(Z340&lt;0,"; Invalid Shipping Record (Ship Before Order)","")&amp;IF(ABS(Q340-W340)&gt;1,"; Sales Mismatch","")&amp;IF(ABS(S340-X340)&gt;1,"; Profit Mismatch","")&amp;IF(COUNTIF($A$2:$A$913,A340)&gt;1,"; Duplicate Order ID Conflict",""),2)="; ",MID(AC340&amp;IF(B340="","; Missing Order Date","")&amp;IF(C340="","; Missing Ship Date","")&amp;IF(P340&lt;0,"; Invalid Discount (Negative)","")&amp;IF(P340&gt;0.5,"; Invalid Discount (Too High)","")&amp;IF(Z340&lt;0,"; Invalid Shipping Record (Ship Before Order)","")&amp;IF(ABS(Q340-W340)&gt;1,"; Sales Mismatch","")&amp;IF(ABS(S340-X340)&gt;1,"; Profit Mismatch","")&amp;IF(COUNTIF($A$2:$A$913,A340)&gt;1,"; Duplicate Order ID Conflict",""),3,500),AC340&amp;IF(B340="","; Missing Order Date","")&amp;IF(C340="","; Missing Ship Date","")&amp;IF(P340&lt;0,"; Invalid Discount (Negative)","")&amp;IF(P340&gt;0.5,"; Invalid Discount (Too High)","")&amp;IF(Z340&lt;0,"; Invalid Shipping Record (Ship Before Order)","")&amp;IF(ABS(Q340-W340)&gt;1,"; Sales Mismatch","")&amp;IF(ABS(S340-X340)&gt;1,"; Profit Mismatch","")&amp;IF(COUNTIF($A$2:$A$913,A340)&gt;1,"; Duplicate Order ID Conflict",""))</f>
        <v/>
      </c>
      <c r="AE340" s="10" t="str">
        <f aca="false">IF(OR(ISNUMBER(SEARCH("Invalid Discount",AD340)),ISNUMBER(SEARCH("Invalid Shipping Record",AD340)),ISNUMBER(SEARCH("Sales Mismatch",AD340)),ISNUMBER(SEARCH("Profit Mismatch",AD340)),ISNUMBER(SEARCH("Duplicate Order ID Conflict",AD340)),ISNUMBER(SEARCH("Missing Order Date",AD340)),ISNUMBER(SEARCH("Missing Ship Date",AD340))),"Invalid",IF(AD340&lt;&gt;"","Warning","Clean"))</f>
        <v>Clean</v>
      </c>
    </row>
    <row r="341" customFormat="false" ht="15" hidden="false" customHeight="true" outlineLevel="0" collapsed="false">
      <c r="A341" s="3" t="s">
        <v>1043</v>
      </c>
      <c r="B341" s="4" t="n">
        <v>45708</v>
      </c>
      <c r="C341" s="4" t="n">
        <v>45710</v>
      </c>
      <c r="D341" s="3" t="s">
        <v>1044</v>
      </c>
      <c r="E341" s="3" t="str">
        <f aca="false">PROPER(TRIM(SUBSTITUTE(Raw_Text_Fields!B342,CHAR(160)," ")))</f>
        <v>Neha Gupta</v>
      </c>
      <c r="F341" s="3" t="str">
        <f aca="false">PROPER(TRIM(SUBSTITUTE(Raw_Text_Fields!C342,CHAR(160)," ")))</f>
        <v>Corporate</v>
      </c>
      <c r="G341" s="3" t="str">
        <f aca="false">PROPER(TRIM(SUBSTITUTE(Raw_Text_Fields!D342,CHAR(160)," ")))</f>
        <v>East</v>
      </c>
      <c r="H341" s="3" t="str">
        <f aca="false">PROPER(TRIM(SUBSTITUTE(Raw_Text_Fields!E342,CHAR(160)," ")))</f>
        <v>Jharkhand</v>
      </c>
      <c r="I341" s="3" t="str">
        <f aca="false">PROPER(TRIM(SUBSTITUTE(Raw_Text_Fields!F342,CHAR(160)," ")))</f>
        <v>Ranchi</v>
      </c>
      <c r="J341" s="3" t="str">
        <f aca="false">PROPER(TRIM(SUBSTITUTE(Raw_Text_Fields!G342,CHAR(160)," ")))</f>
        <v>Furniture</v>
      </c>
      <c r="K341" s="3" t="str">
        <f aca="false">PROPER(TRIM(SUBSTITUTE(Raw_Text_Fields!H342,CHAR(160)," ")))</f>
        <v>Bookcases</v>
      </c>
      <c r="L341" s="3" t="s">
        <v>1045</v>
      </c>
      <c r="M341" s="3" t="str">
        <f aca="false">PROPER(TRIM(SUBSTITUTE(Raw_Text_Fields!I342,CHAR(160)," ")))</f>
        <v>Standard Class</v>
      </c>
      <c r="N341" s="3" t="n">
        <v>8</v>
      </c>
      <c r="O341" s="5" t="n">
        <v>3265.76</v>
      </c>
      <c r="P341" s="6" t="n">
        <v>0.2</v>
      </c>
      <c r="Q341" s="5" t="n">
        <v>20900.86</v>
      </c>
      <c r="R341" s="5" t="n">
        <v>12513.14</v>
      </c>
      <c r="S341" s="5" t="n">
        <v>8387.72</v>
      </c>
      <c r="T341" s="3" t="str">
        <f aca="false">PROPER(TRIM(SUBSTITUTE(Raw_Text_Fields!J342,CHAR(160)," ")))</f>
        <v>Paid</v>
      </c>
      <c r="U341" s="3" t="str">
        <f aca="false">PROPER(TRIM(SUBSTITUTE(Raw_Text_Fields!K342,CHAR(160)," ")))</f>
        <v>Completed</v>
      </c>
      <c r="V341" s="7" t="n">
        <f aca="false">IF(OR(P341&lt;0,P341&gt;0.5),0,P341)</f>
        <v>0.2</v>
      </c>
      <c r="W341" s="8" t="n">
        <f aca="false">N341*O341*(1-V341)</f>
        <v>20900.864</v>
      </c>
      <c r="X341" s="8" t="n">
        <f aca="false">W341-R341</f>
        <v>8387.724</v>
      </c>
      <c r="Y341" s="7" t="n">
        <f aca="false">IFERROR(X341/W341,0)</f>
        <v>0.401309917140268</v>
      </c>
      <c r="Z341" s="9" t="n">
        <f aca="false">C341-B341</f>
        <v>2</v>
      </c>
      <c r="AA341" s="1" t="str">
        <f aca="false">IF(B341="","",TEXT(B341,"mmm"))</f>
        <v>Feb</v>
      </c>
      <c r="AB341" s="9" t="n">
        <f aca="false">IF(B341="","",YEAR(B341))</f>
        <v>2025</v>
      </c>
      <c r="AC341" s="3"/>
      <c r="AD341" s="3" t="str">
        <f aca="false">IF(LEFT(AC341&amp;IF(B341="","; Missing Order Date","")&amp;IF(C341="","; Missing Ship Date","")&amp;IF(P341&lt;0,"; Invalid Discount (Negative)","")&amp;IF(P341&gt;0.5,"; Invalid Discount (Too High)","")&amp;IF(Z341&lt;0,"; Invalid Shipping Record (Ship Before Order)","")&amp;IF(ABS(Q341-W341)&gt;1,"; Sales Mismatch","")&amp;IF(ABS(S341-X341)&gt;1,"; Profit Mismatch","")&amp;IF(COUNTIF($A$2:$A$913,A341)&gt;1,"; Duplicate Order ID Conflict",""),2)="; ",MID(AC341&amp;IF(B341="","; Missing Order Date","")&amp;IF(C341="","; Missing Ship Date","")&amp;IF(P341&lt;0,"; Invalid Discount (Negative)","")&amp;IF(P341&gt;0.5,"; Invalid Discount (Too High)","")&amp;IF(Z341&lt;0,"; Invalid Shipping Record (Ship Before Order)","")&amp;IF(ABS(Q341-W341)&gt;1,"; Sales Mismatch","")&amp;IF(ABS(S341-X341)&gt;1,"; Profit Mismatch","")&amp;IF(COUNTIF($A$2:$A$913,A341)&gt;1,"; Duplicate Order ID Conflict",""),3,500),AC341&amp;IF(B341="","; Missing Order Date","")&amp;IF(C341="","; Missing Ship Date","")&amp;IF(P341&lt;0,"; Invalid Discount (Negative)","")&amp;IF(P341&gt;0.5,"; Invalid Discount (Too High)","")&amp;IF(Z341&lt;0,"; Invalid Shipping Record (Ship Before Order)","")&amp;IF(ABS(Q341-W341)&gt;1,"; Sales Mismatch","")&amp;IF(ABS(S341-X341)&gt;1,"; Profit Mismatch","")&amp;IF(COUNTIF($A$2:$A$913,A341)&gt;1,"; Duplicate Order ID Conflict",""))</f>
        <v/>
      </c>
      <c r="AE341" s="10" t="str">
        <f aca="false">IF(OR(ISNUMBER(SEARCH("Invalid Discount",AD341)),ISNUMBER(SEARCH("Invalid Shipping Record",AD341)),ISNUMBER(SEARCH("Sales Mismatch",AD341)),ISNUMBER(SEARCH("Profit Mismatch",AD341)),ISNUMBER(SEARCH("Duplicate Order ID Conflict",AD341)),ISNUMBER(SEARCH("Missing Order Date",AD341)),ISNUMBER(SEARCH("Missing Ship Date",AD341))),"Invalid",IF(AD341&lt;&gt;"","Warning","Clean"))</f>
        <v>Clean</v>
      </c>
    </row>
    <row r="342" customFormat="false" ht="15" hidden="false" customHeight="true" outlineLevel="0" collapsed="false">
      <c r="A342" s="3" t="s">
        <v>1046</v>
      </c>
      <c r="B342" s="4" t="n">
        <v>45312</v>
      </c>
      <c r="C342" s="4" t="n">
        <v>45320</v>
      </c>
      <c r="D342" s="3" t="s">
        <v>1047</v>
      </c>
      <c r="E342" s="3" t="str">
        <f aca="false">PROPER(TRIM(SUBSTITUTE(Raw_Text_Fields!B343,CHAR(160)," ")))</f>
        <v>Neha Gupta</v>
      </c>
      <c r="F342" s="3" t="str">
        <f aca="false">PROPER(TRIM(SUBSTITUTE(Raw_Text_Fields!C343,CHAR(160)," ")))</f>
        <v>Consumer</v>
      </c>
      <c r="G342" s="3" t="str">
        <f aca="false">PROPER(TRIM(SUBSTITUTE(Raw_Text_Fields!D343,CHAR(160)," ")))</f>
        <v>South</v>
      </c>
      <c r="H342" s="3" t="str">
        <f aca="false">PROPER(TRIM(SUBSTITUTE(Raw_Text_Fields!E343,CHAR(160)," ")))</f>
        <v>Karnataka</v>
      </c>
      <c r="I342" s="3" t="str">
        <f aca="false">PROPER(TRIM(SUBSTITUTE(Raw_Text_Fields!F343,CHAR(160)," ")))</f>
        <v>Bengaluru</v>
      </c>
      <c r="J342" s="3" t="str">
        <f aca="false">PROPER(TRIM(SUBSTITUTE(Raw_Text_Fields!G343,CHAR(160)," ")))</f>
        <v>Office Supplies</v>
      </c>
      <c r="K342" s="3" t="str">
        <f aca="false">PROPER(TRIM(SUBSTITUTE(Raw_Text_Fields!H343,CHAR(160)," ")))</f>
        <v>Binders</v>
      </c>
      <c r="L342" s="3" t="s">
        <v>1048</v>
      </c>
      <c r="M342" s="3" t="str">
        <f aca="false">PROPER(TRIM(SUBSTITUTE(Raw_Text_Fields!I343,CHAR(160)," ")))</f>
        <v>Standard Class</v>
      </c>
      <c r="N342" s="3" t="n">
        <v>5</v>
      </c>
      <c r="O342" s="5" t="n">
        <v>4058.08</v>
      </c>
      <c r="P342" s="6" t="n">
        <v>0.1</v>
      </c>
      <c r="Q342" s="5" t="n">
        <v>18261.36</v>
      </c>
      <c r="R342" s="5" t="n">
        <v>11399.94</v>
      </c>
      <c r="S342" s="5" t="n">
        <v>6861.42</v>
      </c>
      <c r="T342" s="3" t="str">
        <f aca="false">PROPER(TRIM(SUBSTITUTE(Raw_Text_Fields!J343,CHAR(160)," ")))</f>
        <v>Paid</v>
      </c>
      <c r="U342" s="3" t="str">
        <f aca="false">PROPER(TRIM(SUBSTITUTE(Raw_Text_Fields!K343,CHAR(160)," ")))</f>
        <v>Completed</v>
      </c>
      <c r="V342" s="7" t="n">
        <f aca="false">IF(OR(P342&lt;0,P342&gt;0.5),0,P342)</f>
        <v>0.1</v>
      </c>
      <c r="W342" s="8" t="n">
        <f aca="false">N342*O342*(1-V342)</f>
        <v>18261.36</v>
      </c>
      <c r="X342" s="8" t="n">
        <f aca="false">W342-R342</f>
        <v>6861.42</v>
      </c>
      <c r="Y342" s="7" t="n">
        <f aca="false">IFERROR(X342/W342,0)</f>
        <v>0.375734337420652</v>
      </c>
      <c r="Z342" s="9" t="n">
        <f aca="false">C342-B342</f>
        <v>8</v>
      </c>
      <c r="AA342" s="1" t="str">
        <f aca="false">IF(B342="","",TEXT(B342,"mmm"))</f>
        <v>Jan</v>
      </c>
      <c r="AB342" s="9" t="n">
        <f aca="false">IF(B342="","",YEAR(B342))</f>
        <v>2024</v>
      </c>
      <c r="AC342" s="3"/>
      <c r="AD342" s="3" t="str">
        <f aca="false">IF(LEFT(AC342&amp;IF(B342="","; Missing Order Date","")&amp;IF(C342="","; Missing Ship Date","")&amp;IF(P342&lt;0,"; Invalid Discount (Negative)","")&amp;IF(P342&gt;0.5,"; Invalid Discount (Too High)","")&amp;IF(Z342&lt;0,"; Invalid Shipping Record (Ship Before Order)","")&amp;IF(ABS(Q342-W342)&gt;1,"; Sales Mismatch","")&amp;IF(ABS(S342-X342)&gt;1,"; Profit Mismatch","")&amp;IF(COUNTIF($A$2:$A$913,A342)&gt;1,"; Duplicate Order ID Conflict",""),2)="; ",MID(AC342&amp;IF(B342="","; Missing Order Date","")&amp;IF(C342="","; Missing Ship Date","")&amp;IF(P342&lt;0,"; Invalid Discount (Negative)","")&amp;IF(P342&gt;0.5,"; Invalid Discount (Too High)","")&amp;IF(Z342&lt;0,"; Invalid Shipping Record (Ship Before Order)","")&amp;IF(ABS(Q342-W342)&gt;1,"; Sales Mismatch","")&amp;IF(ABS(S342-X342)&gt;1,"; Profit Mismatch","")&amp;IF(COUNTIF($A$2:$A$913,A342)&gt;1,"; Duplicate Order ID Conflict",""),3,500),AC342&amp;IF(B342="","; Missing Order Date","")&amp;IF(C342="","; Missing Ship Date","")&amp;IF(P342&lt;0,"; Invalid Discount (Negative)","")&amp;IF(P342&gt;0.5,"; Invalid Discount (Too High)","")&amp;IF(Z342&lt;0,"; Invalid Shipping Record (Ship Before Order)","")&amp;IF(ABS(Q342-W342)&gt;1,"; Sales Mismatch","")&amp;IF(ABS(S342-X342)&gt;1,"; Profit Mismatch","")&amp;IF(COUNTIF($A$2:$A$913,A342)&gt;1,"; Duplicate Order ID Conflict",""))</f>
        <v/>
      </c>
      <c r="AE342" s="10" t="str">
        <f aca="false">IF(OR(ISNUMBER(SEARCH("Invalid Discount",AD342)),ISNUMBER(SEARCH("Invalid Shipping Record",AD342)),ISNUMBER(SEARCH("Sales Mismatch",AD342)),ISNUMBER(SEARCH("Profit Mismatch",AD342)),ISNUMBER(SEARCH("Duplicate Order ID Conflict",AD342)),ISNUMBER(SEARCH("Missing Order Date",AD342)),ISNUMBER(SEARCH("Missing Ship Date",AD342))),"Invalid",IF(AD342&lt;&gt;"","Warning","Clean"))</f>
        <v>Clean</v>
      </c>
    </row>
    <row r="343" customFormat="false" ht="15" hidden="false" customHeight="true" outlineLevel="0" collapsed="false">
      <c r="A343" s="3" t="s">
        <v>1049</v>
      </c>
      <c r="B343" s="4" t="n">
        <v>45908</v>
      </c>
      <c r="C343" s="4" t="n">
        <v>45909</v>
      </c>
      <c r="D343" s="3" t="s">
        <v>1050</v>
      </c>
      <c r="E343" s="3" t="str">
        <f aca="false">PROPER(TRIM(SUBSTITUTE(Raw_Text_Fields!B344,CHAR(160)," ")))</f>
        <v>Rohan Mehta</v>
      </c>
      <c r="F343" s="3" t="str">
        <f aca="false">PROPER(TRIM(SUBSTITUTE(Raw_Text_Fields!C344,CHAR(160)," ")))</f>
        <v>Home Office</v>
      </c>
      <c r="G343" s="3" t="str">
        <f aca="false">PROPER(TRIM(SUBSTITUTE(Raw_Text_Fields!D344,CHAR(160)," ")))</f>
        <v>West</v>
      </c>
      <c r="H343" s="3" t="str">
        <f aca="false">PROPER(TRIM(SUBSTITUTE(Raw_Text_Fields!E344,CHAR(160)," ")))</f>
        <v>Gujarat</v>
      </c>
      <c r="I343" s="3" t="str">
        <f aca="false">PROPER(TRIM(SUBSTITUTE(Raw_Text_Fields!F344,CHAR(160)," ")))</f>
        <v>Ahmedabad</v>
      </c>
      <c r="J343" s="3" t="str">
        <f aca="false">PROPER(TRIM(SUBSTITUTE(Raw_Text_Fields!G344,CHAR(160)," ")))</f>
        <v>Furniture</v>
      </c>
      <c r="K343" s="3" t="str">
        <f aca="false">PROPER(TRIM(SUBSTITUTE(Raw_Text_Fields!H344,CHAR(160)," ")))</f>
        <v>Chairs</v>
      </c>
      <c r="L343" s="3" t="s">
        <v>1051</v>
      </c>
      <c r="M343" s="3" t="str">
        <f aca="false">PROPER(TRIM(SUBSTITUTE(Raw_Text_Fields!I344,CHAR(160)," ")))</f>
        <v>Second Class</v>
      </c>
      <c r="N343" s="3" t="n">
        <v>2</v>
      </c>
      <c r="O343" s="5" t="n">
        <v>3960.33</v>
      </c>
      <c r="P343" s="6" t="n">
        <v>0.05</v>
      </c>
      <c r="Q343" s="5" t="n">
        <v>7524.63</v>
      </c>
      <c r="R343" s="5" t="n">
        <v>6229.6</v>
      </c>
      <c r="S343" s="5" t="n">
        <v>1295.03</v>
      </c>
      <c r="T343" s="3" t="str">
        <f aca="false">PROPER(TRIM(SUBSTITUTE(Raw_Text_Fields!J344,CHAR(160)," ")))</f>
        <v>Paid</v>
      </c>
      <c r="U343" s="3" t="str">
        <f aca="false">PROPER(TRIM(SUBSTITUTE(Raw_Text_Fields!K344,CHAR(160)," ")))</f>
        <v>Completed</v>
      </c>
      <c r="V343" s="7" t="n">
        <f aca="false">IF(OR(P343&lt;0,P343&gt;0.5),0,P343)</f>
        <v>0.05</v>
      </c>
      <c r="W343" s="8" t="n">
        <f aca="false">N343*O343*(1-V343)</f>
        <v>7524.627</v>
      </c>
      <c r="X343" s="8" t="n">
        <f aca="false">W343-R343</f>
        <v>1295.027</v>
      </c>
      <c r="Y343" s="7" t="n">
        <f aca="false">IFERROR(X343/W343,0)</f>
        <v>0.172105142221668</v>
      </c>
      <c r="Z343" s="9" t="n">
        <f aca="false">C343-B343</f>
        <v>1</v>
      </c>
      <c r="AA343" s="1" t="str">
        <f aca="false">IF(B343="","",TEXT(B343,"mmm"))</f>
        <v>Sep</v>
      </c>
      <c r="AB343" s="9" t="n">
        <f aca="false">IF(B343="","",YEAR(B343))</f>
        <v>2025</v>
      </c>
      <c r="AC343" s="3"/>
      <c r="AD343" s="3" t="str">
        <f aca="false">IF(LEFT(AC343&amp;IF(B343="","; Missing Order Date","")&amp;IF(C343="","; Missing Ship Date","")&amp;IF(P343&lt;0,"; Invalid Discount (Negative)","")&amp;IF(P343&gt;0.5,"; Invalid Discount (Too High)","")&amp;IF(Z343&lt;0,"; Invalid Shipping Record (Ship Before Order)","")&amp;IF(ABS(Q343-W343)&gt;1,"; Sales Mismatch","")&amp;IF(ABS(S343-X343)&gt;1,"; Profit Mismatch","")&amp;IF(COUNTIF($A$2:$A$913,A343)&gt;1,"; Duplicate Order ID Conflict",""),2)="; ",MID(AC343&amp;IF(B343="","; Missing Order Date","")&amp;IF(C343="","; Missing Ship Date","")&amp;IF(P343&lt;0,"; Invalid Discount (Negative)","")&amp;IF(P343&gt;0.5,"; Invalid Discount (Too High)","")&amp;IF(Z343&lt;0,"; Invalid Shipping Record (Ship Before Order)","")&amp;IF(ABS(Q343-W343)&gt;1,"; Sales Mismatch","")&amp;IF(ABS(S343-X343)&gt;1,"; Profit Mismatch","")&amp;IF(COUNTIF($A$2:$A$913,A343)&gt;1,"; Duplicate Order ID Conflict",""),3,500),AC343&amp;IF(B343="","; Missing Order Date","")&amp;IF(C343="","; Missing Ship Date","")&amp;IF(P343&lt;0,"; Invalid Discount (Negative)","")&amp;IF(P343&gt;0.5,"; Invalid Discount (Too High)","")&amp;IF(Z343&lt;0,"; Invalid Shipping Record (Ship Before Order)","")&amp;IF(ABS(Q343-W343)&gt;1,"; Sales Mismatch","")&amp;IF(ABS(S343-X343)&gt;1,"; Profit Mismatch","")&amp;IF(COUNTIF($A$2:$A$913,A343)&gt;1,"; Duplicate Order ID Conflict",""))</f>
        <v/>
      </c>
      <c r="AE343" s="10" t="str">
        <f aca="false">IF(OR(ISNUMBER(SEARCH("Invalid Discount",AD343)),ISNUMBER(SEARCH("Invalid Shipping Record",AD343)),ISNUMBER(SEARCH("Sales Mismatch",AD343)),ISNUMBER(SEARCH("Profit Mismatch",AD343)),ISNUMBER(SEARCH("Duplicate Order ID Conflict",AD343)),ISNUMBER(SEARCH("Missing Order Date",AD343)),ISNUMBER(SEARCH("Missing Ship Date",AD343))),"Invalid",IF(AD343&lt;&gt;"","Warning","Clean"))</f>
        <v>Clean</v>
      </c>
    </row>
    <row r="344" customFormat="false" ht="15" hidden="false" customHeight="true" outlineLevel="0" collapsed="false">
      <c r="A344" s="3" t="s">
        <v>1052</v>
      </c>
      <c r="B344" s="4" t="n">
        <v>45862</v>
      </c>
      <c r="C344" s="4" t="n">
        <v>45870</v>
      </c>
      <c r="D344" s="3" t="s">
        <v>1053</v>
      </c>
      <c r="E344" s="3" t="str">
        <f aca="false">PROPER(TRIM(SUBSTITUTE(Raw_Text_Fields!B345,CHAR(160)," ")))</f>
        <v>Kabir Singh</v>
      </c>
      <c r="F344" s="3" t="str">
        <f aca="false">PROPER(TRIM(SUBSTITUTE(Raw_Text_Fields!C345,CHAR(160)," ")))</f>
        <v>Small Business</v>
      </c>
      <c r="G344" s="3" t="str">
        <f aca="false">PROPER(TRIM(SUBSTITUTE(Raw_Text_Fields!D345,CHAR(160)," ")))</f>
        <v>East</v>
      </c>
      <c r="H344" s="3" t="str">
        <f aca="false">PROPER(TRIM(SUBSTITUTE(Raw_Text_Fields!E345,CHAR(160)," ")))</f>
        <v>Jharkhand</v>
      </c>
      <c r="I344" s="3" t="str">
        <f aca="false">PROPER(TRIM(SUBSTITUTE(Raw_Text_Fields!F345,CHAR(160)," ")))</f>
        <v>Ranchi</v>
      </c>
      <c r="J344" s="3" t="str">
        <f aca="false">PROPER(TRIM(SUBSTITUTE(Raw_Text_Fields!G345,CHAR(160)," ")))</f>
        <v>Office Supplies</v>
      </c>
      <c r="K344" s="3" t="str">
        <f aca="false">PROPER(TRIM(SUBSTITUTE(Raw_Text_Fields!H345,CHAR(160)," ")))</f>
        <v>Binders</v>
      </c>
      <c r="L344" s="3" t="s">
        <v>1054</v>
      </c>
      <c r="M344" s="3" t="str">
        <f aca="false">PROPER(TRIM(SUBSTITUTE(Raw_Text_Fields!I345,CHAR(160)," ")))</f>
        <v>First Class</v>
      </c>
      <c r="N344" s="3" t="n">
        <v>8</v>
      </c>
      <c r="O344" s="5" t="n">
        <v>1528.92</v>
      </c>
      <c r="P344" s="6" t="n">
        <v>0</v>
      </c>
      <c r="Q344" s="5" t="n">
        <v>12231.36</v>
      </c>
      <c r="R344" s="5" t="n">
        <v>8766.9</v>
      </c>
      <c r="S344" s="5" t="n">
        <v>3464.46</v>
      </c>
      <c r="T344" s="3" t="str">
        <f aca="false">PROPER(TRIM(SUBSTITUTE(Raw_Text_Fields!J345,CHAR(160)," ")))</f>
        <v>Paid</v>
      </c>
      <c r="U344" s="3" t="str">
        <f aca="false">PROPER(TRIM(SUBSTITUTE(Raw_Text_Fields!K345,CHAR(160)," ")))</f>
        <v>Completed</v>
      </c>
      <c r="V344" s="7" t="n">
        <f aca="false">IF(OR(P344&lt;0,P344&gt;0.5),0,P344)</f>
        <v>0</v>
      </c>
      <c r="W344" s="8" t="n">
        <f aca="false">N344*O344*(1-V344)</f>
        <v>12231.36</v>
      </c>
      <c r="X344" s="8" t="n">
        <f aca="false">W344-R344</f>
        <v>3464.46</v>
      </c>
      <c r="Y344" s="7" t="n">
        <f aca="false">IFERROR(X344/W344,0)</f>
        <v>0.283244054626795</v>
      </c>
      <c r="Z344" s="9" t="n">
        <f aca="false">C344-B344</f>
        <v>8</v>
      </c>
      <c r="AA344" s="1" t="str">
        <f aca="false">IF(B344="","",TEXT(B344,"mmm"))</f>
        <v>Jul</v>
      </c>
      <c r="AB344" s="9" t="n">
        <f aca="false">IF(B344="","",YEAR(B344))</f>
        <v>2025</v>
      </c>
      <c r="AC344" s="3"/>
      <c r="AD344" s="3" t="str">
        <f aca="false">IF(LEFT(AC344&amp;IF(B344="","; Missing Order Date","")&amp;IF(C344="","; Missing Ship Date","")&amp;IF(P344&lt;0,"; Invalid Discount (Negative)","")&amp;IF(P344&gt;0.5,"; Invalid Discount (Too High)","")&amp;IF(Z344&lt;0,"; Invalid Shipping Record (Ship Before Order)","")&amp;IF(ABS(Q344-W344)&gt;1,"; Sales Mismatch","")&amp;IF(ABS(S344-X344)&gt;1,"; Profit Mismatch","")&amp;IF(COUNTIF($A$2:$A$913,A344)&gt;1,"; Duplicate Order ID Conflict",""),2)="; ",MID(AC344&amp;IF(B344="","; Missing Order Date","")&amp;IF(C344="","; Missing Ship Date","")&amp;IF(P344&lt;0,"; Invalid Discount (Negative)","")&amp;IF(P344&gt;0.5,"; Invalid Discount (Too High)","")&amp;IF(Z344&lt;0,"; Invalid Shipping Record (Ship Before Order)","")&amp;IF(ABS(Q344-W344)&gt;1,"; Sales Mismatch","")&amp;IF(ABS(S344-X344)&gt;1,"; Profit Mismatch","")&amp;IF(COUNTIF($A$2:$A$913,A344)&gt;1,"; Duplicate Order ID Conflict",""),3,500),AC344&amp;IF(B344="","; Missing Order Date","")&amp;IF(C344="","; Missing Ship Date","")&amp;IF(P344&lt;0,"; Invalid Discount (Negative)","")&amp;IF(P344&gt;0.5,"; Invalid Discount (Too High)","")&amp;IF(Z344&lt;0,"; Invalid Shipping Record (Ship Before Order)","")&amp;IF(ABS(Q344-W344)&gt;1,"; Sales Mismatch","")&amp;IF(ABS(S344-X344)&gt;1,"; Profit Mismatch","")&amp;IF(COUNTIF($A$2:$A$913,A344)&gt;1,"; Duplicate Order ID Conflict",""))</f>
        <v/>
      </c>
      <c r="AE344" s="10" t="str">
        <f aca="false">IF(OR(ISNUMBER(SEARCH("Invalid Discount",AD344)),ISNUMBER(SEARCH("Invalid Shipping Record",AD344)),ISNUMBER(SEARCH("Sales Mismatch",AD344)),ISNUMBER(SEARCH("Profit Mismatch",AD344)),ISNUMBER(SEARCH("Duplicate Order ID Conflict",AD344)),ISNUMBER(SEARCH("Missing Order Date",AD344)),ISNUMBER(SEARCH("Missing Ship Date",AD344))),"Invalid",IF(AD344&lt;&gt;"","Warning","Clean"))</f>
        <v>Clean</v>
      </c>
    </row>
    <row r="345" customFormat="false" ht="15" hidden="false" customHeight="true" outlineLevel="0" collapsed="false">
      <c r="A345" s="3" t="s">
        <v>1055</v>
      </c>
      <c r="B345" s="4" t="n">
        <v>45933</v>
      </c>
      <c r="C345" s="4" t="n">
        <v>45938</v>
      </c>
      <c r="D345" s="3" t="s">
        <v>1056</v>
      </c>
      <c r="E345" s="3" t="str">
        <f aca="false">PROPER(TRIM(SUBSTITUTE(Raw_Text_Fields!B346,CHAR(160)," ")))</f>
        <v>Aarav Sharma</v>
      </c>
      <c r="F345" s="3" t="str">
        <f aca="false">PROPER(TRIM(SUBSTITUTE(Raw_Text_Fields!C346,CHAR(160)," ")))</f>
        <v>Corporate</v>
      </c>
      <c r="G345" s="3" t="str">
        <f aca="false">PROPER(TRIM(SUBSTITUTE(Raw_Text_Fields!D346,CHAR(160)," ")))</f>
        <v>West</v>
      </c>
      <c r="H345" s="3" t="str">
        <f aca="false">PROPER(TRIM(SUBSTITUTE(Raw_Text_Fields!E346,CHAR(160)," ")))</f>
        <v>Madhya Pradesh</v>
      </c>
      <c r="I345" s="3" t="str">
        <f aca="false">PROPER(TRIM(SUBSTITUTE(Raw_Text_Fields!F346,CHAR(160)," ")))</f>
        <v>Indore</v>
      </c>
      <c r="J345" s="3" t="str">
        <f aca="false">PROPER(TRIM(SUBSTITUTE(Raw_Text_Fields!G346,CHAR(160)," ")))</f>
        <v>Technology</v>
      </c>
      <c r="K345" s="3" t="str">
        <f aca="false">PROPER(TRIM(SUBSTITUTE(Raw_Text_Fields!H346,CHAR(160)," ")))</f>
        <v>Machines</v>
      </c>
      <c r="L345" s="3" t="s">
        <v>1057</v>
      </c>
      <c r="M345" s="3" t="str">
        <f aca="false">PROPER(TRIM(SUBSTITUTE(Raw_Text_Fields!I346,CHAR(160)," ")))</f>
        <v>Same Day</v>
      </c>
      <c r="N345" s="3" t="n">
        <v>9</v>
      </c>
      <c r="O345" s="5" t="n">
        <v>3837</v>
      </c>
      <c r="P345" s="6" t="n">
        <v>0.1</v>
      </c>
      <c r="Q345" s="5" t="n">
        <v>31079.7</v>
      </c>
      <c r="R345" s="5" t="n">
        <v>17758.25</v>
      </c>
      <c r="S345" s="5" t="n">
        <v>13321.45</v>
      </c>
      <c r="T345" s="3" t="str">
        <f aca="false">PROPER(TRIM(SUBSTITUTE(Raw_Text_Fields!J346,CHAR(160)," ")))</f>
        <v>Paid</v>
      </c>
      <c r="U345" s="3" t="str">
        <f aca="false">PROPER(TRIM(SUBSTITUTE(Raw_Text_Fields!K346,CHAR(160)," ")))</f>
        <v>Completed</v>
      </c>
      <c r="V345" s="7" t="n">
        <f aca="false">IF(OR(P345&lt;0,P345&gt;0.5),0,P345)</f>
        <v>0.1</v>
      </c>
      <c r="W345" s="8" t="n">
        <f aca="false">N345*O345*(1-V345)</f>
        <v>31079.7</v>
      </c>
      <c r="X345" s="8" t="n">
        <f aca="false">W345-R345</f>
        <v>13321.45</v>
      </c>
      <c r="Y345" s="7" t="n">
        <f aca="false">IFERROR(X345/W345,0)</f>
        <v>0.428622219648195</v>
      </c>
      <c r="Z345" s="9" t="n">
        <f aca="false">C345-B345</f>
        <v>5</v>
      </c>
      <c r="AA345" s="1" t="str">
        <f aca="false">IF(B345="","",TEXT(B345,"mmm"))</f>
        <v>Oct</v>
      </c>
      <c r="AB345" s="9" t="n">
        <f aca="false">IF(B345="","",YEAR(B345))</f>
        <v>2025</v>
      </c>
      <c r="AC345" s="3"/>
      <c r="AD345" s="3" t="str">
        <f aca="false">IF(LEFT(AC345&amp;IF(B345="","; Missing Order Date","")&amp;IF(C345="","; Missing Ship Date","")&amp;IF(P345&lt;0,"; Invalid Discount (Negative)","")&amp;IF(P345&gt;0.5,"; Invalid Discount (Too High)","")&amp;IF(Z345&lt;0,"; Invalid Shipping Record (Ship Before Order)","")&amp;IF(ABS(Q345-W345)&gt;1,"; Sales Mismatch","")&amp;IF(ABS(S345-X345)&gt;1,"; Profit Mismatch","")&amp;IF(COUNTIF($A$2:$A$913,A345)&gt;1,"; Duplicate Order ID Conflict",""),2)="; ",MID(AC345&amp;IF(B345="","; Missing Order Date","")&amp;IF(C345="","; Missing Ship Date","")&amp;IF(P345&lt;0,"; Invalid Discount (Negative)","")&amp;IF(P345&gt;0.5,"; Invalid Discount (Too High)","")&amp;IF(Z345&lt;0,"; Invalid Shipping Record (Ship Before Order)","")&amp;IF(ABS(Q345-W345)&gt;1,"; Sales Mismatch","")&amp;IF(ABS(S345-X345)&gt;1,"; Profit Mismatch","")&amp;IF(COUNTIF($A$2:$A$913,A345)&gt;1,"; Duplicate Order ID Conflict",""),3,500),AC345&amp;IF(B345="","; Missing Order Date","")&amp;IF(C345="","; Missing Ship Date","")&amp;IF(P345&lt;0,"; Invalid Discount (Negative)","")&amp;IF(P345&gt;0.5,"; Invalid Discount (Too High)","")&amp;IF(Z345&lt;0,"; Invalid Shipping Record (Ship Before Order)","")&amp;IF(ABS(Q345-W345)&gt;1,"; Sales Mismatch","")&amp;IF(ABS(S345-X345)&gt;1,"; Profit Mismatch","")&amp;IF(COUNTIF($A$2:$A$913,A345)&gt;1,"; Duplicate Order ID Conflict",""))</f>
        <v/>
      </c>
      <c r="AE345" s="10" t="str">
        <f aca="false">IF(OR(ISNUMBER(SEARCH("Invalid Discount",AD345)),ISNUMBER(SEARCH("Invalid Shipping Record",AD345)),ISNUMBER(SEARCH("Sales Mismatch",AD345)),ISNUMBER(SEARCH("Profit Mismatch",AD345)),ISNUMBER(SEARCH("Duplicate Order ID Conflict",AD345)),ISNUMBER(SEARCH("Missing Order Date",AD345)),ISNUMBER(SEARCH("Missing Ship Date",AD345))),"Invalid",IF(AD345&lt;&gt;"","Warning","Clean"))</f>
        <v>Clean</v>
      </c>
    </row>
    <row r="346" customFormat="false" ht="15" hidden="false" customHeight="true" outlineLevel="0" collapsed="false">
      <c r="A346" s="3" t="s">
        <v>1058</v>
      </c>
      <c r="B346" s="4" t="n">
        <v>45362</v>
      </c>
      <c r="C346" s="4" t="n">
        <v>45362</v>
      </c>
      <c r="D346" s="3" t="s">
        <v>1059</v>
      </c>
      <c r="E346" s="3" t="str">
        <f aca="false">PROPER(TRIM(SUBSTITUTE(Raw_Text_Fields!B347,CHAR(160)," ")))</f>
        <v>Priya Menon</v>
      </c>
      <c r="F346" s="3" t="str">
        <f aca="false">PROPER(TRIM(SUBSTITUTE(Raw_Text_Fields!C347,CHAR(160)," ")))</f>
        <v>Consumer</v>
      </c>
      <c r="G346" s="3" t="str">
        <f aca="false">PROPER(TRIM(SUBSTITUTE(Raw_Text_Fields!D347,CHAR(160)," ")))</f>
        <v>North</v>
      </c>
      <c r="H346" s="3" t="str">
        <f aca="false">PROPER(TRIM(SUBSTITUTE(Raw_Text_Fields!E347,CHAR(160)," ")))</f>
        <v>Punjab</v>
      </c>
      <c r="I346" s="3" t="str">
        <f aca="false">PROPER(TRIM(SUBSTITUTE(Raw_Text_Fields!F347,CHAR(160)," ")))</f>
        <v>Ludhiana</v>
      </c>
      <c r="J346" s="3" t="str">
        <f aca="false">PROPER(TRIM(SUBSTITUTE(Raw_Text_Fields!G347,CHAR(160)," ")))</f>
        <v>Furniture</v>
      </c>
      <c r="K346" s="3" t="str">
        <f aca="false">PROPER(TRIM(SUBSTITUTE(Raw_Text_Fields!H347,CHAR(160)," ")))</f>
        <v>Bookcases</v>
      </c>
      <c r="L346" s="3" t="s">
        <v>1060</v>
      </c>
      <c r="M346" s="3" t="str">
        <f aca="false">PROPER(TRIM(SUBSTITUTE(Raw_Text_Fields!I347,CHAR(160)," ")))</f>
        <v>Same Day</v>
      </c>
      <c r="N346" s="3" t="n">
        <v>9</v>
      </c>
      <c r="O346" s="5" t="n">
        <v>3456.38</v>
      </c>
      <c r="P346" s="6" t="n">
        <v>0</v>
      </c>
      <c r="Q346" s="5" t="n">
        <v>31107.42</v>
      </c>
      <c r="R346" s="5" t="n">
        <v>20146.66</v>
      </c>
      <c r="S346" s="5" t="n">
        <v>10960.76</v>
      </c>
      <c r="T346" s="3" t="str">
        <f aca="false">PROPER(TRIM(SUBSTITUTE(Raw_Text_Fields!J347,CHAR(160)," ")))</f>
        <v>Pending</v>
      </c>
      <c r="U346" s="3" t="str">
        <f aca="false">PROPER(TRIM(SUBSTITUTE(Raw_Text_Fields!K347,CHAR(160)," ")))</f>
        <v>Returned</v>
      </c>
      <c r="V346" s="7" t="n">
        <f aca="false">IF(OR(P346&lt;0,P346&gt;0.5),0,P346)</f>
        <v>0</v>
      </c>
      <c r="W346" s="8" t="n">
        <f aca="false">N346*O346*(1-V346)</f>
        <v>31107.42</v>
      </c>
      <c r="X346" s="8" t="n">
        <f aca="false">W346-R346</f>
        <v>10960.76</v>
      </c>
      <c r="Y346" s="7" t="n">
        <f aca="false">IFERROR(X346/W346,0)</f>
        <v>0.352351946898843</v>
      </c>
      <c r="Z346" s="9" t="n">
        <f aca="false">C346-B346</f>
        <v>0</v>
      </c>
      <c r="AA346" s="1" t="str">
        <f aca="false">IF(B346="","",TEXT(B346,"mmm"))</f>
        <v>Mar</v>
      </c>
      <c r="AB346" s="9" t="n">
        <f aca="false">IF(B346="","",YEAR(B346))</f>
        <v>2024</v>
      </c>
      <c r="AC346" s="3"/>
      <c r="AD346" s="3" t="str">
        <f aca="false">IF(LEFT(AC346&amp;IF(B346="","; Missing Order Date","")&amp;IF(C346="","; Missing Ship Date","")&amp;IF(P346&lt;0,"; Invalid Discount (Negative)","")&amp;IF(P346&gt;0.5,"; Invalid Discount (Too High)","")&amp;IF(Z346&lt;0,"; Invalid Shipping Record (Ship Before Order)","")&amp;IF(ABS(Q346-W346)&gt;1,"; Sales Mismatch","")&amp;IF(ABS(S346-X346)&gt;1,"; Profit Mismatch","")&amp;IF(COUNTIF($A$2:$A$913,A346)&gt;1,"; Duplicate Order ID Conflict",""),2)="; ",MID(AC346&amp;IF(B346="","; Missing Order Date","")&amp;IF(C346="","; Missing Ship Date","")&amp;IF(P346&lt;0,"; Invalid Discount (Negative)","")&amp;IF(P346&gt;0.5,"; Invalid Discount (Too High)","")&amp;IF(Z346&lt;0,"; Invalid Shipping Record (Ship Before Order)","")&amp;IF(ABS(Q346-W346)&gt;1,"; Sales Mismatch","")&amp;IF(ABS(S346-X346)&gt;1,"; Profit Mismatch","")&amp;IF(COUNTIF($A$2:$A$913,A346)&gt;1,"; Duplicate Order ID Conflict",""),3,500),AC346&amp;IF(B346="","; Missing Order Date","")&amp;IF(C346="","; Missing Ship Date","")&amp;IF(P346&lt;0,"; Invalid Discount (Negative)","")&amp;IF(P346&gt;0.5,"; Invalid Discount (Too High)","")&amp;IF(Z346&lt;0,"; Invalid Shipping Record (Ship Before Order)","")&amp;IF(ABS(Q346-W346)&gt;1,"; Sales Mismatch","")&amp;IF(ABS(S346-X346)&gt;1,"; Profit Mismatch","")&amp;IF(COUNTIF($A$2:$A$913,A346)&gt;1,"; Duplicate Order ID Conflict",""))</f>
        <v/>
      </c>
      <c r="AE346" s="10" t="str">
        <f aca="false">IF(OR(ISNUMBER(SEARCH("Invalid Discount",AD346)),ISNUMBER(SEARCH("Invalid Shipping Record",AD346)),ISNUMBER(SEARCH("Sales Mismatch",AD346)),ISNUMBER(SEARCH("Profit Mismatch",AD346)),ISNUMBER(SEARCH("Duplicate Order ID Conflict",AD346)),ISNUMBER(SEARCH("Missing Order Date",AD346)),ISNUMBER(SEARCH("Missing Ship Date",AD346))),"Invalid",IF(AD346&lt;&gt;"","Warning","Clean"))</f>
        <v>Clean</v>
      </c>
    </row>
    <row r="347" customFormat="false" ht="15" hidden="false" customHeight="true" outlineLevel="0" collapsed="false">
      <c r="A347" s="3" t="s">
        <v>1061</v>
      </c>
      <c r="B347" s="4" t="n">
        <v>45549</v>
      </c>
      <c r="C347" s="4" t="n">
        <v>45557</v>
      </c>
      <c r="D347" s="3" t="s">
        <v>1062</v>
      </c>
      <c r="E347" s="3" t="str">
        <f aca="false">PROPER(TRIM(SUBSTITUTE(Raw_Text_Fields!B348,CHAR(160)," ")))</f>
        <v>Karan Malhotra</v>
      </c>
      <c r="F347" s="3" t="str">
        <f aca="false">PROPER(TRIM(SUBSTITUTE(Raw_Text_Fields!C348,CHAR(160)," ")))</f>
        <v>Consumer</v>
      </c>
      <c r="G347" s="3" t="str">
        <f aca="false">PROPER(TRIM(SUBSTITUTE(Raw_Text_Fields!D348,CHAR(160)," ")))</f>
        <v>West</v>
      </c>
      <c r="H347" s="3" t="str">
        <f aca="false">PROPER(TRIM(SUBSTITUTE(Raw_Text_Fields!E348,CHAR(160)," ")))</f>
        <v>Madhya Pradesh</v>
      </c>
      <c r="I347" s="3" t="str">
        <f aca="false">PROPER(TRIM(SUBSTITUTE(Raw_Text_Fields!F348,CHAR(160)," ")))</f>
        <v>Indore</v>
      </c>
      <c r="J347" s="3" t="str">
        <f aca="false">PROPER(TRIM(SUBSTITUTE(Raw_Text_Fields!G348,CHAR(160)," ")))</f>
        <v>Furniture</v>
      </c>
      <c r="K347" s="3" t="str">
        <f aca="false">PROPER(TRIM(SUBSTITUTE(Raw_Text_Fields!H348,CHAR(160)," ")))</f>
        <v>Furnishings</v>
      </c>
      <c r="L347" s="3" t="s">
        <v>1063</v>
      </c>
      <c r="M347" s="3" t="str">
        <f aca="false">PROPER(TRIM(SUBSTITUTE(Raw_Text_Fields!I348,CHAR(160)," ")))</f>
        <v>Second Class</v>
      </c>
      <c r="N347" s="3" t="n">
        <v>2</v>
      </c>
      <c r="O347" s="5" t="n">
        <v>2765.3</v>
      </c>
      <c r="P347" s="6" t="n">
        <v>0</v>
      </c>
      <c r="Q347" s="5" t="n">
        <v>5530.6</v>
      </c>
      <c r="R347" s="5" t="n">
        <v>4453.11</v>
      </c>
      <c r="S347" s="5" t="n">
        <v>1077.49</v>
      </c>
      <c r="T347" s="3" t="str">
        <f aca="false">PROPER(TRIM(SUBSTITUTE(Raw_Text_Fields!J348,CHAR(160)," ")))</f>
        <v>Paid</v>
      </c>
      <c r="U347" s="3" t="str">
        <f aca="false">PROPER(TRIM(SUBSTITUTE(Raw_Text_Fields!K348,CHAR(160)," ")))</f>
        <v>Completed</v>
      </c>
      <c r="V347" s="7" t="n">
        <f aca="false">IF(OR(P347&lt;0,P347&gt;0.5),0,P347)</f>
        <v>0</v>
      </c>
      <c r="W347" s="8" t="n">
        <f aca="false">N347*O347*(1-V347)</f>
        <v>5530.6</v>
      </c>
      <c r="X347" s="8" t="n">
        <f aca="false">W347-R347</f>
        <v>1077.49</v>
      </c>
      <c r="Y347" s="7" t="n">
        <f aca="false">IFERROR(X347/W347,0)</f>
        <v>0.194823346472354</v>
      </c>
      <c r="Z347" s="9" t="n">
        <f aca="false">C347-B347</f>
        <v>8</v>
      </c>
      <c r="AA347" s="1" t="str">
        <f aca="false">IF(B347="","",TEXT(B347,"mmm"))</f>
        <v>Sep</v>
      </c>
      <c r="AB347" s="9" t="n">
        <f aca="false">IF(B347="","",YEAR(B347))</f>
        <v>2024</v>
      </c>
      <c r="AC347" s="3"/>
      <c r="AD347" s="3" t="str">
        <f aca="false">IF(LEFT(AC347&amp;IF(B347="","; Missing Order Date","")&amp;IF(C347="","; Missing Ship Date","")&amp;IF(P347&lt;0,"; Invalid Discount (Negative)","")&amp;IF(P347&gt;0.5,"; Invalid Discount (Too High)","")&amp;IF(Z347&lt;0,"; Invalid Shipping Record (Ship Before Order)","")&amp;IF(ABS(Q347-W347)&gt;1,"; Sales Mismatch","")&amp;IF(ABS(S347-X347)&gt;1,"; Profit Mismatch","")&amp;IF(COUNTIF($A$2:$A$913,A347)&gt;1,"; Duplicate Order ID Conflict",""),2)="; ",MID(AC347&amp;IF(B347="","; Missing Order Date","")&amp;IF(C347="","; Missing Ship Date","")&amp;IF(P347&lt;0,"; Invalid Discount (Negative)","")&amp;IF(P347&gt;0.5,"; Invalid Discount (Too High)","")&amp;IF(Z347&lt;0,"; Invalid Shipping Record (Ship Before Order)","")&amp;IF(ABS(Q347-W347)&gt;1,"; Sales Mismatch","")&amp;IF(ABS(S347-X347)&gt;1,"; Profit Mismatch","")&amp;IF(COUNTIF($A$2:$A$913,A347)&gt;1,"; Duplicate Order ID Conflict",""),3,500),AC347&amp;IF(B347="","; Missing Order Date","")&amp;IF(C347="","; Missing Ship Date","")&amp;IF(P347&lt;0,"; Invalid Discount (Negative)","")&amp;IF(P347&gt;0.5,"; Invalid Discount (Too High)","")&amp;IF(Z347&lt;0,"; Invalid Shipping Record (Ship Before Order)","")&amp;IF(ABS(Q347-W347)&gt;1,"; Sales Mismatch","")&amp;IF(ABS(S347-X347)&gt;1,"; Profit Mismatch","")&amp;IF(COUNTIF($A$2:$A$913,A347)&gt;1,"; Duplicate Order ID Conflict",""))</f>
        <v/>
      </c>
      <c r="AE347" s="10" t="str">
        <f aca="false">IF(OR(ISNUMBER(SEARCH("Invalid Discount",AD347)),ISNUMBER(SEARCH("Invalid Shipping Record",AD347)),ISNUMBER(SEARCH("Sales Mismatch",AD347)),ISNUMBER(SEARCH("Profit Mismatch",AD347)),ISNUMBER(SEARCH("Duplicate Order ID Conflict",AD347)),ISNUMBER(SEARCH("Missing Order Date",AD347)),ISNUMBER(SEARCH("Missing Ship Date",AD347))),"Invalid",IF(AD347&lt;&gt;"","Warning","Clean"))</f>
        <v>Clean</v>
      </c>
    </row>
    <row r="348" customFormat="false" ht="15" hidden="false" customHeight="true" outlineLevel="0" collapsed="false">
      <c r="A348" s="3" t="s">
        <v>1064</v>
      </c>
      <c r="B348" s="4" t="n">
        <v>45860</v>
      </c>
      <c r="C348" s="4" t="n">
        <v>45866</v>
      </c>
      <c r="D348" s="3" t="s">
        <v>1065</v>
      </c>
      <c r="E348" s="3" t="str">
        <f aca="false">PROPER(TRIM(SUBSTITUTE(Raw_Text_Fields!B349,CHAR(160)," ")))</f>
        <v>Rahul Verma</v>
      </c>
      <c r="F348" s="3" t="str">
        <f aca="false">PROPER(TRIM(SUBSTITUTE(Raw_Text_Fields!C349,CHAR(160)," ")))</f>
        <v>Corporate</v>
      </c>
      <c r="G348" s="3" t="str">
        <f aca="false">PROPER(TRIM(SUBSTITUTE(Raw_Text_Fields!D349,CHAR(160)," ")))</f>
        <v>South</v>
      </c>
      <c r="H348" s="3" t="str">
        <f aca="false">PROPER(TRIM(SUBSTITUTE(Raw_Text_Fields!E349,CHAR(160)," ")))</f>
        <v>Kerala</v>
      </c>
      <c r="I348" s="3" t="str">
        <f aca="false">PROPER(TRIM(SUBSTITUTE(Raw_Text_Fields!F349,CHAR(160)," ")))</f>
        <v>Kochi</v>
      </c>
      <c r="J348" s="3" t="str">
        <f aca="false">PROPER(TRIM(SUBSTITUTE(Raw_Text_Fields!G349,CHAR(160)," ")))</f>
        <v>Furniture</v>
      </c>
      <c r="K348" s="3" t="str">
        <f aca="false">PROPER(TRIM(SUBSTITUTE(Raw_Text_Fields!H349,CHAR(160)," ")))</f>
        <v>Chairs</v>
      </c>
      <c r="L348" s="3" t="s">
        <v>1066</v>
      </c>
      <c r="M348" s="3" t="str">
        <f aca="false">PROPER(TRIM(SUBSTITUTE(Raw_Text_Fields!I349,CHAR(160)," ")))</f>
        <v>Second Class</v>
      </c>
      <c r="N348" s="3" t="n">
        <v>6</v>
      </c>
      <c r="O348" s="5" t="n">
        <v>1607.46</v>
      </c>
      <c r="P348" s="6" t="n">
        <v>0.2</v>
      </c>
      <c r="Q348" s="5" t="n">
        <v>7715.81</v>
      </c>
      <c r="R348" s="5" t="n">
        <v>4258.42</v>
      </c>
      <c r="S348" s="5" t="n">
        <v>3457.39</v>
      </c>
      <c r="T348" s="3" t="str">
        <f aca="false">PROPER(TRIM(SUBSTITUTE(Raw_Text_Fields!J349,CHAR(160)," ")))</f>
        <v>Paid</v>
      </c>
      <c r="U348" s="3" t="str">
        <f aca="false">PROPER(TRIM(SUBSTITUTE(Raw_Text_Fields!K349,CHAR(160)," ")))</f>
        <v>Completed</v>
      </c>
      <c r="V348" s="7" t="n">
        <f aca="false">IF(OR(P348&lt;0,P348&gt;0.5),0,P348)</f>
        <v>0.2</v>
      </c>
      <c r="W348" s="8" t="n">
        <f aca="false">N348*O348*(1-V348)</f>
        <v>7715.808</v>
      </c>
      <c r="X348" s="8" t="n">
        <f aca="false">W348-R348</f>
        <v>3457.388</v>
      </c>
      <c r="Y348" s="7" t="n">
        <f aca="false">IFERROR(X348/W348,0)</f>
        <v>0.448091502536092</v>
      </c>
      <c r="Z348" s="9" t="n">
        <f aca="false">C348-B348</f>
        <v>6</v>
      </c>
      <c r="AA348" s="1" t="str">
        <f aca="false">IF(B348="","",TEXT(B348,"mmm"))</f>
        <v>Jul</v>
      </c>
      <c r="AB348" s="9" t="n">
        <f aca="false">IF(B348="","",YEAR(B348))</f>
        <v>2025</v>
      </c>
      <c r="AC348" s="3"/>
      <c r="AD348" s="3" t="str">
        <f aca="false">IF(LEFT(AC348&amp;IF(B348="","; Missing Order Date","")&amp;IF(C348="","; Missing Ship Date","")&amp;IF(P348&lt;0,"; Invalid Discount (Negative)","")&amp;IF(P348&gt;0.5,"; Invalid Discount (Too High)","")&amp;IF(Z348&lt;0,"; Invalid Shipping Record (Ship Before Order)","")&amp;IF(ABS(Q348-W348)&gt;1,"; Sales Mismatch","")&amp;IF(ABS(S348-X348)&gt;1,"; Profit Mismatch","")&amp;IF(COUNTIF($A$2:$A$913,A348)&gt;1,"; Duplicate Order ID Conflict",""),2)="; ",MID(AC348&amp;IF(B348="","; Missing Order Date","")&amp;IF(C348="","; Missing Ship Date","")&amp;IF(P348&lt;0,"; Invalid Discount (Negative)","")&amp;IF(P348&gt;0.5,"; Invalid Discount (Too High)","")&amp;IF(Z348&lt;0,"; Invalid Shipping Record (Ship Before Order)","")&amp;IF(ABS(Q348-W348)&gt;1,"; Sales Mismatch","")&amp;IF(ABS(S348-X348)&gt;1,"; Profit Mismatch","")&amp;IF(COUNTIF($A$2:$A$913,A348)&gt;1,"; Duplicate Order ID Conflict",""),3,500),AC348&amp;IF(B348="","; Missing Order Date","")&amp;IF(C348="","; Missing Ship Date","")&amp;IF(P348&lt;0,"; Invalid Discount (Negative)","")&amp;IF(P348&gt;0.5,"; Invalid Discount (Too High)","")&amp;IF(Z348&lt;0,"; Invalid Shipping Record (Ship Before Order)","")&amp;IF(ABS(Q348-W348)&gt;1,"; Sales Mismatch","")&amp;IF(ABS(S348-X348)&gt;1,"; Profit Mismatch","")&amp;IF(COUNTIF($A$2:$A$913,A348)&gt;1,"; Duplicate Order ID Conflict",""))</f>
        <v/>
      </c>
      <c r="AE348" s="10" t="str">
        <f aca="false">IF(OR(ISNUMBER(SEARCH("Invalid Discount",AD348)),ISNUMBER(SEARCH("Invalid Shipping Record",AD348)),ISNUMBER(SEARCH("Sales Mismatch",AD348)),ISNUMBER(SEARCH("Profit Mismatch",AD348)),ISNUMBER(SEARCH("Duplicate Order ID Conflict",AD348)),ISNUMBER(SEARCH("Missing Order Date",AD348)),ISNUMBER(SEARCH("Missing Ship Date",AD348))),"Invalid",IF(AD348&lt;&gt;"","Warning","Clean"))</f>
        <v>Clean</v>
      </c>
    </row>
    <row r="349" customFormat="false" ht="15" hidden="false" customHeight="true" outlineLevel="0" collapsed="false">
      <c r="A349" s="3" t="s">
        <v>1067</v>
      </c>
      <c r="B349" s="4" t="n">
        <v>45627</v>
      </c>
      <c r="C349" s="4" t="n">
        <v>45634</v>
      </c>
      <c r="D349" s="3" t="s">
        <v>1068</v>
      </c>
      <c r="E349" s="3" t="str">
        <f aca="false">PROPER(TRIM(SUBSTITUTE(Raw_Text_Fields!B350,CHAR(160)," ")))</f>
        <v>Aarav Sharma</v>
      </c>
      <c r="F349" s="3" t="str">
        <f aca="false">PROPER(TRIM(SUBSTITUTE(Raw_Text_Fields!C350,CHAR(160)," ")))</f>
        <v>Small Business</v>
      </c>
      <c r="G349" s="3" t="str">
        <f aca="false">PROPER(TRIM(SUBSTITUTE(Raw_Text_Fields!D350,CHAR(160)," ")))</f>
        <v>West</v>
      </c>
      <c r="H349" s="3" t="str">
        <f aca="false">PROPER(TRIM(SUBSTITUTE(Raw_Text_Fields!E350,CHAR(160)," ")))</f>
        <v>Goa</v>
      </c>
      <c r="I349" s="3" t="str">
        <f aca="false">PROPER(TRIM(SUBSTITUTE(Raw_Text_Fields!F350,CHAR(160)," ")))</f>
        <v>Panaji</v>
      </c>
      <c r="J349" s="3" t="str">
        <f aca="false">PROPER(TRIM(SUBSTITUTE(Raw_Text_Fields!G350,CHAR(160)," ")))</f>
        <v>Furniture</v>
      </c>
      <c r="K349" s="3" t="str">
        <f aca="false">PROPER(TRIM(SUBSTITUTE(Raw_Text_Fields!H350,CHAR(160)," ")))</f>
        <v>Chairs</v>
      </c>
      <c r="L349" s="3" t="s">
        <v>1069</v>
      </c>
      <c r="M349" s="3" t="str">
        <f aca="false">PROPER(TRIM(SUBSTITUTE(Raw_Text_Fields!I350,CHAR(160)," ")))</f>
        <v>Second Class</v>
      </c>
      <c r="N349" s="3" t="n">
        <v>5</v>
      </c>
      <c r="O349" s="5" t="n">
        <v>2981.49</v>
      </c>
      <c r="P349" s="6" t="n">
        <v>0.2</v>
      </c>
      <c r="Q349" s="5" t="n">
        <v>11925.96</v>
      </c>
      <c r="R349" s="5" t="n">
        <v>10103.51</v>
      </c>
      <c r="S349" s="5" t="n">
        <v>1822.45</v>
      </c>
      <c r="T349" s="3" t="str">
        <f aca="false">PROPER(TRIM(SUBSTITUTE(Raw_Text_Fields!J350,CHAR(160)," ")))</f>
        <v>Refunded</v>
      </c>
      <c r="U349" s="3" t="str">
        <f aca="false">PROPER(TRIM(SUBSTITUTE(Raw_Text_Fields!K350,CHAR(160)," ")))</f>
        <v>Returned</v>
      </c>
      <c r="V349" s="7" t="n">
        <f aca="false">IF(OR(P349&lt;0,P349&gt;0.5),0,P349)</f>
        <v>0.2</v>
      </c>
      <c r="W349" s="8" t="n">
        <f aca="false">N349*O349*(1-V349)</f>
        <v>11925.96</v>
      </c>
      <c r="X349" s="8" t="n">
        <f aca="false">W349-R349</f>
        <v>1822.45</v>
      </c>
      <c r="Y349" s="7" t="n">
        <f aca="false">IFERROR(X349/W349,0)</f>
        <v>0.152813693824229</v>
      </c>
      <c r="Z349" s="9" t="n">
        <f aca="false">C349-B349</f>
        <v>7</v>
      </c>
      <c r="AA349" s="1" t="str">
        <f aca="false">IF(B349="","",TEXT(B349,"mmm"))</f>
        <v>Dec</v>
      </c>
      <c r="AB349" s="9" t="n">
        <f aca="false">IF(B349="","",YEAR(B349))</f>
        <v>2024</v>
      </c>
      <c r="AC349" s="3"/>
      <c r="AD349" s="3" t="str">
        <f aca="false">IF(LEFT(AC349&amp;IF(B349="","; Missing Order Date","")&amp;IF(C349="","; Missing Ship Date","")&amp;IF(P349&lt;0,"; Invalid Discount (Negative)","")&amp;IF(P349&gt;0.5,"; Invalid Discount (Too High)","")&amp;IF(Z349&lt;0,"; Invalid Shipping Record (Ship Before Order)","")&amp;IF(ABS(Q349-W349)&gt;1,"; Sales Mismatch","")&amp;IF(ABS(S349-X349)&gt;1,"; Profit Mismatch","")&amp;IF(COUNTIF($A$2:$A$913,A349)&gt;1,"; Duplicate Order ID Conflict",""),2)="; ",MID(AC349&amp;IF(B349="","; Missing Order Date","")&amp;IF(C349="","; Missing Ship Date","")&amp;IF(P349&lt;0,"; Invalid Discount (Negative)","")&amp;IF(P349&gt;0.5,"; Invalid Discount (Too High)","")&amp;IF(Z349&lt;0,"; Invalid Shipping Record (Ship Before Order)","")&amp;IF(ABS(Q349-W349)&gt;1,"; Sales Mismatch","")&amp;IF(ABS(S349-X349)&gt;1,"; Profit Mismatch","")&amp;IF(COUNTIF($A$2:$A$913,A349)&gt;1,"; Duplicate Order ID Conflict",""),3,500),AC349&amp;IF(B349="","; Missing Order Date","")&amp;IF(C349="","; Missing Ship Date","")&amp;IF(P349&lt;0,"; Invalid Discount (Negative)","")&amp;IF(P349&gt;0.5,"; Invalid Discount (Too High)","")&amp;IF(Z349&lt;0,"; Invalid Shipping Record (Ship Before Order)","")&amp;IF(ABS(Q349-W349)&gt;1,"; Sales Mismatch","")&amp;IF(ABS(S349-X349)&gt;1,"; Profit Mismatch","")&amp;IF(COUNTIF($A$2:$A$913,A349)&gt;1,"; Duplicate Order ID Conflict",""))</f>
        <v/>
      </c>
      <c r="AE349" s="10" t="str">
        <f aca="false">IF(OR(ISNUMBER(SEARCH("Invalid Discount",AD349)),ISNUMBER(SEARCH("Invalid Shipping Record",AD349)),ISNUMBER(SEARCH("Sales Mismatch",AD349)),ISNUMBER(SEARCH("Profit Mismatch",AD349)),ISNUMBER(SEARCH("Duplicate Order ID Conflict",AD349)),ISNUMBER(SEARCH("Missing Order Date",AD349)),ISNUMBER(SEARCH("Missing Ship Date",AD349))),"Invalid",IF(AD349&lt;&gt;"","Warning","Clean"))</f>
        <v>Clean</v>
      </c>
    </row>
    <row r="350" customFormat="false" ht="15" hidden="false" customHeight="true" outlineLevel="0" collapsed="false">
      <c r="A350" s="3" t="s">
        <v>1070</v>
      </c>
      <c r="B350" s="4" t="n">
        <v>45445</v>
      </c>
      <c r="C350" s="4" t="n">
        <v>45450</v>
      </c>
      <c r="D350" s="3" t="s">
        <v>1071</v>
      </c>
      <c r="E350" s="3" t="str">
        <f aca="false">PROPER(TRIM(SUBSTITUTE(Raw_Text_Fields!B351,CHAR(160)," ")))</f>
        <v>Aarav Sharma</v>
      </c>
      <c r="F350" s="3" t="str">
        <f aca="false">PROPER(TRIM(SUBSTITUTE(Raw_Text_Fields!C351,CHAR(160)," ")))</f>
        <v>Corporate</v>
      </c>
      <c r="G350" s="3" t="str">
        <f aca="false">PROPER(TRIM(SUBSTITUTE(Raw_Text_Fields!D351,CHAR(160)," ")))</f>
        <v>South</v>
      </c>
      <c r="H350" s="3" t="str">
        <f aca="false">PROPER(TRIM(SUBSTITUTE(Raw_Text_Fields!E351,CHAR(160)," ")))</f>
        <v>Karnataka</v>
      </c>
      <c r="I350" s="3" t="str">
        <f aca="false">PROPER(TRIM(SUBSTITUTE(Raw_Text_Fields!F351,CHAR(160)," ")))</f>
        <v>Bengaluru</v>
      </c>
      <c r="J350" s="3" t="str">
        <f aca="false">PROPER(TRIM(SUBSTITUTE(Raw_Text_Fields!G351,CHAR(160)," ")))</f>
        <v>Technology</v>
      </c>
      <c r="K350" s="3" t="str">
        <f aca="false">PROPER(TRIM(SUBSTITUTE(Raw_Text_Fields!H351,CHAR(160)," ")))</f>
        <v>Phones</v>
      </c>
      <c r="L350" s="3" t="s">
        <v>1072</v>
      </c>
      <c r="M350" s="3" t="str">
        <f aca="false">PROPER(TRIM(SUBSTITUTE(Raw_Text_Fields!I351,CHAR(160)," ")))</f>
        <v>Same Day</v>
      </c>
      <c r="N350" s="3" t="n">
        <v>9</v>
      </c>
      <c r="O350" s="5" t="n">
        <v>2860.26</v>
      </c>
      <c r="P350" s="6" t="n">
        <v>0.25</v>
      </c>
      <c r="Q350" s="5" t="n">
        <v>19306.76</v>
      </c>
      <c r="R350" s="5" t="n">
        <v>14442.38</v>
      </c>
      <c r="S350" s="5" t="n">
        <v>4864.38</v>
      </c>
      <c r="T350" s="3" t="str">
        <f aca="false">PROPER(TRIM(SUBSTITUTE(Raw_Text_Fields!J351,CHAR(160)," ")))</f>
        <v>Paid</v>
      </c>
      <c r="U350" s="3" t="str">
        <f aca="false">PROPER(TRIM(SUBSTITUTE(Raw_Text_Fields!K351,CHAR(160)," ")))</f>
        <v>Completed</v>
      </c>
      <c r="V350" s="7" t="n">
        <f aca="false">IF(OR(P350&lt;0,P350&gt;0.5),0,P350)</f>
        <v>0.25</v>
      </c>
      <c r="W350" s="8" t="n">
        <f aca="false">N350*O350*(1-V350)</f>
        <v>19306.755</v>
      </c>
      <c r="X350" s="8" t="n">
        <f aca="false">W350-R350</f>
        <v>4864.37500000001</v>
      </c>
      <c r="Y350" s="7" t="n">
        <f aca="false">IFERROR(X350/W350,0)</f>
        <v>0.251951972250127</v>
      </c>
      <c r="Z350" s="9" t="n">
        <f aca="false">C350-B350</f>
        <v>5</v>
      </c>
      <c r="AA350" s="1" t="str">
        <f aca="false">IF(B350="","",TEXT(B350,"mmm"))</f>
        <v>Jun</v>
      </c>
      <c r="AB350" s="9" t="n">
        <f aca="false">IF(B350="","",YEAR(B350))</f>
        <v>2024</v>
      </c>
      <c r="AC350" s="3"/>
      <c r="AD350" s="3" t="str">
        <f aca="false">IF(LEFT(AC350&amp;IF(B350="","; Missing Order Date","")&amp;IF(C350="","; Missing Ship Date","")&amp;IF(P350&lt;0,"; Invalid Discount (Negative)","")&amp;IF(P350&gt;0.5,"; Invalid Discount (Too High)","")&amp;IF(Z350&lt;0,"; Invalid Shipping Record (Ship Before Order)","")&amp;IF(ABS(Q350-W350)&gt;1,"; Sales Mismatch","")&amp;IF(ABS(S350-X350)&gt;1,"; Profit Mismatch","")&amp;IF(COUNTIF($A$2:$A$913,A350)&gt;1,"; Duplicate Order ID Conflict",""),2)="; ",MID(AC350&amp;IF(B350="","; Missing Order Date","")&amp;IF(C350="","; Missing Ship Date","")&amp;IF(P350&lt;0,"; Invalid Discount (Negative)","")&amp;IF(P350&gt;0.5,"; Invalid Discount (Too High)","")&amp;IF(Z350&lt;0,"; Invalid Shipping Record (Ship Before Order)","")&amp;IF(ABS(Q350-W350)&gt;1,"; Sales Mismatch","")&amp;IF(ABS(S350-X350)&gt;1,"; Profit Mismatch","")&amp;IF(COUNTIF($A$2:$A$913,A350)&gt;1,"; Duplicate Order ID Conflict",""),3,500),AC350&amp;IF(B350="","; Missing Order Date","")&amp;IF(C350="","; Missing Ship Date","")&amp;IF(P350&lt;0,"; Invalid Discount (Negative)","")&amp;IF(P350&gt;0.5,"; Invalid Discount (Too High)","")&amp;IF(Z350&lt;0,"; Invalid Shipping Record (Ship Before Order)","")&amp;IF(ABS(Q350-W350)&gt;1,"; Sales Mismatch","")&amp;IF(ABS(S350-X350)&gt;1,"; Profit Mismatch","")&amp;IF(COUNTIF($A$2:$A$913,A350)&gt;1,"; Duplicate Order ID Conflict",""))</f>
        <v/>
      </c>
      <c r="AE350" s="10" t="str">
        <f aca="false">IF(OR(ISNUMBER(SEARCH("Invalid Discount",AD350)),ISNUMBER(SEARCH("Invalid Shipping Record",AD350)),ISNUMBER(SEARCH("Sales Mismatch",AD350)),ISNUMBER(SEARCH("Profit Mismatch",AD350)),ISNUMBER(SEARCH("Duplicate Order ID Conflict",AD350)),ISNUMBER(SEARCH("Missing Order Date",AD350)),ISNUMBER(SEARCH("Missing Ship Date",AD350))),"Invalid",IF(AD350&lt;&gt;"","Warning","Clean"))</f>
        <v>Clean</v>
      </c>
    </row>
    <row r="351" customFormat="false" ht="15" hidden="false" customHeight="true" outlineLevel="0" collapsed="false">
      <c r="A351" s="3" t="s">
        <v>1073</v>
      </c>
      <c r="B351" s="4" t="n">
        <v>45927</v>
      </c>
      <c r="C351" s="4" t="n">
        <v>45929</v>
      </c>
      <c r="D351" s="3" t="s">
        <v>1074</v>
      </c>
      <c r="E351" s="3" t="str">
        <f aca="false">PROPER(TRIM(SUBSTITUTE(Raw_Text_Fields!B352,CHAR(160)," ")))</f>
        <v>Kabir Singh</v>
      </c>
      <c r="F351" s="3" t="str">
        <f aca="false">PROPER(TRIM(SUBSTITUTE(Raw_Text_Fields!C352,CHAR(160)," ")))</f>
        <v>Home Office</v>
      </c>
      <c r="G351" s="3" t="str">
        <f aca="false">PROPER(TRIM(SUBSTITUTE(Raw_Text_Fields!D352,CHAR(160)," ")))</f>
        <v>East</v>
      </c>
      <c r="H351" s="3" t="str">
        <f aca="false">PROPER(TRIM(SUBSTITUTE(Raw_Text_Fields!E352,CHAR(160)," ")))</f>
        <v>Jharkhand</v>
      </c>
      <c r="I351" s="3" t="str">
        <f aca="false">PROPER(TRIM(SUBSTITUTE(Raw_Text_Fields!F352,CHAR(160)," ")))</f>
        <v>Ranchi</v>
      </c>
      <c r="J351" s="3" t="str">
        <f aca="false">PROPER(TRIM(SUBSTITUTE(Raw_Text_Fields!G352,CHAR(160)," ")))</f>
        <v>Furniture</v>
      </c>
      <c r="K351" s="3" t="str">
        <f aca="false">PROPER(TRIM(SUBSTITUTE(Raw_Text_Fields!H352,CHAR(160)," ")))</f>
        <v>Furnishings</v>
      </c>
      <c r="L351" s="3" t="s">
        <v>1075</v>
      </c>
      <c r="M351" s="3" t="str">
        <f aca="false">PROPER(TRIM(SUBSTITUTE(Raw_Text_Fields!I352,CHAR(160)," ")))</f>
        <v>Second Class</v>
      </c>
      <c r="N351" s="3" t="n">
        <v>9</v>
      </c>
      <c r="O351" s="5" t="n">
        <v>2867.55</v>
      </c>
      <c r="P351" s="6" t="n">
        <v>0.25</v>
      </c>
      <c r="Q351" s="5" t="n">
        <v>19355.96</v>
      </c>
      <c r="R351" s="5" t="n">
        <v>15012.45</v>
      </c>
      <c r="S351" s="5" t="n">
        <v>4017.4</v>
      </c>
      <c r="T351" s="3" t="str">
        <f aca="false">PROPER(TRIM(SUBSTITUTE(Raw_Text_Fields!J352,CHAR(160)," ")))</f>
        <v>Paid</v>
      </c>
      <c r="U351" s="3" t="str">
        <f aca="false">PROPER(TRIM(SUBSTITUTE(Raw_Text_Fields!K352,CHAR(160)," ")))</f>
        <v>Completed</v>
      </c>
      <c r="V351" s="7" t="n">
        <f aca="false">IF(OR(P351&lt;0,P351&gt;0.5),0,P351)</f>
        <v>0.25</v>
      </c>
      <c r="W351" s="8" t="n">
        <f aca="false">N351*O351*(1-V351)</f>
        <v>19355.9625</v>
      </c>
      <c r="X351" s="8" t="n">
        <f aca="false">W351-R351</f>
        <v>4343.5125</v>
      </c>
      <c r="Y351" s="7" t="n">
        <f aca="false">IFERROR(X351/W351,0)</f>
        <v>0.224401783171465</v>
      </c>
      <c r="Z351" s="9" t="n">
        <f aca="false">C351-B351</f>
        <v>2</v>
      </c>
      <c r="AA351" s="1" t="str">
        <f aca="false">IF(B351="","",TEXT(B351,"mmm"))</f>
        <v>Sep</v>
      </c>
      <c r="AB351" s="9" t="n">
        <f aca="false">IF(B351="","",YEAR(B351))</f>
        <v>2025</v>
      </c>
      <c r="AC351" s="3"/>
      <c r="AD351" s="3" t="str">
        <f aca="false">IF(LEFT(AC351&amp;IF(B351="","; Missing Order Date","")&amp;IF(C351="","; Missing Ship Date","")&amp;IF(P351&lt;0,"; Invalid Discount (Negative)","")&amp;IF(P351&gt;0.5,"; Invalid Discount (Too High)","")&amp;IF(Z351&lt;0,"; Invalid Shipping Record (Ship Before Order)","")&amp;IF(ABS(Q351-W351)&gt;1,"; Sales Mismatch","")&amp;IF(ABS(S351-X351)&gt;1,"; Profit Mismatch","")&amp;IF(COUNTIF($A$2:$A$913,A351)&gt;1,"; Duplicate Order ID Conflict",""),2)="; ",MID(AC351&amp;IF(B351="","; Missing Order Date","")&amp;IF(C351="","; Missing Ship Date","")&amp;IF(P351&lt;0,"; Invalid Discount (Negative)","")&amp;IF(P351&gt;0.5,"; Invalid Discount (Too High)","")&amp;IF(Z351&lt;0,"; Invalid Shipping Record (Ship Before Order)","")&amp;IF(ABS(Q351-W351)&gt;1,"; Sales Mismatch","")&amp;IF(ABS(S351-X351)&gt;1,"; Profit Mismatch","")&amp;IF(COUNTIF($A$2:$A$913,A351)&gt;1,"; Duplicate Order ID Conflict",""),3,500),AC351&amp;IF(B351="","; Missing Order Date","")&amp;IF(C351="","; Missing Ship Date","")&amp;IF(P351&lt;0,"; Invalid Discount (Negative)","")&amp;IF(P351&gt;0.5,"; Invalid Discount (Too High)","")&amp;IF(Z351&lt;0,"; Invalid Shipping Record (Ship Before Order)","")&amp;IF(ABS(Q351-W351)&gt;1,"; Sales Mismatch","")&amp;IF(ABS(S351-X351)&gt;1,"; Profit Mismatch","")&amp;IF(COUNTIF($A$2:$A$913,A351)&gt;1,"; Duplicate Order ID Conflict",""))</f>
        <v>Profit Mismatch</v>
      </c>
      <c r="AE351" s="10" t="str">
        <f aca="false">IF(OR(ISNUMBER(SEARCH("Invalid Discount",AD351)),ISNUMBER(SEARCH("Invalid Shipping Record",AD351)),ISNUMBER(SEARCH("Sales Mismatch",AD351)),ISNUMBER(SEARCH("Profit Mismatch",AD351)),ISNUMBER(SEARCH("Duplicate Order ID Conflict",AD351)),ISNUMBER(SEARCH("Missing Order Date",AD351)),ISNUMBER(SEARCH("Missing Ship Date",AD351))),"Invalid",IF(AD351&lt;&gt;"","Warning","Clean"))</f>
        <v>Invalid</v>
      </c>
    </row>
    <row r="352" customFormat="false" ht="15" hidden="false" customHeight="true" outlineLevel="0" collapsed="false">
      <c r="A352" s="3" t="s">
        <v>1076</v>
      </c>
      <c r="B352" s="4" t="n">
        <v>45298</v>
      </c>
      <c r="C352" s="4" t="n">
        <v>45305</v>
      </c>
      <c r="D352" s="3" t="s">
        <v>1077</v>
      </c>
      <c r="E352" s="3" t="str">
        <f aca="false">PROPER(TRIM(SUBSTITUTE(Raw_Text_Fields!B353,CHAR(160)," ")))</f>
        <v>Sneha Kapoor</v>
      </c>
      <c r="F352" s="3" t="str">
        <f aca="false">PROPER(TRIM(SUBSTITUTE(Raw_Text_Fields!C353,CHAR(160)," ")))</f>
        <v>Small Business</v>
      </c>
      <c r="G352" s="3" t="str">
        <f aca="false">PROPER(TRIM(SUBSTITUTE(Raw_Text_Fields!D353,CHAR(160)," ")))</f>
        <v>East</v>
      </c>
      <c r="H352" s="3" t="str">
        <f aca="false">PROPER(TRIM(SUBSTITUTE(Raw_Text_Fields!E353,CHAR(160)," ")))</f>
        <v>Jharkhand</v>
      </c>
      <c r="I352" s="3" t="str">
        <f aca="false">PROPER(TRIM(SUBSTITUTE(Raw_Text_Fields!F353,CHAR(160)," ")))</f>
        <v>Ranchi</v>
      </c>
      <c r="J352" s="3" t="str">
        <f aca="false">PROPER(TRIM(SUBSTITUTE(Raw_Text_Fields!G353,CHAR(160)," ")))</f>
        <v>Furniture</v>
      </c>
      <c r="K352" s="3" t="str">
        <f aca="false">PROPER(TRIM(SUBSTITUTE(Raw_Text_Fields!H353,CHAR(160)," ")))</f>
        <v>Furnishings</v>
      </c>
      <c r="L352" s="3" t="s">
        <v>1078</v>
      </c>
      <c r="M352" s="3" t="str">
        <f aca="false">PROPER(TRIM(SUBSTITUTE(Raw_Text_Fields!I353,CHAR(160)," ")))</f>
        <v>Second Class</v>
      </c>
      <c r="N352" s="3" t="n">
        <v>4</v>
      </c>
      <c r="O352" s="5" t="n">
        <v>3309.54</v>
      </c>
      <c r="P352" s="6" t="n">
        <v>0.1</v>
      </c>
      <c r="Q352" s="5" t="n">
        <v>11914.34</v>
      </c>
      <c r="R352" s="5" t="n">
        <v>9771.24</v>
      </c>
      <c r="S352" s="5" t="n">
        <v>2143.1</v>
      </c>
      <c r="T352" s="3" t="str">
        <f aca="false">PROPER(TRIM(SUBSTITUTE(Raw_Text_Fields!J353,CHAR(160)," ")))</f>
        <v>Refunded</v>
      </c>
      <c r="U352" s="3" t="str">
        <f aca="false">PROPER(TRIM(SUBSTITUTE(Raw_Text_Fields!K353,CHAR(160)," ")))</f>
        <v>Returned</v>
      </c>
      <c r="V352" s="7" t="n">
        <f aca="false">IF(OR(P352&lt;0,P352&gt;0.5),0,P352)</f>
        <v>0.1</v>
      </c>
      <c r="W352" s="8" t="n">
        <f aca="false">N352*O352*(1-V352)</f>
        <v>11914.344</v>
      </c>
      <c r="X352" s="8" t="n">
        <f aca="false">W352-R352</f>
        <v>2143.104</v>
      </c>
      <c r="Y352" s="7" t="n">
        <f aca="false">IFERROR(X352/W352,0)</f>
        <v>0.179875954563676</v>
      </c>
      <c r="Z352" s="9" t="n">
        <f aca="false">C352-B352</f>
        <v>7</v>
      </c>
      <c r="AA352" s="1" t="str">
        <f aca="false">IF(B352="","",TEXT(B352,"mmm"))</f>
        <v>Jan</v>
      </c>
      <c r="AB352" s="9" t="n">
        <f aca="false">IF(B352="","",YEAR(B352))</f>
        <v>2024</v>
      </c>
      <c r="AC352" s="3"/>
      <c r="AD352" s="3" t="str">
        <f aca="false">IF(LEFT(AC352&amp;IF(B352="","; Missing Order Date","")&amp;IF(C352="","; Missing Ship Date","")&amp;IF(P352&lt;0,"; Invalid Discount (Negative)","")&amp;IF(P352&gt;0.5,"; Invalid Discount (Too High)","")&amp;IF(Z352&lt;0,"; Invalid Shipping Record (Ship Before Order)","")&amp;IF(ABS(Q352-W352)&gt;1,"; Sales Mismatch","")&amp;IF(ABS(S352-X352)&gt;1,"; Profit Mismatch","")&amp;IF(COUNTIF($A$2:$A$913,A352)&gt;1,"; Duplicate Order ID Conflict",""),2)="; ",MID(AC352&amp;IF(B352="","; Missing Order Date","")&amp;IF(C352="","; Missing Ship Date","")&amp;IF(P352&lt;0,"; Invalid Discount (Negative)","")&amp;IF(P352&gt;0.5,"; Invalid Discount (Too High)","")&amp;IF(Z352&lt;0,"; Invalid Shipping Record (Ship Before Order)","")&amp;IF(ABS(Q352-W352)&gt;1,"; Sales Mismatch","")&amp;IF(ABS(S352-X352)&gt;1,"; Profit Mismatch","")&amp;IF(COUNTIF($A$2:$A$913,A352)&gt;1,"; Duplicate Order ID Conflict",""),3,500),AC352&amp;IF(B352="","; Missing Order Date","")&amp;IF(C352="","; Missing Ship Date","")&amp;IF(P352&lt;0,"; Invalid Discount (Negative)","")&amp;IF(P352&gt;0.5,"; Invalid Discount (Too High)","")&amp;IF(Z352&lt;0,"; Invalid Shipping Record (Ship Before Order)","")&amp;IF(ABS(Q352-W352)&gt;1,"; Sales Mismatch","")&amp;IF(ABS(S352-X352)&gt;1,"; Profit Mismatch","")&amp;IF(COUNTIF($A$2:$A$913,A352)&gt;1,"; Duplicate Order ID Conflict",""))</f>
        <v/>
      </c>
      <c r="AE352" s="10" t="str">
        <f aca="false">IF(OR(ISNUMBER(SEARCH("Invalid Discount",AD352)),ISNUMBER(SEARCH("Invalid Shipping Record",AD352)),ISNUMBER(SEARCH("Sales Mismatch",AD352)),ISNUMBER(SEARCH("Profit Mismatch",AD352)),ISNUMBER(SEARCH("Duplicate Order ID Conflict",AD352)),ISNUMBER(SEARCH("Missing Order Date",AD352)),ISNUMBER(SEARCH("Missing Ship Date",AD352))),"Invalid",IF(AD352&lt;&gt;"","Warning","Clean"))</f>
        <v>Clean</v>
      </c>
    </row>
    <row r="353" customFormat="false" ht="15" hidden="false" customHeight="true" outlineLevel="0" collapsed="false">
      <c r="A353" s="3" t="s">
        <v>1079</v>
      </c>
      <c r="B353" s="4" t="n">
        <v>45800</v>
      </c>
      <c r="C353" s="4" t="n">
        <v>45804</v>
      </c>
      <c r="D353" s="3" t="s">
        <v>1080</v>
      </c>
      <c r="E353" s="3" t="str">
        <f aca="false">PROPER(TRIM(SUBSTITUTE(Raw_Text_Fields!B354,CHAR(160)," ")))</f>
        <v>Vikram Iyer</v>
      </c>
      <c r="F353" s="3" t="str">
        <f aca="false">PROPER(TRIM(SUBSTITUTE(Raw_Text_Fields!C354,CHAR(160)," ")))</f>
        <v>Small Business</v>
      </c>
      <c r="G353" s="3" t="str">
        <f aca="false">PROPER(TRIM(SUBSTITUTE(Raw_Text_Fields!D354,CHAR(160)," ")))</f>
        <v>South</v>
      </c>
      <c r="H353" s="3" t="str">
        <f aca="false">PROPER(TRIM(SUBSTITUTE(Raw_Text_Fields!E354,CHAR(160)," ")))</f>
        <v>Telangana</v>
      </c>
      <c r="I353" s="3" t="str">
        <f aca="false">PROPER(TRIM(SUBSTITUTE(Raw_Text_Fields!F354,CHAR(160)," ")))</f>
        <v>Hyderabad</v>
      </c>
      <c r="J353" s="3" t="str">
        <f aca="false">PROPER(TRIM(SUBSTITUTE(Raw_Text_Fields!G354,CHAR(160)," ")))</f>
        <v>Office Supplies</v>
      </c>
      <c r="K353" s="3" t="str">
        <f aca="false">PROPER(TRIM(SUBSTITUTE(Raw_Text_Fields!H354,CHAR(160)," ")))</f>
        <v>Storage</v>
      </c>
      <c r="L353" s="3" t="s">
        <v>1081</v>
      </c>
      <c r="M353" s="3" t="str">
        <f aca="false">PROPER(TRIM(SUBSTITUTE(Raw_Text_Fields!I354,CHAR(160)," ")))</f>
        <v>First Class</v>
      </c>
      <c r="N353" s="3" t="n">
        <v>6</v>
      </c>
      <c r="O353" s="5" t="n">
        <v>719.44</v>
      </c>
      <c r="P353" s="6" t="n">
        <v>0.25</v>
      </c>
      <c r="Q353" s="5" t="n">
        <v>3237.48</v>
      </c>
      <c r="R353" s="5" t="n">
        <v>2118.34</v>
      </c>
      <c r="S353" s="5" t="n">
        <v>1119.14</v>
      </c>
      <c r="T353" s="3" t="str">
        <f aca="false">PROPER(TRIM(SUBSTITUTE(Raw_Text_Fields!J354,CHAR(160)," ")))</f>
        <v>Pending</v>
      </c>
      <c r="U353" s="3" t="str">
        <f aca="false">PROPER(TRIM(SUBSTITUTE(Raw_Text_Fields!K354,CHAR(160)," ")))</f>
        <v>Cancelled</v>
      </c>
      <c r="V353" s="7" t="n">
        <f aca="false">IF(OR(P353&lt;0,P353&gt;0.5),0,P353)</f>
        <v>0.25</v>
      </c>
      <c r="W353" s="8" t="n">
        <f aca="false">N353*O353*(1-V353)</f>
        <v>3237.48</v>
      </c>
      <c r="X353" s="8" t="n">
        <f aca="false">W353-R353</f>
        <v>1119.14</v>
      </c>
      <c r="Y353" s="7" t="n">
        <f aca="false">IFERROR(X353/W353,0)</f>
        <v>0.345682444370313</v>
      </c>
      <c r="Z353" s="9" t="n">
        <f aca="false">C353-B353</f>
        <v>4</v>
      </c>
      <c r="AA353" s="1" t="str">
        <f aca="false">IF(B353="","",TEXT(B353,"mmm"))</f>
        <v>May</v>
      </c>
      <c r="AB353" s="9" t="n">
        <f aca="false">IF(B353="","",YEAR(B353))</f>
        <v>2025</v>
      </c>
      <c r="AC353" s="3"/>
      <c r="AD353" s="3" t="str">
        <f aca="false">IF(LEFT(AC353&amp;IF(B353="","; Missing Order Date","")&amp;IF(C353="","; Missing Ship Date","")&amp;IF(P353&lt;0,"; Invalid Discount (Negative)","")&amp;IF(P353&gt;0.5,"; Invalid Discount (Too High)","")&amp;IF(Z353&lt;0,"; Invalid Shipping Record (Ship Before Order)","")&amp;IF(ABS(Q353-W353)&gt;1,"; Sales Mismatch","")&amp;IF(ABS(S353-X353)&gt;1,"; Profit Mismatch","")&amp;IF(COUNTIF($A$2:$A$913,A353)&gt;1,"; Duplicate Order ID Conflict",""),2)="; ",MID(AC353&amp;IF(B353="","; Missing Order Date","")&amp;IF(C353="","; Missing Ship Date","")&amp;IF(P353&lt;0,"; Invalid Discount (Negative)","")&amp;IF(P353&gt;0.5,"; Invalid Discount (Too High)","")&amp;IF(Z353&lt;0,"; Invalid Shipping Record (Ship Before Order)","")&amp;IF(ABS(Q353-W353)&gt;1,"; Sales Mismatch","")&amp;IF(ABS(S353-X353)&gt;1,"; Profit Mismatch","")&amp;IF(COUNTIF($A$2:$A$913,A353)&gt;1,"; Duplicate Order ID Conflict",""),3,500),AC353&amp;IF(B353="","; Missing Order Date","")&amp;IF(C353="","; Missing Ship Date","")&amp;IF(P353&lt;0,"; Invalid Discount (Negative)","")&amp;IF(P353&gt;0.5,"; Invalid Discount (Too High)","")&amp;IF(Z353&lt;0,"; Invalid Shipping Record (Ship Before Order)","")&amp;IF(ABS(Q353-W353)&gt;1,"; Sales Mismatch","")&amp;IF(ABS(S353-X353)&gt;1,"; Profit Mismatch","")&amp;IF(COUNTIF($A$2:$A$913,A353)&gt;1,"; Duplicate Order ID Conflict",""))</f>
        <v/>
      </c>
      <c r="AE353" s="10" t="str">
        <f aca="false">IF(OR(ISNUMBER(SEARCH("Invalid Discount",AD353)),ISNUMBER(SEARCH("Invalid Shipping Record",AD353)),ISNUMBER(SEARCH("Sales Mismatch",AD353)),ISNUMBER(SEARCH("Profit Mismatch",AD353)),ISNUMBER(SEARCH("Duplicate Order ID Conflict",AD353)),ISNUMBER(SEARCH("Missing Order Date",AD353)),ISNUMBER(SEARCH("Missing Ship Date",AD353))),"Invalid",IF(AD353&lt;&gt;"","Warning","Clean"))</f>
        <v>Clean</v>
      </c>
    </row>
    <row r="354" customFormat="false" ht="15" hidden="false" customHeight="true" outlineLevel="0" collapsed="false">
      <c r="A354" s="3" t="s">
        <v>1082</v>
      </c>
      <c r="B354" s="4" t="n">
        <v>45884</v>
      </c>
      <c r="C354" s="4" t="n">
        <v>45886</v>
      </c>
      <c r="D354" s="3" t="s">
        <v>1083</v>
      </c>
      <c r="E354" s="3" t="str">
        <f aca="false">PROPER(TRIM(SUBSTITUTE(Raw_Text_Fields!B355,CHAR(160)," ")))</f>
        <v>Diya Patel</v>
      </c>
      <c r="F354" s="3" t="str">
        <f aca="false">PROPER(TRIM(SUBSTITUTE(Raw_Text_Fields!C355,CHAR(160)," ")))</f>
        <v>Small Business</v>
      </c>
      <c r="G354" s="3" t="str">
        <f aca="false">PROPER(TRIM(SUBSTITUTE(Raw_Text_Fields!D355,CHAR(160)," ")))</f>
        <v>East</v>
      </c>
      <c r="H354" s="3" t="str">
        <f aca="false">PROPER(TRIM(SUBSTITUTE(Raw_Text_Fields!E355,CHAR(160)," ")))</f>
        <v>Assam</v>
      </c>
      <c r="I354" s="3" t="str">
        <f aca="false">PROPER(TRIM(SUBSTITUTE(Raw_Text_Fields!F355,CHAR(160)," ")))</f>
        <v>Guwahati</v>
      </c>
      <c r="J354" s="3" t="str">
        <f aca="false">PROPER(TRIM(SUBSTITUTE(Raw_Text_Fields!G355,CHAR(160)," ")))</f>
        <v>Technology</v>
      </c>
      <c r="K354" s="3" t="str">
        <f aca="false">PROPER(TRIM(SUBSTITUTE(Raw_Text_Fields!H355,CHAR(160)," ")))</f>
        <v>Copiers</v>
      </c>
      <c r="L354" s="3" t="s">
        <v>1084</v>
      </c>
      <c r="M354" s="3" t="str">
        <f aca="false">PROPER(TRIM(SUBSTITUTE(Raw_Text_Fields!I355,CHAR(160)," ")))</f>
        <v>First Class</v>
      </c>
      <c r="N354" s="3" t="n">
        <v>5</v>
      </c>
      <c r="O354" s="5" t="n">
        <v>2862.6</v>
      </c>
      <c r="P354" s="6" t="n">
        <v>0.25</v>
      </c>
      <c r="Q354" s="5" t="n">
        <v>10734.75</v>
      </c>
      <c r="R354" s="5" t="n">
        <v>6475.73</v>
      </c>
      <c r="S354" s="5" t="n">
        <v>4259.02</v>
      </c>
      <c r="T354" s="3" t="str">
        <f aca="false">PROPER(TRIM(SUBSTITUTE(Raw_Text_Fields!J355,CHAR(160)," ")))</f>
        <v>Paid</v>
      </c>
      <c r="U354" s="3" t="str">
        <f aca="false">PROPER(TRIM(SUBSTITUTE(Raw_Text_Fields!K355,CHAR(160)," ")))</f>
        <v>Completed</v>
      </c>
      <c r="V354" s="7" t="n">
        <f aca="false">IF(OR(P354&lt;0,P354&gt;0.5),0,P354)</f>
        <v>0.25</v>
      </c>
      <c r="W354" s="8" t="n">
        <f aca="false">N354*O354*(1-V354)</f>
        <v>10734.75</v>
      </c>
      <c r="X354" s="8" t="n">
        <f aca="false">W354-R354</f>
        <v>4259.02</v>
      </c>
      <c r="Y354" s="7" t="n">
        <f aca="false">IFERROR(X354/W354,0)</f>
        <v>0.396750739421039</v>
      </c>
      <c r="Z354" s="9" t="n">
        <f aca="false">C354-B354</f>
        <v>2</v>
      </c>
      <c r="AA354" s="1" t="str">
        <f aca="false">IF(B354="","",TEXT(B354,"mmm"))</f>
        <v>Aug</v>
      </c>
      <c r="AB354" s="9" t="n">
        <f aca="false">IF(B354="","",YEAR(B354))</f>
        <v>2025</v>
      </c>
      <c r="AC354" s="3"/>
      <c r="AD354" s="3" t="str">
        <f aca="false">IF(LEFT(AC354&amp;IF(B354="","; Missing Order Date","")&amp;IF(C354="","; Missing Ship Date","")&amp;IF(P354&lt;0,"; Invalid Discount (Negative)","")&amp;IF(P354&gt;0.5,"; Invalid Discount (Too High)","")&amp;IF(Z354&lt;0,"; Invalid Shipping Record (Ship Before Order)","")&amp;IF(ABS(Q354-W354)&gt;1,"; Sales Mismatch","")&amp;IF(ABS(S354-X354)&gt;1,"; Profit Mismatch","")&amp;IF(COUNTIF($A$2:$A$913,A354)&gt;1,"; Duplicate Order ID Conflict",""),2)="; ",MID(AC354&amp;IF(B354="","; Missing Order Date","")&amp;IF(C354="","; Missing Ship Date","")&amp;IF(P354&lt;0,"; Invalid Discount (Negative)","")&amp;IF(P354&gt;0.5,"; Invalid Discount (Too High)","")&amp;IF(Z354&lt;0,"; Invalid Shipping Record (Ship Before Order)","")&amp;IF(ABS(Q354-W354)&gt;1,"; Sales Mismatch","")&amp;IF(ABS(S354-X354)&gt;1,"; Profit Mismatch","")&amp;IF(COUNTIF($A$2:$A$913,A354)&gt;1,"; Duplicate Order ID Conflict",""),3,500),AC354&amp;IF(B354="","; Missing Order Date","")&amp;IF(C354="","; Missing Ship Date","")&amp;IF(P354&lt;0,"; Invalid Discount (Negative)","")&amp;IF(P354&gt;0.5,"; Invalid Discount (Too High)","")&amp;IF(Z354&lt;0,"; Invalid Shipping Record (Ship Before Order)","")&amp;IF(ABS(Q354-W354)&gt;1,"; Sales Mismatch","")&amp;IF(ABS(S354-X354)&gt;1,"; Profit Mismatch","")&amp;IF(COUNTIF($A$2:$A$913,A354)&gt;1,"; Duplicate Order ID Conflict",""))</f>
        <v/>
      </c>
      <c r="AE354" s="10" t="str">
        <f aca="false">IF(OR(ISNUMBER(SEARCH("Invalid Discount",AD354)),ISNUMBER(SEARCH("Invalid Shipping Record",AD354)),ISNUMBER(SEARCH("Sales Mismatch",AD354)),ISNUMBER(SEARCH("Profit Mismatch",AD354)),ISNUMBER(SEARCH("Duplicate Order ID Conflict",AD354)),ISNUMBER(SEARCH("Missing Order Date",AD354)),ISNUMBER(SEARCH("Missing Ship Date",AD354))),"Invalid",IF(AD354&lt;&gt;"","Warning","Clean"))</f>
        <v>Clean</v>
      </c>
    </row>
    <row r="355" customFormat="false" ht="15" hidden="false" customHeight="true" outlineLevel="0" collapsed="false">
      <c r="A355" s="3" t="s">
        <v>1085</v>
      </c>
      <c r="B355" s="4" t="n">
        <v>45709</v>
      </c>
      <c r="C355" s="4" t="n">
        <v>45715</v>
      </c>
      <c r="D355" s="3" t="s">
        <v>1086</v>
      </c>
      <c r="E355" s="3" t="str">
        <f aca="false">PROPER(TRIM(SUBSTITUTE(Raw_Text_Fields!B356,CHAR(160)," ")))</f>
        <v>Ananya Rao</v>
      </c>
      <c r="F355" s="3" t="str">
        <f aca="false">PROPER(TRIM(SUBSTITUTE(Raw_Text_Fields!C356,CHAR(160)," ")))</f>
        <v>Consumer</v>
      </c>
      <c r="G355" s="3" t="str">
        <f aca="false">PROPER(TRIM(SUBSTITUTE(Raw_Text_Fields!D356,CHAR(160)," ")))</f>
        <v>North</v>
      </c>
      <c r="H355" s="3" t="str">
        <f aca="false">PROPER(TRIM(SUBSTITUTE(Raw_Text_Fields!E356,CHAR(160)," ")))</f>
        <v>Rajasthan</v>
      </c>
      <c r="I355" s="3" t="str">
        <f aca="false">PROPER(TRIM(SUBSTITUTE(Raw_Text_Fields!F356,CHAR(160)," ")))</f>
        <v>Jaipur</v>
      </c>
      <c r="J355" s="3" t="str">
        <f aca="false">PROPER(TRIM(SUBSTITUTE(Raw_Text_Fields!G356,CHAR(160)," ")))</f>
        <v>Office Supplies</v>
      </c>
      <c r="K355" s="3" t="str">
        <f aca="false">PROPER(TRIM(SUBSTITUTE(Raw_Text_Fields!H356,CHAR(160)," ")))</f>
        <v>Art</v>
      </c>
      <c r="L355" s="3" t="s">
        <v>1087</v>
      </c>
      <c r="M355" s="3" t="str">
        <f aca="false">PROPER(TRIM(SUBSTITUTE(Raw_Text_Fields!I356,CHAR(160)," ")))</f>
        <v>Same Day</v>
      </c>
      <c r="N355" s="3" t="n">
        <v>9</v>
      </c>
      <c r="O355" s="5" t="n">
        <v>1431.67</v>
      </c>
      <c r="P355" s="6" t="n">
        <v>0.2</v>
      </c>
      <c r="Q355" s="5" t="n">
        <v>10308.02</v>
      </c>
      <c r="R355" s="5" t="n">
        <v>5822.31</v>
      </c>
      <c r="S355" s="5" t="n">
        <v>4485.71</v>
      </c>
      <c r="T355" s="3" t="str">
        <f aca="false">PROPER(TRIM(SUBSTITUTE(Raw_Text_Fields!J356,CHAR(160)," ")))</f>
        <v>Paid</v>
      </c>
      <c r="U355" s="3" t="str">
        <f aca="false">PROPER(TRIM(SUBSTITUTE(Raw_Text_Fields!K356,CHAR(160)," ")))</f>
        <v>Completed</v>
      </c>
      <c r="V355" s="7" t="n">
        <f aca="false">IF(OR(P355&lt;0,P355&gt;0.5),0,P355)</f>
        <v>0.2</v>
      </c>
      <c r="W355" s="8" t="n">
        <f aca="false">N355*O355*(1-V355)</f>
        <v>10308.024</v>
      </c>
      <c r="X355" s="8" t="n">
        <f aca="false">W355-R355</f>
        <v>4485.714</v>
      </c>
      <c r="Y355" s="7" t="n">
        <f aca="false">IFERROR(X355/W355,0)</f>
        <v>0.435167205664248</v>
      </c>
      <c r="Z355" s="9" t="n">
        <f aca="false">C355-B355</f>
        <v>6</v>
      </c>
      <c r="AA355" s="1" t="str">
        <f aca="false">IF(B355="","",TEXT(B355,"mmm"))</f>
        <v>Feb</v>
      </c>
      <c r="AB355" s="9" t="n">
        <f aca="false">IF(B355="","",YEAR(B355))</f>
        <v>2025</v>
      </c>
      <c r="AC355" s="3"/>
      <c r="AD355" s="3" t="str">
        <f aca="false">IF(LEFT(AC355&amp;IF(B355="","; Missing Order Date","")&amp;IF(C355="","; Missing Ship Date","")&amp;IF(P355&lt;0,"; Invalid Discount (Negative)","")&amp;IF(P355&gt;0.5,"; Invalid Discount (Too High)","")&amp;IF(Z355&lt;0,"; Invalid Shipping Record (Ship Before Order)","")&amp;IF(ABS(Q355-W355)&gt;1,"; Sales Mismatch","")&amp;IF(ABS(S355-X355)&gt;1,"; Profit Mismatch","")&amp;IF(COUNTIF($A$2:$A$913,A355)&gt;1,"; Duplicate Order ID Conflict",""),2)="; ",MID(AC355&amp;IF(B355="","; Missing Order Date","")&amp;IF(C355="","; Missing Ship Date","")&amp;IF(P355&lt;0,"; Invalid Discount (Negative)","")&amp;IF(P355&gt;0.5,"; Invalid Discount (Too High)","")&amp;IF(Z355&lt;0,"; Invalid Shipping Record (Ship Before Order)","")&amp;IF(ABS(Q355-W355)&gt;1,"; Sales Mismatch","")&amp;IF(ABS(S355-X355)&gt;1,"; Profit Mismatch","")&amp;IF(COUNTIF($A$2:$A$913,A355)&gt;1,"; Duplicate Order ID Conflict",""),3,500),AC355&amp;IF(B355="","; Missing Order Date","")&amp;IF(C355="","; Missing Ship Date","")&amp;IF(P355&lt;0,"; Invalid Discount (Negative)","")&amp;IF(P355&gt;0.5,"; Invalid Discount (Too High)","")&amp;IF(Z355&lt;0,"; Invalid Shipping Record (Ship Before Order)","")&amp;IF(ABS(Q355-W355)&gt;1,"; Sales Mismatch","")&amp;IF(ABS(S355-X355)&gt;1,"; Profit Mismatch","")&amp;IF(COUNTIF($A$2:$A$913,A355)&gt;1,"; Duplicate Order ID Conflict",""))</f>
        <v/>
      </c>
      <c r="AE355" s="10" t="str">
        <f aca="false">IF(OR(ISNUMBER(SEARCH("Invalid Discount",AD355)),ISNUMBER(SEARCH("Invalid Shipping Record",AD355)),ISNUMBER(SEARCH("Sales Mismatch",AD355)),ISNUMBER(SEARCH("Profit Mismatch",AD355)),ISNUMBER(SEARCH("Duplicate Order ID Conflict",AD355)),ISNUMBER(SEARCH("Missing Order Date",AD355)),ISNUMBER(SEARCH("Missing Ship Date",AD355))),"Invalid",IF(AD355&lt;&gt;"","Warning","Clean"))</f>
        <v>Clean</v>
      </c>
    </row>
    <row r="356" customFormat="false" ht="15" hidden="false" customHeight="true" outlineLevel="0" collapsed="false">
      <c r="A356" s="3" t="s">
        <v>1088</v>
      </c>
      <c r="B356" s="4" t="n">
        <v>45653</v>
      </c>
      <c r="C356" s="4" t="n">
        <v>45657</v>
      </c>
      <c r="D356" s="3" t="s">
        <v>1089</v>
      </c>
      <c r="E356" s="3" t="str">
        <f aca="false">PROPER(TRIM(SUBSTITUTE(Raw_Text_Fields!B357,CHAR(160)," ")))</f>
        <v>Kabir Singh</v>
      </c>
      <c r="F356" s="3" t="str">
        <f aca="false">PROPER(TRIM(SUBSTITUTE(Raw_Text_Fields!C357,CHAR(160)," ")))</f>
        <v>Corporate</v>
      </c>
      <c r="G356" s="3" t="str">
        <f aca="false">PROPER(TRIM(SUBSTITUTE(Raw_Text_Fields!D357,CHAR(160)," ")))</f>
        <v>North</v>
      </c>
      <c r="H356" s="3" t="str">
        <f aca="false">PROPER(TRIM(SUBSTITUTE(Raw_Text_Fields!E357,CHAR(160)," ")))</f>
        <v>Punjab</v>
      </c>
      <c r="I356" s="3" t="str">
        <f aca="false">PROPER(TRIM(SUBSTITUTE(Raw_Text_Fields!F357,CHAR(160)," ")))</f>
        <v>Ludhiana</v>
      </c>
      <c r="J356" s="3" t="str">
        <f aca="false">PROPER(TRIM(SUBSTITUTE(Raw_Text_Fields!G357,CHAR(160)," ")))</f>
        <v>Furniture</v>
      </c>
      <c r="K356" s="3" t="str">
        <f aca="false">PROPER(TRIM(SUBSTITUTE(Raw_Text_Fields!H357,CHAR(160)," ")))</f>
        <v>Furnishings</v>
      </c>
      <c r="L356" s="3" t="s">
        <v>1090</v>
      </c>
      <c r="M356" s="3" t="str">
        <f aca="false">PROPER(TRIM(SUBSTITUTE(Raw_Text_Fields!I357,CHAR(160)," ")))</f>
        <v>Standard Class</v>
      </c>
      <c r="N356" s="3" t="n">
        <v>6</v>
      </c>
      <c r="O356" s="5" t="n">
        <v>3346.78</v>
      </c>
      <c r="P356" s="6" t="n">
        <v>-0.06</v>
      </c>
      <c r="Q356" s="5" t="n">
        <v>20080.68</v>
      </c>
      <c r="R356" s="5" t="n">
        <v>12908.84</v>
      </c>
      <c r="S356" s="5" t="n">
        <v>7171.84</v>
      </c>
      <c r="T356" s="3" t="str">
        <f aca="false">PROPER(TRIM(SUBSTITUTE(Raw_Text_Fields!J357,CHAR(160)," ")))</f>
        <v>Pending</v>
      </c>
      <c r="U356" s="3" t="str">
        <f aca="false">PROPER(TRIM(SUBSTITUTE(Raw_Text_Fields!K357,CHAR(160)," ")))</f>
        <v>Cancelled</v>
      </c>
      <c r="V356" s="7" t="n">
        <f aca="false">IF(OR(P356&lt;0,P356&gt;0.5),0,P356)</f>
        <v>0</v>
      </c>
      <c r="W356" s="8" t="n">
        <f aca="false">N356*O356*(1-V356)</f>
        <v>20080.68</v>
      </c>
      <c r="X356" s="8" t="n">
        <f aca="false">W356-R356</f>
        <v>7171.84</v>
      </c>
      <c r="Y356" s="7" t="n">
        <f aca="false">IFERROR(X356/W356,0)</f>
        <v>0.357151251850037</v>
      </c>
      <c r="Z356" s="9" t="n">
        <f aca="false">C356-B356</f>
        <v>4</v>
      </c>
      <c r="AA356" s="1" t="str">
        <f aca="false">IF(B356="","",TEXT(B356,"mmm"))</f>
        <v>Dec</v>
      </c>
      <c r="AB356" s="9" t="n">
        <f aca="false">IF(B356="","",YEAR(B356))</f>
        <v>2024</v>
      </c>
      <c r="AC356" s="3"/>
      <c r="AD356" s="3" t="str">
        <f aca="false">IF(LEFT(AC356&amp;IF(B356="","; Missing Order Date","")&amp;IF(C356="","; Missing Ship Date","")&amp;IF(P356&lt;0,"; Invalid Discount (Negative)","")&amp;IF(P356&gt;0.5,"; Invalid Discount (Too High)","")&amp;IF(Z356&lt;0,"; Invalid Shipping Record (Ship Before Order)","")&amp;IF(ABS(Q356-W356)&gt;1,"; Sales Mismatch","")&amp;IF(ABS(S356-X356)&gt;1,"; Profit Mismatch","")&amp;IF(COUNTIF($A$2:$A$913,A356)&gt;1,"; Duplicate Order ID Conflict",""),2)="; ",MID(AC356&amp;IF(B356="","; Missing Order Date","")&amp;IF(C356="","; Missing Ship Date","")&amp;IF(P356&lt;0,"; Invalid Discount (Negative)","")&amp;IF(P356&gt;0.5,"; Invalid Discount (Too High)","")&amp;IF(Z356&lt;0,"; Invalid Shipping Record (Ship Before Order)","")&amp;IF(ABS(Q356-W356)&gt;1,"; Sales Mismatch","")&amp;IF(ABS(S356-X356)&gt;1,"; Profit Mismatch","")&amp;IF(COUNTIF($A$2:$A$913,A356)&gt;1,"; Duplicate Order ID Conflict",""),3,500),AC356&amp;IF(B356="","; Missing Order Date","")&amp;IF(C356="","; Missing Ship Date","")&amp;IF(P356&lt;0,"; Invalid Discount (Negative)","")&amp;IF(P356&gt;0.5,"; Invalid Discount (Too High)","")&amp;IF(Z356&lt;0,"; Invalid Shipping Record (Ship Before Order)","")&amp;IF(ABS(Q356-W356)&gt;1,"; Sales Mismatch","")&amp;IF(ABS(S356-X356)&gt;1,"; Profit Mismatch","")&amp;IF(COUNTIF($A$2:$A$913,A356)&gt;1,"; Duplicate Order ID Conflict",""))</f>
        <v>Invalid Discount (Negative)</v>
      </c>
      <c r="AE356" s="10" t="str">
        <f aca="false">IF(OR(ISNUMBER(SEARCH("Invalid Discount",AD356)),ISNUMBER(SEARCH("Invalid Shipping Record",AD356)),ISNUMBER(SEARCH("Sales Mismatch",AD356)),ISNUMBER(SEARCH("Profit Mismatch",AD356)),ISNUMBER(SEARCH("Duplicate Order ID Conflict",AD356)),ISNUMBER(SEARCH("Missing Order Date",AD356)),ISNUMBER(SEARCH("Missing Ship Date",AD356))),"Invalid",IF(AD356&lt;&gt;"","Warning","Clean"))</f>
        <v>Invalid</v>
      </c>
    </row>
    <row r="357" customFormat="false" ht="15" hidden="false" customHeight="true" outlineLevel="0" collapsed="false">
      <c r="A357" s="3" t="s">
        <v>1091</v>
      </c>
      <c r="B357" s="4" t="n">
        <v>45424</v>
      </c>
      <c r="C357" s="4" t="n">
        <v>45421</v>
      </c>
      <c r="D357" s="3" t="s">
        <v>1092</v>
      </c>
      <c r="E357" s="3" t="str">
        <f aca="false">PROPER(TRIM(SUBSTITUTE(Raw_Text_Fields!B358,CHAR(160)," ")))</f>
        <v>Priya Menon</v>
      </c>
      <c r="F357" s="3" t="str">
        <f aca="false">PROPER(TRIM(SUBSTITUTE(Raw_Text_Fields!C358,CHAR(160)," ")))</f>
        <v>Corporate</v>
      </c>
      <c r="G357" s="3" t="str">
        <f aca="false">PROPER(TRIM(SUBSTITUTE(Raw_Text_Fields!D358,CHAR(160)," ")))</f>
        <v>West</v>
      </c>
      <c r="H357" s="3" t="str">
        <f aca="false">PROPER(TRIM(SUBSTITUTE(Raw_Text_Fields!E358,CHAR(160)," ")))</f>
        <v>Rajasthan</v>
      </c>
      <c r="I357" s="3" t="str">
        <f aca="false">PROPER(TRIM(SUBSTITUTE(Raw_Text_Fields!F358,CHAR(160)," ")))</f>
        <v>Udaipur</v>
      </c>
      <c r="J357" s="3" t="str">
        <f aca="false">PROPER(TRIM(SUBSTITUTE(Raw_Text_Fields!G358,CHAR(160)," ")))</f>
        <v>Furniture</v>
      </c>
      <c r="K357" s="3" t="str">
        <f aca="false">PROPER(TRIM(SUBSTITUTE(Raw_Text_Fields!H358,CHAR(160)," ")))</f>
        <v>Tables</v>
      </c>
      <c r="L357" s="3" t="s">
        <v>1093</v>
      </c>
      <c r="M357" s="3" t="str">
        <f aca="false">PROPER(TRIM(SUBSTITUTE(Raw_Text_Fields!I358,CHAR(160)," ")))</f>
        <v>Standard Class</v>
      </c>
      <c r="N357" s="3" t="n">
        <v>5</v>
      </c>
      <c r="O357" s="5" t="n">
        <v>3203.48</v>
      </c>
      <c r="P357" s="6" t="n">
        <v>0</v>
      </c>
      <c r="Q357" s="5" t="n">
        <v>16017.4</v>
      </c>
      <c r="R357" s="5" t="n">
        <v>9557.8</v>
      </c>
      <c r="S357" s="5" t="n">
        <v>6459.6</v>
      </c>
      <c r="T357" s="3" t="str">
        <f aca="false">PROPER(TRIM(SUBSTITUTE(Raw_Text_Fields!J358,CHAR(160)," ")))</f>
        <v>Pending</v>
      </c>
      <c r="U357" s="3" t="str">
        <f aca="false">PROPER(TRIM(SUBSTITUTE(Raw_Text_Fields!K358,CHAR(160)," ")))</f>
        <v>Cancelled</v>
      </c>
      <c r="V357" s="7" t="n">
        <f aca="false">IF(OR(P357&lt;0,P357&gt;0.5),0,P357)</f>
        <v>0</v>
      </c>
      <c r="W357" s="8" t="n">
        <f aca="false">N357*O357*(1-V357)</f>
        <v>16017.4</v>
      </c>
      <c r="X357" s="8" t="n">
        <f aca="false">W357-R357</f>
        <v>6459.6</v>
      </c>
      <c r="Y357" s="7" t="n">
        <f aca="false">IFERROR(X357/W357,0)</f>
        <v>0.403286426011712</v>
      </c>
      <c r="Z357" s="9" t="n">
        <f aca="false">C357-B357</f>
        <v>-3</v>
      </c>
      <c r="AA357" s="1" t="str">
        <f aca="false">IF(B357="","",TEXT(B357,"mmm"))</f>
        <v>May</v>
      </c>
      <c r="AB357" s="9" t="n">
        <f aca="false">IF(B357="","",YEAR(B357))</f>
        <v>2024</v>
      </c>
      <c r="AC357" s="3"/>
      <c r="AD357" s="3" t="str">
        <f aca="false">IF(LEFT(AC357&amp;IF(B357="","; Missing Order Date","")&amp;IF(C357="","; Missing Ship Date","")&amp;IF(P357&lt;0,"; Invalid Discount (Negative)","")&amp;IF(P357&gt;0.5,"; Invalid Discount (Too High)","")&amp;IF(Z357&lt;0,"; Invalid Shipping Record (Ship Before Order)","")&amp;IF(ABS(Q357-W357)&gt;1,"; Sales Mismatch","")&amp;IF(ABS(S357-X357)&gt;1,"; Profit Mismatch","")&amp;IF(COUNTIF($A$2:$A$913,A357)&gt;1,"; Duplicate Order ID Conflict",""),2)="; ",MID(AC357&amp;IF(B357="","; Missing Order Date","")&amp;IF(C357="","; Missing Ship Date","")&amp;IF(P357&lt;0,"; Invalid Discount (Negative)","")&amp;IF(P357&gt;0.5,"; Invalid Discount (Too High)","")&amp;IF(Z357&lt;0,"; Invalid Shipping Record (Ship Before Order)","")&amp;IF(ABS(Q357-W357)&gt;1,"; Sales Mismatch","")&amp;IF(ABS(S357-X357)&gt;1,"; Profit Mismatch","")&amp;IF(COUNTIF($A$2:$A$913,A357)&gt;1,"; Duplicate Order ID Conflict",""),3,500),AC357&amp;IF(B357="","; Missing Order Date","")&amp;IF(C357="","; Missing Ship Date","")&amp;IF(P357&lt;0,"; Invalid Discount (Negative)","")&amp;IF(P357&gt;0.5,"; Invalid Discount (Too High)","")&amp;IF(Z357&lt;0,"; Invalid Shipping Record (Ship Before Order)","")&amp;IF(ABS(Q357-W357)&gt;1,"; Sales Mismatch","")&amp;IF(ABS(S357-X357)&gt;1,"; Profit Mismatch","")&amp;IF(COUNTIF($A$2:$A$913,A357)&gt;1,"; Duplicate Order ID Conflict",""))</f>
        <v>Invalid Shipping Record (Ship Before Order)</v>
      </c>
      <c r="AE357" s="10" t="str">
        <f aca="false">IF(OR(ISNUMBER(SEARCH("Invalid Discount",AD357)),ISNUMBER(SEARCH("Invalid Shipping Record",AD357)),ISNUMBER(SEARCH("Sales Mismatch",AD357)),ISNUMBER(SEARCH("Profit Mismatch",AD357)),ISNUMBER(SEARCH("Duplicate Order ID Conflict",AD357)),ISNUMBER(SEARCH("Missing Order Date",AD357)),ISNUMBER(SEARCH("Missing Ship Date",AD357))),"Invalid",IF(AD357&lt;&gt;"","Warning","Clean"))</f>
        <v>Invalid</v>
      </c>
    </row>
    <row r="358" customFormat="false" ht="15" hidden="false" customHeight="true" outlineLevel="0" collapsed="false">
      <c r="A358" s="3" t="s">
        <v>1094</v>
      </c>
      <c r="B358" s="4" t="n">
        <v>45835</v>
      </c>
      <c r="C358" s="4" t="n">
        <v>45837</v>
      </c>
      <c r="D358" s="3" t="s">
        <v>1095</v>
      </c>
      <c r="E358" s="3" t="str">
        <f aca="false">PROPER(TRIM(SUBSTITUTE(Raw_Text_Fields!B359,CHAR(160)," ")))</f>
        <v>Rohan Mehta</v>
      </c>
      <c r="F358" s="3" t="str">
        <f aca="false">PROPER(TRIM(SUBSTITUTE(Raw_Text_Fields!C359,CHAR(160)," ")))</f>
        <v>Home Office</v>
      </c>
      <c r="G358" s="3" t="str">
        <f aca="false">PROPER(TRIM(SUBSTITUTE(Raw_Text_Fields!D359,CHAR(160)," ")))</f>
        <v>South</v>
      </c>
      <c r="H358" s="3" t="str">
        <f aca="false">PROPER(TRIM(SUBSTITUTE(Raw_Text_Fields!E359,CHAR(160)," ")))</f>
        <v>Telangana</v>
      </c>
      <c r="I358" s="3" t="str">
        <f aca="false">PROPER(TRIM(SUBSTITUTE(Raw_Text_Fields!F359,CHAR(160)," ")))</f>
        <v>Hyderabad</v>
      </c>
      <c r="J358" s="3" t="str">
        <f aca="false">PROPER(TRIM(SUBSTITUTE(Raw_Text_Fields!G359,CHAR(160)," ")))</f>
        <v>Furniture</v>
      </c>
      <c r="K358" s="3" t="str">
        <f aca="false">PROPER(TRIM(SUBSTITUTE(Raw_Text_Fields!H359,CHAR(160)," ")))</f>
        <v>Chairs</v>
      </c>
      <c r="L358" s="3" t="s">
        <v>1096</v>
      </c>
      <c r="M358" s="3" t="str">
        <f aca="false">PROPER(TRIM(SUBSTITUTE(Raw_Text_Fields!I359,CHAR(160)," ")))</f>
        <v>First Class</v>
      </c>
      <c r="N358" s="3" t="n">
        <v>5</v>
      </c>
      <c r="O358" s="5" t="n">
        <v>621.7</v>
      </c>
      <c r="P358" s="6" t="n">
        <v>0.2</v>
      </c>
      <c r="Q358" s="5" t="n">
        <v>2486.8</v>
      </c>
      <c r="R358" s="5" t="n">
        <v>2131.73</v>
      </c>
      <c r="S358" s="5" t="n">
        <v>355.07</v>
      </c>
      <c r="T358" s="3" t="str">
        <f aca="false">PROPER(TRIM(SUBSTITUTE(Raw_Text_Fields!J359,CHAR(160)," ")))</f>
        <v>Pending</v>
      </c>
      <c r="U358" s="3" t="str">
        <f aca="false">PROPER(TRIM(SUBSTITUTE(Raw_Text_Fields!K359,CHAR(160)," ")))</f>
        <v>Returned</v>
      </c>
      <c r="V358" s="7" t="n">
        <f aca="false">IF(OR(P358&lt;0,P358&gt;0.5),0,P358)</f>
        <v>0.2</v>
      </c>
      <c r="W358" s="8" t="n">
        <f aca="false">N358*O358*(1-V358)</f>
        <v>2486.8</v>
      </c>
      <c r="X358" s="8" t="n">
        <f aca="false">W358-R358</f>
        <v>355.07</v>
      </c>
      <c r="Y358" s="7" t="n">
        <f aca="false">IFERROR(X358/W358,0)</f>
        <v>0.142781888370597</v>
      </c>
      <c r="Z358" s="9" t="n">
        <f aca="false">C358-B358</f>
        <v>2</v>
      </c>
      <c r="AA358" s="1" t="str">
        <f aca="false">IF(B358="","",TEXT(B358,"mmm"))</f>
        <v>Jun</v>
      </c>
      <c r="AB358" s="9" t="n">
        <f aca="false">IF(B358="","",YEAR(B358))</f>
        <v>2025</v>
      </c>
      <c r="AC358" s="3"/>
      <c r="AD358" s="3" t="str">
        <f aca="false">IF(LEFT(AC358&amp;IF(B358="","; Missing Order Date","")&amp;IF(C358="","; Missing Ship Date","")&amp;IF(P358&lt;0,"; Invalid Discount (Negative)","")&amp;IF(P358&gt;0.5,"; Invalid Discount (Too High)","")&amp;IF(Z358&lt;0,"; Invalid Shipping Record (Ship Before Order)","")&amp;IF(ABS(Q358-W358)&gt;1,"; Sales Mismatch","")&amp;IF(ABS(S358-X358)&gt;1,"; Profit Mismatch","")&amp;IF(COUNTIF($A$2:$A$913,A358)&gt;1,"; Duplicate Order ID Conflict",""),2)="; ",MID(AC358&amp;IF(B358="","; Missing Order Date","")&amp;IF(C358="","; Missing Ship Date","")&amp;IF(P358&lt;0,"; Invalid Discount (Negative)","")&amp;IF(P358&gt;0.5,"; Invalid Discount (Too High)","")&amp;IF(Z358&lt;0,"; Invalid Shipping Record (Ship Before Order)","")&amp;IF(ABS(Q358-W358)&gt;1,"; Sales Mismatch","")&amp;IF(ABS(S358-X358)&gt;1,"; Profit Mismatch","")&amp;IF(COUNTIF($A$2:$A$913,A358)&gt;1,"; Duplicate Order ID Conflict",""),3,500),AC358&amp;IF(B358="","; Missing Order Date","")&amp;IF(C358="","; Missing Ship Date","")&amp;IF(P358&lt;0,"; Invalid Discount (Negative)","")&amp;IF(P358&gt;0.5,"; Invalid Discount (Too High)","")&amp;IF(Z358&lt;0,"; Invalid Shipping Record (Ship Before Order)","")&amp;IF(ABS(Q358-W358)&gt;1,"; Sales Mismatch","")&amp;IF(ABS(S358-X358)&gt;1,"; Profit Mismatch","")&amp;IF(COUNTIF($A$2:$A$913,A358)&gt;1,"; Duplicate Order ID Conflict",""))</f>
        <v/>
      </c>
      <c r="AE358" s="10" t="str">
        <f aca="false">IF(OR(ISNUMBER(SEARCH("Invalid Discount",AD358)),ISNUMBER(SEARCH("Invalid Shipping Record",AD358)),ISNUMBER(SEARCH("Sales Mismatch",AD358)),ISNUMBER(SEARCH("Profit Mismatch",AD358)),ISNUMBER(SEARCH("Duplicate Order ID Conflict",AD358)),ISNUMBER(SEARCH("Missing Order Date",AD358)),ISNUMBER(SEARCH("Missing Ship Date",AD358))),"Invalid",IF(AD358&lt;&gt;"","Warning","Clean"))</f>
        <v>Clean</v>
      </c>
    </row>
    <row r="359" customFormat="false" ht="15" hidden="false" customHeight="true" outlineLevel="0" collapsed="false">
      <c r="A359" s="3" t="s">
        <v>1097</v>
      </c>
      <c r="B359" s="4" t="n">
        <v>45678</v>
      </c>
      <c r="C359" s="4" t="n">
        <v>45686</v>
      </c>
      <c r="D359" s="3" t="s">
        <v>1098</v>
      </c>
      <c r="E359" s="3" t="str">
        <f aca="false">PROPER(TRIM(SUBSTITUTE(Raw_Text_Fields!B360,CHAR(160)," ")))</f>
        <v>Mira Das</v>
      </c>
      <c r="F359" s="3" t="str">
        <f aca="false">PROPER(TRIM(SUBSTITUTE(Raw_Text_Fields!C360,CHAR(160)," ")))</f>
        <v>Home Office</v>
      </c>
      <c r="G359" s="3" t="str">
        <f aca="false">PROPER(TRIM(SUBSTITUTE(Raw_Text_Fields!D360,CHAR(160)," ")))</f>
        <v>South</v>
      </c>
      <c r="H359" s="3" t="str">
        <f aca="false">PROPER(TRIM(SUBSTITUTE(Raw_Text_Fields!E360,CHAR(160)," ")))</f>
        <v>Andhra Pradesh</v>
      </c>
      <c r="I359" s="3" t="str">
        <f aca="false">PROPER(TRIM(SUBSTITUTE(Raw_Text_Fields!F360,CHAR(160)," ")))</f>
        <v>Vijayawada</v>
      </c>
      <c r="J359" s="3" t="str">
        <f aca="false">PROPER(TRIM(SUBSTITUTE(Raw_Text_Fields!G360,CHAR(160)," ")))</f>
        <v>Technology</v>
      </c>
      <c r="K359" s="3" t="str">
        <f aca="false">PROPER(TRIM(SUBSTITUTE(Raw_Text_Fields!H360,CHAR(160)," ")))</f>
        <v>Machines</v>
      </c>
      <c r="L359" s="3" t="s">
        <v>1099</v>
      </c>
      <c r="M359" s="3" t="str">
        <f aca="false">PROPER(TRIM(SUBSTITUTE(Raw_Text_Fields!I360,CHAR(160)," ")))</f>
        <v>Second Class</v>
      </c>
      <c r="N359" s="3" t="n">
        <v>8</v>
      </c>
      <c r="O359" s="5" t="n">
        <v>546.13</v>
      </c>
      <c r="P359" s="6" t="n">
        <v>0</v>
      </c>
      <c r="Q359" s="5" t="n">
        <v>4369.04</v>
      </c>
      <c r="R359" s="5" t="n">
        <v>3716.88</v>
      </c>
      <c r="S359" s="5" t="n">
        <v>652.16</v>
      </c>
      <c r="T359" s="3" t="str">
        <f aca="false">PROPER(TRIM(SUBSTITUTE(Raw_Text_Fields!J360,CHAR(160)," ")))</f>
        <v>Paid</v>
      </c>
      <c r="U359" s="3" t="str">
        <f aca="false">PROPER(TRIM(SUBSTITUTE(Raw_Text_Fields!K360,CHAR(160)," ")))</f>
        <v>Cancelled</v>
      </c>
      <c r="V359" s="7" t="n">
        <f aca="false">IF(OR(P359&lt;0,P359&gt;0.5),0,P359)</f>
        <v>0</v>
      </c>
      <c r="W359" s="8" t="n">
        <f aca="false">N359*O359*(1-V359)</f>
        <v>4369.04</v>
      </c>
      <c r="X359" s="8" t="n">
        <f aca="false">W359-R359</f>
        <v>652.16</v>
      </c>
      <c r="Y359" s="7" t="n">
        <f aca="false">IFERROR(X359/W359,0)</f>
        <v>0.149268489187556</v>
      </c>
      <c r="Z359" s="9" t="n">
        <f aca="false">C359-B359</f>
        <v>8</v>
      </c>
      <c r="AA359" s="1" t="str">
        <f aca="false">IF(B359="","",TEXT(B359,"mmm"))</f>
        <v>Jan</v>
      </c>
      <c r="AB359" s="9" t="n">
        <f aca="false">IF(B359="","",YEAR(B359))</f>
        <v>2025</v>
      </c>
      <c r="AC359" s="3"/>
      <c r="AD359" s="3" t="str">
        <f aca="false">IF(LEFT(AC359&amp;IF(B359="","; Missing Order Date","")&amp;IF(C359="","; Missing Ship Date","")&amp;IF(P359&lt;0,"; Invalid Discount (Negative)","")&amp;IF(P359&gt;0.5,"; Invalid Discount (Too High)","")&amp;IF(Z359&lt;0,"; Invalid Shipping Record (Ship Before Order)","")&amp;IF(ABS(Q359-W359)&gt;1,"; Sales Mismatch","")&amp;IF(ABS(S359-X359)&gt;1,"; Profit Mismatch","")&amp;IF(COUNTIF($A$2:$A$913,A359)&gt;1,"; Duplicate Order ID Conflict",""),2)="; ",MID(AC359&amp;IF(B359="","; Missing Order Date","")&amp;IF(C359="","; Missing Ship Date","")&amp;IF(P359&lt;0,"; Invalid Discount (Negative)","")&amp;IF(P359&gt;0.5,"; Invalid Discount (Too High)","")&amp;IF(Z359&lt;0,"; Invalid Shipping Record (Ship Before Order)","")&amp;IF(ABS(Q359-W359)&gt;1,"; Sales Mismatch","")&amp;IF(ABS(S359-X359)&gt;1,"; Profit Mismatch","")&amp;IF(COUNTIF($A$2:$A$913,A359)&gt;1,"; Duplicate Order ID Conflict",""),3,500),AC359&amp;IF(B359="","; Missing Order Date","")&amp;IF(C359="","; Missing Ship Date","")&amp;IF(P359&lt;0,"; Invalid Discount (Negative)","")&amp;IF(P359&gt;0.5,"; Invalid Discount (Too High)","")&amp;IF(Z359&lt;0,"; Invalid Shipping Record (Ship Before Order)","")&amp;IF(ABS(Q359-W359)&gt;1,"; Sales Mismatch","")&amp;IF(ABS(S359-X359)&gt;1,"; Profit Mismatch","")&amp;IF(COUNTIF($A$2:$A$913,A359)&gt;1,"; Duplicate Order ID Conflict",""))</f>
        <v/>
      </c>
      <c r="AE359" s="10" t="str">
        <f aca="false">IF(OR(ISNUMBER(SEARCH("Invalid Discount",AD359)),ISNUMBER(SEARCH("Invalid Shipping Record",AD359)),ISNUMBER(SEARCH("Sales Mismatch",AD359)),ISNUMBER(SEARCH("Profit Mismatch",AD359)),ISNUMBER(SEARCH("Duplicate Order ID Conflict",AD359)),ISNUMBER(SEARCH("Missing Order Date",AD359)),ISNUMBER(SEARCH("Missing Ship Date",AD359))),"Invalid",IF(AD359&lt;&gt;"","Warning","Clean"))</f>
        <v>Clean</v>
      </c>
    </row>
    <row r="360" customFormat="false" ht="15" hidden="false" customHeight="true" outlineLevel="0" collapsed="false">
      <c r="A360" s="3" t="s">
        <v>1100</v>
      </c>
      <c r="B360" s="4" t="n">
        <v>45878</v>
      </c>
      <c r="C360" s="4" t="n">
        <v>45876</v>
      </c>
      <c r="D360" s="3" t="s">
        <v>1101</v>
      </c>
      <c r="E360" s="3" t="str">
        <f aca="false">PROPER(TRIM(SUBSTITUTE(Raw_Text_Fields!B361,CHAR(160)," ")))</f>
        <v>Vikram Iyer</v>
      </c>
      <c r="F360" s="3" t="str">
        <f aca="false">PROPER(TRIM(SUBSTITUTE(Raw_Text_Fields!C361,CHAR(160)," ")))</f>
        <v>Home Office</v>
      </c>
      <c r="G360" s="3" t="str">
        <f aca="false">PROPER(TRIM(SUBSTITUTE(Raw_Text_Fields!D361,CHAR(160)," ")))</f>
        <v>West</v>
      </c>
      <c r="H360" s="3" t="str">
        <f aca="false">PROPER(TRIM(SUBSTITUTE(Raw_Text_Fields!E361,CHAR(160)," ")))</f>
        <v>Gujarat</v>
      </c>
      <c r="I360" s="3" t="str">
        <f aca="false">PROPER(TRIM(SUBSTITUTE(Raw_Text_Fields!F361,CHAR(160)," ")))</f>
        <v>Ahmedabad</v>
      </c>
      <c r="J360" s="3" t="str">
        <f aca="false">PROPER(TRIM(SUBSTITUTE(Raw_Text_Fields!G361,CHAR(160)," ")))</f>
        <v>Furniture</v>
      </c>
      <c r="K360" s="3" t="str">
        <f aca="false">PROPER(TRIM(SUBSTITUTE(Raw_Text_Fields!H361,CHAR(160)," ")))</f>
        <v>Bookcases</v>
      </c>
      <c r="L360" s="3" t="s">
        <v>1102</v>
      </c>
      <c r="M360" s="3" t="str">
        <f aca="false">PROPER(TRIM(SUBSTITUTE(Raw_Text_Fields!I361,CHAR(160)," ")))</f>
        <v>Second Class</v>
      </c>
      <c r="N360" s="3" t="n">
        <v>5</v>
      </c>
      <c r="O360" s="5" t="n">
        <v>1253.92</v>
      </c>
      <c r="P360" s="6" t="n">
        <v>0.05</v>
      </c>
      <c r="Q360" s="5" t="n">
        <v>5956.12</v>
      </c>
      <c r="R360" s="5" t="n">
        <v>4379.18</v>
      </c>
      <c r="S360" s="5" t="n">
        <v>1576.94</v>
      </c>
      <c r="T360" s="3" t="str">
        <f aca="false">PROPER(TRIM(SUBSTITUTE(Raw_Text_Fields!J361,CHAR(160)," ")))</f>
        <v>Pending</v>
      </c>
      <c r="U360" s="3" t="str">
        <f aca="false">PROPER(TRIM(SUBSTITUTE(Raw_Text_Fields!K361,CHAR(160)," ")))</f>
        <v>Returned</v>
      </c>
      <c r="V360" s="7" t="n">
        <f aca="false">IF(OR(P360&lt;0,P360&gt;0.5),0,P360)</f>
        <v>0.05</v>
      </c>
      <c r="W360" s="8" t="n">
        <f aca="false">N360*O360*(1-V360)</f>
        <v>5956.12</v>
      </c>
      <c r="X360" s="8" t="n">
        <f aca="false">W360-R360</f>
        <v>1576.94</v>
      </c>
      <c r="Y360" s="7" t="n">
        <f aca="false">IFERROR(X360/W360,0)</f>
        <v>0.264759608604259</v>
      </c>
      <c r="Z360" s="9" t="n">
        <f aca="false">C360-B360</f>
        <v>-2</v>
      </c>
      <c r="AA360" s="1" t="str">
        <f aca="false">IF(B360="","",TEXT(B360,"mmm"))</f>
        <v>Aug</v>
      </c>
      <c r="AB360" s="9" t="n">
        <f aca="false">IF(B360="","",YEAR(B360))</f>
        <v>2025</v>
      </c>
      <c r="AC360" s="3"/>
      <c r="AD360" s="3" t="str">
        <f aca="false">IF(LEFT(AC360&amp;IF(B360="","; Missing Order Date","")&amp;IF(C360="","; Missing Ship Date","")&amp;IF(P360&lt;0,"; Invalid Discount (Negative)","")&amp;IF(P360&gt;0.5,"; Invalid Discount (Too High)","")&amp;IF(Z360&lt;0,"; Invalid Shipping Record (Ship Before Order)","")&amp;IF(ABS(Q360-W360)&gt;1,"; Sales Mismatch","")&amp;IF(ABS(S360-X360)&gt;1,"; Profit Mismatch","")&amp;IF(COUNTIF($A$2:$A$913,A360)&gt;1,"; Duplicate Order ID Conflict",""),2)="; ",MID(AC360&amp;IF(B360="","; Missing Order Date","")&amp;IF(C360="","; Missing Ship Date","")&amp;IF(P360&lt;0,"; Invalid Discount (Negative)","")&amp;IF(P360&gt;0.5,"; Invalid Discount (Too High)","")&amp;IF(Z360&lt;0,"; Invalid Shipping Record (Ship Before Order)","")&amp;IF(ABS(Q360-W360)&gt;1,"; Sales Mismatch","")&amp;IF(ABS(S360-X360)&gt;1,"; Profit Mismatch","")&amp;IF(COUNTIF($A$2:$A$913,A360)&gt;1,"; Duplicate Order ID Conflict",""),3,500),AC360&amp;IF(B360="","; Missing Order Date","")&amp;IF(C360="","; Missing Ship Date","")&amp;IF(P360&lt;0,"; Invalid Discount (Negative)","")&amp;IF(P360&gt;0.5,"; Invalid Discount (Too High)","")&amp;IF(Z360&lt;0,"; Invalid Shipping Record (Ship Before Order)","")&amp;IF(ABS(Q360-W360)&gt;1,"; Sales Mismatch","")&amp;IF(ABS(S360-X360)&gt;1,"; Profit Mismatch","")&amp;IF(COUNTIF($A$2:$A$913,A360)&gt;1,"; Duplicate Order ID Conflict",""))</f>
        <v>Invalid Shipping Record (Ship Before Order)</v>
      </c>
      <c r="AE360" s="10" t="str">
        <f aca="false">IF(OR(ISNUMBER(SEARCH("Invalid Discount",AD360)),ISNUMBER(SEARCH("Invalid Shipping Record",AD360)),ISNUMBER(SEARCH("Sales Mismatch",AD360)),ISNUMBER(SEARCH("Profit Mismatch",AD360)),ISNUMBER(SEARCH("Duplicate Order ID Conflict",AD360)),ISNUMBER(SEARCH("Missing Order Date",AD360)),ISNUMBER(SEARCH("Missing Ship Date",AD360))),"Invalid",IF(AD360&lt;&gt;"","Warning","Clean"))</f>
        <v>Invalid</v>
      </c>
    </row>
    <row r="361" customFormat="false" ht="15" hidden="false" customHeight="true" outlineLevel="0" collapsed="false">
      <c r="A361" s="3" t="s">
        <v>1103</v>
      </c>
      <c r="B361" s="4" t="n">
        <v>45525</v>
      </c>
      <c r="C361" s="4" t="n">
        <v>45526</v>
      </c>
      <c r="D361" s="3" t="s">
        <v>1104</v>
      </c>
      <c r="E361" s="3" t="str">
        <f aca="false">PROPER(TRIM(SUBSTITUTE(Raw_Text_Fields!B362,CHAR(160)," ")))</f>
        <v>Isha Nair</v>
      </c>
      <c r="F361" s="3" t="str">
        <f aca="false">PROPER(TRIM(SUBSTITUTE(Raw_Text_Fields!C362,CHAR(160)," ")))</f>
        <v>Consumer</v>
      </c>
      <c r="G361" s="3" t="str">
        <f aca="false">PROPER(TRIM(SUBSTITUTE(Raw_Text_Fields!D362,CHAR(160)," ")))</f>
        <v>South</v>
      </c>
      <c r="H361" s="3" t="str">
        <f aca="false">PROPER(TRIM(SUBSTITUTE(Raw_Text_Fields!E362,CHAR(160)," ")))</f>
        <v>Tamil Nadu</v>
      </c>
      <c r="I361" s="3" t="str">
        <f aca="false">PROPER(TRIM(SUBSTITUTE(Raw_Text_Fields!F362,CHAR(160)," ")))</f>
        <v>Chennai</v>
      </c>
      <c r="J361" s="3" t="str">
        <f aca="false">PROPER(TRIM(SUBSTITUTE(Raw_Text_Fields!G362,CHAR(160)," ")))</f>
        <v>Technology</v>
      </c>
      <c r="K361" s="3" t="str">
        <f aca="false">PROPER(TRIM(SUBSTITUTE(Raw_Text_Fields!H362,CHAR(160)," ")))</f>
        <v>Phones</v>
      </c>
      <c r="L361" s="3" t="s">
        <v>1105</v>
      </c>
      <c r="M361" s="3" t="str">
        <f aca="false">PROPER(TRIM(SUBSTITUTE(Raw_Text_Fields!I362,CHAR(160)," ")))</f>
        <v>Same Day</v>
      </c>
      <c r="N361" s="3" t="n">
        <v>9</v>
      </c>
      <c r="O361" s="5" t="n">
        <v>616.96</v>
      </c>
      <c r="P361" s="6" t="n">
        <v>0.1</v>
      </c>
      <c r="Q361" s="5" t="n">
        <v>4997.38</v>
      </c>
      <c r="R361" s="5" t="n">
        <v>2971.39</v>
      </c>
      <c r="S361" s="5" t="n">
        <v>2025.99</v>
      </c>
      <c r="T361" s="3" t="str">
        <f aca="false">PROPER(TRIM(SUBSTITUTE(Raw_Text_Fields!J362,CHAR(160)," ")))</f>
        <v>Paid</v>
      </c>
      <c r="U361" s="3" t="str">
        <f aca="false">PROPER(TRIM(SUBSTITUTE(Raw_Text_Fields!K362,CHAR(160)," ")))</f>
        <v>Completed</v>
      </c>
      <c r="V361" s="7" t="n">
        <f aca="false">IF(OR(P361&lt;0,P361&gt;0.5),0,P361)</f>
        <v>0.1</v>
      </c>
      <c r="W361" s="8" t="n">
        <f aca="false">N361*O361*(1-V361)</f>
        <v>4997.376</v>
      </c>
      <c r="X361" s="8" t="n">
        <f aca="false">W361-R361</f>
        <v>2025.986</v>
      </c>
      <c r="Y361" s="7" t="n">
        <f aca="false">IFERROR(X361/W361,0)</f>
        <v>0.40540995914656</v>
      </c>
      <c r="Z361" s="9" t="n">
        <f aca="false">C361-B361</f>
        <v>1</v>
      </c>
      <c r="AA361" s="1" t="str">
        <f aca="false">IF(B361="","",TEXT(B361,"mmm"))</f>
        <v>Aug</v>
      </c>
      <c r="AB361" s="9" t="n">
        <f aca="false">IF(B361="","",YEAR(B361))</f>
        <v>2024</v>
      </c>
      <c r="AC361" s="3"/>
      <c r="AD361" s="3" t="str">
        <f aca="false">IF(LEFT(AC361&amp;IF(B361="","; Missing Order Date","")&amp;IF(C361="","; Missing Ship Date","")&amp;IF(P361&lt;0,"; Invalid Discount (Negative)","")&amp;IF(P361&gt;0.5,"; Invalid Discount (Too High)","")&amp;IF(Z361&lt;0,"; Invalid Shipping Record (Ship Before Order)","")&amp;IF(ABS(Q361-W361)&gt;1,"; Sales Mismatch","")&amp;IF(ABS(S361-X361)&gt;1,"; Profit Mismatch","")&amp;IF(COUNTIF($A$2:$A$913,A361)&gt;1,"; Duplicate Order ID Conflict",""),2)="; ",MID(AC361&amp;IF(B361="","; Missing Order Date","")&amp;IF(C361="","; Missing Ship Date","")&amp;IF(P361&lt;0,"; Invalid Discount (Negative)","")&amp;IF(P361&gt;0.5,"; Invalid Discount (Too High)","")&amp;IF(Z361&lt;0,"; Invalid Shipping Record (Ship Before Order)","")&amp;IF(ABS(Q361-W361)&gt;1,"; Sales Mismatch","")&amp;IF(ABS(S361-X361)&gt;1,"; Profit Mismatch","")&amp;IF(COUNTIF($A$2:$A$913,A361)&gt;1,"; Duplicate Order ID Conflict",""),3,500),AC361&amp;IF(B361="","; Missing Order Date","")&amp;IF(C361="","; Missing Ship Date","")&amp;IF(P361&lt;0,"; Invalid Discount (Negative)","")&amp;IF(P361&gt;0.5,"; Invalid Discount (Too High)","")&amp;IF(Z361&lt;0,"; Invalid Shipping Record (Ship Before Order)","")&amp;IF(ABS(Q361-W361)&gt;1,"; Sales Mismatch","")&amp;IF(ABS(S361-X361)&gt;1,"; Profit Mismatch","")&amp;IF(COUNTIF($A$2:$A$913,A361)&gt;1,"; Duplicate Order ID Conflict",""))</f>
        <v/>
      </c>
      <c r="AE361" s="10" t="str">
        <f aca="false">IF(OR(ISNUMBER(SEARCH("Invalid Discount",AD361)),ISNUMBER(SEARCH("Invalid Shipping Record",AD361)),ISNUMBER(SEARCH("Sales Mismatch",AD361)),ISNUMBER(SEARCH("Profit Mismatch",AD361)),ISNUMBER(SEARCH("Duplicate Order ID Conflict",AD361)),ISNUMBER(SEARCH("Missing Order Date",AD361)),ISNUMBER(SEARCH("Missing Ship Date",AD361))),"Invalid",IF(AD361&lt;&gt;"","Warning","Clean"))</f>
        <v>Clean</v>
      </c>
    </row>
    <row r="362" customFormat="false" ht="15" hidden="false" customHeight="true" outlineLevel="0" collapsed="false">
      <c r="A362" s="3" t="s">
        <v>1106</v>
      </c>
      <c r="B362" s="4" t="n">
        <v>45460</v>
      </c>
      <c r="C362" s="4" t="n">
        <v>45463</v>
      </c>
      <c r="D362" s="3" t="s">
        <v>1107</v>
      </c>
      <c r="E362" s="3" t="str">
        <f aca="false">PROPER(TRIM(SUBSTITUTE(Raw_Text_Fields!B363,CHAR(160)," ")))</f>
        <v>Sneha Kapoor</v>
      </c>
      <c r="F362" s="3" t="str">
        <f aca="false">PROPER(TRIM(SUBSTITUTE(Raw_Text_Fields!C363,CHAR(160)," ")))</f>
        <v>Small Business</v>
      </c>
      <c r="G362" s="3" t="str">
        <f aca="false">PROPER(TRIM(SUBSTITUTE(Raw_Text_Fields!D363,CHAR(160)," ")))</f>
        <v>West</v>
      </c>
      <c r="H362" s="3" t="str">
        <f aca="false">PROPER(TRIM(SUBSTITUTE(Raw_Text_Fields!E363,CHAR(160)," ")))</f>
        <v>Gujarat</v>
      </c>
      <c r="I362" s="3" t="str">
        <f aca="false">PROPER(TRIM(SUBSTITUTE(Raw_Text_Fields!F363,CHAR(160)," ")))</f>
        <v>Ahmedabad</v>
      </c>
      <c r="J362" s="3" t="str">
        <f aca="false">PROPER(TRIM(SUBSTITUTE(Raw_Text_Fields!G363,CHAR(160)," ")))</f>
        <v>Furniture</v>
      </c>
      <c r="K362" s="3" t="str">
        <f aca="false">PROPER(TRIM(SUBSTITUTE(Raw_Text_Fields!H363,CHAR(160)," ")))</f>
        <v>Furnishings</v>
      </c>
      <c r="L362" s="3" t="s">
        <v>1108</v>
      </c>
      <c r="M362" s="3" t="str">
        <f aca="false">PROPER(TRIM(SUBSTITUTE(Raw_Text_Fields!I363,CHAR(160)," ")))</f>
        <v>Standard Class</v>
      </c>
      <c r="N362" s="3" t="n">
        <v>7</v>
      </c>
      <c r="O362" s="5" t="n">
        <v>3155.25</v>
      </c>
      <c r="P362" s="6" t="n">
        <v>0.2</v>
      </c>
      <c r="Q362" s="5" t="n">
        <v>17669.4</v>
      </c>
      <c r="R362" s="5" t="n">
        <v>13718.77</v>
      </c>
      <c r="S362" s="5" t="n">
        <v>3950.63</v>
      </c>
      <c r="T362" s="3" t="str">
        <f aca="false">PROPER(TRIM(SUBSTITUTE(Raw_Text_Fields!J363,CHAR(160)," ")))</f>
        <v>Refunded</v>
      </c>
      <c r="U362" s="3" t="str">
        <f aca="false">PROPER(TRIM(SUBSTITUTE(Raw_Text_Fields!K363,CHAR(160)," ")))</f>
        <v>Cancelled</v>
      </c>
      <c r="V362" s="7" t="n">
        <f aca="false">IF(OR(P362&lt;0,P362&gt;0.5),0,P362)</f>
        <v>0.2</v>
      </c>
      <c r="W362" s="8" t="n">
        <f aca="false">N362*O362*(1-V362)</f>
        <v>17669.4</v>
      </c>
      <c r="X362" s="8" t="n">
        <f aca="false">W362-R362</f>
        <v>3950.63</v>
      </c>
      <c r="Y362" s="7" t="n">
        <f aca="false">IFERROR(X362/W362,0)</f>
        <v>0.223585973490894</v>
      </c>
      <c r="Z362" s="9" t="n">
        <f aca="false">C362-B362</f>
        <v>3</v>
      </c>
      <c r="AA362" s="1" t="str">
        <f aca="false">IF(B362="","",TEXT(B362,"mmm"))</f>
        <v>Jun</v>
      </c>
      <c r="AB362" s="9" t="n">
        <f aca="false">IF(B362="","",YEAR(B362))</f>
        <v>2024</v>
      </c>
      <c r="AC362" s="3"/>
      <c r="AD362" s="3" t="str">
        <f aca="false">IF(LEFT(AC362&amp;IF(B362="","; Missing Order Date","")&amp;IF(C362="","; Missing Ship Date","")&amp;IF(P362&lt;0,"; Invalid Discount (Negative)","")&amp;IF(P362&gt;0.5,"; Invalid Discount (Too High)","")&amp;IF(Z362&lt;0,"; Invalid Shipping Record (Ship Before Order)","")&amp;IF(ABS(Q362-W362)&gt;1,"; Sales Mismatch","")&amp;IF(ABS(S362-X362)&gt;1,"; Profit Mismatch","")&amp;IF(COUNTIF($A$2:$A$913,A362)&gt;1,"; Duplicate Order ID Conflict",""),2)="; ",MID(AC362&amp;IF(B362="","; Missing Order Date","")&amp;IF(C362="","; Missing Ship Date","")&amp;IF(P362&lt;0,"; Invalid Discount (Negative)","")&amp;IF(P362&gt;0.5,"; Invalid Discount (Too High)","")&amp;IF(Z362&lt;0,"; Invalid Shipping Record (Ship Before Order)","")&amp;IF(ABS(Q362-W362)&gt;1,"; Sales Mismatch","")&amp;IF(ABS(S362-X362)&gt;1,"; Profit Mismatch","")&amp;IF(COUNTIF($A$2:$A$913,A362)&gt;1,"; Duplicate Order ID Conflict",""),3,500),AC362&amp;IF(B362="","; Missing Order Date","")&amp;IF(C362="","; Missing Ship Date","")&amp;IF(P362&lt;0,"; Invalid Discount (Negative)","")&amp;IF(P362&gt;0.5,"; Invalid Discount (Too High)","")&amp;IF(Z362&lt;0,"; Invalid Shipping Record (Ship Before Order)","")&amp;IF(ABS(Q362-W362)&gt;1,"; Sales Mismatch","")&amp;IF(ABS(S362-X362)&gt;1,"; Profit Mismatch","")&amp;IF(COUNTIF($A$2:$A$913,A362)&gt;1,"; Duplicate Order ID Conflict",""))</f>
        <v/>
      </c>
      <c r="AE362" s="10" t="str">
        <f aca="false">IF(OR(ISNUMBER(SEARCH("Invalid Discount",AD362)),ISNUMBER(SEARCH("Invalid Shipping Record",AD362)),ISNUMBER(SEARCH("Sales Mismatch",AD362)),ISNUMBER(SEARCH("Profit Mismatch",AD362)),ISNUMBER(SEARCH("Duplicate Order ID Conflict",AD362)),ISNUMBER(SEARCH("Missing Order Date",AD362)),ISNUMBER(SEARCH("Missing Ship Date",AD362))),"Invalid",IF(AD362&lt;&gt;"","Warning","Clean"))</f>
        <v>Clean</v>
      </c>
    </row>
    <row r="363" customFormat="false" ht="15" hidden="false" customHeight="true" outlineLevel="0" collapsed="false">
      <c r="A363" s="3" t="s">
        <v>1109</v>
      </c>
      <c r="B363" s="4" t="n">
        <v>45748</v>
      </c>
      <c r="C363" s="4" t="n">
        <v>45749</v>
      </c>
      <c r="D363" s="3" t="s">
        <v>1110</v>
      </c>
      <c r="E363" s="3" t="str">
        <f aca="false">PROPER(TRIM(SUBSTITUTE(Raw_Text_Fields!B364,CHAR(160)," ")))</f>
        <v>Rohan Mehta</v>
      </c>
      <c r="F363" s="3" t="str">
        <f aca="false">PROPER(TRIM(SUBSTITUTE(Raw_Text_Fields!C364,CHAR(160)," ")))</f>
        <v>Corporate</v>
      </c>
      <c r="G363" s="3" t="str">
        <f aca="false">PROPER(TRIM(SUBSTITUTE(Raw_Text_Fields!D364,CHAR(160)," ")))</f>
        <v>East</v>
      </c>
      <c r="H363" s="3" t="str">
        <f aca="false">PROPER(TRIM(SUBSTITUTE(Raw_Text_Fields!E364,CHAR(160)," ")))</f>
        <v>Odisha</v>
      </c>
      <c r="I363" s="3" t="str">
        <f aca="false">PROPER(TRIM(SUBSTITUTE(Raw_Text_Fields!F364,CHAR(160)," ")))</f>
        <v>Bhubaneswar</v>
      </c>
      <c r="J363" s="3" t="str">
        <f aca="false">PROPER(TRIM(SUBSTITUTE(Raw_Text_Fields!G364,CHAR(160)," ")))</f>
        <v>Furniture</v>
      </c>
      <c r="K363" s="3" t="str">
        <f aca="false">PROPER(TRIM(SUBSTITUTE(Raw_Text_Fields!H364,CHAR(160)," ")))</f>
        <v>Chairs</v>
      </c>
      <c r="L363" s="3" t="s">
        <v>1111</v>
      </c>
      <c r="M363" s="3" t="str">
        <f aca="false">PROPER(TRIM(SUBSTITUTE(Raw_Text_Fields!I364,CHAR(160)," ")))</f>
        <v>Second Class</v>
      </c>
      <c r="N363" s="3" t="n">
        <v>9</v>
      </c>
      <c r="O363" s="5" t="n">
        <v>4165.58</v>
      </c>
      <c r="P363" s="6" t="n">
        <v>0.05</v>
      </c>
      <c r="Q363" s="5" t="n">
        <v>35615.71</v>
      </c>
      <c r="R363" s="5" t="n">
        <v>20389.71</v>
      </c>
      <c r="S363" s="5" t="n">
        <v>15226</v>
      </c>
      <c r="T363" s="3" t="str">
        <f aca="false">PROPER(TRIM(SUBSTITUTE(Raw_Text_Fields!J364,CHAR(160)," ")))</f>
        <v>Pending</v>
      </c>
      <c r="U363" s="3" t="str">
        <f aca="false">PROPER(TRIM(SUBSTITUTE(Raw_Text_Fields!K364,CHAR(160)," ")))</f>
        <v>Returned</v>
      </c>
      <c r="V363" s="7" t="n">
        <f aca="false">IF(OR(P363&lt;0,P363&gt;0.5),0,P363)</f>
        <v>0.05</v>
      </c>
      <c r="W363" s="8" t="n">
        <f aca="false">N363*O363*(1-V363)</f>
        <v>35615.709</v>
      </c>
      <c r="X363" s="8" t="n">
        <f aca="false">W363-R363</f>
        <v>15225.999</v>
      </c>
      <c r="Y363" s="7" t="n">
        <f aca="false">IFERROR(X363/W363,0)</f>
        <v>0.427507957233141</v>
      </c>
      <c r="Z363" s="9" t="n">
        <f aca="false">C363-B363</f>
        <v>1</v>
      </c>
      <c r="AA363" s="1" t="str">
        <f aca="false">IF(B363="","",TEXT(B363,"mmm"))</f>
        <v>Apr</v>
      </c>
      <c r="AB363" s="9" t="n">
        <f aca="false">IF(B363="","",YEAR(B363))</f>
        <v>2025</v>
      </c>
      <c r="AC363" s="3"/>
      <c r="AD363" s="3" t="str">
        <f aca="false">IF(LEFT(AC363&amp;IF(B363="","; Missing Order Date","")&amp;IF(C363="","; Missing Ship Date","")&amp;IF(P363&lt;0,"; Invalid Discount (Negative)","")&amp;IF(P363&gt;0.5,"; Invalid Discount (Too High)","")&amp;IF(Z363&lt;0,"; Invalid Shipping Record (Ship Before Order)","")&amp;IF(ABS(Q363-W363)&gt;1,"; Sales Mismatch","")&amp;IF(ABS(S363-X363)&gt;1,"; Profit Mismatch","")&amp;IF(COUNTIF($A$2:$A$913,A363)&gt;1,"; Duplicate Order ID Conflict",""),2)="; ",MID(AC363&amp;IF(B363="","; Missing Order Date","")&amp;IF(C363="","; Missing Ship Date","")&amp;IF(P363&lt;0,"; Invalid Discount (Negative)","")&amp;IF(P363&gt;0.5,"; Invalid Discount (Too High)","")&amp;IF(Z363&lt;0,"; Invalid Shipping Record (Ship Before Order)","")&amp;IF(ABS(Q363-W363)&gt;1,"; Sales Mismatch","")&amp;IF(ABS(S363-X363)&gt;1,"; Profit Mismatch","")&amp;IF(COUNTIF($A$2:$A$913,A363)&gt;1,"; Duplicate Order ID Conflict",""),3,500),AC363&amp;IF(B363="","; Missing Order Date","")&amp;IF(C363="","; Missing Ship Date","")&amp;IF(P363&lt;0,"; Invalid Discount (Negative)","")&amp;IF(P363&gt;0.5,"; Invalid Discount (Too High)","")&amp;IF(Z363&lt;0,"; Invalid Shipping Record (Ship Before Order)","")&amp;IF(ABS(Q363-W363)&gt;1,"; Sales Mismatch","")&amp;IF(ABS(S363-X363)&gt;1,"; Profit Mismatch","")&amp;IF(COUNTIF($A$2:$A$913,A363)&gt;1,"; Duplicate Order ID Conflict",""))</f>
        <v/>
      </c>
      <c r="AE363" s="10" t="str">
        <f aca="false">IF(OR(ISNUMBER(SEARCH("Invalid Discount",AD363)),ISNUMBER(SEARCH("Invalid Shipping Record",AD363)),ISNUMBER(SEARCH("Sales Mismatch",AD363)),ISNUMBER(SEARCH("Profit Mismatch",AD363)),ISNUMBER(SEARCH("Duplicate Order ID Conflict",AD363)),ISNUMBER(SEARCH("Missing Order Date",AD363)),ISNUMBER(SEARCH("Missing Ship Date",AD363))),"Invalid",IF(AD363&lt;&gt;"","Warning","Clean"))</f>
        <v>Clean</v>
      </c>
    </row>
    <row r="364" customFormat="false" ht="15" hidden="false" customHeight="true" outlineLevel="0" collapsed="false">
      <c r="A364" s="3" t="s">
        <v>1112</v>
      </c>
      <c r="B364" s="4" t="n">
        <v>45527</v>
      </c>
      <c r="C364" s="4" t="n">
        <v>45529</v>
      </c>
      <c r="D364" s="3" t="s">
        <v>1113</v>
      </c>
      <c r="E364" s="3" t="str">
        <f aca="false">PROPER(TRIM(SUBSTITUTE(Raw_Text_Fields!B365,CHAR(160)," ")))</f>
        <v>Vikram Iyer</v>
      </c>
      <c r="F364" s="3" t="str">
        <f aca="false">PROPER(TRIM(SUBSTITUTE(Raw_Text_Fields!C365,CHAR(160)," ")))</f>
        <v>Consumer</v>
      </c>
      <c r="G364" s="3" t="str">
        <f aca="false">PROPER(TRIM(SUBSTITUTE(Raw_Text_Fields!D365,CHAR(160)," ")))</f>
        <v>West</v>
      </c>
      <c r="H364" s="3" t="str">
        <f aca="false">PROPER(TRIM(SUBSTITUTE(Raw_Text_Fields!E365,CHAR(160)," ")))</f>
        <v>Goa</v>
      </c>
      <c r="I364" s="3" t="str">
        <f aca="false">PROPER(TRIM(SUBSTITUTE(Raw_Text_Fields!F365,CHAR(160)," ")))</f>
        <v>Panaji</v>
      </c>
      <c r="J364" s="3" t="str">
        <f aca="false">PROPER(TRIM(SUBSTITUTE(Raw_Text_Fields!G365,CHAR(160)," ")))</f>
        <v>Technology</v>
      </c>
      <c r="K364" s="3" t="str">
        <f aca="false">PROPER(TRIM(SUBSTITUTE(Raw_Text_Fields!H365,CHAR(160)," ")))</f>
        <v>Machines</v>
      </c>
      <c r="L364" s="3" t="s">
        <v>1114</v>
      </c>
      <c r="M364" s="3" t="str">
        <f aca="false">PROPER(TRIM(SUBSTITUTE(Raw_Text_Fields!I365,CHAR(160)," ")))</f>
        <v>Same Day</v>
      </c>
      <c r="N364" s="3" t="n">
        <v>4</v>
      </c>
      <c r="O364" s="5" t="n">
        <v>491.16</v>
      </c>
      <c r="P364" s="6" t="n">
        <v>0.05</v>
      </c>
      <c r="Q364" s="5" t="n">
        <v>1866.41</v>
      </c>
      <c r="R364" s="5" t="n">
        <v>1576.49</v>
      </c>
      <c r="S364" s="5" t="n">
        <v>289.92</v>
      </c>
      <c r="T364" s="3" t="str">
        <f aca="false">PROPER(TRIM(SUBSTITUTE(Raw_Text_Fields!J365,CHAR(160)," ")))</f>
        <v>Paid</v>
      </c>
      <c r="U364" s="3" t="str">
        <f aca="false">PROPER(TRIM(SUBSTITUTE(Raw_Text_Fields!K365,CHAR(160)," ")))</f>
        <v>Completed</v>
      </c>
      <c r="V364" s="7" t="n">
        <f aca="false">IF(OR(P364&lt;0,P364&gt;0.5),0,P364)</f>
        <v>0.05</v>
      </c>
      <c r="W364" s="8" t="n">
        <f aca="false">N364*O364*(1-V364)</f>
        <v>1866.408</v>
      </c>
      <c r="X364" s="8" t="n">
        <f aca="false">W364-R364</f>
        <v>289.918</v>
      </c>
      <c r="Y364" s="7" t="n">
        <f aca="false">IFERROR(X364/W364,0)</f>
        <v>0.155334739242438</v>
      </c>
      <c r="Z364" s="9" t="n">
        <f aca="false">C364-B364</f>
        <v>2</v>
      </c>
      <c r="AA364" s="1" t="str">
        <f aca="false">IF(B364="","",TEXT(B364,"mmm"))</f>
        <v>Aug</v>
      </c>
      <c r="AB364" s="9" t="n">
        <f aca="false">IF(B364="","",YEAR(B364))</f>
        <v>2024</v>
      </c>
      <c r="AC364" s="3"/>
      <c r="AD364" s="3" t="str">
        <f aca="false">IF(LEFT(AC364&amp;IF(B364="","; Missing Order Date","")&amp;IF(C364="","; Missing Ship Date","")&amp;IF(P364&lt;0,"; Invalid Discount (Negative)","")&amp;IF(P364&gt;0.5,"; Invalid Discount (Too High)","")&amp;IF(Z364&lt;0,"; Invalid Shipping Record (Ship Before Order)","")&amp;IF(ABS(Q364-W364)&gt;1,"; Sales Mismatch","")&amp;IF(ABS(S364-X364)&gt;1,"; Profit Mismatch","")&amp;IF(COUNTIF($A$2:$A$913,A364)&gt;1,"; Duplicate Order ID Conflict",""),2)="; ",MID(AC364&amp;IF(B364="","; Missing Order Date","")&amp;IF(C364="","; Missing Ship Date","")&amp;IF(P364&lt;0,"; Invalid Discount (Negative)","")&amp;IF(P364&gt;0.5,"; Invalid Discount (Too High)","")&amp;IF(Z364&lt;0,"; Invalid Shipping Record (Ship Before Order)","")&amp;IF(ABS(Q364-W364)&gt;1,"; Sales Mismatch","")&amp;IF(ABS(S364-X364)&gt;1,"; Profit Mismatch","")&amp;IF(COUNTIF($A$2:$A$913,A364)&gt;1,"; Duplicate Order ID Conflict",""),3,500),AC364&amp;IF(B364="","; Missing Order Date","")&amp;IF(C364="","; Missing Ship Date","")&amp;IF(P364&lt;0,"; Invalid Discount (Negative)","")&amp;IF(P364&gt;0.5,"; Invalid Discount (Too High)","")&amp;IF(Z364&lt;0,"; Invalid Shipping Record (Ship Before Order)","")&amp;IF(ABS(Q364-W364)&gt;1,"; Sales Mismatch","")&amp;IF(ABS(S364-X364)&gt;1,"; Profit Mismatch","")&amp;IF(COUNTIF($A$2:$A$913,A364)&gt;1,"; Duplicate Order ID Conflict",""))</f>
        <v/>
      </c>
      <c r="AE364" s="10" t="str">
        <f aca="false">IF(OR(ISNUMBER(SEARCH("Invalid Discount",AD364)),ISNUMBER(SEARCH("Invalid Shipping Record",AD364)),ISNUMBER(SEARCH("Sales Mismatch",AD364)),ISNUMBER(SEARCH("Profit Mismatch",AD364)),ISNUMBER(SEARCH("Duplicate Order ID Conflict",AD364)),ISNUMBER(SEARCH("Missing Order Date",AD364)),ISNUMBER(SEARCH("Missing Ship Date",AD364))),"Invalid",IF(AD364&lt;&gt;"","Warning","Clean"))</f>
        <v>Clean</v>
      </c>
    </row>
    <row r="365" customFormat="false" ht="15" hidden="false" customHeight="true" outlineLevel="0" collapsed="false">
      <c r="A365" s="3" t="s">
        <v>1115</v>
      </c>
      <c r="B365" s="4" t="n">
        <v>45845</v>
      </c>
      <c r="C365" s="4" t="n">
        <v>45850</v>
      </c>
      <c r="D365" s="3" t="s">
        <v>1116</v>
      </c>
      <c r="E365" s="3" t="str">
        <f aca="false">PROPER(TRIM(SUBSTITUTE(Raw_Text_Fields!B366,CHAR(160)," ")))</f>
        <v>Diya Patel</v>
      </c>
      <c r="F365" s="3" t="str">
        <f aca="false">PROPER(TRIM(SUBSTITUTE(Raw_Text_Fields!C366,CHAR(160)," ")))</f>
        <v>Corporate</v>
      </c>
      <c r="G365" s="3" t="str">
        <f aca="false">PROPER(TRIM(SUBSTITUTE(Raw_Text_Fields!D366,CHAR(160)," ")))</f>
        <v>East</v>
      </c>
      <c r="H365" s="3" t="str">
        <f aca="false">PROPER(TRIM(SUBSTITUTE(Raw_Text_Fields!E366,CHAR(160)," ")))</f>
        <v>West Bengal</v>
      </c>
      <c r="I365" s="3" t="str">
        <f aca="false">PROPER(TRIM(SUBSTITUTE(Raw_Text_Fields!F366,CHAR(160)," ")))</f>
        <v>Kolkata</v>
      </c>
      <c r="J365" s="3" t="str">
        <f aca="false">PROPER(TRIM(SUBSTITUTE(Raw_Text_Fields!G366,CHAR(160)," ")))</f>
        <v>Furniture</v>
      </c>
      <c r="K365" s="3" t="str">
        <f aca="false">PROPER(TRIM(SUBSTITUTE(Raw_Text_Fields!H366,CHAR(160)," ")))</f>
        <v>Tables</v>
      </c>
      <c r="L365" s="3" t="s">
        <v>1117</v>
      </c>
      <c r="M365" s="3" t="str">
        <f aca="false">PROPER(TRIM(SUBSTITUTE(Raw_Text_Fields!I366,CHAR(160)," ")))</f>
        <v>Second Class</v>
      </c>
      <c r="N365" s="3" t="n">
        <v>5</v>
      </c>
      <c r="O365" s="5" t="n">
        <v>1831.37</v>
      </c>
      <c r="P365" s="6" t="n">
        <v>0.25</v>
      </c>
      <c r="Q365" s="5" t="n">
        <v>6867.64</v>
      </c>
      <c r="R365" s="5" t="n">
        <v>5205.36</v>
      </c>
      <c r="S365" s="5" t="n">
        <v>1662.28</v>
      </c>
      <c r="T365" s="3" t="str">
        <f aca="false">PROPER(TRIM(SUBSTITUTE(Raw_Text_Fields!J366,CHAR(160)," ")))</f>
        <v>Paid</v>
      </c>
      <c r="U365" s="3" t="str">
        <f aca="false">PROPER(TRIM(SUBSTITUTE(Raw_Text_Fields!K366,CHAR(160)," ")))</f>
        <v>Completed</v>
      </c>
      <c r="V365" s="7" t="n">
        <f aca="false">IF(OR(P365&lt;0,P365&gt;0.5),0,P365)</f>
        <v>0.25</v>
      </c>
      <c r="W365" s="8" t="n">
        <f aca="false">N365*O365*(1-V365)</f>
        <v>6867.6375</v>
      </c>
      <c r="X365" s="8" t="n">
        <f aca="false">W365-R365</f>
        <v>1662.2775</v>
      </c>
      <c r="Y365" s="7" t="n">
        <f aca="false">IFERROR(X365/W365,0)</f>
        <v>0.242045026401</v>
      </c>
      <c r="Z365" s="9" t="n">
        <f aca="false">C365-B365</f>
        <v>5</v>
      </c>
      <c r="AA365" s="1" t="str">
        <f aca="false">IF(B365="","",TEXT(B365,"mmm"))</f>
        <v>Jul</v>
      </c>
      <c r="AB365" s="9" t="n">
        <f aca="false">IF(B365="","",YEAR(B365))</f>
        <v>2025</v>
      </c>
      <c r="AC365" s="3"/>
      <c r="AD365" s="3" t="str">
        <f aca="false">IF(LEFT(AC365&amp;IF(B365="","; Missing Order Date","")&amp;IF(C365="","; Missing Ship Date","")&amp;IF(P365&lt;0,"; Invalid Discount (Negative)","")&amp;IF(P365&gt;0.5,"; Invalid Discount (Too High)","")&amp;IF(Z365&lt;0,"; Invalid Shipping Record (Ship Before Order)","")&amp;IF(ABS(Q365-W365)&gt;1,"; Sales Mismatch","")&amp;IF(ABS(S365-X365)&gt;1,"; Profit Mismatch","")&amp;IF(COUNTIF($A$2:$A$913,A365)&gt;1,"; Duplicate Order ID Conflict",""),2)="; ",MID(AC365&amp;IF(B365="","; Missing Order Date","")&amp;IF(C365="","; Missing Ship Date","")&amp;IF(P365&lt;0,"; Invalid Discount (Negative)","")&amp;IF(P365&gt;0.5,"; Invalid Discount (Too High)","")&amp;IF(Z365&lt;0,"; Invalid Shipping Record (Ship Before Order)","")&amp;IF(ABS(Q365-W365)&gt;1,"; Sales Mismatch","")&amp;IF(ABS(S365-X365)&gt;1,"; Profit Mismatch","")&amp;IF(COUNTIF($A$2:$A$913,A365)&gt;1,"; Duplicate Order ID Conflict",""),3,500),AC365&amp;IF(B365="","; Missing Order Date","")&amp;IF(C365="","; Missing Ship Date","")&amp;IF(P365&lt;0,"; Invalid Discount (Negative)","")&amp;IF(P365&gt;0.5,"; Invalid Discount (Too High)","")&amp;IF(Z365&lt;0,"; Invalid Shipping Record (Ship Before Order)","")&amp;IF(ABS(Q365-W365)&gt;1,"; Sales Mismatch","")&amp;IF(ABS(S365-X365)&gt;1,"; Profit Mismatch","")&amp;IF(COUNTIF($A$2:$A$913,A365)&gt;1,"; Duplicate Order ID Conflict",""))</f>
        <v/>
      </c>
      <c r="AE365" s="10" t="str">
        <f aca="false">IF(OR(ISNUMBER(SEARCH("Invalid Discount",AD365)),ISNUMBER(SEARCH("Invalid Shipping Record",AD365)),ISNUMBER(SEARCH("Sales Mismatch",AD365)),ISNUMBER(SEARCH("Profit Mismatch",AD365)),ISNUMBER(SEARCH("Duplicate Order ID Conflict",AD365)),ISNUMBER(SEARCH("Missing Order Date",AD365)),ISNUMBER(SEARCH("Missing Ship Date",AD365))),"Invalid",IF(AD365&lt;&gt;"","Warning","Clean"))</f>
        <v>Clean</v>
      </c>
    </row>
    <row r="366" customFormat="false" ht="15" hidden="false" customHeight="true" outlineLevel="0" collapsed="false">
      <c r="A366" s="3" t="s">
        <v>1118</v>
      </c>
      <c r="B366" s="4" t="n">
        <v>45737</v>
      </c>
      <c r="C366" s="4" t="n">
        <v>45740</v>
      </c>
      <c r="D366" s="3" t="s">
        <v>1119</v>
      </c>
      <c r="E366" s="3" t="str">
        <f aca="false">PROPER(TRIM(SUBSTITUTE(Raw_Text_Fields!B367,CHAR(160)," ")))</f>
        <v>Aarav Sharma</v>
      </c>
      <c r="F366" s="3" t="str">
        <f aca="false">PROPER(TRIM(SUBSTITUTE(Raw_Text_Fields!C367,CHAR(160)," ")))</f>
        <v>Small Business</v>
      </c>
      <c r="G366" s="3" t="str">
        <f aca="false">PROPER(TRIM(SUBSTITUTE(Raw_Text_Fields!D367,CHAR(160)," ")))</f>
        <v>South</v>
      </c>
      <c r="H366" s="3" t="str">
        <f aca="false">PROPER(TRIM(SUBSTITUTE(Raw_Text_Fields!E367,CHAR(160)," ")))</f>
        <v>Andhra Pradesh</v>
      </c>
      <c r="I366" s="3" t="str">
        <f aca="false">PROPER(TRIM(SUBSTITUTE(Raw_Text_Fields!F367,CHAR(160)," ")))</f>
        <v>Vijayawada</v>
      </c>
      <c r="J366" s="3" t="str">
        <f aca="false">PROPER(TRIM(SUBSTITUTE(Raw_Text_Fields!G367,CHAR(160)," ")))</f>
        <v>Furniture</v>
      </c>
      <c r="K366" s="3" t="str">
        <f aca="false">PROPER(TRIM(SUBSTITUTE(Raw_Text_Fields!H367,CHAR(160)," ")))</f>
        <v>Chairs</v>
      </c>
      <c r="L366" s="3" t="s">
        <v>1120</v>
      </c>
      <c r="M366" s="3" t="str">
        <f aca="false">PROPER(TRIM(SUBSTITUTE(Raw_Text_Fields!I367,CHAR(160)," ")))</f>
        <v>Second Class</v>
      </c>
      <c r="N366" s="3" t="n">
        <v>5</v>
      </c>
      <c r="O366" s="5" t="n">
        <v>1239.15</v>
      </c>
      <c r="P366" s="6" t="n">
        <v>0</v>
      </c>
      <c r="Q366" s="5" t="n">
        <v>6195.75</v>
      </c>
      <c r="R366" s="5" t="n">
        <v>3967.02</v>
      </c>
      <c r="S366" s="5" t="n">
        <v>2228.73</v>
      </c>
      <c r="T366" s="3" t="str">
        <f aca="false">PROPER(TRIM(SUBSTITUTE(Raw_Text_Fields!J367,CHAR(160)," ")))</f>
        <v>Paid</v>
      </c>
      <c r="U366" s="3" t="str">
        <f aca="false">PROPER(TRIM(SUBSTITUTE(Raw_Text_Fields!K367,CHAR(160)," ")))</f>
        <v>Completed</v>
      </c>
      <c r="V366" s="7" t="n">
        <f aca="false">IF(OR(P366&lt;0,P366&gt;0.5),0,P366)</f>
        <v>0</v>
      </c>
      <c r="W366" s="8" t="n">
        <f aca="false">N366*O366*(1-V366)</f>
        <v>6195.75</v>
      </c>
      <c r="X366" s="8" t="n">
        <f aca="false">W366-R366</f>
        <v>2228.73</v>
      </c>
      <c r="Y366" s="7" t="n">
        <f aca="false">IFERROR(X366/W366,0)</f>
        <v>0.359719162329016</v>
      </c>
      <c r="Z366" s="9" t="n">
        <f aca="false">C366-B366</f>
        <v>3</v>
      </c>
      <c r="AA366" s="1" t="str">
        <f aca="false">IF(B366="","",TEXT(B366,"mmm"))</f>
        <v>Mar</v>
      </c>
      <c r="AB366" s="9" t="n">
        <f aca="false">IF(B366="","",YEAR(B366))</f>
        <v>2025</v>
      </c>
      <c r="AC366" s="3"/>
      <c r="AD366" s="3" t="str">
        <f aca="false">IF(LEFT(AC366&amp;IF(B366="","; Missing Order Date","")&amp;IF(C366="","; Missing Ship Date","")&amp;IF(P366&lt;0,"; Invalid Discount (Negative)","")&amp;IF(P366&gt;0.5,"; Invalid Discount (Too High)","")&amp;IF(Z366&lt;0,"; Invalid Shipping Record (Ship Before Order)","")&amp;IF(ABS(Q366-W366)&gt;1,"; Sales Mismatch","")&amp;IF(ABS(S366-X366)&gt;1,"; Profit Mismatch","")&amp;IF(COUNTIF($A$2:$A$913,A366)&gt;1,"; Duplicate Order ID Conflict",""),2)="; ",MID(AC366&amp;IF(B366="","; Missing Order Date","")&amp;IF(C366="","; Missing Ship Date","")&amp;IF(P366&lt;0,"; Invalid Discount (Negative)","")&amp;IF(P366&gt;0.5,"; Invalid Discount (Too High)","")&amp;IF(Z366&lt;0,"; Invalid Shipping Record (Ship Before Order)","")&amp;IF(ABS(Q366-W366)&gt;1,"; Sales Mismatch","")&amp;IF(ABS(S366-X366)&gt;1,"; Profit Mismatch","")&amp;IF(COUNTIF($A$2:$A$913,A366)&gt;1,"; Duplicate Order ID Conflict",""),3,500),AC366&amp;IF(B366="","; Missing Order Date","")&amp;IF(C366="","; Missing Ship Date","")&amp;IF(P366&lt;0,"; Invalid Discount (Negative)","")&amp;IF(P366&gt;0.5,"; Invalid Discount (Too High)","")&amp;IF(Z366&lt;0,"; Invalid Shipping Record (Ship Before Order)","")&amp;IF(ABS(Q366-W366)&gt;1,"; Sales Mismatch","")&amp;IF(ABS(S366-X366)&gt;1,"; Profit Mismatch","")&amp;IF(COUNTIF($A$2:$A$913,A366)&gt;1,"; Duplicate Order ID Conflict",""))</f>
        <v/>
      </c>
      <c r="AE366" s="10" t="str">
        <f aca="false">IF(OR(ISNUMBER(SEARCH("Invalid Discount",AD366)),ISNUMBER(SEARCH("Invalid Shipping Record",AD366)),ISNUMBER(SEARCH("Sales Mismatch",AD366)),ISNUMBER(SEARCH("Profit Mismatch",AD366)),ISNUMBER(SEARCH("Duplicate Order ID Conflict",AD366)),ISNUMBER(SEARCH("Missing Order Date",AD366)),ISNUMBER(SEARCH("Missing Ship Date",AD366))),"Invalid",IF(AD366&lt;&gt;"","Warning","Clean"))</f>
        <v>Clean</v>
      </c>
    </row>
    <row r="367" customFormat="false" ht="15" hidden="false" customHeight="true" outlineLevel="0" collapsed="false">
      <c r="A367" s="3" t="s">
        <v>1121</v>
      </c>
      <c r="B367" s="4" t="n">
        <v>45458</v>
      </c>
      <c r="C367" s="4" t="n">
        <v>45464</v>
      </c>
      <c r="D367" s="3" t="s">
        <v>1122</v>
      </c>
      <c r="E367" s="3" t="str">
        <f aca="false">PROPER(TRIM(SUBSTITUTE(Raw_Text_Fields!B368,CHAR(160)," ")))</f>
        <v>Aditi Sen</v>
      </c>
      <c r="F367" s="3" t="str">
        <f aca="false">PROPER(TRIM(SUBSTITUTE(Raw_Text_Fields!C368,CHAR(160)," ")))</f>
        <v>Corporate</v>
      </c>
      <c r="G367" s="3" t="str">
        <f aca="false">PROPER(TRIM(SUBSTITUTE(Raw_Text_Fields!D368,CHAR(160)," ")))</f>
        <v>West</v>
      </c>
      <c r="H367" s="3" t="str">
        <f aca="false">PROPER(TRIM(SUBSTITUTE(Raw_Text_Fields!E368,CHAR(160)," ")))</f>
        <v>Goa</v>
      </c>
      <c r="I367" s="3" t="str">
        <f aca="false">PROPER(TRIM(SUBSTITUTE(Raw_Text_Fields!F368,CHAR(160)," ")))</f>
        <v>Panaji</v>
      </c>
      <c r="J367" s="3" t="str">
        <f aca="false">PROPER(TRIM(SUBSTITUTE(Raw_Text_Fields!G368,CHAR(160)," ")))</f>
        <v>Technology</v>
      </c>
      <c r="K367" s="3" t="str">
        <f aca="false">PROPER(TRIM(SUBSTITUTE(Raw_Text_Fields!H368,CHAR(160)," ")))</f>
        <v>Accessories</v>
      </c>
      <c r="L367" s="3" t="s">
        <v>1123</v>
      </c>
      <c r="M367" s="3" t="str">
        <f aca="false">PROPER(TRIM(SUBSTITUTE(Raw_Text_Fields!I368,CHAR(160)," ")))</f>
        <v>First Class</v>
      </c>
      <c r="N367" s="3" t="n">
        <v>8</v>
      </c>
      <c r="O367" s="5" t="n">
        <v>1706.4</v>
      </c>
      <c r="P367" s="6" t="n">
        <v>0</v>
      </c>
      <c r="Q367" s="5" t="n">
        <v>12968.64</v>
      </c>
      <c r="R367" s="5" t="n">
        <v>10119.61</v>
      </c>
      <c r="S367" s="5" t="n">
        <v>2849.03</v>
      </c>
      <c r="T367" s="3" t="str">
        <f aca="false">PROPER(TRIM(SUBSTITUTE(Raw_Text_Fields!J368,CHAR(160)," ")))</f>
        <v>Paid</v>
      </c>
      <c r="U367" s="3" t="str">
        <f aca="false">PROPER(TRIM(SUBSTITUTE(Raw_Text_Fields!K368,CHAR(160)," ")))</f>
        <v>Completed</v>
      </c>
      <c r="V367" s="7" t="n">
        <f aca="false">IF(OR(P367&lt;0,P367&gt;0.5),0,P367)</f>
        <v>0</v>
      </c>
      <c r="W367" s="8" t="n">
        <f aca="false">N367*O367*(1-V367)</f>
        <v>13651.2</v>
      </c>
      <c r="X367" s="8" t="n">
        <f aca="false">W367-R367</f>
        <v>3531.59</v>
      </c>
      <c r="Y367" s="7" t="n">
        <f aca="false">IFERROR(X367/W367,0)</f>
        <v>0.258701799109236</v>
      </c>
      <c r="Z367" s="9" t="n">
        <f aca="false">C367-B367</f>
        <v>6</v>
      </c>
      <c r="AA367" s="1" t="str">
        <f aca="false">IF(B367="","",TEXT(B367,"mmm"))</f>
        <v>Jun</v>
      </c>
      <c r="AB367" s="9" t="n">
        <f aca="false">IF(B367="","",YEAR(B367))</f>
        <v>2024</v>
      </c>
      <c r="AC367" s="3" t="s">
        <v>130</v>
      </c>
      <c r="AD367" s="3" t="str">
        <f aca="false">IF(LEFT(AC367&amp;IF(B367="","; Missing Order Date","")&amp;IF(C367="","; Missing Ship Date","")&amp;IF(P367&lt;0,"; Invalid Discount (Negative)","")&amp;IF(P367&gt;0.5,"; Invalid Discount (Too High)","")&amp;IF(Z367&lt;0,"; Invalid Shipping Record (Ship Before Order)","")&amp;IF(ABS(Q367-W367)&gt;1,"; Sales Mismatch","")&amp;IF(ABS(S367-X367)&gt;1,"; Profit Mismatch","")&amp;IF(COUNTIF($A$2:$A$913,A367)&gt;1,"; Duplicate Order ID Conflict",""),2)="; ",MID(AC367&amp;IF(B367="","; Missing Order Date","")&amp;IF(C367="","; Missing Ship Date","")&amp;IF(P367&lt;0,"; Invalid Discount (Negative)","")&amp;IF(P367&gt;0.5,"; Invalid Discount (Too High)","")&amp;IF(Z367&lt;0,"; Invalid Shipping Record (Ship Before Order)","")&amp;IF(ABS(Q367-W367)&gt;1,"; Sales Mismatch","")&amp;IF(ABS(S367-X367)&gt;1,"; Profit Mismatch","")&amp;IF(COUNTIF($A$2:$A$913,A367)&gt;1,"; Duplicate Order ID Conflict",""),3,500),AC367&amp;IF(B367="","; Missing Order Date","")&amp;IF(C367="","; Missing Ship Date","")&amp;IF(P367&lt;0,"; Invalid Discount (Negative)","")&amp;IF(P367&gt;0.5,"; Invalid Discount (Too High)","")&amp;IF(Z367&lt;0,"; Invalid Shipping Record (Ship Before Order)","")&amp;IF(ABS(Q367-W367)&gt;1,"; Sales Mismatch","")&amp;IF(ABS(S367-X367)&gt;1,"; Profit Mismatch","")&amp;IF(COUNTIF($A$2:$A$913,A367)&gt;1,"; Duplicate Order ID Conflict",""))</f>
        <v>Missing Discount (defaulted 0); Sales Mismatch; Profit Mismatch</v>
      </c>
      <c r="AE367" s="10" t="str">
        <f aca="false">IF(OR(ISNUMBER(SEARCH("Invalid Discount",AD367)),ISNUMBER(SEARCH("Invalid Shipping Record",AD367)),ISNUMBER(SEARCH("Sales Mismatch",AD367)),ISNUMBER(SEARCH("Profit Mismatch",AD367)),ISNUMBER(SEARCH("Duplicate Order ID Conflict",AD367)),ISNUMBER(SEARCH("Missing Order Date",AD367)),ISNUMBER(SEARCH("Missing Ship Date",AD367))),"Invalid",IF(AD367&lt;&gt;"","Warning","Clean"))</f>
        <v>Invalid</v>
      </c>
    </row>
    <row r="368" customFormat="false" ht="15" hidden="false" customHeight="true" outlineLevel="0" collapsed="false">
      <c r="A368" s="3" t="s">
        <v>1124</v>
      </c>
      <c r="B368" s="4" t="n">
        <v>45673</v>
      </c>
      <c r="C368" s="4" t="n">
        <v>45679</v>
      </c>
      <c r="D368" s="3" t="s">
        <v>1125</v>
      </c>
      <c r="E368" s="3" t="str">
        <f aca="false">PROPER(TRIM(SUBSTITUTE(Raw_Text_Fields!B369,CHAR(160)," ")))</f>
        <v>Sneha Kapoor</v>
      </c>
      <c r="F368" s="3" t="str">
        <f aca="false">PROPER(TRIM(SUBSTITUTE(Raw_Text_Fields!C369,CHAR(160)," ")))</f>
        <v>Corporate</v>
      </c>
      <c r="G368" s="3" t="str">
        <f aca="false">PROPER(TRIM(SUBSTITUTE(Raw_Text_Fields!D369,CHAR(160)," ")))</f>
        <v>North</v>
      </c>
      <c r="H368" s="3" t="str">
        <f aca="false">PROPER(TRIM(SUBSTITUTE(Raw_Text_Fields!E369,CHAR(160)," ")))</f>
        <v>Rajasthan</v>
      </c>
      <c r="I368" s="3" t="str">
        <f aca="false">PROPER(TRIM(SUBSTITUTE(Raw_Text_Fields!F369,CHAR(160)," ")))</f>
        <v>Jaipur</v>
      </c>
      <c r="J368" s="3" t="str">
        <f aca="false">PROPER(TRIM(SUBSTITUTE(Raw_Text_Fields!G369,CHAR(160)," ")))</f>
        <v>Furniture</v>
      </c>
      <c r="K368" s="3" t="str">
        <f aca="false">PROPER(TRIM(SUBSTITUTE(Raw_Text_Fields!H369,CHAR(160)," ")))</f>
        <v>Tables</v>
      </c>
      <c r="L368" s="3" t="s">
        <v>1126</v>
      </c>
      <c r="M368" s="3" t="str">
        <f aca="false">PROPER(TRIM(SUBSTITUTE(Raw_Text_Fields!I369,CHAR(160)," ")))</f>
        <v>Same Day</v>
      </c>
      <c r="N368" s="3" t="n">
        <v>2</v>
      </c>
      <c r="O368" s="5" t="n">
        <v>4418.28</v>
      </c>
      <c r="P368" s="6" t="n">
        <v>0</v>
      </c>
      <c r="Q368" s="5" t="n">
        <v>8836.56</v>
      </c>
      <c r="R368" s="5" t="n">
        <v>5867.75</v>
      </c>
      <c r="S368" s="5" t="n">
        <v>2968.81</v>
      </c>
      <c r="T368" s="3" t="str">
        <f aca="false">PROPER(TRIM(SUBSTITUTE(Raw_Text_Fields!J369,CHAR(160)," ")))</f>
        <v>Paid</v>
      </c>
      <c r="U368" s="3" t="str">
        <f aca="false">PROPER(TRIM(SUBSTITUTE(Raw_Text_Fields!K369,CHAR(160)," ")))</f>
        <v>Completed</v>
      </c>
      <c r="V368" s="7" t="n">
        <f aca="false">IF(OR(P368&lt;0,P368&gt;0.5),0,P368)</f>
        <v>0</v>
      </c>
      <c r="W368" s="8" t="n">
        <f aca="false">N368*O368*(1-V368)</f>
        <v>8836.56</v>
      </c>
      <c r="X368" s="8" t="n">
        <f aca="false">W368-R368</f>
        <v>2968.81</v>
      </c>
      <c r="Y368" s="7" t="n">
        <f aca="false">IFERROR(X368/W368,0)</f>
        <v>0.33596897435201</v>
      </c>
      <c r="Z368" s="9" t="n">
        <f aca="false">C368-B368</f>
        <v>6</v>
      </c>
      <c r="AA368" s="1" t="str">
        <f aca="false">IF(B368="","",TEXT(B368,"mmm"))</f>
        <v>Jan</v>
      </c>
      <c r="AB368" s="9" t="n">
        <f aca="false">IF(B368="","",YEAR(B368))</f>
        <v>2025</v>
      </c>
      <c r="AC368" s="3"/>
      <c r="AD368" s="3" t="str">
        <f aca="false">IF(LEFT(AC368&amp;IF(B368="","; Missing Order Date","")&amp;IF(C368="","; Missing Ship Date","")&amp;IF(P368&lt;0,"; Invalid Discount (Negative)","")&amp;IF(P368&gt;0.5,"; Invalid Discount (Too High)","")&amp;IF(Z368&lt;0,"; Invalid Shipping Record (Ship Before Order)","")&amp;IF(ABS(Q368-W368)&gt;1,"; Sales Mismatch","")&amp;IF(ABS(S368-X368)&gt;1,"; Profit Mismatch","")&amp;IF(COUNTIF($A$2:$A$913,A368)&gt;1,"; Duplicate Order ID Conflict",""),2)="; ",MID(AC368&amp;IF(B368="","; Missing Order Date","")&amp;IF(C368="","; Missing Ship Date","")&amp;IF(P368&lt;0,"; Invalid Discount (Negative)","")&amp;IF(P368&gt;0.5,"; Invalid Discount (Too High)","")&amp;IF(Z368&lt;0,"; Invalid Shipping Record (Ship Before Order)","")&amp;IF(ABS(Q368-W368)&gt;1,"; Sales Mismatch","")&amp;IF(ABS(S368-X368)&gt;1,"; Profit Mismatch","")&amp;IF(COUNTIF($A$2:$A$913,A368)&gt;1,"; Duplicate Order ID Conflict",""),3,500),AC368&amp;IF(B368="","; Missing Order Date","")&amp;IF(C368="","; Missing Ship Date","")&amp;IF(P368&lt;0,"; Invalid Discount (Negative)","")&amp;IF(P368&gt;0.5,"; Invalid Discount (Too High)","")&amp;IF(Z368&lt;0,"; Invalid Shipping Record (Ship Before Order)","")&amp;IF(ABS(Q368-W368)&gt;1,"; Sales Mismatch","")&amp;IF(ABS(S368-X368)&gt;1,"; Profit Mismatch","")&amp;IF(COUNTIF($A$2:$A$913,A368)&gt;1,"; Duplicate Order ID Conflict",""))</f>
        <v/>
      </c>
      <c r="AE368" s="10" t="str">
        <f aca="false">IF(OR(ISNUMBER(SEARCH("Invalid Discount",AD368)),ISNUMBER(SEARCH("Invalid Shipping Record",AD368)),ISNUMBER(SEARCH("Sales Mismatch",AD368)),ISNUMBER(SEARCH("Profit Mismatch",AD368)),ISNUMBER(SEARCH("Duplicate Order ID Conflict",AD368)),ISNUMBER(SEARCH("Missing Order Date",AD368)),ISNUMBER(SEARCH("Missing Ship Date",AD368))),"Invalid",IF(AD368&lt;&gt;"","Warning","Clean"))</f>
        <v>Clean</v>
      </c>
    </row>
    <row r="369" customFormat="false" ht="15" hidden="false" customHeight="true" outlineLevel="0" collapsed="false">
      <c r="A369" s="3" t="s">
        <v>1127</v>
      </c>
      <c r="B369" s="4" t="n">
        <v>45366</v>
      </c>
      <c r="C369" s="4" t="n">
        <v>45367</v>
      </c>
      <c r="D369" s="3" t="s">
        <v>1128</v>
      </c>
      <c r="E369" s="3" t="str">
        <f aca="false">PROPER(TRIM(SUBSTITUTE(Raw_Text_Fields!B370,CHAR(160)," ")))</f>
        <v>Rohan Mehta</v>
      </c>
      <c r="F369" s="3" t="str">
        <f aca="false">PROPER(TRIM(SUBSTITUTE(Raw_Text_Fields!C370,CHAR(160)," ")))</f>
        <v>Consumer</v>
      </c>
      <c r="G369" s="3" t="str">
        <f aca="false">PROPER(TRIM(SUBSTITUTE(Raw_Text_Fields!D370,CHAR(160)," ")))</f>
        <v>North</v>
      </c>
      <c r="H369" s="3" t="str">
        <f aca="false">PROPER(TRIM(SUBSTITUTE(Raw_Text_Fields!E370,CHAR(160)," ")))</f>
        <v>Delhi</v>
      </c>
      <c r="I369" s="3" t="str">
        <f aca="false">PROPER(TRIM(SUBSTITUTE(Raw_Text_Fields!F370,CHAR(160)," ")))</f>
        <v>New Delhi</v>
      </c>
      <c r="J369" s="3" t="str">
        <f aca="false">PROPER(TRIM(SUBSTITUTE(Raw_Text_Fields!G370,CHAR(160)," ")))</f>
        <v>Office Supplies</v>
      </c>
      <c r="K369" s="3" t="str">
        <f aca="false">PROPER(TRIM(SUBSTITUTE(Raw_Text_Fields!H370,CHAR(160)," ")))</f>
        <v>Art</v>
      </c>
      <c r="L369" s="3" t="s">
        <v>1129</v>
      </c>
      <c r="M369" s="3" t="str">
        <f aca="false">PROPER(TRIM(SUBSTITUTE(Raw_Text_Fields!I370,CHAR(160)," ")))</f>
        <v>Standard Class</v>
      </c>
      <c r="N369" s="3" t="n">
        <v>6</v>
      </c>
      <c r="O369" s="5" t="n">
        <v>3815.09</v>
      </c>
      <c r="P369" s="6" t="n">
        <v>0.15</v>
      </c>
      <c r="Q369" s="5" t="n">
        <v>19456.96</v>
      </c>
      <c r="R369" s="5" t="n">
        <v>14520.06</v>
      </c>
      <c r="S369" s="5" t="n">
        <v>4936.9</v>
      </c>
      <c r="T369" s="3" t="str">
        <f aca="false">PROPER(TRIM(SUBSTITUTE(Raw_Text_Fields!J370,CHAR(160)," ")))</f>
        <v>Failed</v>
      </c>
      <c r="U369" s="3" t="str">
        <f aca="false">PROPER(TRIM(SUBSTITUTE(Raw_Text_Fields!K370,CHAR(160)," ")))</f>
        <v>Cancelled</v>
      </c>
      <c r="V369" s="7" t="n">
        <f aca="false">IF(OR(P369&lt;0,P369&gt;0.5),0,P369)</f>
        <v>0.15</v>
      </c>
      <c r="W369" s="8" t="n">
        <f aca="false">N369*O369*(1-V369)</f>
        <v>19456.959</v>
      </c>
      <c r="X369" s="8" t="n">
        <f aca="false">W369-R369</f>
        <v>4936.899</v>
      </c>
      <c r="Y369" s="7" t="n">
        <f aca="false">IFERROR(X369/W369,0)</f>
        <v>0.25373435797444</v>
      </c>
      <c r="Z369" s="9" t="n">
        <f aca="false">C369-B369</f>
        <v>1</v>
      </c>
      <c r="AA369" s="1" t="str">
        <f aca="false">IF(B369="","",TEXT(B369,"mmm"))</f>
        <v>Mar</v>
      </c>
      <c r="AB369" s="9" t="n">
        <f aca="false">IF(B369="","",YEAR(B369))</f>
        <v>2024</v>
      </c>
      <c r="AC369" s="3"/>
      <c r="AD369" s="3" t="str">
        <f aca="false">IF(LEFT(AC369&amp;IF(B369="","; Missing Order Date","")&amp;IF(C369="","; Missing Ship Date","")&amp;IF(P369&lt;0,"; Invalid Discount (Negative)","")&amp;IF(P369&gt;0.5,"; Invalid Discount (Too High)","")&amp;IF(Z369&lt;0,"; Invalid Shipping Record (Ship Before Order)","")&amp;IF(ABS(Q369-W369)&gt;1,"; Sales Mismatch","")&amp;IF(ABS(S369-X369)&gt;1,"; Profit Mismatch","")&amp;IF(COUNTIF($A$2:$A$913,A369)&gt;1,"; Duplicate Order ID Conflict",""),2)="; ",MID(AC369&amp;IF(B369="","; Missing Order Date","")&amp;IF(C369="","; Missing Ship Date","")&amp;IF(P369&lt;0,"; Invalid Discount (Negative)","")&amp;IF(P369&gt;0.5,"; Invalid Discount (Too High)","")&amp;IF(Z369&lt;0,"; Invalid Shipping Record (Ship Before Order)","")&amp;IF(ABS(Q369-W369)&gt;1,"; Sales Mismatch","")&amp;IF(ABS(S369-X369)&gt;1,"; Profit Mismatch","")&amp;IF(COUNTIF($A$2:$A$913,A369)&gt;1,"; Duplicate Order ID Conflict",""),3,500),AC369&amp;IF(B369="","; Missing Order Date","")&amp;IF(C369="","; Missing Ship Date","")&amp;IF(P369&lt;0,"; Invalid Discount (Negative)","")&amp;IF(P369&gt;0.5,"; Invalid Discount (Too High)","")&amp;IF(Z369&lt;0,"; Invalid Shipping Record (Ship Before Order)","")&amp;IF(ABS(Q369-W369)&gt;1,"; Sales Mismatch","")&amp;IF(ABS(S369-X369)&gt;1,"; Profit Mismatch","")&amp;IF(COUNTIF($A$2:$A$913,A369)&gt;1,"; Duplicate Order ID Conflict",""))</f>
        <v/>
      </c>
      <c r="AE369" s="10" t="str">
        <f aca="false">IF(OR(ISNUMBER(SEARCH("Invalid Discount",AD369)),ISNUMBER(SEARCH("Invalid Shipping Record",AD369)),ISNUMBER(SEARCH("Sales Mismatch",AD369)),ISNUMBER(SEARCH("Profit Mismatch",AD369)),ISNUMBER(SEARCH("Duplicate Order ID Conflict",AD369)),ISNUMBER(SEARCH("Missing Order Date",AD369)),ISNUMBER(SEARCH("Missing Ship Date",AD369))),"Invalid",IF(AD369&lt;&gt;"","Warning","Clean"))</f>
        <v>Clean</v>
      </c>
    </row>
    <row r="370" customFormat="false" ht="15" hidden="false" customHeight="true" outlineLevel="0" collapsed="false">
      <c r="A370" s="3" t="s">
        <v>1130</v>
      </c>
      <c r="B370" s="4" t="n">
        <v>45844</v>
      </c>
      <c r="C370" s="4" t="n">
        <v>45844</v>
      </c>
      <c r="D370" s="3" t="s">
        <v>1131</v>
      </c>
      <c r="E370" s="3" t="str">
        <f aca="false">PROPER(TRIM(SUBSTITUTE(Raw_Text_Fields!B371,CHAR(160)," ")))</f>
        <v>Aarav Sharma</v>
      </c>
      <c r="F370" s="3" t="str">
        <f aca="false">PROPER(TRIM(SUBSTITUTE(Raw_Text_Fields!C371,CHAR(160)," ")))</f>
        <v>Home Office</v>
      </c>
      <c r="G370" s="3" t="str">
        <f aca="false">PROPER(TRIM(SUBSTITUTE(Raw_Text_Fields!D371,CHAR(160)," ")))</f>
        <v>North</v>
      </c>
      <c r="H370" s="3" t="str">
        <f aca="false">PROPER(TRIM(SUBSTITUTE(Raw_Text_Fields!E371,CHAR(160)," ")))</f>
        <v>Rajasthan</v>
      </c>
      <c r="I370" s="3" t="str">
        <f aca="false">PROPER(TRIM(SUBSTITUTE(Raw_Text_Fields!F371,CHAR(160)," ")))</f>
        <v>Jaipur</v>
      </c>
      <c r="J370" s="3" t="str">
        <f aca="false">PROPER(TRIM(SUBSTITUTE(Raw_Text_Fields!G371,CHAR(160)," ")))</f>
        <v>Technology</v>
      </c>
      <c r="K370" s="3" t="str">
        <f aca="false">PROPER(TRIM(SUBSTITUTE(Raw_Text_Fields!H371,CHAR(160)," ")))</f>
        <v>Accessories</v>
      </c>
      <c r="L370" s="3" t="s">
        <v>1132</v>
      </c>
      <c r="M370" s="3" t="str">
        <f aca="false">PROPER(TRIM(SUBSTITUTE(Raw_Text_Fields!I371,CHAR(160)," ")))</f>
        <v>Same Day</v>
      </c>
      <c r="N370" s="3" t="n">
        <v>9</v>
      </c>
      <c r="O370" s="5" t="n">
        <v>243.19</v>
      </c>
      <c r="P370" s="6" t="n">
        <v>0.05</v>
      </c>
      <c r="Q370" s="5" t="n">
        <v>2079.27</v>
      </c>
      <c r="R370" s="5" t="n">
        <v>1512.17</v>
      </c>
      <c r="S370" s="5" t="n">
        <v>567.1</v>
      </c>
      <c r="T370" s="3" t="str">
        <f aca="false">PROPER(TRIM(SUBSTITUTE(Raw_Text_Fields!J371,CHAR(160)," ")))</f>
        <v>Refunded</v>
      </c>
      <c r="U370" s="3" t="str">
        <f aca="false">PROPER(TRIM(SUBSTITUTE(Raw_Text_Fields!K371,CHAR(160)," ")))</f>
        <v>Returned</v>
      </c>
      <c r="V370" s="7" t="n">
        <f aca="false">IF(OR(P370&lt;0,P370&gt;0.5),0,P370)</f>
        <v>0.05</v>
      </c>
      <c r="W370" s="8" t="n">
        <f aca="false">N370*O370*(1-V370)</f>
        <v>2079.2745</v>
      </c>
      <c r="X370" s="8" t="n">
        <f aca="false">W370-R370</f>
        <v>567.1045</v>
      </c>
      <c r="Y370" s="7" t="n">
        <f aca="false">IFERROR(X370/W370,0)</f>
        <v>0.272741525950518</v>
      </c>
      <c r="Z370" s="9" t="n">
        <f aca="false">C370-B370</f>
        <v>0</v>
      </c>
      <c r="AA370" s="1" t="str">
        <f aca="false">IF(B370="","",TEXT(B370,"mmm"))</f>
        <v>Jul</v>
      </c>
      <c r="AB370" s="9" t="n">
        <f aca="false">IF(B370="","",YEAR(B370))</f>
        <v>2025</v>
      </c>
      <c r="AC370" s="3"/>
      <c r="AD370" s="3" t="str">
        <f aca="false">IF(LEFT(AC370&amp;IF(B370="","; Missing Order Date","")&amp;IF(C370="","; Missing Ship Date","")&amp;IF(P370&lt;0,"; Invalid Discount (Negative)","")&amp;IF(P370&gt;0.5,"; Invalid Discount (Too High)","")&amp;IF(Z370&lt;0,"; Invalid Shipping Record (Ship Before Order)","")&amp;IF(ABS(Q370-W370)&gt;1,"; Sales Mismatch","")&amp;IF(ABS(S370-X370)&gt;1,"; Profit Mismatch","")&amp;IF(COUNTIF($A$2:$A$913,A370)&gt;1,"; Duplicate Order ID Conflict",""),2)="; ",MID(AC370&amp;IF(B370="","; Missing Order Date","")&amp;IF(C370="","; Missing Ship Date","")&amp;IF(P370&lt;0,"; Invalid Discount (Negative)","")&amp;IF(P370&gt;0.5,"; Invalid Discount (Too High)","")&amp;IF(Z370&lt;0,"; Invalid Shipping Record (Ship Before Order)","")&amp;IF(ABS(Q370-W370)&gt;1,"; Sales Mismatch","")&amp;IF(ABS(S370-X370)&gt;1,"; Profit Mismatch","")&amp;IF(COUNTIF($A$2:$A$913,A370)&gt;1,"; Duplicate Order ID Conflict",""),3,500),AC370&amp;IF(B370="","; Missing Order Date","")&amp;IF(C370="","; Missing Ship Date","")&amp;IF(P370&lt;0,"; Invalid Discount (Negative)","")&amp;IF(P370&gt;0.5,"; Invalid Discount (Too High)","")&amp;IF(Z370&lt;0,"; Invalid Shipping Record (Ship Before Order)","")&amp;IF(ABS(Q370-W370)&gt;1,"; Sales Mismatch","")&amp;IF(ABS(S370-X370)&gt;1,"; Profit Mismatch","")&amp;IF(COUNTIF($A$2:$A$913,A370)&gt;1,"; Duplicate Order ID Conflict",""))</f>
        <v/>
      </c>
      <c r="AE370" s="10" t="str">
        <f aca="false">IF(OR(ISNUMBER(SEARCH("Invalid Discount",AD370)),ISNUMBER(SEARCH("Invalid Shipping Record",AD370)),ISNUMBER(SEARCH("Sales Mismatch",AD370)),ISNUMBER(SEARCH("Profit Mismatch",AD370)),ISNUMBER(SEARCH("Duplicate Order ID Conflict",AD370)),ISNUMBER(SEARCH("Missing Order Date",AD370)),ISNUMBER(SEARCH("Missing Ship Date",AD370))),"Invalid",IF(AD370&lt;&gt;"","Warning","Clean"))</f>
        <v>Clean</v>
      </c>
    </row>
    <row r="371" customFormat="false" ht="15" hidden="false" customHeight="true" outlineLevel="0" collapsed="false">
      <c r="A371" s="3" t="s">
        <v>1133</v>
      </c>
      <c r="B371" s="4" t="n">
        <v>45680</v>
      </c>
      <c r="C371" s="4" t="n">
        <v>45687</v>
      </c>
      <c r="D371" s="3" t="s">
        <v>1134</v>
      </c>
      <c r="E371" s="3" t="str">
        <f aca="false">PROPER(TRIM(SUBSTITUTE(Raw_Text_Fields!B372,CHAR(160)," ")))</f>
        <v>Priya Menon</v>
      </c>
      <c r="F371" s="3" t="str">
        <f aca="false">PROPER(TRIM(SUBSTITUTE(Raw_Text_Fields!C372,CHAR(160)," ")))</f>
        <v>Consumer</v>
      </c>
      <c r="G371" s="3" t="str">
        <f aca="false">PROPER(TRIM(SUBSTITUTE(Raw_Text_Fields!D372,CHAR(160)," ")))</f>
        <v>North</v>
      </c>
      <c r="H371" s="3" t="str">
        <f aca="false">PROPER(TRIM(SUBSTITUTE(Raw_Text_Fields!E372,CHAR(160)," ")))</f>
        <v>Delhi</v>
      </c>
      <c r="I371" s="3" t="str">
        <f aca="false">PROPER(TRIM(SUBSTITUTE(Raw_Text_Fields!F372,CHAR(160)," ")))</f>
        <v>New Delhi</v>
      </c>
      <c r="J371" s="3" t="str">
        <f aca="false">PROPER(TRIM(SUBSTITUTE(Raw_Text_Fields!G372,CHAR(160)," ")))</f>
        <v>Office Supplies</v>
      </c>
      <c r="K371" s="3" t="str">
        <f aca="false">PROPER(TRIM(SUBSTITUTE(Raw_Text_Fields!H372,CHAR(160)," ")))</f>
        <v>Labels</v>
      </c>
      <c r="L371" s="3" t="s">
        <v>1135</v>
      </c>
      <c r="M371" s="3" t="str">
        <f aca="false">PROPER(TRIM(SUBSTITUTE(Raw_Text_Fields!I372,CHAR(160)," ")))</f>
        <v>Standard Class</v>
      </c>
      <c r="N371" s="3" t="n">
        <v>9</v>
      </c>
      <c r="O371" s="5" t="n">
        <v>1169.37</v>
      </c>
      <c r="P371" s="6" t="n">
        <v>0.15</v>
      </c>
      <c r="Q371" s="5" t="n">
        <v>8945.68</v>
      </c>
      <c r="R371" s="5" t="n">
        <v>6740.35</v>
      </c>
      <c r="S371" s="5" t="n">
        <v>2205.33</v>
      </c>
      <c r="T371" s="3" t="str">
        <f aca="false">PROPER(TRIM(SUBSTITUTE(Raw_Text_Fields!J372,CHAR(160)," ")))</f>
        <v>Paid</v>
      </c>
      <c r="U371" s="3" t="str">
        <f aca="false">PROPER(TRIM(SUBSTITUTE(Raw_Text_Fields!K372,CHAR(160)," ")))</f>
        <v>Completed</v>
      </c>
      <c r="V371" s="7" t="n">
        <f aca="false">IF(OR(P371&lt;0,P371&gt;0.5),0,P371)</f>
        <v>0.15</v>
      </c>
      <c r="W371" s="8" t="n">
        <f aca="false">N371*O371*(1-V371)</f>
        <v>8945.6805</v>
      </c>
      <c r="X371" s="8" t="n">
        <f aca="false">W371-R371</f>
        <v>2205.3305</v>
      </c>
      <c r="Y371" s="7" t="n">
        <f aca="false">IFERROR(X371/W371,0)</f>
        <v>0.246524621575742</v>
      </c>
      <c r="Z371" s="9" t="n">
        <f aca="false">C371-B371</f>
        <v>7</v>
      </c>
      <c r="AA371" s="1" t="str">
        <f aca="false">IF(B371="","",TEXT(B371,"mmm"))</f>
        <v>Jan</v>
      </c>
      <c r="AB371" s="9" t="n">
        <f aca="false">IF(B371="","",YEAR(B371))</f>
        <v>2025</v>
      </c>
      <c r="AC371" s="3"/>
      <c r="AD371" s="3" t="str">
        <f aca="false">IF(LEFT(AC371&amp;IF(B371="","; Missing Order Date","")&amp;IF(C371="","; Missing Ship Date","")&amp;IF(P371&lt;0,"; Invalid Discount (Negative)","")&amp;IF(P371&gt;0.5,"; Invalid Discount (Too High)","")&amp;IF(Z371&lt;0,"; Invalid Shipping Record (Ship Before Order)","")&amp;IF(ABS(Q371-W371)&gt;1,"; Sales Mismatch","")&amp;IF(ABS(S371-X371)&gt;1,"; Profit Mismatch","")&amp;IF(COUNTIF($A$2:$A$913,A371)&gt;1,"; Duplicate Order ID Conflict",""),2)="; ",MID(AC371&amp;IF(B371="","; Missing Order Date","")&amp;IF(C371="","; Missing Ship Date","")&amp;IF(P371&lt;0,"; Invalid Discount (Negative)","")&amp;IF(P371&gt;0.5,"; Invalid Discount (Too High)","")&amp;IF(Z371&lt;0,"; Invalid Shipping Record (Ship Before Order)","")&amp;IF(ABS(Q371-W371)&gt;1,"; Sales Mismatch","")&amp;IF(ABS(S371-X371)&gt;1,"; Profit Mismatch","")&amp;IF(COUNTIF($A$2:$A$913,A371)&gt;1,"; Duplicate Order ID Conflict",""),3,500),AC371&amp;IF(B371="","; Missing Order Date","")&amp;IF(C371="","; Missing Ship Date","")&amp;IF(P371&lt;0,"; Invalid Discount (Negative)","")&amp;IF(P371&gt;0.5,"; Invalid Discount (Too High)","")&amp;IF(Z371&lt;0,"; Invalid Shipping Record (Ship Before Order)","")&amp;IF(ABS(Q371-W371)&gt;1,"; Sales Mismatch","")&amp;IF(ABS(S371-X371)&gt;1,"; Profit Mismatch","")&amp;IF(COUNTIF($A$2:$A$913,A371)&gt;1,"; Duplicate Order ID Conflict",""))</f>
        <v/>
      </c>
      <c r="AE371" s="10" t="str">
        <f aca="false">IF(OR(ISNUMBER(SEARCH("Invalid Discount",AD371)),ISNUMBER(SEARCH("Invalid Shipping Record",AD371)),ISNUMBER(SEARCH("Sales Mismatch",AD371)),ISNUMBER(SEARCH("Profit Mismatch",AD371)),ISNUMBER(SEARCH("Duplicate Order ID Conflict",AD371)),ISNUMBER(SEARCH("Missing Order Date",AD371)),ISNUMBER(SEARCH("Missing Ship Date",AD371))),"Invalid",IF(AD371&lt;&gt;"","Warning","Clean"))</f>
        <v>Clean</v>
      </c>
    </row>
    <row r="372" customFormat="false" ht="15" hidden="false" customHeight="true" outlineLevel="0" collapsed="false">
      <c r="A372" s="3" t="s">
        <v>1136</v>
      </c>
      <c r="B372" s="4" t="n">
        <v>45519</v>
      </c>
      <c r="C372" s="4" t="n">
        <v>45525</v>
      </c>
      <c r="D372" s="3" t="s">
        <v>1137</v>
      </c>
      <c r="E372" s="3" t="str">
        <f aca="false">PROPER(TRIM(SUBSTITUTE(Raw_Text_Fields!B373,CHAR(160)," ")))</f>
        <v>Ananya Rao</v>
      </c>
      <c r="F372" s="3" t="str">
        <f aca="false">PROPER(TRIM(SUBSTITUTE(Raw_Text_Fields!C373,CHAR(160)," ")))</f>
        <v>Small Business</v>
      </c>
      <c r="G372" s="3" t="str">
        <f aca="false">PROPER(TRIM(SUBSTITUTE(Raw_Text_Fields!D373,CHAR(160)," ")))</f>
        <v>West</v>
      </c>
      <c r="H372" s="3" t="str">
        <f aca="false">PROPER(TRIM(SUBSTITUTE(Raw_Text_Fields!E373,CHAR(160)," ")))</f>
        <v>Rajasthan</v>
      </c>
      <c r="I372" s="3" t="str">
        <f aca="false">PROPER(TRIM(SUBSTITUTE(Raw_Text_Fields!F373,CHAR(160)," ")))</f>
        <v>Udaipur</v>
      </c>
      <c r="J372" s="3" t="str">
        <f aca="false">PROPER(TRIM(SUBSTITUTE(Raw_Text_Fields!G373,CHAR(160)," ")))</f>
        <v>Technology</v>
      </c>
      <c r="K372" s="3" t="str">
        <f aca="false">PROPER(TRIM(SUBSTITUTE(Raw_Text_Fields!H373,CHAR(160)," ")))</f>
        <v>Copiers</v>
      </c>
      <c r="L372" s="3" t="s">
        <v>1138</v>
      </c>
      <c r="M372" s="3" t="str">
        <f aca="false">PROPER(TRIM(SUBSTITUTE(Raw_Text_Fields!I373,CHAR(160)," ")))</f>
        <v>First Class</v>
      </c>
      <c r="N372" s="3" t="n">
        <v>7</v>
      </c>
      <c r="O372" s="5" t="n">
        <v>2333.81</v>
      </c>
      <c r="P372" s="6" t="n">
        <v>0.2</v>
      </c>
      <c r="Q372" s="5" t="n">
        <v>13069.34</v>
      </c>
      <c r="R372" s="5" t="n">
        <v>8768.59</v>
      </c>
      <c r="S372" s="5" t="n">
        <v>4300.75</v>
      </c>
      <c r="T372" s="3" t="str">
        <f aca="false">PROPER(TRIM(SUBSTITUTE(Raw_Text_Fields!J373,CHAR(160)," ")))</f>
        <v>Paid</v>
      </c>
      <c r="U372" s="3" t="str">
        <f aca="false">PROPER(TRIM(SUBSTITUTE(Raw_Text_Fields!K373,CHAR(160)," ")))</f>
        <v>Completed</v>
      </c>
      <c r="V372" s="7" t="n">
        <f aca="false">IF(OR(P372&lt;0,P372&gt;0.5),0,P372)</f>
        <v>0.2</v>
      </c>
      <c r="W372" s="8" t="n">
        <f aca="false">N372*O372*(1-V372)</f>
        <v>13069.336</v>
      </c>
      <c r="X372" s="8" t="n">
        <f aca="false">W372-R372</f>
        <v>4300.746</v>
      </c>
      <c r="Y372" s="7" t="n">
        <f aca="false">IFERROR(X372/W372,0)</f>
        <v>0.329071499883391</v>
      </c>
      <c r="Z372" s="9" t="n">
        <f aca="false">C372-B372</f>
        <v>6</v>
      </c>
      <c r="AA372" s="1" t="str">
        <f aca="false">IF(B372="","",TEXT(B372,"mmm"))</f>
        <v>Aug</v>
      </c>
      <c r="AB372" s="9" t="n">
        <f aca="false">IF(B372="","",YEAR(B372))</f>
        <v>2024</v>
      </c>
      <c r="AC372" s="3"/>
      <c r="AD372" s="3" t="str">
        <f aca="false">IF(LEFT(AC372&amp;IF(B372="","; Missing Order Date","")&amp;IF(C372="","; Missing Ship Date","")&amp;IF(P372&lt;0,"; Invalid Discount (Negative)","")&amp;IF(P372&gt;0.5,"; Invalid Discount (Too High)","")&amp;IF(Z372&lt;0,"; Invalid Shipping Record (Ship Before Order)","")&amp;IF(ABS(Q372-W372)&gt;1,"; Sales Mismatch","")&amp;IF(ABS(S372-X372)&gt;1,"; Profit Mismatch","")&amp;IF(COUNTIF($A$2:$A$913,A372)&gt;1,"; Duplicate Order ID Conflict",""),2)="; ",MID(AC372&amp;IF(B372="","; Missing Order Date","")&amp;IF(C372="","; Missing Ship Date","")&amp;IF(P372&lt;0,"; Invalid Discount (Negative)","")&amp;IF(P372&gt;0.5,"; Invalid Discount (Too High)","")&amp;IF(Z372&lt;0,"; Invalid Shipping Record (Ship Before Order)","")&amp;IF(ABS(Q372-W372)&gt;1,"; Sales Mismatch","")&amp;IF(ABS(S372-X372)&gt;1,"; Profit Mismatch","")&amp;IF(COUNTIF($A$2:$A$913,A372)&gt;1,"; Duplicate Order ID Conflict",""),3,500),AC372&amp;IF(B372="","; Missing Order Date","")&amp;IF(C372="","; Missing Ship Date","")&amp;IF(P372&lt;0,"; Invalid Discount (Negative)","")&amp;IF(P372&gt;0.5,"; Invalid Discount (Too High)","")&amp;IF(Z372&lt;0,"; Invalid Shipping Record (Ship Before Order)","")&amp;IF(ABS(Q372-W372)&gt;1,"; Sales Mismatch","")&amp;IF(ABS(S372-X372)&gt;1,"; Profit Mismatch","")&amp;IF(COUNTIF($A$2:$A$913,A372)&gt;1,"; Duplicate Order ID Conflict",""))</f>
        <v/>
      </c>
      <c r="AE372" s="10" t="str">
        <f aca="false">IF(OR(ISNUMBER(SEARCH("Invalid Discount",AD372)),ISNUMBER(SEARCH("Invalid Shipping Record",AD372)),ISNUMBER(SEARCH("Sales Mismatch",AD372)),ISNUMBER(SEARCH("Profit Mismatch",AD372)),ISNUMBER(SEARCH("Duplicate Order ID Conflict",AD372)),ISNUMBER(SEARCH("Missing Order Date",AD372)),ISNUMBER(SEARCH("Missing Ship Date",AD372))),"Invalid",IF(AD372&lt;&gt;"","Warning","Clean"))</f>
        <v>Clean</v>
      </c>
    </row>
    <row r="373" customFormat="false" ht="15" hidden="false" customHeight="true" outlineLevel="0" collapsed="false">
      <c r="A373" s="3" t="s">
        <v>1139</v>
      </c>
      <c r="B373" s="4" t="n">
        <v>45313</v>
      </c>
      <c r="C373" s="4" t="n">
        <v>45315</v>
      </c>
      <c r="D373" s="3" t="s">
        <v>1140</v>
      </c>
      <c r="E373" s="3" t="str">
        <f aca="false">PROPER(TRIM(SUBSTITUTE(Raw_Text_Fields!B374,CHAR(160)," ")))</f>
        <v>Diya Patel</v>
      </c>
      <c r="F373" s="3" t="str">
        <f aca="false">PROPER(TRIM(SUBSTITUTE(Raw_Text_Fields!C374,CHAR(160)," ")))</f>
        <v>Home Office</v>
      </c>
      <c r="G373" s="3" t="str">
        <f aca="false">PROPER(TRIM(SUBSTITUTE(Raw_Text_Fields!D374,CHAR(160)," ")))</f>
        <v>West</v>
      </c>
      <c r="H373" s="3" t="str">
        <f aca="false">PROPER(TRIM(SUBSTITUTE(Raw_Text_Fields!E374,CHAR(160)," ")))</f>
        <v>Maharashtra</v>
      </c>
      <c r="I373" s="3" t="str">
        <f aca="false">PROPER(TRIM(SUBSTITUTE(Raw_Text_Fields!F374,CHAR(160)," ")))</f>
        <v>Mumbai</v>
      </c>
      <c r="J373" s="3" t="str">
        <f aca="false">PROPER(TRIM(SUBSTITUTE(Raw_Text_Fields!G374,CHAR(160)," ")))</f>
        <v>Office Supplies</v>
      </c>
      <c r="K373" s="3" t="str">
        <f aca="false">PROPER(TRIM(SUBSTITUTE(Raw_Text_Fields!H374,CHAR(160)," ")))</f>
        <v>Art</v>
      </c>
      <c r="L373" s="3" t="s">
        <v>1141</v>
      </c>
      <c r="M373" s="3" t="str">
        <f aca="false">PROPER(TRIM(SUBSTITUTE(Raw_Text_Fields!I374,CHAR(160)," ")))</f>
        <v>Standard Class</v>
      </c>
      <c r="N373" s="3" t="n">
        <v>6</v>
      </c>
      <c r="O373" s="5" t="n">
        <v>1026.06</v>
      </c>
      <c r="P373" s="6" t="n">
        <v>0</v>
      </c>
      <c r="Q373" s="5" t="n">
        <v>4617.27</v>
      </c>
      <c r="R373" s="5" t="n">
        <v>2981.94</v>
      </c>
      <c r="S373" s="5" t="n">
        <v>1635.33</v>
      </c>
      <c r="T373" s="3" t="str">
        <f aca="false">PROPER(TRIM(SUBSTITUTE(Raw_Text_Fields!J374,CHAR(160)," ")))</f>
        <v>Refunded</v>
      </c>
      <c r="U373" s="3" t="str">
        <f aca="false">PROPER(TRIM(SUBSTITUTE(Raw_Text_Fields!K374,CHAR(160)," ")))</f>
        <v>Cancelled</v>
      </c>
      <c r="V373" s="7" t="n">
        <f aca="false">IF(OR(P373&lt;0,P373&gt;0.5),0,P373)</f>
        <v>0</v>
      </c>
      <c r="W373" s="8" t="n">
        <f aca="false">N373*O373*(1-V373)</f>
        <v>6156.36</v>
      </c>
      <c r="X373" s="8" t="n">
        <f aca="false">W373-R373</f>
        <v>3174.42</v>
      </c>
      <c r="Y373" s="7" t="n">
        <f aca="false">IFERROR(X373/W373,0)</f>
        <v>0.515632614077149</v>
      </c>
      <c r="Z373" s="9" t="n">
        <f aca="false">C373-B373</f>
        <v>2</v>
      </c>
      <c r="AA373" s="1" t="str">
        <f aca="false">IF(B373="","",TEXT(B373,"mmm"))</f>
        <v>Jan</v>
      </c>
      <c r="AB373" s="9" t="n">
        <f aca="false">IF(B373="","",YEAR(B373))</f>
        <v>2024</v>
      </c>
      <c r="AC373" s="3" t="s">
        <v>130</v>
      </c>
      <c r="AD373" s="3" t="str">
        <f aca="false">IF(LEFT(AC373&amp;IF(B373="","; Missing Order Date","")&amp;IF(C373="","; Missing Ship Date","")&amp;IF(P373&lt;0,"; Invalid Discount (Negative)","")&amp;IF(P373&gt;0.5,"; Invalid Discount (Too High)","")&amp;IF(Z373&lt;0,"; Invalid Shipping Record (Ship Before Order)","")&amp;IF(ABS(Q373-W373)&gt;1,"; Sales Mismatch","")&amp;IF(ABS(S373-X373)&gt;1,"; Profit Mismatch","")&amp;IF(COUNTIF($A$2:$A$913,A373)&gt;1,"; Duplicate Order ID Conflict",""),2)="; ",MID(AC373&amp;IF(B373="","; Missing Order Date","")&amp;IF(C373="","; Missing Ship Date","")&amp;IF(P373&lt;0,"; Invalid Discount (Negative)","")&amp;IF(P373&gt;0.5,"; Invalid Discount (Too High)","")&amp;IF(Z373&lt;0,"; Invalid Shipping Record (Ship Before Order)","")&amp;IF(ABS(Q373-W373)&gt;1,"; Sales Mismatch","")&amp;IF(ABS(S373-X373)&gt;1,"; Profit Mismatch","")&amp;IF(COUNTIF($A$2:$A$913,A373)&gt;1,"; Duplicate Order ID Conflict",""),3,500),AC373&amp;IF(B373="","; Missing Order Date","")&amp;IF(C373="","; Missing Ship Date","")&amp;IF(P373&lt;0,"; Invalid Discount (Negative)","")&amp;IF(P373&gt;0.5,"; Invalid Discount (Too High)","")&amp;IF(Z373&lt;0,"; Invalid Shipping Record (Ship Before Order)","")&amp;IF(ABS(Q373-W373)&gt;1,"; Sales Mismatch","")&amp;IF(ABS(S373-X373)&gt;1,"; Profit Mismatch","")&amp;IF(COUNTIF($A$2:$A$913,A373)&gt;1,"; Duplicate Order ID Conflict",""))</f>
        <v>Missing Discount (defaulted 0); Sales Mismatch; Profit Mismatch</v>
      </c>
      <c r="AE373" s="10" t="str">
        <f aca="false">IF(OR(ISNUMBER(SEARCH("Invalid Discount",AD373)),ISNUMBER(SEARCH("Invalid Shipping Record",AD373)),ISNUMBER(SEARCH("Sales Mismatch",AD373)),ISNUMBER(SEARCH("Profit Mismatch",AD373)),ISNUMBER(SEARCH("Duplicate Order ID Conflict",AD373)),ISNUMBER(SEARCH("Missing Order Date",AD373)),ISNUMBER(SEARCH("Missing Ship Date",AD373))),"Invalid",IF(AD373&lt;&gt;"","Warning","Clean"))</f>
        <v>Invalid</v>
      </c>
    </row>
    <row r="374" customFormat="false" ht="15" hidden="false" customHeight="true" outlineLevel="0" collapsed="false">
      <c r="A374" s="3" t="s">
        <v>1142</v>
      </c>
      <c r="B374" s="4" t="n">
        <v>45885</v>
      </c>
      <c r="C374" s="4" t="n">
        <v>45887</v>
      </c>
      <c r="D374" s="3" t="s">
        <v>564</v>
      </c>
      <c r="E374" s="3" t="str">
        <f aca="false">PROPER(TRIM(SUBSTITUTE(Raw_Text_Fields!B375,CHAR(160)," ")))</f>
        <v>Kabir Singh</v>
      </c>
      <c r="F374" s="3" t="str">
        <f aca="false">PROPER(TRIM(SUBSTITUTE(Raw_Text_Fields!C375,CHAR(160)," ")))</f>
        <v>Consumer</v>
      </c>
      <c r="G374" s="3" t="str">
        <f aca="false">PROPER(TRIM(SUBSTITUTE(Raw_Text_Fields!D375,CHAR(160)," ")))</f>
        <v>East</v>
      </c>
      <c r="H374" s="3" t="str">
        <f aca="false">PROPER(TRIM(SUBSTITUTE(Raw_Text_Fields!E375,CHAR(160)," ")))</f>
        <v>Jharkhand</v>
      </c>
      <c r="I374" s="3" t="str">
        <f aca="false">PROPER(TRIM(SUBSTITUTE(Raw_Text_Fields!F375,CHAR(160)," ")))</f>
        <v>Ranchi</v>
      </c>
      <c r="J374" s="3" t="str">
        <f aca="false">PROPER(TRIM(SUBSTITUTE(Raw_Text_Fields!G375,CHAR(160)," ")))</f>
        <v>Furniture</v>
      </c>
      <c r="K374" s="3" t="str">
        <f aca="false">PROPER(TRIM(SUBSTITUTE(Raw_Text_Fields!H375,CHAR(160)," ")))</f>
        <v>Chairs</v>
      </c>
      <c r="L374" s="3" t="s">
        <v>1143</v>
      </c>
      <c r="M374" s="3" t="str">
        <f aca="false">PROPER(TRIM(SUBSTITUTE(Raw_Text_Fields!I375,CHAR(160)," ")))</f>
        <v>Same Day</v>
      </c>
      <c r="N374" s="3" t="n">
        <v>5</v>
      </c>
      <c r="O374" s="5" t="n">
        <v>1530.36</v>
      </c>
      <c r="P374" s="6" t="n">
        <v>0</v>
      </c>
      <c r="Q374" s="5" t="n">
        <v>7651.8</v>
      </c>
      <c r="R374" s="5" t="n">
        <v>5171.78</v>
      </c>
      <c r="S374" s="5" t="n">
        <v>2480.02</v>
      </c>
      <c r="T374" s="3" t="str">
        <f aca="false">PROPER(TRIM(SUBSTITUTE(Raw_Text_Fields!J375,CHAR(160)," ")))</f>
        <v>Paid</v>
      </c>
      <c r="U374" s="3" t="str">
        <f aca="false">PROPER(TRIM(SUBSTITUTE(Raw_Text_Fields!K375,CHAR(160)," ")))</f>
        <v>Completed</v>
      </c>
      <c r="V374" s="7" t="n">
        <f aca="false">IF(OR(P374&lt;0,P374&gt;0.5),0,P374)</f>
        <v>0</v>
      </c>
      <c r="W374" s="8" t="n">
        <f aca="false">N374*O374*(1-V374)</f>
        <v>7651.8</v>
      </c>
      <c r="X374" s="8" t="n">
        <f aca="false">W374-R374</f>
        <v>2480.02</v>
      </c>
      <c r="Y374" s="7" t="n">
        <f aca="false">IFERROR(X374/W374,0)</f>
        <v>0.324109359889176</v>
      </c>
      <c r="Z374" s="9" t="n">
        <f aca="false">C374-B374</f>
        <v>2</v>
      </c>
      <c r="AA374" s="1" t="str">
        <f aca="false">IF(B374="","",TEXT(B374,"mmm"))</f>
        <v>Aug</v>
      </c>
      <c r="AB374" s="9" t="n">
        <f aca="false">IF(B374="","",YEAR(B374))</f>
        <v>2025</v>
      </c>
      <c r="AC374" s="3"/>
      <c r="AD374" s="3" t="str">
        <f aca="false">IF(LEFT(AC374&amp;IF(B374="","; Missing Order Date","")&amp;IF(C374="","; Missing Ship Date","")&amp;IF(P374&lt;0,"; Invalid Discount (Negative)","")&amp;IF(P374&gt;0.5,"; Invalid Discount (Too High)","")&amp;IF(Z374&lt;0,"; Invalid Shipping Record (Ship Before Order)","")&amp;IF(ABS(Q374-W374)&gt;1,"; Sales Mismatch","")&amp;IF(ABS(S374-X374)&gt;1,"; Profit Mismatch","")&amp;IF(COUNTIF($A$2:$A$913,A374)&gt;1,"; Duplicate Order ID Conflict",""),2)="; ",MID(AC374&amp;IF(B374="","; Missing Order Date","")&amp;IF(C374="","; Missing Ship Date","")&amp;IF(P374&lt;0,"; Invalid Discount (Negative)","")&amp;IF(P374&gt;0.5,"; Invalid Discount (Too High)","")&amp;IF(Z374&lt;0,"; Invalid Shipping Record (Ship Before Order)","")&amp;IF(ABS(Q374-W374)&gt;1,"; Sales Mismatch","")&amp;IF(ABS(S374-X374)&gt;1,"; Profit Mismatch","")&amp;IF(COUNTIF($A$2:$A$913,A374)&gt;1,"; Duplicate Order ID Conflict",""),3,500),AC374&amp;IF(B374="","; Missing Order Date","")&amp;IF(C374="","; Missing Ship Date","")&amp;IF(P374&lt;0,"; Invalid Discount (Negative)","")&amp;IF(P374&gt;0.5,"; Invalid Discount (Too High)","")&amp;IF(Z374&lt;0,"; Invalid Shipping Record (Ship Before Order)","")&amp;IF(ABS(Q374-W374)&gt;1,"; Sales Mismatch","")&amp;IF(ABS(S374-X374)&gt;1,"; Profit Mismatch","")&amp;IF(COUNTIF($A$2:$A$913,A374)&gt;1,"; Duplicate Order ID Conflict",""))</f>
        <v/>
      </c>
      <c r="AE374" s="10" t="str">
        <f aca="false">IF(OR(ISNUMBER(SEARCH("Invalid Discount",AD374)),ISNUMBER(SEARCH("Invalid Shipping Record",AD374)),ISNUMBER(SEARCH("Sales Mismatch",AD374)),ISNUMBER(SEARCH("Profit Mismatch",AD374)),ISNUMBER(SEARCH("Duplicate Order ID Conflict",AD374)),ISNUMBER(SEARCH("Missing Order Date",AD374)),ISNUMBER(SEARCH("Missing Ship Date",AD374))),"Invalid",IF(AD374&lt;&gt;"","Warning","Clean"))</f>
        <v>Clean</v>
      </c>
    </row>
    <row r="375" customFormat="false" ht="15" hidden="false" customHeight="true" outlineLevel="0" collapsed="false">
      <c r="A375" s="3" t="s">
        <v>1144</v>
      </c>
      <c r="B375" s="4" t="n">
        <v>45760</v>
      </c>
      <c r="C375" s="4" t="n">
        <v>45760</v>
      </c>
      <c r="D375" s="3" t="s">
        <v>1145</v>
      </c>
      <c r="E375" s="3" t="str">
        <f aca="false">PROPER(TRIM(SUBSTITUTE(Raw_Text_Fields!B376,CHAR(160)," ")))</f>
        <v>Sneha Kapoor</v>
      </c>
      <c r="F375" s="3" t="str">
        <f aca="false">PROPER(TRIM(SUBSTITUTE(Raw_Text_Fields!C376,CHAR(160)," ")))</f>
        <v>Small Business</v>
      </c>
      <c r="G375" s="3" t="str">
        <f aca="false">PROPER(TRIM(SUBSTITUTE(Raw_Text_Fields!D376,CHAR(160)," ")))</f>
        <v>North</v>
      </c>
      <c r="H375" s="3" t="str">
        <f aca="false">PROPER(TRIM(SUBSTITUTE(Raw_Text_Fields!E376,CHAR(160)," ")))</f>
        <v>Uttar Pradesh</v>
      </c>
      <c r="I375" s="3" t="str">
        <f aca="false">PROPER(TRIM(SUBSTITUTE(Raw_Text_Fields!F376,CHAR(160)," ")))</f>
        <v>Noida</v>
      </c>
      <c r="J375" s="3" t="str">
        <f aca="false">PROPER(TRIM(SUBSTITUTE(Raw_Text_Fields!G376,CHAR(160)," ")))</f>
        <v>Office Supplies</v>
      </c>
      <c r="K375" s="3" t="str">
        <f aca="false">PROPER(TRIM(SUBSTITUTE(Raw_Text_Fields!H376,CHAR(160)," ")))</f>
        <v>Storage</v>
      </c>
      <c r="L375" s="3" t="s">
        <v>1146</v>
      </c>
      <c r="M375" s="3" t="str">
        <f aca="false">PROPER(TRIM(SUBSTITUTE(Raw_Text_Fields!I376,CHAR(160)," ")))</f>
        <v>Second Class</v>
      </c>
      <c r="N375" s="3" t="n">
        <v>9</v>
      </c>
      <c r="O375" s="5" t="n">
        <v>1118.68</v>
      </c>
      <c r="P375" s="6" t="n">
        <v>0</v>
      </c>
      <c r="Q375" s="5" t="n">
        <v>10068.12</v>
      </c>
      <c r="R375" s="5" t="n">
        <v>8595.37</v>
      </c>
      <c r="S375" s="5" t="n">
        <v>1472.75</v>
      </c>
      <c r="T375" s="3" t="str">
        <f aca="false">PROPER(TRIM(SUBSTITUTE(Raw_Text_Fields!J376,CHAR(160)," ")))</f>
        <v>Paid</v>
      </c>
      <c r="U375" s="3" t="str">
        <f aca="false">PROPER(TRIM(SUBSTITUTE(Raw_Text_Fields!K376,CHAR(160)," ")))</f>
        <v>Completed</v>
      </c>
      <c r="V375" s="7" t="n">
        <f aca="false">IF(OR(P375&lt;0,P375&gt;0.5),0,P375)</f>
        <v>0</v>
      </c>
      <c r="W375" s="8" t="n">
        <f aca="false">N375*O375*(1-V375)</f>
        <v>10068.12</v>
      </c>
      <c r="X375" s="8" t="n">
        <f aca="false">W375-R375</f>
        <v>1472.75</v>
      </c>
      <c r="Y375" s="7" t="n">
        <f aca="false">IFERROR(X375/W375,0)</f>
        <v>0.146278550513899</v>
      </c>
      <c r="Z375" s="9" t="n">
        <f aca="false">C375-B375</f>
        <v>0</v>
      </c>
      <c r="AA375" s="1" t="str">
        <f aca="false">IF(B375="","",TEXT(B375,"mmm"))</f>
        <v>Apr</v>
      </c>
      <c r="AB375" s="9" t="n">
        <f aca="false">IF(B375="","",YEAR(B375))</f>
        <v>2025</v>
      </c>
      <c r="AC375" s="3"/>
      <c r="AD375" s="3" t="str">
        <f aca="false">IF(LEFT(AC375&amp;IF(B375="","; Missing Order Date","")&amp;IF(C375="","; Missing Ship Date","")&amp;IF(P375&lt;0,"; Invalid Discount (Negative)","")&amp;IF(P375&gt;0.5,"; Invalid Discount (Too High)","")&amp;IF(Z375&lt;0,"; Invalid Shipping Record (Ship Before Order)","")&amp;IF(ABS(Q375-W375)&gt;1,"; Sales Mismatch","")&amp;IF(ABS(S375-X375)&gt;1,"; Profit Mismatch","")&amp;IF(COUNTIF($A$2:$A$913,A375)&gt;1,"; Duplicate Order ID Conflict",""),2)="; ",MID(AC375&amp;IF(B375="","; Missing Order Date","")&amp;IF(C375="","; Missing Ship Date","")&amp;IF(P375&lt;0,"; Invalid Discount (Negative)","")&amp;IF(P375&gt;0.5,"; Invalid Discount (Too High)","")&amp;IF(Z375&lt;0,"; Invalid Shipping Record (Ship Before Order)","")&amp;IF(ABS(Q375-W375)&gt;1,"; Sales Mismatch","")&amp;IF(ABS(S375-X375)&gt;1,"; Profit Mismatch","")&amp;IF(COUNTIF($A$2:$A$913,A375)&gt;1,"; Duplicate Order ID Conflict",""),3,500),AC375&amp;IF(B375="","; Missing Order Date","")&amp;IF(C375="","; Missing Ship Date","")&amp;IF(P375&lt;0,"; Invalid Discount (Negative)","")&amp;IF(P375&gt;0.5,"; Invalid Discount (Too High)","")&amp;IF(Z375&lt;0,"; Invalid Shipping Record (Ship Before Order)","")&amp;IF(ABS(Q375-W375)&gt;1,"; Sales Mismatch","")&amp;IF(ABS(S375-X375)&gt;1,"; Profit Mismatch","")&amp;IF(COUNTIF($A$2:$A$913,A375)&gt;1,"; Duplicate Order ID Conflict",""))</f>
        <v>Duplicate Order ID Conflict</v>
      </c>
      <c r="AE375" s="10" t="str">
        <f aca="false">IF(OR(ISNUMBER(SEARCH("Invalid Discount",AD375)),ISNUMBER(SEARCH("Invalid Shipping Record",AD375)),ISNUMBER(SEARCH("Sales Mismatch",AD375)),ISNUMBER(SEARCH("Profit Mismatch",AD375)),ISNUMBER(SEARCH("Duplicate Order ID Conflict",AD375)),ISNUMBER(SEARCH("Missing Order Date",AD375)),ISNUMBER(SEARCH("Missing Ship Date",AD375))),"Invalid",IF(AD375&lt;&gt;"","Warning","Clean"))</f>
        <v>Invalid</v>
      </c>
    </row>
    <row r="376" customFormat="false" ht="15" hidden="false" customHeight="true" outlineLevel="0" collapsed="false">
      <c r="A376" s="3" t="s">
        <v>1147</v>
      </c>
      <c r="B376" s="4" t="n">
        <v>45715</v>
      </c>
      <c r="C376" s="4" t="n">
        <v>45716</v>
      </c>
      <c r="D376" s="3" t="s">
        <v>1148</v>
      </c>
      <c r="E376" s="3" t="str">
        <f aca="false">PROPER(TRIM(SUBSTITUTE(Raw_Text_Fields!B377,CHAR(160)," ")))</f>
        <v>Aditi Sen</v>
      </c>
      <c r="F376" s="3" t="str">
        <f aca="false">PROPER(TRIM(SUBSTITUTE(Raw_Text_Fields!C377,CHAR(160)," ")))</f>
        <v>Small Business</v>
      </c>
      <c r="G376" s="3" t="str">
        <f aca="false">PROPER(TRIM(SUBSTITUTE(Raw_Text_Fields!D377,CHAR(160)," ")))</f>
        <v>North</v>
      </c>
      <c r="H376" s="3" t="str">
        <f aca="false">PROPER(TRIM(SUBSTITUTE(Raw_Text_Fields!E377,CHAR(160)," ")))</f>
        <v>Uttar Pradesh</v>
      </c>
      <c r="I376" s="3" t="str">
        <f aca="false">PROPER(TRIM(SUBSTITUTE(Raw_Text_Fields!F377,CHAR(160)," ")))</f>
        <v>Noida</v>
      </c>
      <c r="J376" s="3" t="str">
        <f aca="false">PROPER(TRIM(SUBSTITUTE(Raw_Text_Fields!G377,CHAR(160)," ")))</f>
        <v>Office Supplies</v>
      </c>
      <c r="K376" s="3" t="str">
        <f aca="false">PROPER(TRIM(SUBSTITUTE(Raw_Text_Fields!H377,CHAR(160)," ")))</f>
        <v>Labels</v>
      </c>
      <c r="L376" s="3" t="s">
        <v>1149</v>
      </c>
      <c r="M376" s="3" t="str">
        <f aca="false">PROPER(TRIM(SUBSTITUTE(Raw_Text_Fields!I377,CHAR(160)," ")))</f>
        <v>Standard Class</v>
      </c>
      <c r="N376" s="3" t="n">
        <v>6</v>
      </c>
      <c r="O376" s="5" t="n">
        <v>2393.25</v>
      </c>
      <c r="P376" s="6" t="n">
        <v>0</v>
      </c>
      <c r="Q376" s="5" t="n">
        <v>14359.5</v>
      </c>
      <c r="R376" s="5" t="n">
        <v>8117.71</v>
      </c>
      <c r="S376" s="5" t="n">
        <v>6241.79</v>
      </c>
      <c r="T376" s="3" t="str">
        <f aca="false">PROPER(TRIM(SUBSTITUTE(Raw_Text_Fields!J377,CHAR(160)," ")))</f>
        <v>Paid</v>
      </c>
      <c r="U376" s="3" t="str">
        <f aca="false">PROPER(TRIM(SUBSTITUTE(Raw_Text_Fields!K377,CHAR(160)," ")))</f>
        <v>Completed</v>
      </c>
      <c r="V376" s="7" t="n">
        <f aca="false">IF(OR(P376&lt;0,P376&gt;0.5),0,P376)</f>
        <v>0</v>
      </c>
      <c r="W376" s="8" t="n">
        <f aca="false">N376*O376*(1-V376)</f>
        <v>14359.5</v>
      </c>
      <c r="X376" s="8" t="n">
        <f aca="false">W376-R376</f>
        <v>6241.79</v>
      </c>
      <c r="Y376" s="7" t="n">
        <f aca="false">IFERROR(X376/W376,0)</f>
        <v>0.434680176886382</v>
      </c>
      <c r="Z376" s="9" t="n">
        <f aca="false">C376-B376</f>
        <v>1</v>
      </c>
      <c r="AA376" s="1" t="str">
        <f aca="false">IF(B376="","",TEXT(B376,"mmm"))</f>
        <v>Feb</v>
      </c>
      <c r="AB376" s="9" t="n">
        <f aca="false">IF(B376="","",YEAR(B376))</f>
        <v>2025</v>
      </c>
      <c r="AC376" s="3"/>
      <c r="AD376" s="3" t="str">
        <f aca="false">IF(LEFT(AC376&amp;IF(B376="","; Missing Order Date","")&amp;IF(C376="","; Missing Ship Date","")&amp;IF(P376&lt;0,"; Invalid Discount (Negative)","")&amp;IF(P376&gt;0.5,"; Invalid Discount (Too High)","")&amp;IF(Z376&lt;0,"; Invalid Shipping Record (Ship Before Order)","")&amp;IF(ABS(Q376-W376)&gt;1,"; Sales Mismatch","")&amp;IF(ABS(S376-X376)&gt;1,"; Profit Mismatch","")&amp;IF(COUNTIF($A$2:$A$913,A376)&gt;1,"; Duplicate Order ID Conflict",""),2)="; ",MID(AC376&amp;IF(B376="","; Missing Order Date","")&amp;IF(C376="","; Missing Ship Date","")&amp;IF(P376&lt;0,"; Invalid Discount (Negative)","")&amp;IF(P376&gt;0.5,"; Invalid Discount (Too High)","")&amp;IF(Z376&lt;0,"; Invalid Shipping Record (Ship Before Order)","")&amp;IF(ABS(Q376-W376)&gt;1,"; Sales Mismatch","")&amp;IF(ABS(S376-X376)&gt;1,"; Profit Mismatch","")&amp;IF(COUNTIF($A$2:$A$913,A376)&gt;1,"; Duplicate Order ID Conflict",""),3,500),AC376&amp;IF(B376="","; Missing Order Date","")&amp;IF(C376="","; Missing Ship Date","")&amp;IF(P376&lt;0,"; Invalid Discount (Negative)","")&amp;IF(P376&gt;0.5,"; Invalid Discount (Too High)","")&amp;IF(Z376&lt;0,"; Invalid Shipping Record (Ship Before Order)","")&amp;IF(ABS(Q376-W376)&gt;1,"; Sales Mismatch","")&amp;IF(ABS(S376-X376)&gt;1,"; Profit Mismatch","")&amp;IF(COUNTIF($A$2:$A$913,A376)&gt;1,"; Duplicate Order ID Conflict",""))</f>
        <v/>
      </c>
      <c r="AE376" s="10" t="str">
        <f aca="false">IF(OR(ISNUMBER(SEARCH("Invalid Discount",AD376)),ISNUMBER(SEARCH("Invalid Shipping Record",AD376)),ISNUMBER(SEARCH("Sales Mismatch",AD376)),ISNUMBER(SEARCH("Profit Mismatch",AD376)),ISNUMBER(SEARCH("Duplicate Order ID Conflict",AD376)),ISNUMBER(SEARCH("Missing Order Date",AD376)),ISNUMBER(SEARCH("Missing Ship Date",AD376))),"Invalid",IF(AD376&lt;&gt;"","Warning","Clean"))</f>
        <v>Clean</v>
      </c>
    </row>
    <row r="377" customFormat="false" ht="15" hidden="false" customHeight="true" outlineLevel="0" collapsed="false">
      <c r="A377" s="3" t="s">
        <v>1150</v>
      </c>
      <c r="B377" s="4" t="n">
        <v>45657</v>
      </c>
      <c r="C377" s="4" t="n">
        <v>45661</v>
      </c>
      <c r="D377" s="3" t="s">
        <v>1151</v>
      </c>
      <c r="E377" s="3" t="str">
        <f aca="false">PROPER(TRIM(SUBSTITUTE(Raw_Text_Fields!B378,CHAR(160)," ")))</f>
        <v>Vikram Iyer</v>
      </c>
      <c r="F377" s="3" t="str">
        <f aca="false">PROPER(TRIM(SUBSTITUTE(Raw_Text_Fields!C378,CHAR(160)," ")))</f>
        <v>Consumer</v>
      </c>
      <c r="G377" s="3" t="str">
        <f aca="false">PROPER(TRIM(SUBSTITUTE(Raw_Text_Fields!D378,CHAR(160)," ")))</f>
        <v>North</v>
      </c>
      <c r="H377" s="3" t="str">
        <f aca="false">PROPER(TRIM(SUBSTITUTE(Raw_Text_Fields!E378,CHAR(160)," ")))</f>
        <v>Delhi</v>
      </c>
      <c r="I377" s="3" t="str">
        <f aca="false">PROPER(TRIM(SUBSTITUTE(Raw_Text_Fields!F378,CHAR(160)," ")))</f>
        <v>New Delhi</v>
      </c>
      <c r="J377" s="3" t="str">
        <f aca="false">PROPER(TRIM(SUBSTITUTE(Raw_Text_Fields!G378,CHAR(160)," ")))</f>
        <v>Furniture</v>
      </c>
      <c r="K377" s="3" t="str">
        <f aca="false">PROPER(TRIM(SUBSTITUTE(Raw_Text_Fields!H378,CHAR(160)," ")))</f>
        <v>Chairs</v>
      </c>
      <c r="L377" s="3" t="s">
        <v>1152</v>
      </c>
      <c r="M377" s="3" t="str">
        <f aca="false">PROPER(TRIM(SUBSTITUTE(Raw_Text_Fields!I378,CHAR(160)," ")))</f>
        <v>Same Day</v>
      </c>
      <c r="N377" s="3" t="n">
        <v>3</v>
      </c>
      <c r="O377" s="5" t="n">
        <v>1166.61</v>
      </c>
      <c r="P377" s="6" t="n">
        <v>0.25</v>
      </c>
      <c r="Q377" s="5" t="n">
        <v>2624.87</v>
      </c>
      <c r="R377" s="5" t="n">
        <v>2253.88</v>
      </c>
      <c r="S377" s="5" t="n">
        <v>370.99</v>
      </c>
      <c r="T377" s="3" t="str">
        <f aca="false">PROPER(TRIM(SUBSTITUTE(Raw_Text_Fields!J378,CHAR(160)," ")))</f>
        <v>Paid</v>
      </c>
      <c r="U377" s="3" t="str">
        <f aca="false">PROPER(TRIM(SUBSTITUTE(Raw_Text_Fields!K378,CHAR(160)," ")))</f>
        <v>Completed</v>
      </c>
      <c r="V377" s="7" t="n">
        <f aca="false">IF(OR(P377&lt;0,P377&gt;0.5),0,P377)</f>
        <v>0.25</v>
      </c>
      <c r="W377" s="8" t="n">
        <f aca="false">N377*O377*(1-V377)</f>
        <v>2624.8725</v>
      </c>
      <c r="X377" s="8" t="n">
        <f aca="false">W377-R377</f>
        <v>370.9925</v>
      </c>
      <c r="Y377" s="7" t="n">
        <f aca="false">IFERROR(X377/W377,0)</f>
        <v>0.141337341147046</v>
      </c>
      <c r="Z377" s="9" t="n">
        <f aca="false">C377-B377</f>
        <v>4</v>
      </c>
      <c r="AA377" s="1" t="str">
        <f aca="false">IF(B377="","",TEXT(B377,"mmm"))</f>
        <v>Dec</v>
      </c>
      <c r="AB377" s="9" t="n">
        <f aca="false">IF(B377="","",YEAR(B377))</f>
        <v>2024</v>
      </c>
      <c r="AC377" s="3"/>
      <c r="AD377" s="3" t="str">
        <f aca="false">IF(LEFT(AC377&amp;IF(B377="","; Missing Order Date","")&amp;IF(C377="","; Missing Ship Date","")&amp;IF(P377&lt;0,"; Invalid Discount (Negative)","")&amp;IF(P377&gt;0.5,"; Invalid Discount (Too High)","")&amp;IF(Z377&lt;0,"; Invalid Shipping Record (Ship Before Order)","")&amp;IF(ABS(Q377-W377)&gt;1,"; Sales Mismatch","")&amp;IF(ABS(S377-X377)&gt;1,"; Profit Mismatch","")&amp;IF(COUNTIF($A$2:$A$913,A377)&gt;1,"; Duplicate Order ID Conflict",""),2)="; ",MID(AC377&amp;IF(B377="","; Missing Order Date","")&amp;IF(C377="","; Missing Ship Date","")&amp;IF(P377&lt;0,"; Invalid Discount (Negative)","")&amp;IF(P377&gt;0.5,"; Invalid Discount (Too High)","")&amp;IF(Z377&lt;0,"; Invalid Shipping Record (Ship Before Order)","")&amp;IF(ABS(Q377-W377)&gt;1,"; Sales Mismatch","")&amp;IF(ABS(S377-X377)&gt;1,"; Profit Mismatch","")&amp;IF(COUNTIF($A$2:$A$913,A377)&gt;1,"; Duplicate Order ID Conflict",""),3,500),AC377&amp;IF(B377="","; Missing Order Date","")&amp;IF(C377="","; Missing Ship Date","")&amp;IF(P377&lt;0,"; Invalid Discount (Negative)","")&amp;IF(P377&gt;0.5,"; Invalid Discount (Too High)","")&amp;IF(Z377&lt;0,"; Invalid Shipping Record (Ship Before Order)","")&amp;IF(ABS(Q377-W377)&gt;1,"; Sales Mismatch","")&amp;IF(ABS(S377-X377)&gt;1,"; Profit Mismatch","")&amp;IF(COUNTIF($A$2:$A$913,A377)&gt;1,"; Duplicate Order ID Conflict",""))</f>
        <v/>
      </c>
      <c r="AE377" s="10" t="str">
        <f aca="false">IF(OR(ISNUMBER(SEARCH("Invalid Discount",AD377)),ISNUMBER(SEARCH("Invalid Shipping Record",AD377)),ISNUMBER(SEARCH("Sales Mismatch",AD377)),ISNUMBER(SEARCH("Profit Mismatch",AD377)),ISNUMBER(SEARCH("Duplicate Order ID Conflict",AD377)),ISNUMBER(SEARCH("Missing Order Date",AD377)),ISNUMBER(SEARCH("Missing Ship Date",AD377))),"Invalid",IF(AD377&lt;&gt;"","Warning","Clean"))</f>
        <v>Clean</v>
      </c>
    </row>
    <row r="378" customFormat="false" ht="15" hidden="false" customHeight="true" outlineLevel="0" collapsed="false">
      <c r="A378" s="3" t="s">
        <v>1153</v>
      </c>
      <c r="B378" s="4" t="n">
        <v>45655</v>
      </c>
      <c r="C378" s="4" t="n">
        <v>45657</v>
      </c>
      <c r="D378" s="3" t="s">
        <v>1154</v>
      </c>
      <c r="E378" s="3" t="str">
        <f aca="false">PROPER(TRIM(SUBSTITUTE(Raw_Text_Fields!B379,CHAR(160)," ")))</f>
        <v>Isha Nair</v>
      </c>
      <c r="F378" s="3" t="str">
        <f aca="false">PROPER(TRIM(SUBSTITUTE(Raw_Text_Fields!C379,CHAR(160)," ")))</f>
        <v>Small Business</v>
      </c>
      <c r="G378" s="3" t="str">
        <f aca="false">PROPER(TRIM(SUBSTITUTE(Raw_Text_Fields!D379,CHAR(160)," ")))</f>
        <v>East</v>
      </c>
      <c r="H378" s="3" t="str">
        <f aca="false">PROPER(TRIM(SUBSTITUTE(Raw_Text_Fields!E379,CHAR(160)," ")))</f>
        <v>Bihar</v>
      </c>
      <c r="I378" s="3" t="str">
        <f aca="false">PROPER(TRIM(SUBSTITUTE(Raw_Text_Fields!F379,CHAR(160)," ")))</f>
        <v>Patna</v>
      </c>
      <c r="J378" s="3" t="str">
        <f aca="false">PROPER(TRIM(SUBSTITUTE(Raw_Text_Fields!G379,CHAR(160)," ")))</f>
        <v>Furniture</v>
      </c>
      <c r="K378" s="3" t="str">
        <f aca="false">PROPER(TRIM(SUBSTITUTE(Raw_Text_Fields!H379,CHAR(160)," ")))</f>
        <v>Chairs</v>
      </c>
      <c r="L378" s="3" t="s">
        <v>1155</v>
      </c>
      <c r="M378" s="3" t="str">
        <f aca="false">PROPER(TRIM(SUBSTITUTE(Raw_Text_Fields!I379,CHAR(160)," ")))</f>
        <v>First Class</v>
      </c>
      <c r="N378" s="3" t="n">
        <v>6</v>
      </c>
      <c r="O378" s="5" t="n">
        <v>1844.78</v>
      </c>
      <c r="P378" s="6" t="n">
        <v>0.2</v>
      </c>
      <c r="Q378" s="5" t="n">
        <v>8854.94</v>
      </c>
      <c r="R378" s="5" t="n">
        <v>7433.95</v>
      </c>
      <c r="S378" s="5" t="n">
        <v>1420.99</v>
      </c>
      <c r="T378" s="3" t="str">
        <f aca="false">PROPER(TRIM(SUBSTITUTE(Raw_Text_Fields!J379,CHAR(160)," ")))</f>
        <v>Paid</v>
      </c>
      <c r="U378" s="3" t="str">
        <f aca="false">PROPER(TRIM(SUBSTITUTE(Raw_Text_Fields!K379,CHAR(160)," ")))</f>
        <v>Completed</v>
      </c>
      <c r="V378" s="7" t="n">
        <f aca="false">IF(OR(P378&lt;0,P378&gt;0.5),0,P378)</f>
        <v>0.2</v>
      </c>
      <c r="W378" s="8" t="n">
        <f aca="false">N378*O378*(1-V378)</f>
        <v>8854.944</v>
      </c>
      <c r="X378" s="8" t="n">
        <f aca="false">W378-R378</f>
        <v>1420.994</v>
      </c>
      <c r="Y378" s="7" t="n">
        <f aca="false">IFERROR(X378/W378,0)</f>
        <v>0.160474645576528</v>
      </c>
      <c r="Z378" s="9" t="n">
        <f aca="false">C378-B378</f>
        <v>2</v>
      </c>
      <c r="AA378" s="1" t="str">
        <f aca="false">IF(B378="","",TEXT(B378,"mmm"))</f>
        <v>Dec</v>
      </c>
      <c r="AB378" s="9" t="n">
        <f aca="false">IF(B378="","",YEAR(B378))</f>
        <v>2024</v>
      </c>
      <c r="AC378" s="3"/>
      <c r="AD378" s="3" t="str">
        <f aca="false">IF(LEFT(AC378&amp;IF(B378="","; Missing Order Date","")&amp;IF(C378="","; Missing Ship Date","")&amp;IF(P378&lt;0,"; Invalid Discount (Negative)","")&amp;IF(P378&gt;0.5,"; Invalid Discount (Too High)","")&amp;IF(Z378&lt;0,"; Invalid Shipping Record (Ship Before Order)","")&amp;IF(ABS(Q378-W378)&gt;1,"; Sales Mismatch","")&amp;IF(ABS(S378-X378)&gt;1,"; Profit Mismatch","")&amp;IF(COUNTIF($A$2:$A$913,A378)&gt;1,"; Duplicate Order ID Conflict",""),2)="; ",MID(AC378&amp;IF(B378="","; Missing Order Date","")&amp;IF(C378="","; Missing Ship Date","")&amp;IF(P378&lt;0,"; Invalid Discount (Negative)","")&amp;IF(P378&gt;0.5,"; Invalid Discount (Too High)","")&amp;IF(Z378&lt;0,"; Invalid Shipping Record (Ship Before Order)","")&amp;IF(ABS(Q378-W378)&gt;1,"; Sales Mismatch","")&amp;IF(ABS(S378-X378)&gt;1,"; Profit Mismatch","")&amp;IF(COUNTIF($A$2:$A$913,A378)&gt;1,"; Duplicate Order ID Conflict",""),3,500),AC378&amp;IF(B378="","; Missing Order Date","")&amp;IF(C378="","; Missing Ship Date","")&amp;IF(P378&lt;0,"; Invalid Discount (Negative)","")&amp;IF(P378&gt;0.5,"; Invalid Discount (Too High)","")&amp;IF(Z378&lt;0,"; Invalid Shipping Record (Ship Before Order)","")&amp;IF(ABS(Q378-W378)&gt;1,"; Sales Mismatch","")&amp;IF(ABS(S378-X378)&gt;1,"; Profit Mismatch","")&amp;IF(COUNTIF($A$2:$A$913,A378)&gt;1,"; Duplicate Order ID Conflict",""))</f>
        <v/>
      </c>
      <c r="AE378" s="10" t="str">
        <f aca="false">IF(OR(ISNUMBER(SEARCH("Invalid Discount",AD378)),ISNUMBER(SEARCH("Invalid Shipping Record",AD378)),ISNUMBER(SEARCH("Sales Mismatch",AD378)),ISNUMBER(SEARCH("Profit Mismatch",AD378)),ISNUMBER(SEARCH("Duplicate Order ID Conflict",AD378)),ISNUMBER(SEARCH("Missing Order Date",AD378)),ISNUMBER(SEARCH("Missing Ship Date",AD378))),"Invalid",IF(AD378&lt;&gt;"","Warning","Clean"))</f>
        <v>Clean</v>
      </c>
    </row>
    <row r="379" customFormat="false" ht="15" hidden="false" customHeight="true" outlineLevel="0" collapsed="false">
      <c r="A379" s="3" t="s">
        <v>1156</v>
      </c>
      <c r="B379" s="4" t="n">
        <v>45801</v>
      </c>
      <c r="C379" s="4" t="n">
        <v>45807</v>
      </c>
      <c r="D379" s="3" t="s">
        <v>1157</v>
      </c>
      <c r="E379" s="3" t="str">
        <f aca="false">PROPER(TRIM(SUBSTITUTE(Raw_Text_Fields!B380,CHAR(160)," ")))</f>
        <v>Kabir Singh</v>
      </c>
      <c r="F379" s="3" t="str">
        <f aca="false">PROPER(TRIM(SUBSTITUTE(Raw_Text_Fields!C380,CHAR(160)," ")))</f>
        <v>Small Business</v>
      </c>
      <c r="G379" s="3" t="str">
        <f aca="false">PROPER(TRIM(SUBSTITUTE(Raw_Text_Fields!D380,CHAR(160)," ")))</f>
        <v>East</v>
      </c>
      <c r="H379" s="3" t="str">
        <f aca="false">PROPER(TRIM(SUBSTITUTE(Raw_Text_Fields!E380,CHAR(160)," ")))</f>
        <v>Odisha</v>
      </c>
      <c r="I379" s="3" t="str">
        <f aca="false">PROPER(TRIM(SUBSTITUTE(Raw_Text_Fields!F380,CHAR(160)," ")))</f>
        <v>Bhubaneswar</v>
      </c>
      <c r="J379" s="3" t="str">
        <f aca="false">PROPER(TRIM(SUBSTITUTE(Raw_Text_Fields!G380,CHAR(160)," ")))</f>
        <v>Office Supplies</v>
      </c>
      <c r="K379" s="3" t="str">
        <f aca="false">PROPER(TRIM(SUBSTITUTE(Raw_Text_Fields!H380,CHAR(160)," ")))</f>
        <v>Storage</v>
      </c>
      <c r="L379" s="3" t="s">
        <v>1158</v>
      </c>
      <c r="M379" s="3" t="str">
        <f aca="false">PROPER(TRIM(SUBSTITUTE(Raw_Text_Fields!I380,CHAR(160)," ")))</f>
        <v>Same Day</v>
      </c>
      <c r="N379" s="3" t="n">
        <v>1</v>
      </c>
      <c r="O379" s="5" t="n">
        <v>2564.74</v>
      </c>
      <c r="P379" s="6" t="n">
        <v>0</v>
      </c>
      <c r="Q379" s="5" t="n">
        <v>2564.74</v>
      </c>
      <c r="R379" s="5" t="n">
        <v>1754.58</v>
      </c>
      <c r="S379" s="5" t="n">
        <v>810.16</v>
      </c>
      <c r="T379" s="3" t="str">
        <f aca="false">PROPER(TRIM(SUBSTITUTE(Raw_Text_Fields!J380,CHAR(160)," ")))</f>
        <v>Paid</v>
      </c>
      <c r="U379" s="3" t="str">
        <f aca="false">PROPER(TRIM(SUBSTITUTE(Raw_Text_Fields!K380,CHAR(160)," ")))</f>
        <v>Completed</v>
      </c>
      <c r="V379" s="7" t="n">
        <f aca="false">IF(OR(P379&lt;0,P379&gt;0.5),0,P379)</f>
        <v>0</v>
      </c>
      <c r="W379" s="8" t="n">
        <f aca="false">N379*O379*(1-V379)</f>
        <v>2564.74</v>
      </c>
      <c r="X379" s="8" t="n">
        <f aca="false">W379-R379</f>
        <v>810.16</v>
      </c>
      <c r="Y379" s="7" t="n">
        <f aca="false">IFERROR(X379/W379,0)</f>
        <v>0.315883871269602</v>
      </c>
      <c r="Z379" s="9" t="n">
        <f aca="false">C379-B379</f>
        <v>6</v>
      </c>
      <c r="AA379" s="1" t="str">
        <f aca="false">IF(B379="","",TEXT(B379,"mmm"))</f>
        <v>May</v>
      </c>
      <c r="AB379" s="9" t="n">
        <f aca="false">IF(B379="","",YEAR(B379))</f>
        <v>2025</v>
      </c>
      <c r="AC379" s="3"/>
      <c r="AD379" s="3" t="str">
        <f aca="false">IF(LEFT(AC379&amp;IF(B379="","; Missing Order Date","")&amp;IF(C379="","; Missing Ship Date","")&amp;IF(P379&lt;0,"; Invalid Discount (Negative)","")&amp;IF(P379&gt;0.5,"; Invalid Discount (Too High)","")&amp;IF(Z379&lt;0,"; Invalid Shipping Record (Ship Before Order)","")&amp;IF(ABS(Q379-W379)&gt;1,"; Sales Mismatch","")&amp;IF(ABS(S379-X379)&gt;1,"; Profit Mismatch","")&amp;IF(COUNTIF($A$2:$A$913,A379)&gt;1,"; Duplicate Order ID Conflict",""),2)="; ",MID(AC379&amp;IF(B379="","; Missing Order Date","")&amp;IF(C379="","; Missing Ship Date","")&amp;IF(P379&lt;0,"; Invalid Discount (Negative)","")&amp;IF(P379&gt;0.5,"; Invalid Discount (Too High)","")&amp;IF(Z379&lt;0,"; Invalid Shipping Record (Ship Before Order)","")&amp;IF(ABS(Q379-W379)&gt;1,"; Sales Mismatch","")&amp;IF(ABS(S379-X379)&gt;1,"; Profit Mismatch","")&amp;IF(COUNTIF($A$2:$A$913,A379)&gt;1,"; Duplicate Order ID Conflict",""),3,500),AC379&amp;IF(B379="","; Missing Order Date","")&amp;IF(C379="","; Missing Ship Date","")&amp;IF(P379&lt;0,"; Invalid Discount (Negative)","")&amp;IF(P379&gt;0.5,"; Invalid Discount (Too High)","")&amp;IF(Z379&lt;0,"; Invalid Shipping Record (Ship Before Order)","")&amp;IF(ABS(Q379-W379)&gt;1,"; Sales Mismatch","")&amp;IF(ABS(S379-X379)&gt;1,"; Profit Mismatch","")&amp;IF(COUNTIF($A$2:$A$913,A379)&gt;1,"; Duplicate Order ID Conflict",""))</f>
        <v/>
      </c>
      <c r="AE379" s="10" t="str">
        <f aca="false">IF(OR(ISNUMBER(SEARCH("Invalid Discount",AD379)),ISNUMBER(SEARCH("Invalid Shipping Record",AD379)),ISNUMBER(SEARCH("Sales Mismatch",AD379)),ISNUMBER(SEARCH("Profit Mismatch",AD379)),ISNUMBER(SEARCH("Duplicate Order ID Conflict",AD379)),ISNUMBER(SEARCH("Missing Order Date",AD379)),ISNUMBER(SEARCH("Missing Ship Date",AD379))),"Invalid",IF(AD379&lt;&gt;"","Warning","Clean"))</f>
        <v>Clean</v>
      </c>
    </row>
    <row r="380" customFormat="false" ht="15" hidden="false" customHeight="true" outlineLevel="0" collapsed="false">
      <c r="A380" s="3" t="s">
        <v>1159</v>
      </c>
      <c r="B380" s="4" t="n">
        <v>45799</v>
      </c>
      <c r="C380" s="4" t="n">
        <v>45799</v>
      </c>
      <c r="D380" s="3" t="s">
        <v>1160</v>
      </c>
      <c r="E380" s="3" t="str">
        <f aca="false">PROPER(TRIM(SUBSTITUTE(Raw_Text_Fields!B381,CHAR(160)," ")))</f>
        <v>Mira Das</v>
      </c>
      <c r="F380" s="3" t="str">
        <f aca="false">PROPER(TRIM(SUBSTITUTE(Raw_Text_Fields!C381,CHAR(160)," ")))</f>
        <v>Consumer</v>
      </c>
      <c r="G380" s="3" t="str">
        <f aca="false">PROPER(TRIM(SUBSTITUTE(Raw_Text_Fields!D381,CHAR(160)," ")))</f>
        <v>West</v>
      </c>
      <c r="H380" s="3" t="str">
        <f aca="false">PROPER(TRIM(SUBSTITUTE(Raw_Text_Fields!E381,CHAR(160)," ")))</f>
        <v>Goa</v>
      </c>
      <c r="I380" s="3" t="str">
        <f aca="false">PROPER(TRIM(SUBSTITUTE(Raw_Text_Fields!F381,CHAR(160)," ")))</f>
        <v>Panaji</v>
      </c>
      <c r="J380" s="3" t="str">
        <f aca="false">PROPER(TRIM(SUBSTITUTE(Raw_Text_Fields!G381,CHAR(160)," ")))</f>
        <v>Technology</v>
      </c>
      <c r="K380" s="3" t="str">
        <f aca="false">PROPER(TRIM(SUBSTITUTE(Raw_Text_Fields!H381,CHAR(160)," ")))</f>
        <v>Accessories</v>
      </c>
      <c r="L380" s="3" t="s">
        <v>1161</v>
      </c>
      <c r="M380" s="3" t="str">
        <f aca="false">PROPER(TRIM(SUBSTITUTE(Raw_Text_Fields!I381,CHAR(160)," ")))</f>
        <v>Standard Class</v>
      </c>
      <c r="N380" s="3" t="n">
        <v>2</v>
      </c>
      <c r="O380" s="5" t="n">
        <v>3910.61</v>
      </c>
      <c r="P380" s="6" t="n">
        <v>0</v>
      </c>
      <c r="Q380" s="5" t="n">
        <v>7821.22</v>
      </c>
      <c r="R380" s="5" t="n">
        <v>4994.46</v>
      </c>
      <c r="S380" s="5" t="n">
        <v>2826.76</v>
      </c>
      <c r="T380" s="3" t="str">
        <f aca="false">PROPER(TRIM(SUBSTITUTE(Raw_Text_Fields!J381,CHAR(160)," ")))</f>
        <v>Paid</v>
      </c>
      <c r="U380" s="3" t="str">
        <f aca="false">PROPER(TRIM(SUBSTITUTE(Raw_Text_Fields!K381,CHAR(160)," ")))</f>
        <v>Completed</v>
      </c>
      <c r="V380" s="7" t="n">
        <f aca="false">IF(OR(P380&lt;0,P380&gt;0.5),0,P380)</f>
        <v>0</v>
      </c>
      <c r="W380" s="8" t="n">
        <f aca="false">N380*O380*(1-V380)</f>
        <v>7821.22</v>
      </c>
      <c r="X380" s="8" t="n">
        <f aca="false">W380-R380</f>
        <v>2826.76</v>
      </c>
      <c r="Y380" s="7" t="n">
        <f aca="false">IFERROR(X380/W380,0)</f>
        <v>0.361421875359599</v>
      </c>
      <c r="Z380" s="9" t="n">
        <f aca="false">C380-B380</f>
        <v>0</v>
      </c>
      <c r="AA380" s="1" t="str">
        <f aca="false">IF(B380="","",TEXT(B380,"mmm"))</f>
        <v>May</v>
      </c>
      <c r="AB380" s="9" t="n">
        <f aca="false">IF(B380="","",YEAR(B380))</f>
        <v>2025</v>
      </c>
      <c r="AC380" s="3"/>
      <c r="AD380" s="3" t="str">
        <f aca="false">IF(LEFT(AC380&amp;IF(B380="","; Missing Order Date","")&amp;IF(C380="","; Missing Ship Date","")&amp;IF(P380&lt;0,"; Invalid Discount (Negative)","")&amp;IF(P380&gt;0.5,"; Invalid Discount (Too High)","")&amp;IF(Z380&lt;0,"; Invalid Shipping Record (Ship Before Order)","")&amp;IF(ABS(Q380-W380)&gt;1,"; Sales Mismatch","")&amp;IF(ABS(S380-X380)&gt;1,"; Profit Mismatch","")&amp;IF(COUNTIF($A$2:$A$913,A380)&gt;1,"; Duplicate Order ID Conflict",""),2)="; ",MID(AC380&amp;IF(B380="","; Missing Order Date","")&amp;IF(C380="","; Missing Ship Date","")&amp;IF(P380&lt;0,"; Invalid Discount (Negative)","")&amp;IF(P380&gt;0.5,"; Invalid Discount (Too High)","")&amp;IF(Z380&lt;0,"; Invalid Shipping Record (Ship Before Order)","")&amp;IF(ABS(Q380-W380)&gt;1,"; Sales Mismatch","")&amp;IF(ABS(S380-X380)&gt;1,"; Profit Mismatch","")&amp;IF(COUNTIF($A$2:$A$913,A380)&gt;1,"; Duplicate Order ID Conflict",""),3,500),AC380&amp;IF(B380="","; Missing Order Date","")&amp;IF(C380="","; Missing Ship Date","")&amp;IF(P380&lt;0,"; Invalid Discount (Negative)","")&amp;IF(P380&gt;0.5,"; Invalid Discount (Too High)","")&amp;IF(Z380&lt;0,"; Invalid Shipping Record (Ship Before Order)","")&amp;IF(ABS(Q380-W380)&gt;1,"; Sales Mismatch","")&amp;IF(ABS(S380-X380)&gt;1,"; Profit Mismatch","")&amp;IF(COUNTIF($A$2:$A$913,A380)&gt;1,"; Duplicate Order ID Conflict",""))</f>
        <v/>
      </c>
      <c r="AE380" s="10" t="str">
        <f aca="false">IF(OR(ISNUMBER(SEARCH("Invalid Discount",AD380)),ISNUMBER(SEARCH("Invalid Shipping Record",AD380)),ISNUMBER(SEARCH("Sales Mismatch",AD380)),ISNUMBER(SEARCH("Profit Mismatch",AD380)),ISNUMBER(SEARCH("Duplicate Order ID Conflict",AD380)),ISNUMBER(SEARCH("Missing Order Date",AD380)),ISNUMBER(SEARCH("Missing Ship Date",AD380))),"Invalid",IF(AD380&lt;&gt;"","Warning","Clean"))</f>
        <v>Clean</v>
      </c>
    </row>
    <row r="381" customFormat="false" ht="15" hidden="false" customHeight="true" outlineLevel="0" collapsed="false">
      <c r="A381" s="3" t="s">
        <v>1162</v>
      </c>
      <c r="B381" s="4" t="n">
        <v>45554</v>
      </c>
      <c r="C381" s="4" t="n">
        <v>45558</v>
      </c>
      <c r="D381" s="3" t="s">
        <v>1163</v>
      </c>
      <c r="E381" s="3" t="str">
        <f aca="false">PROPER(TRIM(SUBSTITUTE(Raw_Text_Fields!B382,CHAR(160)," ")))</f>
        <v>Mira Das</v>
      </c>
      <c r="F381" s="3" t="str">
        <f aca="false">PROPER(TRIM(SUBSTITUTE(Raw_Text_Fields!C382,CHAR(160)," ")))</f>
        <v>Small Business</v>
      </c>
      <c r="G381" s="3" t="str">
        <f aca="false">PROPER(TRIM(SUBSTITUTE(Raw_Text_Fields!D382,CHAR(160)," ")))</f>
        <v>South</v>
      </c>
      <c r="H381" s="3" t="str">
        <f aca="false">PROPER(TRIM(SUBSTITUTE(Raw_Text_Fields!E382,CHAR(160)," ")))</f>
        <v>Kerala</v>
      </c>
      <c r="I381" s="3" t="str">
        <f aca="false">PROPER(TRIM(SUBSTITUTE(Raw_Text_Fields!F382,CHAR(160)," ")))</f>
        <v>Kochi</v>
      </c>
      <c r="J381" s="3" t="str">
        <f aca="false">PROPER(TRIM(SUBSTITUTE(Raw_Text_Fields!G382,CHAR(160)," ")))</f>
        <v>Office Supplies</v>
      </c>
      <c r="K381" s="3" t="str">
        <f aca="false">PROPER(TRIM(SUBSTITUTE(Raw_Text_Fields!H382,CHAR(160)," ")))</f>
        <v>Paper</v>
      </c>
      <c r="L381" s="3" t="s">
        <v>1164</v>
      </c>
      <c r="M381" s="3" t="str">
        <f aca="false">PROPER(TRIM(SUBSTITUTE(Raw_Text_Fields!I382,CHAR(160)," ")))</f>
        <v>Standard Class</v>
      </c>
      <c r="N381" s="3" t="n">
        <v>7</v>
      </c>
      <c r="O381" s="5" t="n">
        <v>1136.68</v>
      </c>
      <c r="P381" s="6" t="n">
        <v>0</v>
      </c>
      <c r="Q381" s="5" t="n">
        <v>7956.76</v>
      </c>
      <c r="R381" s="5" t="n">
        <v>4799.54</v>
      </c>
      <c r="S381" s="5" t="n">
        <v>3157.22</v>
      </c>
      <c r="T381" s="3" t="str">
        <f aca="false">PROPER(TRIM(SUBSTITUTE(Raw_Text_Fields!J382,CHAR(160)," ")))</f>
        <v>Paid</v>
      </c>
      <c r="U381" s="3" t="str">
        <f aca="false">PROPER(TRIM(SUBSTITUTE(Raw_Text_Fields!K382,CHAR(160)," ")))</f>
        <v>Completed</v>
      </c>
      <c r="V381" s="7" t="n">
        <f aca="false">IF(OR(P381&lt;0,P381&gt;0.5),0,P381)</f>
        <v>0</v>
      </c>
      <c r="W381" s="8" t="n">
        <f aca="false">N381*O381*(1-V381)</f>
        <v>7956.76</v>
      </c>
      <c r="X381" s="8" t="n">
        <f aca="false">W381-R381</f>
        <v>3157.22</v>
      </c>
      <c r="Y381" s="7" t="n">
        <f aca="false">IFERROR(X381/W381,0)</f>
        <v>0.396797188805494</v>
      </c>
      <c r="Z381" s="9" t="n">
        <f aca="false">C381-B381</f>
        <v>4</v>
      </c>
      <c r="AA381" s="1" t="str">
        <f aca="false">IF(B381="","",TEXT(B381,"mmm"))</f>
        <v>Sep</v>
      </c>
      <c r="AB381" s="9" t="n">
        <f aca="false">IF(B381="","",YEAR(B381))</f>
        <v>2024</v>
      </c>
      <c r="AC381" s="3" t="s">
        <v>130</v>
      </c>
      <c r="AD381" s="3" t="str">
        <f aca="false">IF(LEFT(AC381&amp;IF(B381="","; Missing Order Date","")&amp;IF(C381="","; Missing Ship Date","")&amp;IF(P381&lt;0,"; Invalid Discount (Negative)","")&amp;IF(P381&gt;0.5,"; Invalid Discount (Too High)","")&amp;IF(Z381&lt;0,"; Invalid Shipping Record (Ship Before Order)","")&amp;IF(ABS(Q381-W381)&gt;1,"; Sales Mismatch","")&amp;IF(ABS(S381-X381)&gt;1,"; Profit Mismatch","")&amp;IF(COUNTIF($A$2:$A$913,A381)&gt;1,"; Duplicate Order ID Conflict",""),2)="; ",MID(AC381&amp;IF(B381="","; Missing Order Date","")&amp;IF(C381="","; Missing Ship Date","")&amp;IF(P381&lt;0,"; Invalid Discount (Negative)","")&amp;IF(P381&gt;0.5,"; Invalid Discount (Too High)","")&amp;IF(Z381&lt;0,"; Invalid Shipping Record (Ship Before Order)","")&amp;IF(ABS(Q381-W381)&gt;1,"; Sales Mismatch","")&amp;IF(ABS(S381-X381)&gt;1,"; Profit Mismatch","")&amp;IF(COUNTIF($A$2:$A$913,A381)&gt;1,"; Duplicate Order ID Conflict",""),3,500),AC381&amp;IF(B381="","; Missing Order Date","")&amp;IF(C381="","; Missing Ship Date","")&amp;IF(P381&lt;0,"; Invalid Discount (Negative)","")&amp;IF(P381&gt;0.5,"; Invalid Discount (Too High)","")&amp;IF(Z381&lt;0,"; Invalid Shipping Record (Ship Before Order)","")&amp;IF(ABS(Q381-W381)&gt;1,"; Sales Mismatch","")&amp;IF(ABS(S381-X381)&gt;1,"; Profit Mismatch","")&amp;IF(COUNTIF($A$2:$A$913,A381)&gt;1,"; Duplicate Order ID Conflict",""))</f>
        <v>Missing Discount (defaulted 0)</v>
      </c>
      <c r="AE381" s="10" t="str">
        <f aca="false">IF(OR(ISNUMBER(SEARCH("Invalid Discount",AD381)),ISNUMBER(SEARCH("Invalid Shipping Record",AD381)),ISNUMBER(SEARCH("Sales Mismatch",AD381)),ISNUMBER(SEARCH("Profit Mismatch",AD381)),ISNUMBER(SEARCH("Duplicate Order ID Conflict",AD381)),ISNUMBER(SEARCH("Missing Order Date",AD381)),ISNUMBER(SEARCH("Missing Ship Date",AD381))),"Invalid",IF(AD381&lt;&gt;"","Warning","Clean"))</f>
        <v>Warning</v>
      </c>
    </row>
    <row r="382" customFormat="false" ht="15" hidden="false" customHeight="true" outlineLevel="0" collapsed="false">
      <c r="A382" s="3" t="s">
        <v>1165</v>
      </c>
      <c r="B382" s="4" t="n">
        <v>45389</v>
      </c>
      <c r="C382" s="4" t="n">
        <v>45396</v>
      </c>
      <c r="D382" s="3" t="s">
        <v>1166</v>
      </c>
      <c r="E382" s="3" t="str">
        <f aca="false">PROPER(TRIM(SUBSTITUTE(Raw_Text_Fields!B383,CHAR(160)," ")))</f>
        <v>Vikram Iyer</v>
      </c>
      <c r="F382" s="3" t="str">
        <f aca="false">PROPER(TRIM(SUBSTITUTE(Raw_Text_Fields!C383,CHAR(160)," ")))</f>
        <v>Consumer</v>
      </c>
      <c r="G382" s="3" t="str">
        <f aca="false">PROPER(TRIM(SUBSTITUTE(Raw_Text_Fields!D383,CHAR(160)," ")))</f>
        <v>West</v>
      </c>
      <c r="H382" s="3" t="str">
        <f aca="false">PROPER(TRIM(SUBSTITUTE(Raw_Text_Fields!E383,CHAR(160)," ")))</f>
        <v>Maharashtra</v>
      </c>
      <c r="I382" s="3" t="str">
        <f aca="false">PROPER(TRIM(SUBSTITUTE(Raw_Text_Fields!F383,CHAR(160)," ")))</f>
        <v>Mumbai</v>
      </c>
      <c r="J382" s="3" t="str">
        <f aca="false">PROPER(TRIM(SUBSTITUTE(Raw_Text_Fields!G383,CHAR(160)," ")))</f>
        <v>Furniture</v>
      </c>
      <c r="K382" s="3" t="str">
        <f aca="false">PROPER(TRIM(SUBSTITUTE(Raw_Text_Fields!H383,CHAR(160)," ")))</f>
        <v>Bookcases</v>
      </c>
      <c r="L382" s="3" t="s">
        <v>1167</v>
      </c>
      <c r="M382" s="3" t="str">
        <f aca="false">PROPER(TRIM(SUBSTITUTE(Raw_Text_Fields!I383,CHAR(160)," ")))</f>
        <v>Same Day</v>
      </c>
      <c r="N382" s="3" t="n">
        <v>5</v>
      </c>
      <c r="O382" s="5" t="n">
        <v>2235.85</v>
      </c>
      <c r="P382" s="6" t="n">
        <v>0.25</v>
      </c>
      <c r="Q382" s="5" t="n">
        <v>8384.44</v>
      </c>
      <c r="R382" s="5" t="n">
        <v>4765.96</v>
      </c>
      <c r="S382" s="5" t="n">
        <v>3618.48</v>
      </c>
      <c r="T382" s="3" t="str">
        <f aca="false">PROPER(TRIM(SUBSTITUTE(Raw_Text_Fields!J383,CHAR(160)," ")))</f>
        <v>Paid</v>
      </c>
      <c r="U382" s="3" t="str">
        <f aca="false">PROPER(TRIM(SUBSTITUTE(Raw_Text_Fields!K383,CHAR(160)," ")))</f>
        <v>Returned</v>
      </c>
      <c r="V382" s="7" t="n">
        <f aca="false">IF(OR(P382&lt;0,P382&gt;0.5),0,P382)</f>
        <v>0.25</v>
      </c>
      <c r="W382" s="8" t="n">
        <f aca="false">N382*O382*(1-V382)</f>
        <v>8384.4375</v>
      </c>
      <c r="X382" s="8" t="n">
        <f aca="false">W382-R382</f>
        <v>3618.4775</v>
      </c>
      <c r="Y382" s="7" t="n">
        <f aca="false">IFERROR(X382/W382,0)</f>
        <v>0.431570692726853</v>
      </c>
      <c r="Z382" s="9" t="n">
        <f aca="false">C382-B382</f>
        <v>7</v>
      </c>
      <c r="AA382" s="1" t="str">
        <f aca="false">IF(B382="","",TEXT(B382,"mmm"))</f>
        <v>Apr</v>
      </c>
      <c r="AB382" s="9" t="n">
        <f aca="false">IF(B382="","",YEAR(B382))</f>
        <v>2024</v>
      </c>
      <c r="AC382" s="3"/>
      <c r="AD382" s="3" t="str">
        <f aca="false">IF(LEFT(AC382&amp;IF(B382="","; Missing Order Date","")&amp;IF(C382="","; Missing Ship Date","")&amp;IF(P382&lt;0,"; Invalid Discount (Negative)","")&amp;IF(P382&gt;0.5,"; Invalid Discount (Too High)","")&amp;IF(Z382&lt;0,"; Invalid Shipping Record (Ship Before Order)","")&amp;IF(ABS(Q382-W382)&gt;1,"; Sales Mismatch","")&amp;IF(ABS(S382-X382)&gt;1,"; Profit Mismatch","")&amp;IF(COUNTIF($A$2:$A$913,A382)&gt;1,"; Duplicate Order ID Conflict",""),2)="; ",MID(AC382&amp;IF(B382="","; Missing Order Date","")&amp;IF(C382="","; Missing Ship Date","")&amp;IF(P382&lt;0,"; Invalid Discount (Negative)","")&amp;IF(P382&gt;0.5,"; Invalid Discount (Too High)","")&amp;IF(Z382&lt;0,"; Invalid Shipping Record (Ship Before Order)","")&amp;IF(ABS(Q382-W382)&gt;1,"; Sales Mismatch","")&amp;IF(ABS(S382-X382)&gt;1,"; Profit Mismatch","")&amp;IF(COUNTIF($A$2:$A$913,A382)&gt;1,"; Duplicate Order ID Conflict",""),3,500),AC382&amp;IF(B382="","; Missing Order Date","")&amp;IF(C382="","; Missing Ship Date","")&amp;IF(P382&lt;0,"; Invalid Discount (Negative)","")&amp;IF(P382&gt;0.5,"; Invalid Discount (Too High)","")&amp;IF(Z382&lt;0,"; Invalid Shipping Record (Ship Before Order)","")&amp;IF(ABS(Q382-W382)&gt;1,"; Sales Mismatch","")&amp;IF(ABS(S382-X382)&gt;1,"; Profit Mismatch","")&amp;IF(COUNTIF($A$2:$A$913,A382)&gt;1,"; Duplicate Order ID Conflict",""))</f>
        <v/>
      </c>
      <c r="AE382" s="10" t="str">
        <f aca="false">IF(OR(ISNUMBER(SEARCH("Invalid Discount",AD382)),ISNUMBER(SEARCH("Invalid Shipping Record",AD382)),ISNUMBER(SEARCH("Sales Mismatch",AD382)),ISNUMBER(SEARCH("Profit Mismatch",AD382)),ISNUMBER(SEARCH("Duplicate Order ID Conflict",AD382)),ISNUMBER(SEARCH("Missing Order Date",AD382)),ISNUMBER(SEARCH("Missing Ship Date",AD382))),"Invalid",IF(AD382&lt;&gt;"","Warning","Clean"))</f>
        <v>Clean</v>
      </c>
    </row>
    <row r="383" customFormat="false" ht="15" hidden="false" customHeight="true" outlineLevel="0" collapsed="false">
      <c r="A383" s="3" t="s">
        <v>1168</v>
      </c>
      <c r="B383" s="4" t="n">
        <v>45919</v>
      </c>
      <c r="C383" s="4" t="n">
        <v>45923</v>
      </c>
      <c r="D383" s="3" t="s">
        <v>1169</v>
      </c>
      <c r="E383" s="3" t="str">
        <f aca="false">PROPER(TRIM(SUBSTITUTE(Raw_Text_Fields!B384,CHAR(160)," ")))</f>
        <v>Arjun Bose</v>
      </c>
      <c r="F383" s="3" t="str">
        <f aca="false">PROPER(TRIM(SUBSTITUTE(Raw_Text_Fields!C384,CHAR(160)," ")))</f>
        <v>Home Office</v>
      </c>
      <c r="G383" s="3" t="str">
        <f aca="false">PROPER(TRIM(SUBSTITUTE(Raw_Text_Fields!D384,CHAR(160)," ")))</f>
        <v>North</v>
      </c>
      <c r="H383" s="3" t="str">
        <f aca="false">PROPER(TRIM(SUBSTITUTE(Raw_Text_Fields!E384,CHAR(160)," ")))</f>
        <v>Delhi</v>
      </c>
      <c r="I383" s="3" t="str">
        <f aca="false">PROPER(TRIM(SUBSTITUTE(Raw_Text_Fields!F384,CHAR(160)," ")))</f>
        <v>New Delhi</v>
      </c>
      <c r="J383" s="3" t="str">
        <f aca="false">PROPER(TRIM(SUBSTITUTE(Raw_Text_Fields!G384,CHAR(160)," ")))</f>
        <v>Office Supplies</v>
      </c>
      <c r="K383" s="3" t="str">
        <f aca="false">PROPER(TRIM(SUBSTITUTE(Raw_Text_Fields!H384,CHAR(160)," ")))</f>
        <v>Binders</v>
      </c>
      <c r="L383" s="3" t="s">
        <v>1170</v>
      </c>
      <c r="M383" s="3" t="str">
        <f aca="false">PROPER(TRIM(SUBSTITUTE(Raw_Text_Fields!I384,CHAR(160)," ")))</f>
        <v>Standard Class</v>
      </c>
      <c r="N383" s="3" t="n">
        <v>4</v>
      </c>
      <c r="O383" s="5" t="n">
        <v>4387.15</v>
      </c>
      <c r="P383" s="6" t="n">
        <v>0.05</v>
      </c>
      <c r="Q383" s="5" t="n">
        <v>16671.17</v>
      </c>
      <c r="R383" s="5" t="n">
        <v>10833.19</v>
      </c>
      <c r="S383" s="5" t="n">
        <v>5837.98</v>
      </c>
      <c r="T383" s="3" t="str">
        <f aca="false">PROPER(TRIM(SUBSTITUTE(Raw_Text_Fields!J384,CHAR(160)," ")))</f>
        <v>Failed</v>
      </c>
      <c r="U383" s="3" t="str">
        <f aca="false">PROPER(TRIM(SUBSTITUTE(Raw_Text_Fields!K384,CHAR(160)," ")))</f>
        <v>Cancelled</v>
      </c>
      <c r="V383" s="7" t="n">
        <f aca="false">IF(OR(P383&lt;0,P383&gt;0.5),0,P383)</f>
        <v>0.05</v>
      </c>
      <c r="W383" s="8" t="n">
        <f aca="false">N383*O383*(1-V383)</f>
        <v>16671.17</v>
      </c>
      <c r="X383" s="8" t="n">
        <f aca="false">W383-R383</f>
        <v>5837.98</v>
      </c>
      <c r="Y383" s="7" t="n">
        <f aca="false">IFERROR(X383/W383,0)</f>
        <v>0.350184180234501</v>
      </c>
      <c r="Z383" s="9" t="n">
        <f aca="false">C383-B383</f>
        <v>4</v>
      </c>
      <c r="AA383" s="1" t="str">
        <f aca="false">IF(B383="","",TEXT(B383,"mmm"))</f>
        <v>Sep</v>
      </c>
      <c r="AB383" s="9" t="n">
        <f aca="false">IF(B383="","",YEAR(B383))</f>
        <v>2025</v>
      </c>
      <c r="AC383" s="3"/>
      <c r="AD383" s="3" t="str">
        <f aca="false">IF(LEFT(AC383&amp;IF(B383="","; Missing Order Date","")&amp;IF(C383="","; Missing Ship Date","")&amp;IF(P383&lt;0,"; Invalid Discount (Negative)","")&amp;IF(P383&gt;0.5,"; Invalid Discount (Too High)","")&amp;IF(Z383&lt;0,"; Invalid Shipping Record (Ship Before Order)","")&amp;IF(ABS(Q383-W383)&gt;1,"; Sales Mismatch","")&amp;IF(ABS(S383-X383)&gt;1,"; Profit Mismatch","")&amp;IF(COUNTIF($A$2:$A$913,A383)&gt;1,"; Duplicate Order ID Conflict",""),2)="; ",MID(AC383&amp;IF(B383="","; Missing Order Date","")&amp;IF(C383="","; Missing Ship Date","")&amp;IF(P383&lt;0,"; Invalid Discount (Negative)","")&amp;IF(P383&gt;0.5,"; Invalid Discount (Too High)","")&amp;IF(Z383&lt;0,"; Invalid Shipping Record (Ship Before Order)","")&amp;IF(ABS(Q383-W383)&gt;1,"; Sales Mismatch","")&amp;IF(ABS(S383-X383)&gt;1,"; Profit Mismatch","")&amp;IF(COUNTIF($A$2:$A$913,A383)&gt;1,"; Duplicate Order ID Conflict",""),3,500),AC383&amp;IF(B383="","; Missing Order Date","")&amp;IF(C383="","; Missing Ship Date","")&amp;IF(P383&lt;0,"; Invalid Discount (Negative)","")&amp;IF(P383&gt;0.5,"; Invalid Discount (Too High)","")&amp;IF(Z383&lt;0,"; Invalid Shipping Record (Ship Before Order)","")&amp;IF(ABS(Q383-W383)&gt;1,"; Sales Mismatch","")&amp;IF(ABS(S383-X383)&gt;1,"; Profit Mismatch","")&amp;IF(COUNTIF($A$2:$A$913,A383)&gt;1,"; Duplicate Order ID Conflict",""))</f>
        <v/>
      </c>
      <c r="AE383" s="10" t="str">
        <f aca="false">IF(OR(ISNUMBER(SEARCH("Invalid Discount",AD383)),ISNUMBER(SEARCH("Invalid Shipping Record",AD383)),ISNUMBER(SEARCH("Sales Mismatch",AD383)),ISNUMBER(SEARCH("Profit Mismatch",AD383)),ISNUMBER(SEARCH("Duplicate Order ID Conflict",AD383)),ISNUMBER(SEARCH("Missing Order Date",AD383)),ISNUMBER(SEARCH("Missing Ship Date",AD383))),"Invalid",IF(AD383&lt;&gt;"","Warning","Clean"))</f>
        <v>Clean</v>
      </c>
    </row>
    <row r="384" customFormat="false" ht="15" hidden="false" customHeight="true" outlineLevel="0" collapsed="false">
      <c r="A384" s="3" t="s">
        <v>1171</v>
      </c>
      <c r="B384" s="4" t="n">
        <v>45720</v>
      </c>
      <c r="C384" s="4" t="n">
        <v>45724</v>
      </c>
      <c r="D384" s="3" t="s">
        <v>101</v>
      </c>
      <c r="E384" s="3" t="str">
        <f aca="false">PROPER(TRIM(SUBSTITUTE(Raw_Text_Fields!B385,CHAR(160)," ")))</f>
        <v>Arjun Bose</v>
      </c>
      <c r="F384" s="3" t="str">
        <f aca="false">PROPER(TRIM(SUBSTITUTE(Raw_Text_Fields!C385,CHAR(160)," ")))</f>
        <v>Small Business</v>
      </c>
      <c r="G384" s="3" t="str">
        <f aca="false">PROPER(TRIM(SUBSTITUTE(Raw_Text_Fields!D385,CHAR(160)," ")))</f>
        <v>East</v>
      </c>
      <c r="H384" s="3" t="str">
        <f aca="false">PROPER(TRIM(SUBSTITUTE(Raw_Text_Fields!E385,CHAR(160)," ")))</f>
        <v>Bihar</v>
      </c>
      <c r="I384" s="3" t="str">
        <f aca="false">PROPER(TRIM(SUBSTITUTE(Raw_Text_Fields!F385,CHAR(160)," ")))</f>
        <v>Patna</v>
      </c>
      <c r="J384" s="3" t="str">
        <f aca="false">PROPER(TRIM(SUBSTITUTE(Raw_Text_Fields!G385,CHAR(160)," ")))</f>
        <v>Technology</v>
      </c>
      <c r="K384" s="3" t="str">
        <f aca="false">PROPER(TRIM(SUBSTITUTE(Raw_Text_Fields!H385,CHAR(160)," ")))</f>
        <v>Phones</v>
      </c>
      <c r="L384" s="3" t="s">
        <v>1172</v>
      </c>
      <c r="M384" s="3" t="str">
        <f aca="false">PROPER(TRIM(SUBSTITUTE(Raw_Text_Fields!I385,CHAR(160)," ")))</f>
        <v>First Class</v>
      </c>
      <c r="N384" s="3" t="n">
        <v>3</v>
      </c>
      <c r="O384" s="5" t="n">
        <v>4361.85</v>
      </c>
      <c r="P384" s="6" t="n">
        <v>0.2</v>
      </c>
      <c r="Q384" s="5" t="n">
        <v>10468.44</v>
      </c>
      <c r="R384" s="5" t="n">
        <v>8399.87</v>
      </c>
      <c r="S384" s="5" t="n">
        <v>2068.57</v>
      </c>
      <c r="T384" s="3" t="str">
        <f aca="false">PROPER(TRIM(SUBSTITUTE(Raw_Text_Fields!J385,CHAR(160)," ")))</f>
        <v>Paid</v>
      </c>
      <c r="U384" s="3" t="str">
        <f aca="false">PROPER(TRIM(SUBSTITUTE(Raw_Text_Fields!K385,CHAR(160)," ")))</f>
        <v>Completed</v>
      </c>
      <c r="V384" s="7" t="n">
        <f aca="false">IF(OR(P384&lt;0,P384&gt;0.5),0,P384)</f>
        <v>0.2</v>
      </c>
      <c r="W384" s="8" t="n">
        <f aca="false">N384*O384*(1-V384)</f>
        <v>10468.44</v>
      </c>
      <c r="X384" s="8" t="n">
        <f aca="false">W384-R384</f>
        <v>2068.57</v>
      </c>
      <c r="Y384" s="7" t="n">
        <f aca="false">IFERROR(X384/W384,0)</f>
        <v>0.197600597605756</v>
      </c>
      <c r="Z384" s="9" t="n">
        <f aca="false">C384-B384</f>
        <v>4</v>
      </c>
      <c r="AA384" s="1" t="str">
        <f aca="false">IF(B384="","",TEXT(B384,"mmm"))</f>
        <v>Mar</v>
      </c>
      <c r="AB384" s="9" t="n">
        <f aca="false">IF(B384="","",YEAR(B384))</f>
        <v>2025</v>
      </c>
      <c r="AC384" s="3"/>
      <c r="AD384" s="3" t="str">
        <f aca="false">IF(LEFT(AC384&amp;IF(B384="","; Missing Order Date","")&amp;IF(C384="","; Missing Ship Date","")&amp;IF(P384&lt;0,"; Invalid Discount (Negative)","")&amp;IF(P384&gt;0.5,"; Invalid Discount (Too High)","")&amp;IF(Z384&lt;0,"; Invalid Shipping Record (Ship Before Order)","")&amp;IF(ABS(Q384-W384)&gt;1,"; Sales Mismatch","")&amp;IF(ABS(S384-X384)&gt;1,"; Profit Mismatch","")&amp;IF(COUNTIF($A$2:$A$913,A384)&gt;1,"; Duplicate Order ID Conflict",""),2)="; ",MID(AC384&amp;IF(B384="","; Missing Order Date","")&amp;IF(C384="","; Missing Ship Date","")&amp;IF(P384&lt;0,"; Invalid Discount (Negative)","")&amp;IF(P384&gt;0.5,"; Invalid Discount (Too High)","")&amp;IF(Z384&lt;0,"; Invalid Shipping Record (Ship Before Order)","")&amp;IF(ABS(Q384-W384)&gt;1,"; Sales Mismatch","")&amp;IF(ABS(S384-X384)&gt;1,"; Profit Mismatch","")&amp;IF(COUNTIF($A$2:$A$913,A384)&gt;1,"; Duplicate Order ID Conflict",""),3,500),AC384&amp;IF(B384="","; Missing Order Date","")&amp;IF(C384="","; Missing Ship Date","")&amp;IF(P384&lt;0,"; Invalid Discount (Negative)","")&amp;IF(P384&gt;0.5,"; Invalid Discount (Too High)","")&amp;IF(Z384&lt;0,"; Invalid Shipping Record (Ship Before Order)","")&amp;IF(ABS(Q384-W384)&gt;1,"; Sales Mismatch","")&amp;IF(ABS(S384-X384)&gt;1,"; Profit Mismatch","")&amp;IF(COUNTIF($A$2:$A$913,A384)&gt;1,"; Duplicate Order ID Conflict",""))</f>
        <v/>
      </c>
      <c r="AE384" s="10" t="str">
        <f aca="false">IF(OR(ISNUMBER(SEARCH("Invalid Discount",AD384)),ISNUMBER(SEARCH("Invalid Shipping Record",AD384)),ISNUMBER(SEARCH("Sales Mismatch",AD384)),ISNUMBER(SEARCH("Profit Mismatch",AD384)),ISNUMBER(SEARCH("Duplicate Order ID Conflict",AD384)),ISNUMBER(SEARCH("Missing Order Date",AD384)),ISNUMBER(SEARCH("Missing Ship Date",AD384))),"Invalid",IF(AD384&lt;&gt;"","Warning","Clean"))</f>
        <v>Clean</v>
      </c>
    </row>
    <row r="385" customFormat="false" ht="15" hidden="false" customHeight="true" outlineLevel="0" collapsed="false">
      <c r="A385" s="3" t="s">
        <v>1173</v>
      </c>
      <c r="B385" s="4" t="n">
        <v>45836</v>
      </c>
      <c r="C385" s="4" t="n">
        <v>45843</v>
      </c>
      <c r="D385" s="3" t="s">
        <v>1174</v>
      </c>
      <c r="E385" s="3" t="str">
        <f aca="false">PROPER(TRIM(SUBSTITUTE(Raw_Text_Fields!B386,CHAR(160)," ")))</f>
        <v>Vikram Iyer</v>
      </c>
      <c r="F385" s="3" t="str">
        <f aca="false">PROPER(TRIM(SUBSTITUTE(Raw_Text_Fields!C386,CHAR(160)," ")))</f>
        <v>Corporate</v>
      </c>
      <c r="G385" s="3" t="str">
        <f aca="false">PROPER(TRIM(SUBSTITUTE(Raw_Text_Fields!D386,CHAR(160)," ")))</f>
        <v>East</v>
      </c>
      <c r="H385" s="3" t="str">
        <f aca="false">PROPER(TRIM(SUBSTITUTE(Raw_Text_Fields!E386,CHAR(160)," ")))</f>
        <v>West Bengal</v>
      </c>
      <c r="I385" s="3" t="str">
        <f aca="false">PROPER(TRIM(SUBSTITUTE(Raw_Text_Fields!F386,CHAR(160)," ")))</f>
        <v>Kolkata</v>
      </c>
      <c r="J385" s="3" t="str">
        <f aca="false">PROPER(TRIM(SUBSTITUTE(Raw_Text_Fields!G386,CHAR(160)," ")))</f>
        <v>Office Supplies</v>
      </c>
      <c r="K385" s="3" t="str">
        <f aca="false">PROPER(TRIM(SUBSTITUTE(Raw_Text_Fields!H386,CHAR(160)," ")))</f>
        <v>Art</v>
      </c>
      <c r="L385" s="3" t="s">
        <v>1175</v>
      </c>
      <c r="M385" s="3" t="str">
        <f aca="false">PROPER(TRIM(SUBSTITUTE(Raw_Text_Fields!I386,CHAR(160)," ")))</f>
        <v>First Class</v>
      </c>
      <c r="N385" s="3" t="n">
        <v>2</v>
      </c>
      <c r="O385" s="5" t="n">
        <v>2242.75</v>
      </c>
      <c r="P385" s="6" t="n">
        <v>0</v>
      </c>
      <c r="Q385" s="5" t="n">
        <v>4485.5</v>
      </c>
      <c r="R385" s="5" t="n">
        <v>3131.86</v>
      </c>
      <c r="S385" s="5" t="n">
        <v>1353.64</v>
      </c>
      <c r="T385" s="3" t="str">
        <f aca="false">PROPER(TRIM(SUBSTITUTE(Raw_Text_Fields!J386,CHAR(160)," ")))</f>
        <v>Paid</v>
      </c>
      <c r="U385" s="3" t="str">
        <f aca="false">PROPER(TRIM(SUBSTITUTE(Raw_Text_Fields!K386,CHAR(160)," ")))</f>
        <v>Cancelled</v>
      </c>
      <c r="V385" s="7" t="n">
        <f aca="false">IF(OR(P385&lt;0,P385&gt;0.5),0,P385)</f>
        <v>0</v>
      </c>
      <c r="W385" s="8" t="n">
        <f aca="false">N385*O385*(1-V385)</f>
        <v>4485.5</v>
      </c>
      <c r="X385" s="8" t="n">
        <f aca="false">W385-R385</f>
        <v>1353.64</v>
      </c>
      <c r="Y385" s="7" t="n">
        <f aca="false">IFERROR(X385/W385,0)</f>
        <v>0.301781295284807</v>
      </c>
      <c r="Z385" s="9" t="n">
        <f aca="false">C385-B385</f>
        <v>7</v>
      </c>
      <c r="AA385" s="1" t="str">
        <f aca="false">IF(B385="","",TEXT(B385,"mmm"))</f>
        <v>Jun</v>
      </c>
      <c r="AB385" s="9" t="n">
        <f aca="false">IF(B385="","",YEAR(B385))</f>
        <v>2025</v>
      </c>
      <c r="AC385" s="3"/>
      <c r="AD385" s="3" t="str">
        <f aca="false">IF(LEFT(AC385&amp;IF(B385="","; Missing Order Date","")&amp;IF(C385="","; Missing Ship Date","")&amp;IF(P385&lt;0,"; Invalid Discount (Negative)","")&amp;IF(P385&gt;0.5,"; Invalid Discount (Too High)","")&amp;IF(Z385&lt;0,"; Invalid Shipping Record (Ship Before Order)","")&amp;IF(ABS(Q385-W385)&gt;1,"; Sales Mismatch","")&amp;IF(ABS(S385-X385)&gt;1,"; Profit Mismatch","")&amp;IF(COUNTIF($A$2:$A$913,A385)&gt;1,"; Duplicate Order ID Conflict",""),2)="; ",MID(AC385&amp;IF(B385="","; Missing Order Date","")&amp;IF(C385="","; Missing Ship Date","")&amp;IF(P385&lt;0,"; Invalid Discount (Negative)","")&amp;IF(P385&gt;0.5,"; Invalid Discount (Too High)","")&amp;IF(Z385&lt;0,"; Invalid Shipping Record (Ship Before Order)","")&amp;IF(ABS(Q385-W385)&gt;1,"; Sales Mismatch","")&amp;IF(ABS(S385-X385)&gt;1,"; Profit Mismatch","")&amp;IF(COUNTIF($A$2:$A$913,A385)&gt;1,"; Duplicate Order ID Conflict",""),3,500),AC385&amp;IF(B385="","; Missing Order Date","")&amp;IF(C385="","; Missing Ship Date","")&amp;IF(P385&lt;0,"; Invalid Discount (Negative)","")&amp;IF(P385&gt;0.5,"; Invalid Discount (Too High)","")&amp;IF(Z385&lt;0,"; Invalid Shipping Record (Ship Before Order)","")&amp;IF(ABS(Q385-W385)&gt;1,"; Sales Mismatch","")&amp;IF(ABS(S385-X385)&gt;1,"; Profit Mismatch","")&amp;IF(COUNTIF($A$2:$A$913,A385)&gt;1,"; Duplicate Order ID Conflict",""))</f>
        <v/>
      </c>
      <c r="AE385" s="10" t="str">
        <f aca="false">IF(OR(ISNUMBER(SEARCH("Invalid Discount",AD385)),ISNUMBER(SEARCH("Invalid Shipping Record",AD385)),ISNUMBER(SEARCH("Sales Mismatch",AD385)),ISNUMBER(SEARCH("Profit Mismatch",AD385)),ISNUMBER(SEARCH("Duplicate Order ID Conflict",AD385)),ISNUMBER(SEARCH("Missing Order Date",AD385)),ISNUMBER(SEARCH("Missing Ship Date",AD385))),"Invalid",IF(AD385&lt;&gt;"","Warning","Clean"))</f>
        <v>Clean</v>
      </c>
    </row>
    <row r="386" customFormat="false" ht="15" hidden="false" customHeight="true" outlineLevel="0" collapsed="false">
      <c r="A386" s="3" t="s">
        <v>1176</v>
      </c>
      <c r="B386" s="4" t="n">
        <v>45366</v>
      </c>
      <c r="C386" s="4" t="n">
        <v>45371</v>
      </c>
      <c r="D386" s="3" t="s">
        <v>1177</v>
      </c>
      <c r="E386" s="3" t="str">
        <f aca="false">PROPER(TRIM(SUBSTITUTE(Raw_Text_Fields!B387,CHAR(160)," ")))</f>
        <v>Rohan Mehta</v>
      </c>
      <c r="F386" s="3" t="str">
        <f aca="false">PROPER(TRIM(SUBSTITUTE(Raw_Text_Fields!C387,CHAR(160)," ")))</f>
        <v>Consumer</v>
      </c>
      <c r="G386" s="3" t="str">
        <f aca="false">PROPER(TRIM(SUBSTITUTE(Raw_Text_Fields!D387,CHAR(160)," ")))</f>
        <v>East</v>
      </c>
      <c r="H386" s="3" t="str">
        <f aca="false">PROPER(TRIM(SUBSTITUTE(Raw_Text_Fields!E387,CHAR(160)," ")))</f>
        <v>Jharkhand</v>
      </c>
      <c r="I386" s="3" t="str">
        <f aca="false">PROPER(TRIM(SUBSTITUTE(Raw_Text_Fields!F387,CHAR(160)," ")))</f>
        <v>Ranchi</v>
      </c>
      <c r="J386" s="3" t="str">
        <f aca="false">PROPER(TRIM(SUBSTITUTE(Raw_Text_Fields!G387,CHAR(160)," ")))</f>
        <v>Technology</v>
      </c>
      <c r="K386" s="3" t="str">
        <f aca="false">PROPER(TRIM(SUBSTITUTE(Raw_Text_Fields!H387,CHAR(160)," ")))</f>
        <v>Copiers</v>
      </c>
      <c r="L386" s="3" t="s">
        <v>1178</v>
      </c>
      <c r="M386" s="3" t="str">
        <f aca="false">PROPER(TRIM(SUBSTITUTE(Raw_Text_Fields!I387,CHAR(160)," ")))</f>
        <v>Standard Class</v>
      </c>
      <c r="N386" s="3" t="n">
        <v>2</v>
      </c>
      <c r="O386" s="5" t="n">
        <v>1881.4</v>
      </c>
      <c r="P386" s="6" t="n">
        <v>0.25</v>
      </c>
      <c r="Q386" s="5" t="n">
        <v>2822.1</v>
      </c>
      <c r="R386" s="5" t="n">
        <v>1624.57</v>
      </c>
      <c r="S386" s="5" t="n">
        <v>1197.53</v>
      </c>
      <c r="T386" s="3" t="str">
        <f aca="false">PROPER(TRIM(SUBSTITUTE(Raw_Text_Fields!J387,CHAR(160)," ")))</f>
        <v>Paid</v>
      </c>
      <c r="U386" s="3" t="str">
        <f aca="false">PROPER(TRIM(SUBSTITUTE(Raw_Text_Fields!K387,CHAR(160)," ")))</f>
        <v>Returned</v>
      </c>
      <c r="V386" s="7" t="n">
        <f aca="false">IF(OR(P386&lt;0,P386&gt;0.5),0,P386)</f>
        <v>0.25</v>
      </c>
      <c r="W386" s="8" t="n">
        <f aca="false">N386*O386*(1-V386)</f>
        <v>2822.1</v>
      </c>
      <c r="X386" s="8" t="n">
        <f aca="false">W386-R386</f>
        <v>1197.53</v>
      </c>
      <c r="Y386" s="7" t="n">
        <f aca="false">IFERROR(X386/W386,0)</f>
        <v>0.424340030473761</v>
      </c>
      <c r="Z386" s="9" t="n">
        <f aca="false">C386-B386</f>
        <v>5</v>
      </c>
      <c r="AA386" s="1" t="str">
        <f aca="false">IF(B386="","",TEXT(B386,"mmm"))</f>
        <v>Mar</v>
      </c>
      <c r="AB386" s="9" t="n">
        <f aca="false">IF(B386="","",YEAR(B386))</f>
        <v>2024</v>
      </c>
      <c r="AC386" s="3"/>
      <c r="AD386" s="3" t="str">
        <f aca="false">IF(LEFT(AC386&amp;IF(B386="","; Missing Order Date","")&amp;IF(C386="","; Missing Ship Date","")&amp;IF(P386&lt;0,"; Invalid Discount (Negative)","")&amp;IF(P386&gt;0.5,"; Invalid Discount (Too High)","")&amp;IF(Z386&lt;0,"; Invalid Shipping Record (Ship Before Order)","")&amp;IF(ABS(Q386-W386)&gt;1,"; Sales Mismatch","")&amp;IF(ABS(S386-X386)&gt;1,"; Profit Mismatch","")&amp;IF(COUNTIF($A$2:$A$913,A386)&gt;1,"; Duplicate Order ID Conflict",""),2)="; ",MID(AC386&amp;IF(B386="","; Missing Order Date","")&amp;IF(C386="","; Missing Ship Date","")&amp;IF(P386&lt;0,"; Invalid Discount (Negative)","")&amp;IF(P386&gt;0.5,"; Invalid Discount (Too High)","")&amp;IF(Z386&lt;0,"; Invalid Shipping Record (Ship Before Order)","")&amp;IF(ABS(Q386-W386)&gt;1,"; Sales Mismatch","")&amp;IF(ABS(S386-X386)&gt;1,"; Profit Mismatch","")&amp;IF(COUNTIF($A$2:$A$913,A386)&gt;1,"; Duplicate Order ID Conflict",""),3,500),AC386&amp;IF(B386="","; Missing Order Date","")&amp;IF(C386="","; Missing Ship Date","")&amp;IF(P386&lt;0,"; Invalid Discount (Negative)","")&amp;IF(P386&gt;0.5,"; Invalid Discount (Too High)","")&amp;IF(Z386&lt;0,"; Invalid Shipping Record (Ship Before Order)","")&amp;IF(ABS(Q386-W386)&gt;1,"; Sales Mismatch","")&amp;IF(ABS(S386-X386)&gt;1,"; Profit Mismatch","")&amp;IF(COUNTIF($A$2:$A$913,A386)&gt;1,"; Duplicate Order ID Conflict",""))</f>
        <v/>
      </c>
      <c r="AE386" s="10" t="str">
        <f aca="false">IF(OR(ISNUMBER(SEARCH("Invalid Discount",AD386)),ISNUMBER(SEARCH("Invalid Shipping Record",AD386)),ISNUMBER(SEARCH("Sales Mismatch",AD386)),ISNUMBER(SEARCH("Profit Mismatch",AD386)),ISNUMBER(SEARCH("Duplicate Order ID Conflict",AD386)),ISNUMBER(SEARCH("Missing Order Date",AD386)),ISNUMBER(SEARCH("Missing Ship Date",AD386))),"Invalid",IF(AD386&lt;&gt;"","Warning","Clean"))</f>
        <v>Clean</v>
      </c>
    </row>
    <row r="387" customFormat="false" ht="15" hidden="false" customHeight="true" outlineLevel="0" collapsed="false">
      <c r="A387" s="3" t="s">
        <v>1179</v>
      </c>
      <c r="B387" s="4" t="n">
        <v>45832</v>
      </c>
      <c r="C387" s="4" t="n">
        <v>45838</v>
      </c>
      <c r="D387" s="3" t="s">
        <v>1180</v>
      </c>
      <c r="E387" s="3" t="str">
        <f aca="false">PROPER(TRIM(SUBSTITUTE(Raw_Text_Fields!B388,CHAR(160)," ")))</f>
        <v>Arjun Bose</v>
      </c>
      <c r="F387" s="3" t="str">
        <f aca="false">PROPER(TRIM(SUBSTITUTE(Raw_Text_Fields!C388,CHAR(160)," ")))</f>
        <v>Consumer</v>
      </c>
      <c r="G387" s="3" t="str">
        <f aca="false">PROPER(TRIM(SUBSTITUTE(Raw_Text_Fields!D388,CHAR(160)," ")))</f>
        <v>North</v>
      </c>
      <c r="H387" s="3" t="str">
        <f aca="false">PROPER(TRIM(SUBSTITUTE(Raw_Text_Fields!E388,CHAR(160)," ")))</f>
        <v>Haryana</v>
      </c>
      <c r="I387" s="3" t="str">
        <f aca="false">PROPER(TRIM(SUBSTITUTE(Raw_Text_Fields!F388,CHAR(160)," ")))</f>
        <v>Gurugram</v>
      </c>
      <c r="J387" s="3" t="str">
        <f aca="false">PROPER(TRIM(SUBSTITUTE(Raw_Text_Fields!G388,CHAR(160)," ")))</f>
        <v>Office Supplies</v>
      </c>
      <c r="K387" s="3" t="str">
        <f aca="false">PROPER(TRIM(SUBSTITUTE(Raw_Text_Fields!H388,CHAR(160)," ")))</f>
        <v>Labels</v>
      </c>
      <c r="L387" s="3" t="s">
        <v>1181</v>
      </c>
      <c r="M387" s="3" t="str">
        <f aca="false">PROPER(TRIM(SUBSTITUTE(Raw_Text_Fields!I388,CHAR(160)," ")))</f>
        <v>Standard Class</v>
      </c>
      <c r="N387" s="3" t="n">
        <v>6</v>
      </c>
      <c r="O387" s="5" t="n">
        <v>365.76</v>
      </c>
      <c r="P387" s="6" t="n">
        <v>0.1</v>
      </c>
      <c r="Q387" s="5" t="n">
        <v>1975.1</v>
      </c>
      <c r="R387" s="5" t="n">
        <v>1115.35</v>
      </c>
      <c r="S387" s="5" t="n">
        <v>859.75</v>
      </c>
      <c r="T387" s="3" t="str">
        <f aca="false">PROPER(TRIM(SUBSTITUTE(Raw_Text_Fields!J388,CHAR(160)," ")))</f>
        <v>Paid</v>
      </c>
      <c r="U387" s="3" t="str">
        <f aca="false">PROPER(TRIM(SUBSTITUTE(Raw_Text_Fields!K388,CHAR(160)," ")))</f>
        <v>Completed</v>
      </c>
      <c r="V387" s="7" t="n">
        <f aca="false">IF(OR(P387&lt;0,P387&gt;0.5),0,P387)</f>
        <v>0.1</v>
      </c>
      <c r="W387" s="8" t="n">
        <f aca="false">N387*O387*(1-V387)</f>
        <v>1975.104</v>
      </c>
      <c r="X387" s="8" t="n">
        <f aca="false">W387-R387</f>
        <v>859.754</v>
      </c>
      <c r="Y387" s="7" t="n">
        <f aca="false">IFERROR(X387/W387,0)</f>
        <v>0.435295559119925</v>
      </c>
      <c r="Z387" s="9" t="n">
        <f aca="false">C387-B387</f>
        <v>6</v>
      </c>
      <c r="AA387" s="1" t="str">
        <f aca="false">IF(B387="","",TEXT(B387,"mmm"))</f>
        <v>Jun</v>
      </c>
      <c r="AB387" s="9" t="n">
        <f aca="false">IF(B387="","",YEAR(B387))</f>
        <v>2025</v>
      </c>
      <c r="AC387" s="3"/>
      <c r="AD387" s="3" t="str">
        <f aca="false">IF(LEFT(AC387&amp;IF(B387="","; Missing Order Date","")&amp;IF(C387="","; Missing Ship Date","")&amp;IF(P387&lt;0,"; Invalid Discount (Negative)","")&amp;IF(P387&gt;0.5,"; Invalid Discount (Too High)","")&amp;IF(Z387&lt;0,"; Invalid Shipping Record (Ship Before Order)","")&amp;IF(ABS(Q387-W387)&gt;1,"; Sales Mismatch","")&amp;IF(ABS(S387-X387)&gt;1,"; Profit Mismatch","")&amp;IF(COUNTIF($A$2:$A$913,A387)&gt;1,"; Duplicate Order ID Conflict",""),2)="; ",MID(AC387&amp;IF(B387="","; Missing Order Date","")&amp;IF(C387="","; Missing Ship Date","")&amp;IF(P387&lt;0,"; Invalid Discount (Negative)","")&amp;IF(P387&gt;0.5,"; Invalid Discount (Too High)","")&amp;IF(Z387&lt;0,"; Invalid Shipping Record (Ship Before Order)","")&amp;IF(ABS(Q387-W387)&gt;1,"; Sales Mismatch","")&amp;IF(ABS(S387-X387)&gt;1,"; Profit Mismatch","")&amp;IF(COUNTIF($A$2:$A$913,A387)&gt;1,"; Duplicate Order ID Conflict",""),3,500),AC387&amp;IF(B387="","; Missing Order Date","")&amp;IF(C387="","; Missing Ship Date","")&amp;IF(P387&lt;0,"; Invalid Discount (Negative)","")&amp;IF(P387&gt;0.5,"; Invalid Discount (Too High)","")&amp;IF(Z387&lt;0,"; Invalid Shipping Record (Ship Before Order)","")&amp;IF(ABS(Q387-W387)&gt;1,"; Sales Mismatch","")&amp;IF(ABS(S387-X387)&gt;1,"; Profit Mismatch","")&amp;IF(COUNTIF($A$2:$A$913,A387)&gt;1,"; Duplicate Order ID Conflict",""))</f>
        <v/>
      </c>
      <c r="AE387" s="10" t="str">
        <f aca="false">IF(OR(ISNUMBER(SEARCH("Invalid Discount",AD387)),ISNUMBER(SEARCH("Invalid Shipping Record",AD387)),ISNUMBER(SEARCH("Sales Mismatch",AD387)),ISNUMBER(SEARCH("Profit Mismatch",AD387)),ISNUMBER(SEARCH("Duplicate Order ID Conflict",AD387)),ISNUMBER(SEARCH("Missing Order Date",AD387)),ISNUMBER(SEARCH("Missing Ship Date",AD387))),"Invalid",IF(AD387&lt;&gt;"","Warning","Clean"))</f>
        <v>Clean</v>
      </c>
    </row>
    <row r="388" customFormat="false" ht="15" hidden="false" customHeight="true" outlineLevel="0" collapsed="false">
      <c r="A388" s="3" t="s">
        <v>1182</v>
      </c>
      <c r="B388" s="4" t="n">
        <v>45700</v>
      </c>
      <c r="C388" s="4" t="n">
        <v>45702</v>
      </c>
      <c r="D388" s="3" t="s">
        <v>1183</v>
      </c>
      <c r="E388" s="3" t="str">
        <f aca="false">PROPER(TRIM(SUBSTITUTE(Raw_Text_Fields!B389,CHAR(160)," ")))</f>
        <v>Sneha Kapoor</v>
      </c>
      <c r="F388" s="3" t="str">
        <f aca="false">PROPER(TRIM(SUBSTITUTE(Raw_Text_Fields!C389,CHAR(160)," ")))</f>
        <v>Consumer</v>
      </c>
      <c r="G388" s="3" t="str">
        <f aca="false">PROPER(TRIM(SUBSTITUTE(Raw_Text_Fields!D389,CHAR(160)," ")))</f>
        <v>West</v>
      </c>
      <c r="H388" s="3" t="str">
        <f aca="false">PROPER(TRIM(SUBSTITUTE(Raw_Text_Fields!E389,CHAR(160)," ")))</f>
        <v>Maharashtra</v>
      </c>
      <c r="I388" s="3" t="str">
        <f aca="false">PROPER(TRIM(SUBSTITUTE(Raw_Text_Fields!F389,CHAR(160)," ")))</f>
        <v>Mumbai</v>
      </c>
      <c r="J388" s="3" t="str">
        <f aca="false">PROPER(TRIM(SUBSTITUTE(Raw_Text_Fields!G389,CHAR(160)," ")))</f>
        <v>Furniture</v>
      </c>
      <c r="K388" s="3" t="str">
        <f aca="false">PROPER(TRIM(SUBSTITUTE(Raw_Text_Fields!H389,CHAR(160)," ")))</f>
        <v>Furnishings</v>
      </c>
      <c r="L388" s="3" t="s">
        <v>1184</v>
      </c>
      <c r="M388" s="3" t="str">
        <f aca="false">PROPER(TRIM(SUBSTITUTE(Raw_Text_Fields!I389,CHAR(160)," ")))</f>
        <v>Second Class</v>
      </c>
      <c r="N388" s="3" t="n">
        <v>8</v>
      </c>
      <c r="O388" s="5" t="n">
        <v>2786.66</v>
      </c>
      <c r="P388" s="6" t="n">
        <v>0.1</v>
      </c>
      <c r="Q388" s="5" t="n">
        <v>20063.95</v>
      </c>
      <c r="R388" s="5" t="n">
        <v>14363.38</v>
      </c>
      <c r="S388" s="5" t="n">
        <v>5700.57</v>
      </c>
      <c r="T388" s="3" t="str">
        <f aca="false">PROPER(TRIM(SUBSTITUTE(Raw_Text_Fields!J389,CHAR(160)," ")))</f>
        <v>Paid</v>
      </c>
      <c r="U388" s="3" t="str">
        <f aca="false">PROPER(TRIM(SUBSTITUTE(Raw_Text_Fields!K389,CHAR(160)," ")))</f>
        <v>Completed</v>
      </c>
      <c r="V388" s="7" t="n">
        <f aca="false">IF(OR(P388&lt;0,P388&gt;0.5),0,P388)</f>
        <v>0.1</v>
      </c>
      <c r="W388" s="8" t="n">
        <f aca="false">N388*O388*(1-V388)</f>
        <v>20063.952</v>
      </c>
      <c r="X388" s="8" t="n">
        <f aca="false">W388-R388</f>
        <v>5700.572</v>
      </c>
      <c r="Y388" s="7" t="n">
        <f aca="false">IFERROR(X388/W388,0)</f>
        <v>0.284120097575991</v>
      </c>
      <c r="Z388" s="9" t="n">
        <f aca="false">C388-B388</f>
        <v>2</v>
      </c>
      <c r="AA388" s="1" t="str">
        <f aca="false">IF(B388="","",TEXT(B388,"mmm"))</f>
        <v>Feb</v>
      </c>
      <c r="AB388" s="9" t="n">
        <f aca="false">IF(B388="","",YEAR(B388))</f>
        <v>2025</v>
      </c>
      <c r="AC388" s="3"/>
      <c r="AD388" s="3" t="str">
        <f aca="false">IF(LEFT(AC388&amp;IF(B388="","; Missing Order Date","")&amp;IF(C388="","; Missing Ship Date","")&amp;IF(P388&lt;0,"; Invalid Discount (Negative)","")&amp;IF(P388&gt;0.5,"; Invalid Discount (Too High)","")&amp;IF(Z388&lt;0,"; Invalid Shipping Record (Ship Before Order)","")&amp;IF(ABS(Q388-W388)&gt;1,"; Sales Mismatch","")&amp;IF(ABS(S388-X388)&gt;1,"; Profit Mismatch","")&amp;IF(COUNTIF($A$2:$A$913,A388)&gt;1,"; Duplicate Order ID Conflict",""),2)="; ",MID(AC388&amp;IF(B388="","; Missing Order Date","")&amp;IF(C388="","; Missing Ship Date","")&amp;IF(P388&lt;0,"; Invalid Discount (Negative)","")&amp;IF(P388&gt;0.5,"; Invalid Discount (Too High)","")&amp;IF(Z388&lt;0,"; Invalid Shipping Record (Ship Before Order)","")&amp;IF(ABS(Q388-W388)&gt;1,"; Sales Mismatch","")&amp;IF(ABS(S388-X388)&gt;1,"; Profit Mismatch","")&amp;IF(COUNTIF($A$2:$A$913,A388)&gt;1,"; Duplicate Order ID Conflict",""),3,500),AC388&amp;IF(B388="","; Missing Order Date","")&amp;IF(C388="","; Missing Ship Date","")&amp;IF(P388&lt;0,"; Invalid Discount (Negative)","")&amp;IF(P388&gt;0.5,"; Invalid Discount (Too High)","")&amp;IF(Z388&lt;0,"; Invalid Shipping Record (Ship Before Order)","")&amp;IF(ABS(Q388-W388)&gt;1,"; Sales Mismatch","")&amp;IF(ABS(S388-X388)&gt;1,"; Profit Mismatch","")&amp;IF(COUNTIF($A$2:$A$913,A388)&gt;1,"; Duplicate Order ID Conflict",""))</f>
        <v/>
      </c>
      <c r="AE388" s="10" t="str">
        <f aca="false">IF(OR(ISNUMBER(SEARCH("Invalid Discount",AD388)),ISNUMBER(SEARCH("Invalid Shipping Record",AD388)),ISNUMBER(SEARCH("Sales Mismatch",AD388)),ISNUMBER(SEARCH("Profit Mismatch",AD388)),ISNUMBER(SEARCH("Duplicate Order ID Conflict",AD388)),ISNUMBER(SEARCH("Missing Order Date",AD388)),ISNUMBER(SEARCH("Missing Ship Date",AD388))),"Invalid",IF(AD388&lt;&gt;"","Warning","Clean"))</f>
        <v>Clean</v>
      </c>
    </row>
    <row r="389" customFormat="false" ht="15" hidden="false" customHeight="true" outlineLevel="0" collapsed="false">
      <c r="A389" s="3" t="s">
        <v>1185</v>
      </c>
      <c r="B389" s="4" t="n">
        <v>45879</v>
      </c>
      <c r="C389" s="4" t="n">
        <v>45882</v>
      </c>
      <c r="D389" s="3" t="s">
        <v>1186</v>
      </c>
      <c r="E389" s="3" t="str">
        <f aca="false">PROPER(TRIM(SUBSTITUTE(Raw_Text_Fields!B390,CHAR(160)," ")))</f>
        <v>Priya Menon</v>
      </c>
      <c r="F389" s="3" t="str">
        <f aca="false">PROPER(TRIM(SUBSTITUTE(Raw_Text_Fields!C390,CHAR(160)," ")))</f>
        <v>Small Business</v>
      </c>
      <c r="G389" s="3" t="str">
        <f aca="false">PROPER(TRIM(SUBSTITUTE(Raw_Text_Fields!D390,CHAR(160)," ")))</f>
        <v>West</v>
      </c>
      <c r="H389" s="3" t="str">
        <f aca="false">PROPER(TRIM(SUBSTITUTE(Raw_Text_Fields!E390,CHAR(160)," ")))</f>
        <v>Madhya Pradesh</v>
      </c>
      <c r="I389" s="3" t="str">
        <f aca="false">PROPER(TRIM(SUBSTITUTE(Raw_Text_Fields!F390,CHAR(160)," ")))</f>
        <v>Indore</v>
      </c>
      <c r="J389" s="3" t="str">
        <f aca="false">PROPER(TRIM(SUBSTITUTE(Raw_Text_Fields!G390,CHAR(160)," ")))</f>
        <v>Furniture</v>
      </c>
      <c r="K389" s="3" t="str">
        <f aca="false">PROPER(TRIM(SUBSTITUTE(Raw_Text_Fields!H390,CHAR(160)," ")))</f>
        <v>Chairs</v>
      </c>
      <c r="L389" s="3" t="s">
        <v>1187</v>
      </c>
      <c r="M389" s="3" t="str">
        <f aca="false">PROPER(TRIM(SUBSTITUTE(Raw_Text_Fields!I390,CHAR(160)," ")))</f>
        <v>Standard Class</v>
      </c>
      <c r="N389" s="3" t="n">
        <v>5</v>
      </c>
      <c r="O389" s="5" t="n">
        <v>352.86</v>
      </c>
      <c r="P389" s="6" t="n">
        <v>0</v>
      </c>
      <c r="Q389" s="5" t="n">
        <v>1764.3</v>
      </c>
      <c r="R389" s="5" t="n">
        <v>1332.49</v>
      </c>
      <c r="S389" s="5" t="n">
        <v>431.81</v>
      </c>
      <c r="T389" s="3" t="str">
        <f aca="false">PROPER(TRIM(SUBSTITUTE(Raw_Text_Fields!J390,CHAR(160)," ")))</f>
        <v>Pending</v>
      </c>
      <c r="U389" s="3" t="str">
        <f aca="false">PROPER(TRIM(SUBSTITUTE(Raw_Text_Fields!K390,CHAR(160)," ")))</f>
        <v>Cancelled</v>
      </c>
      <c r="V389" s="7" t="n">
        <f aca="false">IF(OR(P389&lt;0,P389&gt;0.5),0,P389)</f>
        <v>0</v>
      </c>
      <c r="W389" s="8" t="n">
        <f aca="false">N389*O389*(1-V389)</f>
        <v>1764.3</v>
      </c>
      <c r="X389" s="8" t="n">
        <f aca="false">W389-R389</f>
        <v>431.81</v>
      </c>
      <c r="Y389" s="7" t="n">
        <f aca="false">IFERROR(X389/W389,0)</f>
        <v>0.244748625517202</v>
      </c>
      <c r="Z389" s="9" t="n">
        <f aca="false">C389-B389</f>
        <v>3</v>
      </c>
      <c r="AA389" s="1" t="str">
        <f aca="false">IF(B389="","",TEXT(B389,"mmm"))</f>
        <v>Aug</v>
      </c>
      <c r="AB389" s="9" t="n">
        <f aca="false">IF(B389="","",YEAR(B389))</f>
        <v>2025</v>
      </c>
      <c r="AC389" s="3"/>
      <c r="AD389" s="3" t="str">
        <f aca="false">IF(LEFT(AC389&amp;IF(B389="","; Missing Order Date","")&amp;IF(C389="","; Missing Ship Date","")&amp;IF(P389&lt;0,"; Invalid Discount (Negative)","")&amp;IF(P389&gt;0.5,"; Invalid Discount (Too High)","")&amp;IF(Z389&lt;0,"; Invalid Shipping Record (Ship Before Order)","")&amp;IF(ABS(Q389-W389)&gt;1,"; Sales Mismatch","")&amp;IF(ABS(S389-X389)&gt;1,"; Profit Mismatch","")&amp;IF(COUNTIF($A$2:$A$913,A389)&gt;1,"; Duplicate Order ID Conflict",""),2)="; ",MID(AC389&amp;IF(B389="","; Missing Order Date","")&amp;IF(C389="","; Missing Ship Date","")&amp;IF(P389&lt;0,"; Invalid Discount (Negative)","")&amp;IF(P389&gt;0.5,"; Invalid Discount (Too High)","")&amp;IF(Z389&lt;0,"; Invalid Shipping Record (Ship Before Order)","")&amp;IF(ABS(Q389-W389)&gt;1,"; Sales Mismatch","")&amp;IF(ABS(S389-X389)&gt;1,"; Profit Mismatch","")&amp;IF(COUNTIF($A$2:$A$913,A389)&gt;1,"; Duplicate Order ID Conflict",""),3,500),AC389&amp;IF(B389="","; Missing Order Date","")&amp;IF(C389="","; Missing Ship Date","")&amp;IF(P389&lt;0,"; Invalid Discount (Negative)","")&amp;IF(P389&gt;0.5,"; Invalid Discount (Too High)","")&amp;IF(Z389&lt;0,"; Invalid Shipping Record (Ship Before Order)","")&amp;IF(ABS(Q389-W389)&gt;1,"; Sales Mismatch","")&amp;IF(ABS(S389-X389)&gt;1,"; Profit Mismatch","")&amp;IF(COUNTIF($A$2:$A$913,A389)&gt;1,"; Duplicate Order ID Conflict",""))</f>
        <v/>
      </c>
      <c r="AE389" s="10" t="str">
        <f aca="false">IF(OR(ISNUMBER(SEARCH("Invalid Discount",AD389)),ISNUMBER(SEARCH("Invalid Shipping Record",AD389)),ISNUMBER(SEARCH("Sales Mismatch",AD389)),ISNUMBER(SEARCH("Profit Mismatch",AD389)),ISNUMBER(SEARCH("Duplicate Order ID Conflict",AD389)),ISNUMBER(SEARCH("Missing Order Date",AD389)),ISNUMBER(SEARCH("Missing Ship Date",AD389))),"Invalid",IF(AD389&lt;&gt;"","Warning","Clean"))</f>
        <v>Clean</v>
      </c>
    </row>
    <row r="390" customFormat="false" ht="15" hidden="false" customHeight="true" outlineLevel="0" collapsed="false">
      <c r="A390" s="3" t="s">
        <v>1188</v>
      </c>
      <c r="B390" s="4" t="n">
        <v>45425</v>
      </c>
      <c r="C390" s="4" t="n">
        <v>45430</v>
      </c>
      <c r="D390" s="3" t="s">
        <v>1189</v>
      </c>
      <c r="E390" s="3" t="str">
        <f aca="false">PROPER(TRIM(SUBSTITUTE(Raw_Text_Fields!B391,CHAR(160)," ")))</f>
        <v>Isha Nair</v>
      </c>
      <c r="F390" s="3" t="str">
        <f aca="false">PROPER(TRIM(SUBSTITUTE(Raw_Text_Fields!C391,CHAR(160)," ")))</f>
        <v>Small Business</v>
      </c>
      <c r="G390" s="3" t="str">
        <f aca="false">PROPER(TRIM(SUBSTITUTE(Raw_Text_Fields!D391,CHAR(160)," ")))</f>
        <v>West</v>
      </c>
      <c r="H390" s="3" t="str">
        <f aca="false">PROPER(TRIM(SUBSTITUTE(Raw_Text_Fields!E391,CHAR(160)," ")))</f>
        <v>Gujarat</v>
      </c>
      <c r="I390" s="3" t="str">
        <f aca="false">PROPER(TRIM(SUBSTITUTE(Raw_Text_Fields!F391,CHAR(160)," ")))</f>
        <v>Ahmedabad</v>
      </c>
      <c r="J390" s="3" t="str">
        <f aca="false">PROPER(TRIM(SUBSTITUTE(Raw_Text_Fields!G391,CHAR(160)," ")))</f>
        <v>Furniture</v>
      </c>
      <c r="K390" s="3" t="str">
        <f aca="false">PROPER(TRIM(SUBSTITUTE(Raw_Text_Fields!H391,CHAR(160)," ")))</f>
        <v>Chairs</v>
      </c>
      <c r="L390" s="3" t="s">
        <v>1190</v>
      </c>
      <c r="M390" s="3" t="str">
        <f aca="false">PROPER(TRIM(SUBSTITUTE(Raw_Text_Fields!I391,CHAR(160)," ")))</f>
        <v>Standard Class</v>
      </c>
      <c r="N390" s="3" t="n">
        <v>3</v>
      </c>
      <c r="O390" s="5" t="n">
        <v>3128.59</v>
      </c>
      <c r="P390" s="6" t="n">
        <v>0</v>
      </c>
      <c r="Q390" s="5" t="n">
        <v>9385.77</v>
      </c>
      <c r="R390" s="5" t="n">
        <v>6872.44</v>
      </c>
      <c r="S390" s="5" t="n">
        <v>2783.66</v>
      </c>
      <c r="T390" s="3" t="str">
        <f aca="false">PROPER(TRIM(SUBSTITUTE(Raw_Text_Fields!J391,CHAR(160)," ")))</f>
        <v>Paid</v>
      </c>
      <c r="U390" s="3" t="str">
        <f aca="false">PROPER(TRIM(SUBSTITUTE(Raw_Text_Fields!K391,CHAR(160)," ")))</f>
        <v>Completed</v>
      </c>
      <c r="V390" s="7" t="n">
        <f aca="false">IF(OR(P390&lt;0,P390&gt;0.5),0,P390)</f>
        <v>0</v>
      </c>
      <c r="W390" s="8" t="n">
        <f aca="false">N390*O390*(1-V390)</f>
        <v>9385.77</v>
      </c>
      <c r="X390" s="8" t="n">
        <f aca="false">W390-R390</f>
        <v>2513.33</v>
      </c>
      <c r="Y390" s="7" t="n">
        <f aca="false">IFERROR(X390/W390,0)</f>
        <v>0.267780906627799</v>
      </c>
      <c r="Z390" s="9" t="n">
        <f aca="false">C390-B390</f>
        <v>5</v>
      </c>
      <c r="AA390" s="1" t="str">
        <f aca="false">IF(B390="","",TEXT(B390,"mmm"))</f>
        <v>May</v>
      </c>
      <c r="AB390" s="9" t="n">
        <f aca="false">IF(B390="","",YEAR(B390))</f>
        <v>2024</v>
      </c>
      <c r="AC390" s="3"/>
      <c r="AD390" s="3" t="str">
        <f aca="false">IF(LEFT(AC390&amp;IF(B390="","; Missing Order Date","")&amp;IF(C390="","; Missing Ship Date","")&amp;IF(P390&lt;0,"; Invalid Discount (Negative)","")&amp;IF(P390&gt;0.5,"; Invalid Discount (Too High)","")&amp;IF(Z390&lt;0,"; Invalid Shipping Record (Ship Before Order)","")&amp;IF(ABS(Q390-W390)&gt;1,"; Sales Mismatch","")&amp;IF(ABS(S390-X390)&gt;1,"; Profit Mismatch","")&amp;IF(COUNTIF($A$2:$A$913,A390)&gt;1,"; Duplicate Order ID Conflict",""),2)="; ",MID(AC390&amp;IF(B390="","; Missing Order Date","")&amp;IF(C390="","; Missing Ship Date","")&amp;IF(P390&lt;0,"; Invalid Discount (Negative)","")&amp;IF(P390&gt;0.5,"; Invalid Discount (Too High)","")&amp;IF(Z390&lt;0,"; Invalid Shipping Record (Ship Before Order)","")&amp;IF(ABS(Q390-W390)&gt;1,"; Sales Mismatch","")&amp;IF(ABS(S390-X390)&gt;1,"; Profit Mismatch","")&amp;IF(COUNTIF($A$2:$A$913,A390)&gt;1,"; Duplicate Order ID Conflict",""),3,500),AC390&amp;IF(B390="","; Missing Order Date","")&amp;IF(C390="","; Missing Ship Date","")&amp;IF(P390&lt;0,"; Invalid Discount (Negative)","")&amp;IF(P390&gt;0.5,"; Invalid Discount (Too High)","")&amp;IF(Z390&lt;0,"; Invalid Shipping Record (Ship Before Order)","")&amp;IF(ABS(Q390-W390)&gt;1,"; Sales Mismatch","")&amp;IF(ABS(S390-X390)&gt;1,"; Profit Mismatch","")&amp;IF(COUNTIF($A$2:$A$913,A390)&gt;1,"; Duplicate Order ID Conflict",""))</f>
        <v>Profit Mismatch</v>
      </c>
      <c r="AE390" s="10" t="str">
        <f aca="false">IF(OR(ISNUMBER(SEARCH("Invalid Discount",AD390)),ISNUMBER(SEARCH("Invalid Shipping Record",AD390)),ISNUMBER(SEARCH("Sales Mismatch",AD390)),ISNUMBER(SEARCH("Profit Mismatch",AD390)),ISNUMBER(SEARCH("Duplicate Order ID Conflict",AD390)),ISNUMBER(SEARCH("Missing Order Date",AD390)),ISNUMBER(SEARCH("Missing Ship Date",AD390))),"Invalid",IF(AD390&lt;&gt;"","Warning","Clean"))</f>
        <v>Invalid</v>
      </c>
    </row>
    <row r="391" customFormat="false" ht="15" hidden="false" customHeight="true" outlineLevel="0" collapsed="false">
      <c r="A391" s="3" t="s">
        <v>1191</v>
      </c>
      <c r="B391" s="4" t="n">
        <v>45387</v>
      </c>
      <c r="C391" s="4" t="n">
        <v>45395</v>
      </c>
      <c r="D391" s="3" t="s">
        <v>1192</v>
      </c>
      <c r="E391" s="3" t="str">
        <f aca="false">PROPER(TRIM(SUBSTITUTE(Raw_Text_Fields!B392,CHAR(160)," ")))</f>
        <v>Diya Patel</v>
      </c>
      <c r="F391" s="3" t="str">
        <f aca="false">PROPER(TRIM(SUBSTITUTE(Raw_Text_Fields!C392,CHAR(160)," ")))</f>
        <v>Corporate</v>
      </c>
      <c r="G391" s="3" t="str">
        <f aca="false">PROPER(TRIM(SUBSTITUTE(Raw_Text_Fields!D392,CHAR(160)," ")))</f>
        <v>West</v>
      </c>
      <c r="H391" s="3" t="str">
        <f aca="false">PROPER(TRIM(SUBSTITUTE(Raw_Text_Fields!E392,CHAR(160)," ")))</f>
        <v>Gujarat</v>
      </c>
      <c r="I391" s="3" t="str">
        <f aca="false">PROPER(TRIM(SUBSTITUTE(Raw_Text_Fields!F392,CHAR(160)," ")))</f>
        <v>Ahmedabad</v>
      </c>
      <c r="J391" s="3" t="str">
        <f aca="false">PROPER(TRIM(SUBSTITUTE(Raw_Text_Fields!G392,CHAR(160)," ")))</f>
        <v>Technology</v>
      </c>
      <c r="K391" s="3" t="str">
        <f aca="false">PROPER(TRIM(SUBSTITUTE(Raw_Text_Fields!H392,CHAR(160)," ")))</f>
        <v>Machines</v>
      </c>
      <c r="L391" s="3" t="s">
        <v>1193</v>
      </c>
      <c r="M391" s="3" t="str">
        <f aca="false">PROPER(TRIM(SUBSTITUTE(Raw_Text_Fields!I392,CHAR(160)," ")))</f>
        <v>Second Class</v>
      </c>
      <c r="N391" s="3" t="n">
        <v>5</v>
      </c>
      <c r="O391" s="5" t="n">
        <v>1937.54</v>
      </c>
      <c r="P391" s="6" t="n">
        <v>0.2</v>
      </c>
      <c r="Q391" s="5" t="n">
        <v>7750.16</v>
      </c>
      <c r="R391" s="5" t="n">
        <v>5434.3</v>
      </c>
      <c r="S391" s="5" t="n">
        <v>2315.86</v>
      </c>
      <c r="T391" s="3" t="str">
        <f aca="false">PROPER(TRIM(SUBSTITUTE(Raw_Text_Fields!J392,CHAR(160)," ")))</f>
        <v>Pending</v>
      </c>
      <c r="U391" s="3" t="str">
        <f aca="false">PROPER(TRIM(SUBSTITUTE(Raw_Text_Fields!K392,CHAR(160)," ")))</f>
        <v>Cancelled</v>
      </c>
      <c r="V391" s="7" t="n">
        <f aca="false">IF(OR(P391&lt;0,P391&gt;0.5),0,P391)</f>
        <v>0.2</v>
      </c>
      <c r="W391" s="8" t="n">
        <f aca="false">N391*O391*(1-V391)</f>
        <v>7750.16</v>
      </c>
      <c r="X391" s="8" t="n">
        <f aca="false">W391-R391</f>
        <v>2315.86</v>
      </c>
      <c r="Y391" s="7" t="n">
        <f aca="false">IFERROR(X391/W391,0)</f>
        <v>0.298814476088236</v>
      </c>
      <c r="Z391" s="9" t="n">
        <f aca="false">C391-B391</f>
        <v>8</v>
      </c>
      <c r="AA391" s="1" t="str">
        <f aca="false">IF(B391="","",TEXT(B391,"mmm"))</f>
        <v>Apr</v>
      </c>
      <c r="AB391" s="9" t="n">
        <f aca="false">IF(B391="","",YEAR(B391))</f>
        <v>2024</v>
      </c>
      <c r="AC391" s="3"/>
      <c r="AD391" s="3" t="str">
        <f aca="false">IF(LEFT(AC391&amp;IF(B391="","; Missing Order Date","")&amp;IF(C391="","; Missing Ship Date","")&amp;IF(P391&lt;0,"; Invalid Discount (Negative)","")&amp;IF(P391&gt;0.5,"; Invalid Discount (Too High)","")&amp;IF(Z391&lt;0,"; Invalid Shipping Record (Ship Before Order)","")&amp;IF(ABS(Q391-W391)&gt;1,"; Sales Mismatch","")&amp;IF(ABS(S391-X391)&gt;1,"; Profit Mismatch","")&amp;IF(COUNTIF($A$2:$A$913,A391)&gt;1,"; Duplicate Order ID Conflict",""),2)="; ",MID(AC391&amp;IF(B391="","; Missing Order Date","")&amp;IF(C391="","; Missing Ship Date","")&amp;IF(P391&lt;0,"; Invalid Discount (Negative)","")&amp;IF(P391&gt;0.5,"; Invalid Discount (Too High)","")&amp;IF(Z391&lt;0,"; Invalid Shipping Record (Ship Before Order)","")&amp;IF(ABS(Q391-W391)&gt;1,"; Sales Mismatch","")&amp;IF(ABS(S391-X391)&gt;1,"; Profit Mismatch","")&amp;IF(COUNTIF($A$2:$A$913,A391)&gt;1,"; Duplicate Order ID Conflict",""),3,500),AC391&amp;IF(B391="","; Missing Order Date","")&amp;IF(C391="","; Missing Ship Date","")&amp;IF(P391&lt;0,"; Invalid Discount (Negative)","")&amp;IF(P391&gt;0.5,"; Invalid Discount (Too High)","")&amp;IF(Z391&lt;0,"; Invalid Shipping Record (Ship Before Order)","")&amp;IF(ABS(Q391-W391)&gt;1,"; Sales Mismatch","")&amp;IF(ABS(S391-X391)&gt;1,"; Profit Mismatch","")&amp;IF(COUNTIF($A$2:$A$913,A391)&gt;1,"; Duplicate Order ID Conflict",""))</f>
        <v/>
      </c>
      <c r="AE391" s="10" t="str">
        <f aca="false">IF(OR(ISNUMBER(SEARCH("Invalid Discount",AD391)),ISNUMBER(SEARCH("Invalid Shipping Record",AD391)),ISNUMBER(SEARCH("Sales Mismatch",AD391)),ISNUMBER(SEARCH("Profit Mismatch",AD391)),ISNUMBER(SEARCH("Duplicate Order ID Conflict",AD391)),ISNUMBER(SEARCH("Missing Order Date",AD391)),ISNUMBER(SEARCH("Missing Ship Date",AD391))),"Invalid",IF(AD391&lt;&gt;"","Warning","Clean"))</f>
        <v>Clean</v>
      </c>
    </row>
    <row r="392" customFormat="false" ht="15" hidden="false" customHeight="true" outlineLevel="0" collapsed="false">
      <c r="A392" s="3" t="s">
        <v>1194</v>
      </c>
      <c r="B392" s="4" t="n">
        <v>45602</v>
      </c>
      <c r="C392" s="4" t="n">
        <v>45607</v>
      </c>
      <c r="D392" s="3" t="s">
        <v>1195</v>
      </c>
      <c r="E392" s="3" t="str">
        <f aca="false">PROPER(TRIM(SUBSTITUTE(Raw_Text_Fields!B393,CHAR(160)," ")))</f>
        <v>Isha Nair</v>
      </c>
      <c r="F392" s="3" t="str">
        <f aca="false">PROPER(TRIM(SUBSTITUTE(Raw_Text_Fields!C393,CHAR(160)," ")))</f>
        <v>Consumer</v>
      </c>
      <c r="G392" s="3" t="str">
        <f aca="false">PROPER(TRIM(SUBSTITUTE(Raw_Text_Fields!D393,CHAR(160)," ")))</f>
        <v>West</v>
      </c>
      <c r="H392" s="3" t="str">
        <f aca="false">PROPER(TRIM(SUBSTITUTE(Raw_Text_Fields!E393,CHAR(160)," ")))</f>
        <v>Gujarat</v>
      </c>
      <c r="I392" s="3" t="str">
        <f aca="false">PROPER(TRIM(SUBSTITUTE(Raw_Text_Fields!F393,CHAR(160)," ")))</f>
        <v>Ahmedabad</v>
      </c>
      <c r="J392" s="3" t="str">
        <f aca="false">PROPER(TRIM(SUBSTITUTE(Raw_Text_Fields!G393,CHAR(160)," ")))</f>
        <v>Furniture</v>
      </c>
      <c r="K392" s="3" t="str">
        <f aca="false">PROPER(TRIM(SUBSTITUTE(Raw_Text_Fields!H393,CHAR(160)," ")))</f>
        <v>Furnishings</v>
      </c>
      <c r="L392" s="3" t="s">
        <v>1196</v>
      </c>
      <c r="M392" s="3" t="str">
        <f aca="false">PROPER(TRIM(SUBSTITUTE(Raw_Text_Fields!I393,CHAR(160)," ")))</f>
        <v>Standard Class</v>
      </c>
      <c r="N392" s="3" t="n">
        <v>4</v>
      </c>
      <c r="O392" s="5" t="n">
        <v>1917.26</v>
      </c>
      <c r="P392" s="6" t="n">
        <v>0.2</v>
      </c>
      <c r="Q392" s="5" t="n">
        <v>6135.23</v>
      </c>
      <c r="R392" s="5" t="n">
        <v>3439.79</v>
      </c>
      <c r="S392" s="5" t="n">
        <v>2695.44</v>
      </c>
      <c r="T392" s="3" t="str">
        <f aca="false">PROPER(TRIM(SUBSTITUTE(Raw_Text_Fields!J393,CHAR(160)," ")))</f>
        <v>Paid</v>
      </c>
      <c r="U392" s="3" t="str">
        <f aca="false">PROPER(TRIM(SUBSTITUTE(Raw_Text_Fields!K393,CHAR(160)," ")))</f>
        <v>Completed</v>
      </c>
      <c r="V392" s="7" t="n">
        <f aca="false">IF(OR(P392&lt;0,P392&gt;0.5),0,P392)</f>
        <v>0.2</v>
      </c>
      <c r="W392" s="8" t="n">
        <f aca="false">N392*O392*(1-V392)</f>
        <v>6135.232</v>
      </c>
      <c r="X392" s="8" t="n">
        <f aca="false">W392-R392</f>
        <v>2695.442</v>
      </c>
      <c r="Y392" s="7" t="n">
        <f aca="false">IFERROR(X392/W392,0)</f>
        <v>0.439338235294118</v>
      </c>
      <c r="Z392" s="9" t="n">
        <f aca="false">C392-B392</f>
        <v>5</v>
      </c>
      <c r="AA392" s="1" t="str">
        <f aca="false">IF(B392="","",TEXT(B392,"mmm"))</f>
        <v>Nov</v>
      </c>
      <c r="AB392" s="9" t="n">
        <f aca="false">IF(B392="","",YEAR(B392))</f>
        <v>2024</v>
      </c>
      <c r="AC392" s="3"/>
      <c r="AD392" s="3" t="str">
        <f aca="false">IF(LEFT(AC392&amp;IF(B392="","; Missing Order Date","")&amp;IF(C392="","; Missing Ship Date","")&amp;IF(P392&lt;0,"; Invalid Discount (Negative)","")&amp;IF(P392&gt;0.5,"; Invalid Discount (Too High)","")&amp;IF(Z392&lt;0,"; Invalid Shipping Record (Ship Before Order)","")&amp;IF(ABS(Q392-W392)&gt;1,"; Sales Mismatch","")&amp;IF(ABS(S392-X392)&gt;1,"; Profit Mismatch","")&amp;IF(COUNTIF($A$2:$A$913,A392)&gt;1,"; Duplicate Order ID Conflict",""),2)="; ",MID(AC392&amp;IF(B392="","; Missing Order Date","")&amp;IF(C392="","; Missing Ship Date","")&amp;IF(P392&lt;0,"; Invalid Discount (Negative)","")&amp;IF(P392&gt;0.5,"; Invalid Discount (Too High)","")&amp;IF(Z392&lt;0,"; Invalid Shipping Record (Ship Before Order)","")&amp;IF(ABS(Q392-W392)&gt;1,"; Sales Mismatch","")&amp;IF(ABS(S392-X392)&gt;1,"; Profit Mismatch","")&amp;IF(COUNTIF($A$2:$A$913,A392)&gt;1,"; Duplicate Order ID Conflict",""),3,500),AC392&amp;IF(B392="","; Missing Order Date","")&amp;IF(C392="","; Missing Ship Date","")&amp;IF(P392&lt;0,"; Invalid Discount (Negative)","")&amp;IF(P392&gt;0.5,"; Invalid Discount (Too High)","")&amp;IF(Z392&lt;0,"; Invalid Shipping Record (Ship Before Order)","")&amp;IF(ABS(Q392-W392)&gt;1,"; Sales Mismatch","")&amp;IF(ABS(S392-X392)&gt;1,"; Profit Mismatch","")&amp;IF(COUNTIF($A$2:$A$913,A392)&gt;1,"; Duplicate Order ID Conflict",""))</f>
        <v/>
      </c>
      <c r="AE392" s="10" t="str">
        <f aca="false">IF(OR(ISNUMBER(SEARCH("Invalid Discount",AD392)),ISNUMBER(SEARCH("Invalid Shipping Record",AD392)),ISNUMBER(SEARCH("Sales Mismatch",AD392)),ISNUMBER(SEARCH("Profit Mismatch",AD392)),ISNUMBER(SEARCH("Duplicate Order ID Conflict",AD392)),ISNUMBER(SEARCH("Missing Order Date",AD392)),ISNUMBER(SEARCH("Missing Ship Date",AD392))),"Invalid",IF(AD392&lt;&gt;"","Warning","Clean"))</f>
        <v>Clean</v>
      </c>
    </row>
    <row r="393" customFormat="false" ht="15" hidden="false" customHeight="true" outlineLevel="0" collapsed="false">
      <c r="A393" s="3" t="s">
        <v>1197</v>
      </c>
      <c r="B393" s="4" t="n">
        <v>45702</v>
      </c>
      <c r="C393" s="4" t="n">
        <v>45702</v>
      </c>
      <c r="D393" s="3" t="s">
        <v>1198</v>
      </c>
      <c r="E393" s="3" t="str">
        <f aca="false">PROPER(TRIM(SUBSTITUTE(Raw_Text_Fields!B394,CHAR(160)," ")))</f>
        <v>Diya Patel</v>
      </c>
      <c r="F393" s="3" t="str">
        <f aca="false">PROPER(TRIM(SUBSTITUTE(Raw_Text_Fields!C394,CHAR(160)," ")))</f>
        <v>Consumer</v>
      </c>
      <c r="G393" s="3" t="str">
        <f aca="false">PROPER(TRIM(SUBSTITUTE(Raw_Text_Fields!D394,CHAR(160)," ")))</f>
        <v>South</v>
      </c>
      <c r="H393" s="3" t="str">
        <f aca="false">PROPER(TRIM(SUBSTITUTE(Raw_Text_Fields!E394,CHAR(160)," ")))</f>
        <v>Karnataka</v>
      </c>
      <c r="I393" s="3" t="str">
        <f aca="false">PROPER(TRIM(SUBSTITUTE(Raw_Text_Fields!F394,CHAR(160)," ")))</f>
        <v>Bengaluru</v>
      </c>
      <c r="J393" s="3" t="str">
        <f aca="false">PROPER(TRIM(SUBSTITUTE(Raw_Text_Fields!G394,CHAR(160)," ")))</f>
        <v>Office Supplies</v>
      </c>
      <c r="K393" s="3" t="str">
        <f aca="false">PROPER(TRIM(SUBSTITUTE(Raw_Text_Fields!H394,CHAR(160)," ")))</f>
        <v>Storage</v>
      </c>
      <c r="L393" s="3" t="s">
        <v>1199</v>
      </c>
      <c r="M393" s="3" t="str">
        <f aca="false">PROPER(TRIM(SUBSTITUTE(Raw_Text_Fields!I394,CHAR(160)," ")))</f>
        <v>First Class</v>
      </c>
      <c r="N393" s="3" t="n">
        <v>1</v>
      </c>
      <c r="O393" s="5" t="n">
        <v>714.43</v>
      </c>
      <c r="P393" s="6" t="n">
        <v>0</v>
      </c>
      <c r="Q393" s="5" t="n">
        <v>714.43</v>
      </c>
      <c r="R393" s="5" t="n">
        <v>565.44</v>
      </c>
      <c r="S393" s="5" t="n">
        <v>148.99</v>
      </c>
      <c r="T393" s="3" t="str">
        <f aca="false">PROPER(TRIM(SUBSTITUTE(Raw_Text_Fields!J394,CHAR(160)," ")))</f>
        <v>Paid</v>
      </c>
      <c r="U393" s="3" t="str">
        <f aca="false">PROPER(TRIM(SUBSTITUTE(Raw_Text_Fields!K394,CHAR(160)," ")))</f>
        <v>Completed</v>
      </c>
      <c r="V393" s="7" t="n">
        <f aca="false">IF(OR(P393&lt;0,P393&gt;0.5),0,P393)</f>
        <v>0</v>
      </c>
      <c r="W393" s="8" t="n">
        <f aca="false">N393*O393*(1-V393)</f>
        <v>714.43</v>
      </c>
      <c r="X393" s="8" t="n">
        <f aca="false">W393-R393</f>
        <v>148.99</v>
      </c>
      <c r="Y393" s="7" t="n">
        <f aca="false">IFERROR(X393/W393,0)</f>
        <v>0.208543874137424</v>
      </c>
      <c r="Z393" s="9" t="n">
        <f aca="false">C393-B393</f>
        <v>0</v>
      </c>
      <c r="AA393" s="1" t="str">
        <f aca="false">IF(B393="","",TEXT(B393,"mmm"))</f>
        <v>Feb</v>
      </c>
      <c r="AB393" s="9" t="n">
        <f aca="false">IF(B393="","",YEAR(B393))</f>
        <v>2025</v>
      </c>
      <c r="AC393" s="3"/>
      <c r="AD393" s="3" t="str">
        <f aca="false">IF(LEFT(AC393&amp;IF(B393="","; Missing Order Date","")&amp;IF(C393="","; Missing Ship Date","")&amp;IF(P393&lt;0,"; Invalid Discount (Negative)","")&amp;IF(P393&gt;0.5,"; Invalid Discount (Too High)","")&amp;IF(Z393&lt;0,"; Invalid Shipping Record (Ship Before Order)","")&amp;IF(ABS(Q393-W393)&gt;1,"; Sales Mismatch","")&amp;IF(ABS(S393-X393)&gt;1,"; Profit Mismatch","")&amp;IF(COUNTIF($A$2:$A$913,A393)&gt;1,"; Duplicate Order ID Conflict",""),2)="; ",MID(AC393&amp;IF(B393="","; Missing Order Date","")&amp;IF(C393="","; Missing Ship Date","")&amp;IF(P393&lt;0,"; Invalid Discount (Negative)","")&amp;IF(P393&gt;0.5,"; Invalid Discount (Too High)","")&amp;IF(Z393&lt;0,"; Invalid Shipping Record (Ship Before Order)","")&amp;IF(ABS(Q393-W393)&gt;1,"; Sales Mismatch","")&amp;IF(ABS(S393-X393)&gt;1,"; Profit Mismatch","")&amp;IF(COUNTIF($A$2:$A$913,A393)&gt;1,"; Duplicate Order ID Conflict",""),3,500),AC393&amp;IF(B393="","; Missing Order Date","")&amp;IF(C393="","; Missing Ship Date","")&amp;IF(P393&lt;0,"; Invalid Discount (Negative)","")&amp;IF(P393&gt;0.5,"; Invalid Discount (Too High)","")&amp;IF(Z393&lt;0,"; Invalid Shipping Record (Ship Before Order)","")&amp;IF(ABS(Q393-W393)&gt;1,"; Sales Mismatch","")&amp;IF(ABS(S393-X393)&gt;1,"; Profit Mismatch","")&amp;IF(COUNTIF($A$2:$A$913,A393)&gt;1,"; Duplicate Order ID Conflict",""))</f>
        <v/>
      </c>
      <c r="AE393" s="10" t="str">
        <f aca="false">IF(OR(ISNUMBER(SEARCH("Invalid Discount",AD393)),ISNUMBER(SEARCH("Invalid Shipping Record",AD393)),ISNUMBER(SEARCH("Sales Mismatch",AD393)),ISNUMBER(SEARCH("Profit Mismatch",AD393)),ISNUMBER(SEARCH("Duplicate Order ID Conflict",AD393)),ISNUMBER(SEARCH("Missing Order Date",AD393)),ISNUMBER(SEARCH("Missing Ship Date",AD393))),"Invalid",IF(AD393&lt;&gt;"","Warning","Clean"))</f>
        <v>Clean</v>
      </c>
    </row>
    <row r="394" customFormat="false" ht="15" hidden="false" customHeight="true" outlineLevel="0" collapsed="false">
      <c r="A394" s="3" t="s">
        <v>1200</v>
      </c>
      <c r="B394" s="4" t="n">
        <v>45341</v>
      </c>
      <c r="C394" s="4" t="n">
        <v>45344</v>
      </c>
      <c r="D394" s="3" t="s">
        <v>1201</v>
      </c>
      <c r="E394" s="3" t="str">
        <f aca="false">PROPER(TRIM(SUBSTITUTE(Raw_Text_Fields!B395,CHAR(160)," ")))</f>
        <v>Aditi Sen</v>
      </c>
      <c r="F394" s="3" t="str">
        <f aca="false">PROPER(TRIM(SUBSTITUTE(Raw_Text_Fields!C395,CHAR(160)," ")))</f>
        <v>Small Business</v>
      </c>
      <c r="G394" s="3" t="str">
        <f aca="false">PROPER(TRIM(SUBSTITUTE(Raw_Text_Fields!D395,CHAR(160)," ")))</f>
        <v>South</v>
      </c>
      <c r="H394" s="3" t="str">
        <f aca="false">PROPER(TRIM(SUBSTITUTE(Raw_Text_Fields!E395,CHAR(160)," ")))</f>
        <v>Kerala</v>
      </c>
      <c r="I394" s="3" t="str">
        <f aca="false">PROPER(TRIM(SUBSTITUTE(Raw_Text_Fields!F395,CHAR(160)," ")))</f>
        <v>Kochi</v>
      </c>
      <c r="J394" s="3" t="str">
        <f aca="false">PROPER(TRIM(SUBSTITUTE(Raw_Text_Fields!G395,CHAR(160)," ")))</f>
        <v>Furniture</v>
      </c>
      <c r="K394" s="3" t="str">
        <f aca="false">PROPER(TRIM(SUBSTITUTE(Raw_Text_Fields!H395,CHAR(160)," ")))</f>
        <v>Furnishings</v>
      </c>
      <c r="L394" s="3" t="s">
        <v>1202</v>
      </c>
      <c r="M394" s="3" t="str">
        <f aca="false">PROPER(TRIM(SUBSTITUTE(Raw_Text_Fields!I395,CHAR(160)," ")))</f>
        <v>Same Day</v>
      </c>
      <c r="N394" s="3" t="n">
        <v>9</v>
      </c>
      <c r="O394" s="5" t="n">
        <v>4053.01</v>
      </c>
      <c r="P394" s="6" t="n">
        <v>0</v>
      </c>
      <c r="Q394" s="5" t="n">
        <v>36477.09</v>
      </c>
      <c r="R394" s="5" t="n">
        <v>24525.48</v>
      </c>
      <c r="S394" s="5" t="n">
        <v>11951.61</v>
      </c>
      <c r="T394" s="3" t="str">
        <f aca="false">PROPER(TRIM(SUBSTITUTE(Raw_Text_Fields!J395,CHAR(160)," ")))</f>
        <v>Paid</v>
      </c>
      <c r="U394" s="3" t="str">
        <f aca="false">PROPER(TRIM(SUBSTITUTE(Raw_Text_Fields!K395,CHAR(160)," ")))</f>
        <v>Completed</v>
      </c>
      <c r="V394" s="7" t="n">
        <f aca="false">IF(OR(P394&lt;0,P394&gt;0.5),0,P394)</f>
        <v>0</v>
      </c>
      <c r="W394" s="8" t="n">
        <f aca="false">N394*O394*(1-V394)</f>
        <v>36477.09</v>
      </c>
      <c r="X394" s="8" t="n">
        <f aca="false">W394-R394</f>
        <v>11951.61</v>
      </c>
      <c r="Y394" s="7" t="n">
        <f aca="false">IFERROR(X394/W394,0)</f>
        <v>0.327647024474814</v>
      </c>
      <c r="Z394" s="9" t="n">
        <f aca="false">C394-B394</f>
        <v>3</v>
      </c>
      <c r="AA394" s="1" t="str">
        <f aca="false">IF(B394="","",TEXT(B394,"mmm"))</f>
        <v>Feb</v>
      </c>
      <c r="AB394" s="9" t="n">
        <f aca="false">IF(B394="","",YEAR(B394))</f>
        <v>2024</v>
      </c>
      <c r="AC394" s="3"/>
      <c r="AD394" s="3" t="str">
        <f aca="false">IF(LEFT(AC394&amp;IF(B394="","; Missing Order Date","")&amp;IF(C394="","; Missing Ship Date","")&amp;IF(P394&lt;0,"; Invalid Discount (Negative)","")&amp;IF(P394&gt;0.5,"; Invalid Discount (Too High)","")&amp;IF(Z394&lt;0,"; Invalid Shipping Record (Ship Before Order)","")&amp;IF(ABS(Q394-W394)&gt;1,"; Sales Mismatch","")&amp;IF(ABS(S394-X394)&gt;1,"; Profit Mismatch","")&amp;IF(COUNTIF($A$2:$A$913,A394)&gt;1,"; Duplicate Order ID Conflict",""),2)="; ",MID(AC394&amp;IF(B394="","; Missing Order Date","")&amp;IF(C394="","; Missing Ship Date","")&amp;IF(P394&lt;0,"; Invalid Discount (Negative)","")&amp;IF(P394&gt;0.5,"; Invalid Discount (Too High)","")&amp;IF(Z394&lt;0,"; Invalid Shipping Record (Ship Before Order)","")&amp;IF(ABS(Q394-W394)&gt;1,"; Sales Mismatch","")&amp;IF(ABS(S394-X394)&gt;1,"; Profit Mismatch","")&amp;IF(COUNTIF($A$2:$A$913,A394)&gt;1,"; Duplicate Order ID Conflict",""),3,500),AC394&amp;IF(B394="","; Missing Order Date","")&amp;IF(C394="","; Missing Ship Date","")&amp;IF(P394&lt;0,"; Invalid Discount (Negative)","")&amp;IF(P394&gt;0.5,"; Invalid Discount (Too High)","")&amp;IF(Z394&lt;0,"; Invalid Shipping Record (Ship Before Order)","")&amp;IF(ABS(Q394-W394)&gt;1,"; Sales Mismatch","")&amp;IF(ABS(S394-X394)&gt;1,"; Profit Mismatch","")&amp;IF(COUNTIF($A$2:$A$913,A394)&gt;1,"; Duplicate Order ID Conflict",""))</f>
        <v/>
      </c>
      <c r="AE394" s="10" t="str">
        <f aca="false">IF(OR(ISNUMBER(SEARCH("Invalid Discount",AD394)),ISNUMBER(SEARCH("Invalid Shipping Record",AD394)),ISNUMBER(SEARCH("Sales Mismatch",AD394)),ISNUMBER(SEARCH("Profit Mismatch",AD394)),ISNUMBER(SEARCH("Duplicate Order ID Conflict",AD394)),ISNUMBER(SEARCH("Missing Order Date",AD394)),ISNUMBER(SEARCH("Missing Ship Date",AD394))),"Invalid",IF(AD394&lt;&gt;"","Warning","Clean"))</f>
        <v>Clean</v>
      </c>
    </row>
    <row r="395" customFormat="false" ht="15" hidden="false" customHeight="true" outlineLevel="0" collapsed="false">
      <c r="A395" s="3" t="s">
        <v>1203</v>
      </c>
      <c r="B395" s="4" t="n">
        <v>45527</v>
      </c>
      <c r="C395" s="4" t="n">
        <v>45533</v>
      </c>
      <c r="D395" s="3" t="s">
        <v>1204</v>
      </c>
      <c r="E395" s="3" t="str">
        <f aca="false">PROPER(TRIM(SUBSTITUTE(Raw_Text_Fields!B396,CHAR(160)," ")))</f>
        <v>Mira Das</v>
      </c>
      <c r="F395" s="3" t="str">
        <f aca="false">PROPER(TRIM(SUBSTITUTE(Raw_Text_Fields!C396,CHAR(160)," ")))</f>
        <v>Corporate</v>
      </c>
      <c r="G395" s="3" t="str">
        <f aca="false">PROPER(TRIM(SUBSTITUTE(Raw_Text_Fields!D396,CHAR(160)," ")))</f>
        <v>North</v>
      </c>
      <c r="H395" s="3" t="str">
        <f aca="false">PROPER(TRIM(SUBSTITUTE(Raw_Text_Fields!E396,CHAR(160)," ")))</f>
        <v>Uttar Pradesh</v>
      </c>
      <c r="I395" s="3" t="str">
        <f aca="false">PROPER(TRIM(SUBSTITUTE(Raw_Text_Fields!F396,CHAR(160)," ")))</f>
        <v>Noida</v>
      </c>
      <c r="J395" s="3" t="str">
        <f aca="false">PROPER(TRIM(SUBSTITUTE(Raw_Text_Fields!G396,CHAR(160)," ")))</f>
        <v>Office Supplies</v>
      </c>
      <c r="K395" s="3" t="str">
        <f aca="false">PROPER(TRIM(SUBSTITUTE(Raw_Text_Fields!H396,CHAR(160)," ")))</f>
        <v>Labels</v>
      </c>
      <c r="L395" s="3" t="s">
        <v>1205</v>
      </c>
      <c r="M395" s="3" t="str">
        <f aca="false">PROPER(TRIM(SUBSTITUTE(Raw_Text_Fields!I396,CHAR(160)," ")))</f>
        <v>Same Day</v>
      </c>
      <c r="N395" s="3" t="n">
        <v>2</v>
      </c>
      <c r="O395" s="5" t="n">
        <v>1936.91</v>
      </c>
      <c r="P395" s="6" t="n">
        <v>0.05</v>
      </c>
      <c r="Q395" s="5" t="n">
        <v>3680.13</v>
      </c>
      <c r="R395" s="5" t="n">
        <v>2967.46</v>
      </c>
      <c r="S395" s="5" t="n">
        <v>712.67</v>
      </c>
      <c r="T395" s="3" t="str">
        <f aca="false">PROPER(TRIM(SUBSTITUTE(Raw_Text_Fields!J396,CHAR(160)," ")))</f>
        <v>Paid</v>
      </c>
      <c r="U395" s="3" t="str">
        <f aca="false">PROPER(TRIM(SUBSTITUTE(Raw_Text_Fields!K396,CHAR(160)," ")))</f>
        <v>Completed</v>
      </c>
      <c r="V395" s="7" t="n">
        <f aca="false">IF(OR(P395&lt;0,P395&gt;0.5),0,P395)</f>
        <v>0.05</v>
      </c>
      <c r="W395" s="8" t="n">
        <f aca="false">N395*O395*(1-V395)</f>
        <v>3680.129</v>
      </c>
      <c r="X395" s="8" t="n">
        <f aca="false">W395-R395</f>
        <v>712.669</v>
      </c>
      <c r="Y395" s="7" t="n">
        <f aca="false">IFERROR(X395/W395,0)</f>
        <v>0.193653265958883</v>
      </c>
      <c r="Z395" s="9" t="n">
        <f aca="false">C395-B395</f>
        <v>6</v>
      </c>
      <c r="AA395" s="1" t="str">
        <f aca="false">IF(B395="","",TEXT(B395,"mmm"))</f>
        <v>Aug</v>
      </c>
      <c r="AB395" s="9" t="n">
        <f aca="false">IF(B395="","",YEAR(B395))</f>
        <v>2024</v>
      </c>
      <c r="AC395" s="3"/>
      <c r="AD395" s="3" t="str">
        <f aca="false">IF(LEFT(AC395&amp;IF(B395="","; Missing Order Date","")&amp;IF(C395="","; Missing Ship Date","")&amp;IF(P395&lt;0,"; Invalid Discount (Negative)","")&amp;IF(P395&gt;0.5,"; Invalid Discount (Too High)","")&amp;IF(Z395&lt;0,"; Invalid Shipping Record (Ship Before Order)","")&amp;IF(ABS(Q395-W395)&gt;1,"; Sales Mismatch","")&amp;IF(ABS(S395-X395)&gt;1,"; Profit Mismatch","")&amp;IF(COUNTIF($A$2:$A$913,A395)&gt;1,"; Duplicate Order ID Conflict",""),2)="; ",MID(AC395&amp;IF(B395="","; Missing Order Date","")&amp;IF(C395="","; Missing Ship Date","")&amp;IF(P395&lt;0,"; Invalid Discount (Negative)","")&amp;IF(P395&gt;0.5,"; Invalid Discount (Too High)","")&amp;IF(Z395&lt;0,"; Invalid Shipping Record (Ship Before Order)","")&amp;IF(ABS(Q395-W395)&gt;1,"; Sales Mismatch","")&amp;IF(ABS(S395-X395)&gt;1,"; Profit Mismatch","")&amp;IF(COUNTIF($A$2:$A$913,A395)&gt;1,"; Duplicate Order ID Conflict",""),3,500),AC395&amp;IF(B395="","; Missing Order Date","")&amp;IF(C395="","; Missing Ship Date","")&amp;IF(P395&lt;0,"; Invalid Discount (Negative)","")&amp;IF(P395&gt;0.5,"; Invalid Discount (Too High)","")&amp;IF(Z395&lt;0,"; Invalid Shipping Record (Ship Before Order)","")&amp;IF(ABS(Q395-W395)&gt;1,"; Sales Mismatch","")&amp;IF(ABS(S395-X395)&gt;1,"; Profit Mismatch","")&amp;IF(COUNTIF($A$2:$A$913,A395)&gt;1,"; Duplicate Order ID Conflict",""))</f>
        <v/>
      </c>
      <c r="AE395" s="10" t="str">
        <f aca="false">IF(OR(ISNUMBER(SEARCH("Invalid Discount",AD395)),ISNUMBER(SEARCH("Invalid Shipping Record",AD395)),ISNUMBER(SEARCH("Sales Mismatch",AD395)),ISNUMBER(SEARCH("Profit Mismatch",AD395)),ISNUMBER(SEARCH("Duplicate Order ID Conflict",AD395)),ISNUMBER(SEARCH("Missing Order Date",AD395)),ISNUMBER(SEARCH("Missing Ship Date",AD395))),"Invalid",IF(AD395&lt;&gt;"","Warning","Clean"))</f>
        <v>Clean</v>
      </c>
    </row>
    <row r="396" customFormat="false" ht="15" hidden="false" customHeight="true" outlineLevel="0" collapsed="false">
      <c r="A396" s="3" t="s">
        <v>1206</v>
      </c>
      <c r="B396" s="4" t="n">
        <v>45385</v>
      </c>
      <c r="C396" s="4" t="n">
        <v>45386</v>
      </c>
      <c r="D396" s="3" t="s">
        <v>1207</v>
      </c>
      <c r="E396" s="3" t="str">
        <f aca="false">PROPER(TRIM(SUBSTITUTE(Raw_Text_Fields!B397,CHAR(160)," ")))</f>
        <v>Kabir Singh</v>
      </c>
      <c r="F396" s="3" t="str">
        <f aca="false">PROPER(TRIM(SUBSTITUTE(Raw_Text_Fields!C397,CHAR(160)," ")))</f>
        <v>Consumer</v>
      </c>
      <c r="G396" s="3" t="str">
        <f aca="false">PROPER(TRIM(SUBSTITUTE(Raw_Text_Fields!D397,CHAR(160)," ")))</f>
        <v>West</v>
      </c>
      <c r="H396" s="3" t="str">
        <f aca="false">PROPER(TRIM(SUBSTITUTE(Raw_Text_Fields!E397,CHAR(160)," ")))</f>
        <v>Maharashtra</v>
      </c>
      <c r="I396" s="3" t="str">
        <f aca="false">PROPER(TRIM(SUBSTITUTE(Raw_Text_Fields!F397,CHAR(160)," ")))</f>
        <v>Mumbai</v>
      </c>
      <c r="J396" s="3" t="str">
        <f aca="false">PROPER(TRIM(SUBSTITUTE(Raw_Text_Fields!G397,CHAR(160)," ")))</f>
        <v>Furniture</v>
      </c>
      <c r="K396" s="3" t="str">
        <f aca="false">PROPER(TRIM(SUBSTITUTE(Raw_Text_Fields!H397,CHAR(160)," ")))</f>
        <v>Furnishings</v>
      </c>
      <c r="L396" s="3" t="s">
        <v>1208</v>
      </c>
      <c r="M396" s="3" t="str">
        <f aca="false">PROPER(TRIM(SUBSTITUTE(Raw_Text_Fields!I397,CHAR(160)," ")))</f>
        <v>First Class</v>
      </c>
      <c r="N396" s="3" t="n">
        <v>7</v>
      </c>
      <c r="O396" s="5" t="n">
        <v>3945.21</v>
      </c>
      <c r="P396" s="6" t="n">
        <v>0</v>
      </c>
      <c r="Q396" s="5" t="n">
        <v>27616.47</v>
      </c>
      <c r="R396" s="5" t="n">
        <v>21225.26</v>
      </c>
      <c r="S396" s="5" t="n">
        <v>6391.21</v>
      </c>
      <c r="T396" s="3" t="str">
        <f aca="false">PROPER(TRIM(SUBSTITUTE(Raw_Text_Fields!J397,CHAR(160)," ")))</f>
        <v>Paid</v>
      </c>
      <c r="U396" s="3" t="str">
        <f aca="false">PROPER(TRIM(SUBSTITUTE(Raw_Text_Fields!K397,CHAR(160)," ")))</f>
        <v>Completed</v>
      </c>
      <c r="V396" s="7" t="n">
        <f aca="false">IF(OR(P396&lt;0,P396&gt;0.5),0,P396)</f>
        <v>0</v>
      </c>
      <c r="W396" s="8" t="n">
        <f aca="false">N396*O396*(1-V396)</f>
        <v>27616.47</v>
      </c>
      <c r="X396" s="8" t="n">
        <f aca="false">W396-R396</f>
        <v>6391.21</v>
      </c>
      <c r="Y396" s="7" t="n">
        <f aca="false">IFERROR(X396/W396,0)</f>
        <v>0.231427477878237</v>
      </c>
      <c r="Z396" s="9" t="n">
        <f aca="false">C396-B396</f>
        <v>1</v>
      </c>
      <c r="AA396" s="1" t="str">
        <f aca="false">IF(B396="","",TEXT(B396,"mmm"))</f>
        <v>Apr</v>
      </c>
      <c r="AB396" s="9" t="n">
        <f aca="false">IF(B396="","",YEAR(B396))</f>
        <v>2024</v>
      </c>
      <c r="AC396" s="3"/>
      <c r="AD396" s="3" t="str">
        <f aca="false">IF(LEFT(AC396&amp;IF(B396="","; Missing Order Date","")&amp;IF(C396="","; Missing Ship Date","")&amp;IF(P396&lt;0,"; Invalid Discount (Negative)","")&amp;IF(P396&gt;0.5,"; Invalid Discount (Too High)","")&amp;IF(Z396&lt;0,"; Invalid Shipping Record (Ship Before Order)","")&amp;IF(ABS(Q396-W396)&gt;1,"; Sales Mismatch","")&amp;IF(ABS(S396-X396)&gt;1,"; Profit Mismatch","")&amp;IF(COUNTIF($A$2:$A$913,A396)&gt;1,"; Duplicate Order ID Conflict",""),2)="; ",MID(AC396&amp;IF(B396="","; Missing Order Date","")&amp;IF(C396="","; Missing Ship Date","")&amp;IF(P396&lt;0,"; Invalid Discount (Negative)","")&amp;IF(P396&gt;0.5,"; Invalid Discount (Too High)","")&amp;IF(Z396&lt;0,"; Invalid Shipping Record (Ship Before Order)","")&amp;IF(ABS(Q396-W396)&gt;1,"; Sales Mismatch","")&amp;IF(ABS(S396-X396)&gt;1,"; Profit Mismatch","")&amp;IF(COUNTIF($A$2:$A$913,A396)&gt;1,"; Duplicate Order ID Conflict",""),3,500),AC396&amp;IF(B396="","; Missing Order Date","")&amp;IF(C396="","; Missing Ship Date","")&amp;IF(P396&lt;0,"; Invalid Discount (Negative)","")&amp;IF(P396&gt;0.5,"; Invalid Discount (Too High)","")&amp;IF(Z396&lt;0,"; Invalid Shipping Record (Ship Before Order)","")&amp;IF(ABS(Q396-W396)&gt;1,"; Sales Mismatch","")&amp;IF(ABS(S396-X396)&gt;1,"; Profit Mismatch","")&amp;IF(COUNTIF($A$2:$A$913,A396)&gt;1,"; Duplicate Order ID Conflict",""))</f>
        <v/>
      </c>
      <c r="AE396" s="10" t="str">
        <f aca="false">IF(OR(ISNUMBER(SEARCH("Invalid Discount",AD396)),ISNUMBER(SEARCH("Invalid Shipping Record",AD396)),ISNUMBER(SEARCH("Sales Mismatch",AD396)),ISNUMBER(SEARCH("Profit Mismatch",AD396)),ISNUMBER(SEARCH("Duplicate Order ID Conflict",AD396)),ISNUMBER(SEARCH("Missing Order Date",AD396)),ISNUMBER(SEARCH("Missing Ship Date",AD396))),"Invalid",IF(AD396&lt;&gt;"","Warning","Clean"))</f>
        <v>Clean</v>
      </c>
    </row>
    <row r="397" customFormat="false" ht="15" hidden="false" customHeight="true" outlineLevel="0" collapsed="false">
      <c r="A397" s="3" t="s">
        <v>1209</v>
      </c>
      <c r="B397" s="4" t="n">
        <v>45449</v>
      </c>
      <c r="C397" s="4" t="n">
        <v>45450</v>
      </c>
      <c r="D397" s="3" t="s">
        <v>1210</v>
      </c>
      <c r="E397" s="3" t="str">
        <f aca="false">PROPER(TRIM(SUBSTITUTE(Raw_Text_Fields!B398,CHAR(160)," ")))</f>
        <v>Rahul Verma</v>
      </c>
      <c r="F397" s="3" t="str">
        <f aca="false">PROPER(TRIM(SUBSTITUTE(Raw_Text_Fields!C398,CHAR(160)," ")))</f>
        <v>Home Office</v>
      </c>
      <c r="G397" s="3" t="str">
        <f aca="false">PROPER(TRIM(SUBSTITUTE(Raw_Text_Fields!D398,CHAR(160)," ")))</f>
        <v>South</v>
      </c>
      <c r="H397" s="3" t="str">
        <f aca="false">PROPER(TRIM(SUBSTITUTE(Raw_Text_Fields!E398,CHAR(160)," ")))</f>
        <v>Tamil Nadu</v>
      </c>
      <c r="I397" s="3" t="str">
        <f aca="false">PROPER(TRIM(SUBSTITUTE(Raw_Text_Fields!F398,CHAR(160)," ")))</f>
        <v>Chennai</v>
      </c>
      <c r="J397" s="3" t="str">
        <f aca="false">PROPER(TRIM(SUBSTITUTE(Raw_Text_Fields!G398,CHAR(160)," ")))</f>
        <v>Furniture</v>
      </c>
      <c r="K397" s="3" t="str">
        <f aca="false">PROPER(TRIM(SUBSTITUTE(Raw_Text_Fields!H398,CHAR(160)," ")))</f>
        <v>Tables</v>
      </c>
      <c r="L397" s="3" t="s">
        <v>1211</v>
      </c>
      <c r="M397" s="3" t="str">
        <f aca="false">PROPER(TRIM(SUBSTITUTE(Raw_Text_Fields!I398,CHAR(160)," ")))</f>
        <v>Same Day</v>
      </c>
      <c r="N397" s="3" t="n">
        <v>7</v>
      </c>
      <c r="O397" s="5" t="n">
        <v>861.91</v>
      </c>
      <c r="P397" s="6" t="n">
        <v>0.05</v>
      </c>
      <c r="Q397" s="5" t="n">
        <v>5731.7</v>
      </c>
      <c r="R397" s="5" t="n">
        <v>4115.56</v>
      </c>
      <c r="S397" s="5" t="n">
        <v>1616.14</v>
      </c>
      <c r="T397" s="3" t="str">
        <f aca="false">PROPER(TRIM(SUBSTITUTE(Raw_Text_Fields!J398,CHAR(160)," ")))</f>
        <v>Paid</v>
      </c>
      <c r="U397" s="3" t="str">
        <f aca="false">PROPER(TRIM(SUBSTITUTE(Raw_Text_Fields!K398,CHAR(160)," ")))</f>
        <v>Completed</v>
      </c>
      <c r="V397" s="7" t="n">
        <f aca="false">IF(OR(P397&lt;0,P397&gt;0.5),0,P397)</f>
        <v>0.05</v>
      </c>
      <c r="W397" s="8" t="n">
        <f aca="false">N397*O397*(1-V397)</f>
        <v>5731.7015</v>
      </c>
      <c r="X397" s="8" t="n">
        <f aca="false">W397-R397</f>
        <v>1616.1415</v>
      </c>
      <c r="Y397" s="7" t="n">
        <f aca="false">IFERROR(X397/W397,0)</f>
        <v>0.281965398930841</v>
      </c>
      <c r="Z397" s="9" t="n">
        <f aca="false">C397-B397</f>
        <v>1</v>
      </c>
      <c r="AA397" s="1" t="str">
        <f aca="false">IF(B397="","",TEXT(B397,"mmm"))</f>
        <v>Jun</v>
      </c>
      <c r="AB397" s="9" t="n">
        <f aca="false">IF(B397="","",YEAR(B397))</f>
        <v>2024</v>
      </c>
      <c r="AC397" s="3"/>
      <c r="AD397" s="3" t="str">
        <f aca="false">IF(LEFT(AC397&amp;IF(B397="","; Missing Order Date","")&amp;IF(C397="","; Missing Ship Date","")&amp;IF(P397&lt;0,"; Invalid Discount (Negative)","")&amp;IF(P397&gt;0.5,"; Invalid Discount (Too High)","")&amp;IF(Z397&lt;0,"; Invalid Shipping Record (Ship Before Order)","")&amp;IF(ABS(Q397-W397)&gt;1,"; Sales Mismatch","")&amp;IF(ABS(S397-X397)&gt;1,"; Profit Mismatch","")&amp;IF(COUNTIF($A$2:$A$913,A397)&gt;1,"; Duplicate Order ID Conflict",""),2)="; ",MID(AC397&amp;IF(B397="","; Missing Order Date","")&amp;IF(C397="","; Missing Ship Date","")&amp;IF(P397&lt;0,"; Invalid Discount (Negative)","")&amp;IF(P397&gt;0.5,"; Invalid Discount (Too High)","")&amp;IF(Z397&lt;0,"; Invalid Shipping Record (Ship Before Order)","")&amp;IF(ABS(Q397-W397)&gt;1,"; Sales Mismatch","")&amp;IF(ABS(S397-X397)&gt;1,"; Profit Mismatch","")&amp;IF(COUNTIF($A$2:$A$913,A397)&gt;1,"; Duplicate Order ID Conflict",""),3,500),AC397&amp;IF(B397="","; Missing Order Date","")&amp;IF(C397="","; Missing Ship Date","")&amp;IF(P397&lt;0,"; Invalid Discount (Negative)","")&amp;IF(P397&gt;0.5,"; Invalid Discount (Too High)","")&amp;IF(Z397&lt;0,"; Invalid Shipping Record (Ship Before Order)","")&amp;IF(ABS(Q397-W397)&gt;1,"; Sales Mismatch","")&amp;IF(ABS(S397-X397)&gt;1,"; Profit Mismatch","")&amp;IF(COUNTIF($A$2:$A$913,A397)&gt;1,"; Duplicate Order ID Conflict",""))</f>
        <v/>
      </c>
      <c r="AE397" s="10" t="str">
        <f aca="false">IF(OR(ISNUMBER(SEARCH("Invalid Discount",AD397)),ISNUMBER(SEARCH("Invalid Shipping Record",AD397)),ISNUMBER(SEARCH("Sales Mismatch",AD397)),ISNUMBER(SEARCH("Profit Mismatch",AD397)),ISNUMBER(SEARCH("Duplicate Order ID Conflict",AD397)),ISNUMBER(SEARCH("Missing Order Date",AD397)),ISNUMBER(SEARCH("Missing Ship Date",AD397))),"Invalid",IF(AD397&lt;&gt;"","Warning","Clean"))</f>
        <v>Clean</v>
      </c>
    </row>
    <row r="398" customFormat="false" ht="15" hidden="false" customHeight="true" outlineLevel="0" collapsed="false">
      <c r="A398" s="3" t="s">
        <v>1212</v>
      </c>
      <c r="B398" s="4" t="n">
        <v>45761</v>
      </c>
      <c r="C398" s="4" t="n">
        <v>45769</v>
      </c>
      <c r="D398" s="3" t="s">
        <v>1213</v>
      </c>
      <c r="E398" s="3" t="str">
        <f aca="false">PROPER(TRIM(SUBSTITUTE(Raw_Text_Fields!B399,CHAR(160)," ")))</f>
        <v>Aditi Sen</v>
      </c>
      <c r="F398" s="3" t="str">
        <f aca="false">PROPER(TRIM(SUBSTITUTE(Raw_Text_Fields!C399,CHAR(160)," ")))</f>
        <v>Small Business</v>
      </c>
      <c r="G398" s="3" t="str">
        <f aca="false">PROPER(TRIM(SUBSTITUTE(Raw_Text_Fields!D399,CHAR(160)," ")))</f>
        <v>South</v>
      </c>
      <c r="H398" s="3" t="str">
        <f aca="false">PROPER(TRIM(SUBSTITUTE(Raw_Text_Fields!E399,CHAR(160)," ")))</f>
        <v>Karnataka</v>
      </c>
      <c r="I398" s="3" t="str">
        <f aca="false">PROPER(TRIM(SUBSTITUTE(Raw_Text_Fields!F399,CHAR(160)," ")))</f>
        <v>Bengaluru</v>
      </c>
      <c r="J398" s="3" t="str">
        <f aca="false">PROPER(TRIM(SUBSTITUTE(Raw_Text_Fields!G399,CHAR(160)," ")))</f>
        <v>Technology</v>
      </c>
      <c r="K398" s="3" t="str">
        <f aca="false">PROPER(TRIM(SUBSTITUTE(Raw_Text_Fields!H399,CHAR(160)," ")))</f>
        <v>Machines</v>
      </c>
      <c r="L398" s="3" t="s">
        <v>1214</v>
      </c>
      <c r="M398" s="3" t="str">
        <f aca="false">PROPER(TRIM(SUBSTITUTE(Raw_Text_Fields!I399,CHAR(160)," ")))</f>
        <v>Standard Class</v>
      </c>
      <c r="N398" s="3" t="n">
        <v>2</v>
      </c>
      <c r="O398" s="5" t="n">
        <v>638.73</v>
      </c>
      <c r="P398" s="6" t="n">
        <v>0.05</v>
      </c>
      <c r="Q398" s="5" t="n">
        <v>1213.59</v>
      </c>
      <c r="R398" s="5" t="n">
        <v>956.22</v>
      </c>
      <c r="S398" s="5" t="n">
        <v>257.37</v>
      </c>
      <c r="T398" s="3" t="str">
        <f aca="false">PROPER(TRIM(SUBSTITUTE(Raw_Text_Fields!J399,CHAR(160)," ")))</f>
        <v>Paid</v>
      </c>
      <c r="U398" s="3" t="str">
        <f aca="false">PROPER(TRIM(SUBSTITUTE(Raw_Text_Fields!K399,CHAR(160)," ")))</f>
        <v>Completed</v>
      </c>
      <c r="V398" s="7" t="n">
        <f aca="false">IF(OR(P398&lt;0,P398&gt;0.5),0,P398)</f>
        <v>0.05</v>
      </c>
      <c r="W398" s="8" t="n">
        <f aca="false">N398*O398*(1-V398)</f>
        <v>1213.587</v>
      </c>
      <c r="X398" s="8" t="n">
        <f aca="false">W398-R398</f>
        <v>257.367</v>
      </c>
      <c r="Y398" s="7" t="n">
        <f aca="false">IFERROR(X398/W398,0)</f>
        <v>0.212071322451542</v>
      </c>
      <c r="Z398" s="9" t="n">
        <f aca="false">C398-B398</f>
        <v>8</v>
      </c>
      <c r="AA398" s="1" t="str">
        <f aca="false">IF(B398="","",TEXT(B398,"mmm"))</f>
        <v>Apr</v>
      </c>
      <c r="AB398" s="9" t="n">
        <f aca="false">IF(B398="","",YEAR(B398))</f>
        <v>2025</v>
      </c>
      <c r="AC398" s="3"/>
      <c r="AD398" s="3" t="str">
        <f aca="false">IF(LEFT(AC398&amp;IF(B398="","; Missing Order Date","")&amp;IF(C398="","; Missing Ship Date","")&amp;IF(P398&lt;0,"; Invalid Discount (Negative)","")&amp;IF(P398&gt;0.5,"; Invalid Discount (Too High)","")&amp;IF(Z398&lt;0,"; Invalid Shipping Record (Ship Before Order)","")&amp;IF(ABS(Q398-W398)&gt;1,"; Sales Mismatch","")&amp;IF(ABS(S398-X398)&gt;1,"; Profit Mismatch","")&amp;IF(COUNTIF($A$2:$A$913,A398)&gt;1,"; Duplicate Order ID Conflict",""),2)="; ",MID(AC398&amp;IF(B398="","; Missing Order Date","")&amp;IF(C398="","; Missing Ship Date","")&amp;IF(P398&lt;0,"; Invalid Discount (Negative)","")&amp;IF(P398&gt;0.5,"; Invalid Discount (Too High)","")&amp;IF(Z398&lt;0,"; Invalid Shipping Record (Ship Before Order)","")&amp;IF(ABS(Q398-W398)&gt;1,"; Sales Mismatch","")&amp;IF(ABS(S398-X398)&gt;1,"; Profit Mismatch","")&amp;IF(COUNTIF($A$2:$A$913,A398)&gt;1,"; Duplicate Order ID Conflict",""),3,500),AC398&amp;IF(B398="","; Missing Order Date","")&amp;IF(C398="","; Missing Ship Date","")&amp;IF(P398&lt;0,"; Invalid Discount (Negative)","")&amp;IF(P398&gt;0.5,"; Invalid Discount (Too High)","")&amp;IF(Z398&lt;0,"; Invalid Shipping Record (Ship Before Order)","")&amp;IF(ABS(Q398-W398)&gt;1,"; Sales Mismatch","")&amp;IF(ABS(S398-X398)&gt;1,"; Profit Mismatch","")&amp;IF(COUNTIF($A$2:$A$913,A398)&gt;1,"; Duplicate Order ID Conflict",""))</f>
        <v/>
      </c>
      <c r="AE398" s="10" t="str">
        <f aca="false">IF(OR(ISNUMBER(SEARCH("Invalid Discount",AD398)),ISNUMBER(SEARCH("Invalid Shipping Record",AD398)),ISNUMBER(SEARCH("Sales Mismatch",AD398)),ISNUMBER(SEARCH("Profit Mismatch",AD398)),ISNUMBER(SEARCH("Duplicate Order ID Conflict",AD398)),ISNUMBER(SEARCH("Missing Order Date",AD398)),ISNUMBER(SEARCH("Missing Ship Date",AD398))),"Invalid",IF(AD398&lt;&gt;"","Warning","Clean"))</f>
        <v>Clean</v>
      </c>
    </row>
    <row r="399" customFormat="false" ht="15" hidden="false" customHeight="true" outlineLevel="0" collapsed="false">
      <c r="A399" s="3" t="s">
        <v>1215</v>
      </c>
      <c r="B399" s="4" t="n">
        <v>45817</v>
      </c>
      <c r="C399" s="4" t="n">
        <v>45818</v>
      </c>
      <c r="D399" s="3" t="s">
        <v>1216</v>
      </c>
      <c r="E399" s="3" t="str">
        <f aca="false">PROPER(TRIM(SUBSTITUTE(Raw_Text_Fields!B400,CHAR(160)," ")))</f>
        <v>Sneha Kapoor</v>
      </c>
      <c r="F399" s="3" t="str">
        <f aca="false">PROPER(TRIM(SUBSTITUTE(Raw_Text_Fields!C400,CHAR(160)," ")))</f>
        <v>Small Business</v>
      </c>
      <c r="G399" s="3" t="str">
        <f aca="false">PROPER(TRIM(SUBSTITUTE(Raw_Text_Fields!D400,CHAR(160)," ")))</f>
        <v>North</v>
      </c>
      <c r="H399" s="3" t="str">
        <f aca="false">PROPER(TRIM(SUBSTITUTE(Raw_Text_Fields!E400,CHAR(160)," ")))</f>
        <v>Uttar Pradesh</v>
      </c>
      <c r="I399" s="3" t="str">
        <f aca="false">PROPER(TRIM(SUBSTITUTE(Raw_Text_Fields!F400,CHAR(160)," ")))</f>
        <v>Noida</v>
      </c>
      <c r="J399" s="3" t="str">
        <f aca="false">PROPER(TRIM(SUBSTITUTE(Raw_Text_Fields!G400,CHAR(160)," ")))</f>
        <v>Furniture</v>
      </c>
      <c r="K399" s="3" t="str">
        <f aca="false">PROPER(TRIM(SUBSTITUTE(Raw_Text_Fields!H400,CHAR(160)," ")))</f>
        <v>Tables</v>
      </c>
      <c r="L399" s="3" t="s">
        <v>1217</v>
      </c>
      <c r="M399" s="3" t="str">
        <f aca="false">PROPER(TRIM(SUBSTITUTE(Raw_Text_Fields!I400,CHAR(160)," ")))</f>
        <v>Second Class</v>
      </c>
      <c r="N399" s="3" t="n">
        <v>2</v>
      </c>
      <c r="O399" s="5" t="n">
        <v>1731.88</v>
      </c>
      <c r="P399" s="6" t="n">
        <v>0</v>
      </c>
      <c r="Q399" s="5" t="n">
        <v>3463.76</v>
      </c>
      <c r="R399" s="5" t="n">
        <v>2143.74</v>
      </c>
      <c r="S399" s="5" t="n">
        <v>1320.02</v>
      </c>
      <c r="T399" s="3" t="str">
        <f aca="false">PROPER(TRIM(SUBSTITUTE(Raw_Text_Fields!J400,CHAR(160)," ")))</f>
        <v>Paid</v>
      </c>
      <c r="U399" s="3" t="str">
        <f aca="false">PROPER(TRIM(SUBSTITUTE(Raw_Text_Fields!K400,CHAR(160)," ")))</f>
        <v>Completed</v>
      </c>
      <c r="V399" s="7" t="n">
        <f aca="false">IF(OR(P399&lt;0,P399&gt;0.5),0,P399)</f>
        <v>0</v>
      </c>
      <c r="W399" s="8" t="n">
        <f aca="false">N399*O399*(1-V399)</f>
        <v>3463.76</v>
      </c>
      <c r="X399" s="8" t="n">
        <f aca="false">W399-R399</f>
        <v>1320.02</v>
      </c>
      <c r="Y399" s="7" t="n">
        <f aca="false">IFERROR(X399/W399,0)</f>
        <v>0.38109453310853</v>
      </c>
      <c r="Z399" s="9" t="n">
        <f aca="false">C399-B399</f>
        <v>1</v>
      </c>
      <c r="AA399" s="1" t="str">
        <f aca="false">IF(B399="","",TEXT(B399,"mmm"))</f>
        <v>Jun</v>
      </c>
      <c r="AB399" s="9" t="n">
        <f aca="false">IF(B399="","",YEAR(B399))</f>
        <v>2025</v>
      </c>
      <c r="AC399" s="3"/>
      <c r="AD399" s="3" t="str">
        <f aca="false">IF(LEFT(AC399&amp;IF(B399="","; Missing Order Date","")&amp;IF(C399="","; Missing Ship Date","")&amp;IF(P399&lt;0,"; Invalid Discount (Negative)","")&amp;IF(P399&gt;0.5,"; Invalid Discount (Too High)","")&amp;IF(Z399&lt;0,"; Invalid Shipping Record (Ship Before Order)","")&amp;IF(ABS(Q399-W399)&gt;1,"; Sales Mismatch","")&amp;IF(ABS(S399-X399)&gt;1,"; Profit Mismatch","")&amp;IF(COUNTIF($A$2:$A$913,A399)&gt;1,"; Duplicate Order ID Conflict",""),2)="; ",MID(AC399&amp;IF(B399="","; Missing Order Date","")&amp;IF(C399="","; Missing Ship Date","")&amp;IF(P399&lt;0,"; Invalid Discount (Negative)","")&amp;IF(P399&gt;0.5,"; Invalid Discount (Too High)","")&amp;IF(Z399&lt;0,"; Invalid Shipping Record (Ship Before Order)","")&amp;IF(ABS(Q399-W399)&gt;1,"; Sales Mismatch","")&amp;IF(ABS(S399-X399)&gt;1,"; Profit Mismatch","")&amp;IF(COUNTIF($A$2:$A$913,A399)&gt;1,"; Duplicate Order ID Conflict",""),3,500),AC399&amp;IF(B399="","; Missing Order Date","")&amp;IF(C399="","; Missing Ship Date","")&amp;IF(P399&lt;0,"; Invalid Discount (Negative)","")&amp;IF(P399&gt;0.5,"; Invalid Discount (Too High)","")&amp;IF(Z399&lt;0,"; Invalid Shipping Record (Ship Before Order)","")&amp;IF(ABS(Q399-W399)&gt;1,"; Sales Mismatch","")&amp;IF(ABS(S399-X399)&gt;1,"; Profit Mismatch","")&amp;IF(COUNTIF($A$2:$A$913,A399)&gt;1,"; Duplicate Order ID Conflict",""))</f>
        <v/>
      </c>
      <c r="AE399" s="10" t="str">
        <f aca="false">IF(OR(ISNUMBER(SEARCH("Invalid Discount",AD399)),ISNUMBER(SEARCH("Invalid Shipping Record",AD399)),ISNUMBER(SEARCH("Sales Mismatch",AD399)),ISNUMBER(SEARCH("Profit Mismatch",AD399)),ISNUMBER(SEARCH("Duplicate Order ID Conflict",AD399)),ISNUMBER(SEARCH("Missing Order Date",AD399)),ISNUMBER(SEARCH("Missing Ship Date",AD399))),"Invalid",IF(AD399&lt;&gt;"","Warning","Clean"))</f>
        <v>Clean</v>
      </c>
    </row>
    <row r="400" customFormat="false" ht="15" hidden="false" customHeight="true" outlineLevel="0" collapsed="false">
      <c r="A400" s="3" t="s">
        <v>1218</v>
      </c>
      <c r="B400" s="4" t="n">
        <v>45492</v>
      </c>
      <c r="C400" s="4" t="n">
        <v>45499</v>
      </c>
      <c r="D400" s="3" t="s">
        <v>1219</v>
      </c>
      <c r="E400" s="3" t="str">
        <f aca="false">PROPER(TRIM(SUBSTITUTE(Raw_Text_Fields!B401,CHAR(160)," ")))</f>
        <v>Vikram Iyer</v>
      </c>
      <c r="F400" s="3" t="str">
        <f aca="false">PROPER(TRIM(SUBSTITUTE(Raw_Text_Fields!C401,CHAR(160)," ")))</f>
        <v>Corporate</v>
      </c>
      <c r="G400" s="3" t="str">
        <f aca="false">PROPER(TRIM(SUBSTITUTE(Raw_Text_Fields!D401,CHAR(160)," ")))</f>
        <v>North</v>
      </c>
      <c r="H400" s="3" t="str">
        <f aca="false">PROPER(TRIM(SUBSTITUTE(Raw_Text_Fields!E401,CHAR(160)," ")))</f>
        <v>Punjab</v>
      </c>
      <c r="I400" s="3" t="str">
        <f aca="false">PROPER(TRIM(SUBSTITUTE(Raw_Text_Fields!F401,CHAR(160)," ")))</f>
        <v>Ludhiana</v>
      </c>
      <c r="J400" s="3" t="str">
        <f aca="false">PROPER(TRIM(SUBSTITUTE(Raw_Text_Fields!G401,CHAR(160)," ")))</f>
        <v>Technology</v>
      </c>
      <c r="K400" s="3" t="str">
        <f aca="false">PROPER(TRIM(SUBSTITUTE(Raw_Text_Fields!H401,CHAR(160)," ")))</f>
        <v>Machines</v>
      </c>
      <c r="L400" s="3" t="s">
        <v>1220</v>
      </c>
      <c r="M400" s="3" t="str">
        <f aca="false">PROPER(TRIM(SUBSTITUTE(Raw_Text_Fields!I401,CHAR(160)," ")))</f>
        <v>Same Day</v>
      </c>
      <c r="N400" s="3" t="n">
        <v>2</v>
      </c>
      <c r="O400" s="5" t="n">
        <v>1263.65</v>
      </c>
      <c r="P400" s="6" t="n">
        <v>0.2</v>
      </c>
      <c r="Q400" s="5" t="n">
        <v>2021.84</v>
      </c>
      <c r="R400" s="5" t="n">
        <v>1355.22</v>
      </c>
      <c r="S400" s="5" t="n">
        <v>666.62</v>
      </c>
      <c r="T400" s="3" t="str">
        <f aca="false">PROPER(TRIM(SUBSTITUTE(Raw_Text_Fields!J401,CHAR(160)," ")))</f>
        <v>Paid</v>
      </c>
      <c r="U400" s="3" t="str">
        <f aca="false">PROPER(TRIM(SUBSTITUTE(Raw_Text_Fields!K401,CHAR(160)," ")))</f>
        <v>Completed</v>
      </c>
      <c r="V400" s="7" t="n">
        <f aca="false">IF(OR(P400&lt;0,P400&gt;0.5),0,P400)</f>
        <v>0.2</v>
      </c>
      <c r="W400" s="8" t="n">
        <f aca="false">N400*O400*(1-V400)</f>
        <v>2021.84</v>
      </c>
      <c r="X400" s="8" t="n">
        <f aca="false">W400-R400</f>
        <v>666.62</v>
      </c>
      <c r="Y400" s="7" t="n">
        <f aca="false">IFERROR(X400/W400,0)</f>
        <v>0.329709571479445</v>
      </c>
      <c r="Z400" s="9" t="n">
        <f aca="false">C400-B400</f>
        <v>7</v>
      </c>
      <c r="AA400" s="1" t="str">
        <f aca="false">IF(B400="","",TEXT(B400,"mmm"))</f>
        <v>Jul</v>
      </c>
      <c r="AB400" s="9" t="n">
        <f aca="false">IF(B400="","",YEAR(B400))</f>
        <v>2024</v>
      </c>
      <c r="AC400" s="3"/>
      <c r="AD400" s="3" t="str">
        <f aca="false">IF(LEFT(AC400&amp;IF(B400="","; Missing Order Date","")&amp;IF(C400="","; Missing Ship Date","")&amp;IF(P400&lt;0,"; Invalid Discount (Negative)","")&amp;IF(P400&gt;0.5,"; Invalid Discount (Too High)","")&amp;IF(Z400&lt;0,"; Invalid Shipping Record (Ship Before Order)","")&amp;IF(ABS(Q400-W400)&gt;1,"; Sales Mismatch","")&amp;IF(ABS(S400-X400)&gt;1,"; Profit Mismatch","")&amp;IF(COUNTIF($A$2:$A$913,A400)&gt;1,"; Duplicate Order ID Conflict",""),2)="; ",MID(AC400&amp;IF(B400="","; Missing Order Date","")&amp;IF(C400="","; Missing Ship Date","")&amp;IF(P400&lt;0,"; Invalid Discount (Negative)","")&amp;IF(P400&gt;0.5,"; Invalid Discount (Too High)","")&amp;IF(Z400&lt;0,"; Invalid Shipping Record (Ship Before Order)","")&amp;IF(ABS(Q400-W400)&gt;1,"; Sales Mismatch","")&amp;IF(ABS(S400-X400)&gt;1,"; Profit Mismatch","")&amp;IF(COUNTIF($A$2:$A$913,A400)&gt;1,"; Duplicate Order ID Conflict",""),3,500),AC400&amp;IF(B400="","; Missing Order Date","")&amp;IF(C400="","; Missing Ship Date","")&amp;IF(P400&lt;0,"; Invalid Discount (Negative)","")&amp;IF(P400&gt;0.5,"; Invalid Discount (Too High)","")&amp;IF(Z400&lt;0,"; Invalid Shipping Record (Ship Before Order)","")&amp;IF(ABS(Q400-W400)&gt;1,"; Sales Mismatch","")&amp;IF(ABS(S400-X400)&gt;1,"; Profit Mismatch","")&amp;IF(COUNTIF($A$2:$A$913,A400)&gt;1,"; Duplicate Order ID Conflict",""))</f>
        <v/>
      </c>
      <c r="AE400" s="10" t="str">
        <f aca="false">IF(OR(ISNUMBER(SEARCH("Invalid Discount",AD400)),ISNUMBER(SEARCH("Invalid Shipping Record",AD400)),ISNUMBER(SEARCH("Sales Mismatch",AD400)),ISNUMBER(SEARCH("Profit Mismatch",AD400)),ISNUMBER(SEARCH("Duplicate Order ID Conflict",AD400)),ISNUMBER(SEARCH("Missing Order Date",AD400)),ISNUMBER(SEARCH("Missing Ship Date",AD400))),"Invalid",IF(AD400&lt;&gt;"","Warning","Clean"))</f>
        <v>Clean</v>
      </c>
    </row>
    <row r="401" customFormat="false" ht="15" hidden="false" customHeight="true" outlineLevel="0" collapsed="false">
      <c r="A401" s="3" t="s">
        <v>1221</v>
      </c>
      <c r="B401" s="4" t="n">
        <v>45771</v>
      </c>
      <c r="C401" s="4" t="n">
        <v>45776</v>
      </c>
      <c r="D401" s="3" t="s">
        <v>1222</v>
      </c>
      <c r="E401" s="3" t="str">
        <f aca="false">PROPER(TRIM(SUBSTITUTE(Raw_Text_Fields!B402,CHAR(160)," ")))</f>
        <v>Diya Patel</v>
      </c>
      <c r="F401" s="3" t="str">
        <f aca="false">PROPER(TRIM(SUBSTITUTE(Raw_Text_Fields!C402,CHAR(160)," ")))</f>
        <v>Small Business</v>
      </c>
      <c r="G401" s="3" t="str">
        <f aca="false">PROPER(TRIM(SUBSTITUTE(Raw_Text_Fields!D402,CHAR(160)," ")))</f>
        <v>South</v>
      </c>
      <c r="H401" s="3" t="str">
        <f aca="false">PROPER(TRIM(SUBSTITUTE(Raw_Text_Fields!E402,CHAR(160)," ")))</f>
        <v>Andhra Pradesh</v>
      </c>
      <c r="I401" s="3" t="str">
        <f aca="false">PROPER(TRIM(SUBSTITUTE(Raw_Text_Fields!F402,CHAR(160)," ")))</f>
        <v>Vijayawada</v>
      </c>
      <c r="J401" s="3" t="str">
        <f aca="false">PROPER(TRIM(SUBSTITUTE(Raw_Text_Fields!G402,CHAR(160)," ")))</f>
        <v>Office Supplies</v>
      </c>
      <c r="K401" s="3" t="str">
        <f aca="false">PROPER(TRIM(SUBSTITUTE(Raw_Text_Fields!H402,CHAR(160)," ")))</f>
        <v>Paper</v>
      </c>
      <c r="L401" s="3" t="s">
        <v>1223</v>
      </c>
      <c r="M401" s="3" t="str">
        <f aca="false">PROPER(TRIM(SUBSTITUTE(Raw_Text_Fields!I402,CHAR(160)," ")))</f>
        <v>Same Day</v>
      </c>
      <c r="N401" s="3" t="n">
        <v>1</v>
      </c>
      <c r="O401" s="5" t="n">
        <v>4358.5</v>
      </c>
      <c r="P401" s="6" t="n">
        <v>0.25</v>
      </c>
      <c r="Q401" s="5" t="n">
        <v>3268.88</v>
      </c>
      <c r="R401" s="5" t="n">
        <v>1993.74</v>
      </c>
      <c r="S401" s="5" t="n">
        <v>1275.14</v>
      </c>
      <c r="T401" s="3" t="str">
        <f aca="false">PROPER(TRIM(SUBSTITUTE(Raw_Text_Fields!J402,CHAR(160)," ")))</f>
        <v>Paid</v>
      </c>
      <c r="U401" s="3" t="str">
        <f aca="false">PROPER(TRIM(SUBSTITUTE(Raw_Text_Fields!K402,CHAR(160)," ")))</f>
        <v>Completed</v>
      </c>
      <c r="V401" s="7" t="n">
        <f aca="false">IF(OR(P401&lt;0,P401&gt;0.5),0,P401)</f>
        <v>0.25</v>
      </c>
      <c r="W401" s="8" t="n">
        <f aca="false">N401*O401*(1-V401)</f>
        <v>3268.875</v>
      </c>
      <c r="X401" s="8" t="n">
        <f aca="false">W401-R401</f>
        <v>1275.135</v>
      </c>
      <c r="Y401" s="7" t="n">
        <f aca="false">IFERROR(X401/W401,0)</f>
        <v>0.39008374440748</v>
      </c>
      <c r="Z401" s="9" t="n">
        <f aca="false">C401-B401</f>
        <v>5</v>
      </c>
      <c r="AA401" s="1" t="str">
        <f aca="false">IF(B401="","",TEXT(B401,"mmm"))</f>
        <v>Apr</v>
      </c>
      <c r="AB401" s="9" t="n">
        <f aca="false">IF(B401="","",YEAR(B401))</f>
        <v>2025</v>
      </c>
      <c r="AC401" s="3"/>
      <c r="AD401" s="3" t="str">
        <f aca="false">IF(LEFT(AC401&amp;IF(B401="","; Missing Order Date","")&amp;IF(C401="","; Missing Ship Date","")&amp;IF(P401&lt;0,"; Invalid Discount (Negative)","")&amp;IF(P401&gt;0.5,"; Invalid Discount (Too High)","")&amp;IF(Z401&lt;0,"; Invalid Shipping Record (Ship Before Order)","")&amp;IF(ABS(Q401-W401)&gt;1,"; Sales Mismatch","")&amp;IF(ABS(S401-X401)&gt;1,"; Profit Mismatch","")&amp;IF(COUNTIF($A$2:$A$913,A401)&gt;1,"; Duplicate Order ID Conflict",""),2)="; ",MID(AC401&amp;IF(B401="","; Missing Order Date","")&amp;IF(C401="","; Missing Ship Date","")&amp;IF(P401&lt;0,"; Invalid Discount (Negative)","")&amp;IF(P401&gt;0.5,"; Invalid Discount (Too High)","")&amp;IF(Z401&lt;0,"; Invalid Shipping Record (Ship Before Order)","")&amp;IF(ABS(Q401-W401)&gt;1,"; Sales Mismatch","")&amp;IF(ABS(S401-X401)&gt;1,"; Profit Mismatch","")&amp;IF(COUNTIF($A$2:$A$913,A401)&gt;1,"; Duplicate Order ID Conflict",""),3,500),AC401&amp;IF(B401="","; Missing Order Date","")&amp;IF(C401="","; Missing Ship Date","")&amp;IF(P401&lt;0,"; Invalid Discount (Negative)","")&amp;IF(P401&gt;0.5,"; Invalid Discount (Too High)","")&amp;IF(Z401&lt;0,"; Invalid Shipping Record (Ship Before Order)","")&amp;IF(ABS(Q401-W401)&gt;1,"; Sales Mismatch","")&amp;IF(ABS(S401-X401)&gt;1,"; Profit Mismatch","")&amp;IF(COUNTIF($A$2:$A$913,A401)&gt;1,"; Duplicate Order ID Conflict",""))</f>
        <v/>
      </c>
      <c r="AE401" s="10" t="str">
        <f aca="false">IF(OR(ISNUMBER(SEARCH("Invalid Discount",AD401)),ISNUMBER(SEARCH("Invalid Shipping Record",AD401)),ISNUMBER(SEARCH("Sales Mismatch",AD401)),ISNUMBER(SEARCH("Profit Mismatch",AD401)),ISNUMBER(SEARCH("Duplicate Order ID Conflict",AD401)),ISNUMBER(SEARCH("Missing Order Date",AD401)),ISNUMBER(SEARCH("Missing Ship Date",AD401))),"Invalid",IF(AD401&lt;&gt;"","Warning","Clean"))</f>
        <v>Clean</v>
      </c>
    </row>
    <row r="402" customFormat="false" ht="15" hidden="false" customHeight="true" outlineLevel="0" collapsed="false">
      <c r="A402" s="3" t="s">
        <v>1224</v>
      </c>
      <c r="B402" s="4" t="n">
        <v>45814</v>
      </c>
      <c r="C402" s="4" t="n">
        <v>45819</v>
      </c>
      <c r="D402" s="3" t="s">
        <v>1225</v>
      </c>
      <c r="E402" s="3" t="str">
        <f aca="false">PROPER(TRIM(SUBSTITUTE(Raw_Text_Fields!B403,CHAR(160)," ")))</f>
        <v>Sneha Kapoor</v>
      </c>
      <c r="F402" s="3" t="str">
        <f aca="false">PROPER(TRIM(SUBSTITUTE(Raw_Text_Fields!C403,CHAR(160)," ")))</f>
        <v>Small Business</v>
      </c>
      <c r="G402" s="3" t="str">
        <f aca="false">PROPER(TRIM(SUBSTITUTE(Raw_Text_Fields!D403,CHAR(160)," ")))</f>
        <v>North</v>
      </c>
      <c r="H402" s="3" t="str">
        <f aca="false">PROPER(TRIM(SUBSTITUTE(Raw_Text_Fields!E403,CHAR(160)," ")))</f>
        <v>Uttar Pradesh</v>
      </c>
      <c r="I402" s="3" t="str">
        <f aca="false">PROPER(TRIM(SUBSTITUTE(Raw_Text_Fields!F403,CHAR(160)," ")))</f>
        <v>Noida</v>
      </c>
      <c r="J402" s="3" t="str">
        <f aca="false">PROPER(TRIM(SUBSTITUTE(Raw_Text_Fields!G403,CHAR(160)," ")))</f>
        <v>Office Supplies</v>
      </c>
      <c r="K402" s="3" t="str">
        <f aca="false">PROPER(TRIM(SUBSTITUTE(Raw_Text_Fields!H403,CHAR(160)," ")))</f>
        <v>Paper</v>
      </c>
      <c r="L402" s="3" t="s">
        <v>1226</v>
      </c>
      <c r="M402" s="3" t="str">
        <f aca="false">PROPER(TRIM(SUBSTITUTE(Raw_Text_Fields!I403,CHAR(160)," ")))</f>
        <v>Same Day</v>
      </c>
      <c r="N402" s="3" t="n">
        <v>7</v>
      </c>
      <c r="O402" s="5" t="n">
        <v>878.09</v>
      </c>
      <c r="P402" s="6" t="n">
        <v>-0.1</v>
      </c>
      <c r="Q402" s="5" t="n">
        <v>5839.3</v>
      </c>
      <c r="R402" s="5" t="n">
        <v>4877.38</v>
      </c>
      <c r="S402" s="5" t="n">
        <v>961.92</v>
      </c>
      <c r="T402" s="3" t="str">
        <f aca="false">PROPER(TRIM(SUBSTITUTE(Raw_Text_Fields!J403,CHAR(160)," ")))</f>
        <v>Paid</v>
      </c>
      <c r="U402" s="3" t="str">
        <f aca="false">PROPER(TRIM(SUBSTITUTE(Raw_Text_Fields!K403,CHAR(160)," ")))</f>
        <v>Completed</v>
      </c>
      <c r="V402" s="7" t="n">
        <f aca="false">IF(OR(P402&lt;0,P402&gt;0.5),0,P402)</f>
        <v>0</v>
      </c>
      <c r="W402" s="8" t="n">
        <f aca="false">N402*O402*(1-V402)</f>
        <v>6146.63</v>
      </c>
      <c r="X402" s="8" t="n">
        <f aca="false">W402-R402</f>
        <v>1269.25</v>
      </c>
      <c r="Y402" s="7" t="n">
        <f aca="false">IFERROR(X402/W402,0)</f>
        <v>0.206495266511894</v>
      </c>
      <c r="Z402" s="9" t="n">
        <f aca="false">C402-B402</f>
        <v>5</v>
      </c>
      <c r="AA402" s="1" t="str">
        <f aca="false">IF(B402="","",TEXT(B402,"mmm"))</f>
        <v>Jun</v>
      </c>
      <c r="AB402" s="9" t="n">
        <f aca="false">IF(B402="","",YEAR(B402))</f>
        <v>2025</v>
      </c>
      <c r="AC402" s="3"/>
      <c r="AD402" s="3" t="str">
        <f aca="false">IF(LEFT(AC402&amp;IF(B402="","; Missing Order Date","")&amp;IF(C402="","; Missing Ship Date","")&amp;IF(P402&lt;0,"; Invalid Discount (Negative)","")&amp;IF(P402&gt;0.5,"; Invalid Discount (Too High)","")&amp;IF(Z402&lt;0,"; Invalid Shipping Record (Ship Before Order)","")&amp;IF(ABS(Q402-W402)&gt;1,"; Sales Mismatch","")&amp;IF(ABS(S402-X402)&gt;1,"; Profit Mismatch","")&amp;IF(COUNTIF($A$2:$A$913,A402)&gt;1,"; Duplicate Order ID Conflict",""),2)="; ",MID(AC402&amp;IF(B402="","; Missing Order Date","")&amp;IF(C402="","; Missing Ship Date","")&amp;IF(P402&lt;0,"; Invalid Discount (Negative)","")&amp;IF(P402&gt;0.5,"; Invalid Discount (Too High)","")&amp;IF(Z402&lt;0,"; Invalid Shipping Record (Ship Before Order)","")&amp;IF(ABS(Q402-W402)&gt;1,"; Sales Mismatch","")&amp;IF(ABS(S402-X402)&gt;1,"; Profit Mismatch","")&amp;IF(COUNTIF($A$2:$A$913,A402)&gt;1,"; Duplicate Order ID Conflict",""),3,500),AC402&amp;IF(B402="","; Missing Order Date","")&amp;IF(C402="","; Missing Ship Date","")&amp;IF(P402&lt;0,"; Invalid Discount (Negative)","")&amp;IF(P402&gt;0.5,"; Invalid Discount (Too High)","")&amp;IF(Z402&lt;0,"; Invalid Shipping Record (Ship Before Order)","")&amp;IF(ABS(Q402-W402)&gt;1,"; Sales Mismatch","")&amp;IF(ABS(S402-X402)&gt;1,"; Profit Mismatch","")&amp;IF(COUNTIF($A$2:$A$913,A402)&gt;1,"; Duplicate Order ID Conflict",""))</f>
        <v>Invalid Discount (Negative); Sales Mismatch; Profit Mismatch</v>
      </c>
      <c r="AE402" s="10" t="str">
        <f aca="false">IF(OR(ISNUMBER(SEARCH("Invalid Discount",AD402)),ISNUMBER(SEARCH("Invalid Shipping Record",AD402)),ISNUMBER(SEARCH("Sales Mismatch",AD402)),ISNUMBER(SEARCH("Profit Mismatch",AD402)),ISNUMBER(SEARCH("Duplicate Order ID Conflict",AD402)),ISNUMBER(SEARCH("Missing Order Date",AD402)),ISNUMBER(SEARCH("Missing Ship Date",AD402))),"Invalid",IF(AD402&lt;&gt;"","Warning","Clean"))</f>
        <v>Invalid</v>
      </c>
    </row>
    <row r="403" customFormat="false" ht="15" hidden="false" customHeight="true" outlineLevel="0" collapsed="false">
      <c r="A403" s="3" t="s">
        <v>1227</v>
      </c>
      <c r="B403" s="4" t="n">
        <v>45725</v>
      </c>
      <c r="C403" s="4" t="n">
        <v>45732</v>
      </c>
      <c r="D403" s="3" t="s">
        <v>1228</v>
      </c>
      <c r="E403" s="3" t="str">
        <f aca="false">PROPER(TRIM(SUBSTITUTE(Raw_Text_Fields!B404,CHAR(160)," ")))</f>
        <v>Arjun Bose</v>
      </c>
      <c r="F403" s="3" t="str">
        <f aca="false">PROPER(TRIM(SUBSTITUTE(Raw_Text_Fields!C404,CHAR(160)," ")))</f>
        <v>Small Business</v>
      </c>
      <c r="G403" s="3" t="str">
        <f aca="false">PROPER(TRIM(SUBSTITUTE(Raw_Text_Fields!D404,CHAR(160)," ")))</f>
        <v>East</v>
      </c>
      <c r="H403" s="3" t="str">
        <f aca="false">PROPER(TRIM(SUBSTITUTE(Raw_Text_Fields!E404,CHAR(160)," ")))</f>
        <v>Jharkhand</v>
      </c>
      <c r="I403" s="3" t="str">
        <f aca="false">PROPER(TRIM(SUBSTITUTE(Raw_Text_Fields!F404,CHAR(160)," ")))</f>
        <v>Ranchi</v>
      </c>
      <c r="J403" s="3" t="str">
        <f aca="false">PROPER(TRIM(SUBSTITUTE(Raw_Text_Fields!G404,CHAR(160)," ")))</f>
        <v>Furniture</v>
      </c>
      <c r="K403" s="3" t="str">
        <f aca="false">PROPER(TRIM(SUBSTITUTE(Raw_Text_Fields!H404,CHAR(160)," ")))</f>
        <v>Tables</v>
      </c>
      <c r="L403" s="3" t="s">
        <v>1229</v>
      </c>
      <c r="M403" s="3" t="str">
        <f aca="false">PROPER(TRIM(SUBSTITUTE(Raw_Text_Fields!I404,CHAR(160)," ")))</f>
        <v>Same Day</v>
      </c>
      <c r="N403" s="3" t="n">
        <v>3</v>
      </c>
      <c r="O403" s="5" t="n">
        <v>2625.85</v>
      </c>
      <c r="P403" s="6" t="n">
        <v>0</v>
      </c>
      <c r="Q403" s="5" t="n">
        <v>7877.55</v>
      </c>
      <c r="R403" s="5" t="n">
        <v>5562.77</v>
      </c>
      <c r="S403" s="5" t="n">
        <v>2314.78</v>
      </c>
      <c r="T403" s="3" t="str">
        <f aca="false">PROPER(TRIM(SUBSTITUTE(Raw_Text_Fields!J404,CHAR(160)," ")))</f>
        <v>Paid</v>
      </c>
      <c r="U403" s="3" t="str">
        <f aca="false">PROPER(TRIM(SUBSTITUTE(Raw_Text_Fields!K404,CHAR(160)," ")))</f>
        <v>Completed</v>
      </c>
      <c r="V403" s="7" t="n">
        <f aca="false">IF(OR(P403&lt;0,P403&gt;0.5),0,P403)</f>
        <v>0</v>
      </c>
      <c r="W403" s="8" t="n">
        <f aca="false">N403*O403*(1-V403)</f>
        <v>7877.55</v>
      </c>
      <c r="X403" s="8" t="n">
        <f aca="false">W403-R403</f>
        <v>2314.78</v>
      </c>
      <c r="Y403" s="7" t="n">
        <f aca="false">IFERROR(X403/W403,0)</f>
        <v>0.293845167596524</v>
      </c>
      <c r="Z403" s="9" t="n">
        <f aca="false">C403-B403</f>
        <v>7</v>
      </c>
      <c r="AA403" s="1" t="str">
        <f aca="false">IF(B403="","",TEXT(B403,"mmm"))</f>
        <v>Mar</v>
      </c>
      <c r="AB403" s="9" t="n">
        <f aca="false">IF(B403="","",YEAR(B403))</f>
        <v>2025</v>
      </c>
      <c r="AC403" s="3"/>
      <c r="AD403" s="3" t="str">
        <f aca="false">IF(LEFT(AC403&amp;IF(B403="","; Missing Order Date","")&amp;IF(C403="","; Missing Ship Date","")&amp;IF(P403&lt;0,"; Invalid Discount (Negative)","")&amp;IF(P403&gt;0.5,"; Invalid Discount (Too High)","")&amp;IF(Z403&lt;0,"; Invalid Shipping Record (Ship Before Order)","")&amp;IF(ABS(Q403-W403)&gt;1,"; Sales Mismatch","")&amp;IF(ABS(S403-X403)&gt;1,"; Profit Mismatch","")&amp;IF(COUNTIF($A$2:$A$913,A403)&gt;1,"; Duplicate Order ID Conflict",""),2)="; ",MID(AC403&amp;IF(B403="","; Missing Order Date","")&amp;IF(C403="","; Missing Ship Date","")&amp;IF(P403&lt;0,"; Invalid Discount (Negative)","")&amp;IF(P403&gt;0.5,"; Invalid Discount (Too High)","")&amp;IF(Z403&lt;0,"; Invalid Shipping Record (Ship Before Order)","")&amp;IF(ABS(Q403-W403)&gt;1,"; Sales Mismatch","")&amp;IF(ABS(S403-X403)&gt;1,"; Profit Mismatch","")&amp;IF(COUNTIF($A$2:$A$913,A403)&gt;1,"; Duplicate Order ID Conflict",""),3,500),AC403&amp;IF(B403="","; Missing Order Date","")&amp;IF(C403="","; Missing Ship Date","")&amp;IF(P403&lt;0,"; Invalid Discount (Negative)","")&amp;IF(P403&gt;0.5,"; Invalid Discount (Too High)","")&amp;IF(Z403&lt;0,"; Invalid Shipping Record (Ship Before Order)","")&amp;IF(ABS(Q403-W403)&gt;1,"; Sales Mismatch","")&amp;IF(ABS(S403-X403)&gt;1,"; Profit Mismatch","")&amp;IF(COUNTIF($A$2:$A$913,A403)&gt;1,"; Duplicate Order ID Conflict",""))</f>
        <v/>
      </c>
      <c r="AE403" s="10" t="str">
        <f aca="false">IF(OR(ISNUMBER(SEARCH("Invalid Discount",AD403)),ISNUMBER(SEARCH("Invalid Shipping Record",AD403)),ISNUMBER(SEARCH("Sales Mismatch",AD403)),ISNUMBER(SEARCH("Profit Mismatch",AD403)),ISNUMBER(SEARCH("Duplicate Order ID Conflict",AD403)),ISNUMBER(SEARCH("Missing Order Date",AD403)),ISNUMBER(SEARCH("Missing Ship Date",AD403))),"Invalid",IF(AD403&lt;&gt;"","Warning","Clean"))</f>
        <v>Clean</v>
      </c>
    </row>
    <row r="404" customFormat="false" ht="15" hidden="false" customHeight="true" outlineLevel="0" collapsed="false">
      <c r="A404" s="3" t="s">
        <v>1230</v>
      </c>
      <c r="B404" s="4" t="n">
        <v>45373</v>
      </c>
      <c r="C404" s="4" t="n">
        <v>45373</v>
      </c>
      <c r="D404" s="3" t="s">
        <v>1231</v>
      </c>
      <c r="E404" s="3" t="str">
        <f aca="false">PROPER(TRIM(SUBSTITUTE(Raw_Text_Fields!B405,CHAR(160)," ")))</f>
        <v>Priya Menon</v>
      </c>
      <c r="F404" s="3" t="str">
        <f aca="false">PROPER(TRIM(SUBSTITUTE(Raw_Text_Fields!C405,CHAR(160)," ")))</f>
        <v>Small Business</v>
      </c>
      <c r="G404" s="3" t="str">
        <f aca="false">PROPER(TRIM(SUBSTITUTE(Raw_Text_Fields!D405,CHAR(160)," ")))</f>
        <v>South</v>
      </c>
      <c r="H404" s="3" t="str">
        <f aca="false">PROPER(TRIM(SUBSTITUTE(Raw_Text_Fields!E405,CHAR(160)," ")))</f>
        <v>Karnataka</v>
      </c>
      <c r="I404" s="3" t="str">
        <f aca="false">PROPER(TRIM(SUBSTITUTE(Raw_Text_Fields!F405,CHAR(160)," ")))</f>
        <v>Bengaluru</v>
      </c>
      <c r="J404" s="3" t="str">
        <f aca="false">PROPER(TRIM(SUBSTITUTE(Raw_Text_Fields!G405,CHAR(160)," ")))</f>
        <v>Furniture</v>
      </c>
      <c r="K404" s="3" t="str">
        <f aca="false">PROPER(TRIM(SUBSTITUTE(Raw_Text_Fields!H405,CHAR(160)," ")))</f>
        <v>Tables</v>
      </c>
      <c r="L404" s="3" t="s">
        <v>1232</v>
      </c>
      <c r="M404" s="3" t="str">
        <f aca="false">PROPER(TRIM(SUBSTITUTE(Raw_Text_Fields!I405,CHAR(160)," ")))</f>
        <v>Unknown</v>
      </c>
      <c r="N404" s="3" t="n">
        <v>3</v>
      </c>
      <c r="O404" s="5" t="n">
        <v>1365.26</v>
      </c>
      <c r="P404" s="6" t="n">
        <v>0</v>
      </c>
      <c r="Q404" s="5" t="n">
        <v>4095.78</v>
      </c>
      <c r="R404" s="5" t="n">
        <v>2807.77</v>
      </c>
      <c r="S404" s="5" t="n">
        <v>1288.01</v>
      </c>
      <c r="T404" s="3" t="str">
        <f aca="false">PROPER(TRIM(SUBSTITUTE(Raw_Text_Fields!J405,CHAR(160)," ")))</f>
        <v>Paid</v>
      </c>
      <c r="U404" s="3" t="str">
        <f aca="false">PROPER(TRIM(SUBSTITUTE(Raw_Text_Fields!K405,CHAR(160)," ")))</f>
        <v>Completed</v>
      </c>
      <c r="V404" s="7" t="n">
        <f aca="false">IF(OR(P404&lt;0,P404&gt;0.5),0,P404)</f>
        <v>0</v>
      </c>
      <c r="W404" s="8" t="n">
        <f aca="false">N404*O404*(1-V404)</f>
        <v>4095.78</v>
      </c>
      <c r="X404" s="8" t="n">
        <f aca="false">W404-R404</f>
        <v>1288.01</v>
      </c>
      <c r="Y404" s="7" t="n">
        <f aca="false">IFERROR(X404/W404,0)</f>
        <v>0.314472457016734</v>
      </c>
      <c r="Z404" s="9" t="n">
        <f aca="false">C404-B404</f>
        <v>0</v>
      </c>
      <c r="AA404" s="1" t="str">
        <f aca="false">IF(B404="","",TEXT(B404,"mmm"))</f>
        <v>Mar</v>
      </c>
      <c r="AB404" s="9" t="n">
        <f aca="false">IF(B404="","",YEAR(B404))</f>
        <v>2024</v>
      </c>
      <c r="AC404" s="3" t="s">
        <v>137</v>
      </c>
      <c r="AD404" s="3" t="str">
        <f aca="false">IF(LEFT(AC404&amp;IF(B404="","; Missing Order Date","")&amp;IF(C404="","; Missing Ship Date","")&amp;IF(P404&lt;0,"; Invalid Discount (Negative)","")&amp;IF(P404&gt;0.5,"; Invalid Discount (Too High)","")&amp;IF(Z404&lt;0,"; Invalid Shipping Record (Ship Before Order)","")&amp;IF(ABS(Q404-W404)&gt;1,"; Sales Mismatch","")&amp;IF(ABS(S404-X404)&gt;1,"; Profit Mismatch","")&amp;IF(COUNTIF($A$2:$A$913,A404)&gt;1,"; Duplicate Order ID Conflict",""),2)="; ",MID(AC404&amp;IF(B404="","; Missing Order Date","")&amp;IF(C404="","; Missing Ship Date","")&amp;IF(P404&lt;0,"; Invalid Discount (Negative)","")&amp;IF(P404&gt;0.5,"; Invalid Discount (Too High)","")&amp;IF(Z404&lt;0,"; Invalid Shipping Record (Ship Before Order)","")&amp;IF(ABS(Q404-W404)&gt;1,"; Sales Mismatch","")&amp;IF(ABS(S404-X404)&gt;1,"; Profit Mismatch","")&amp;IF(COUNTIF($A$2:$A$913,A404)&gt;1,"; Duplicate Order ID Conflict",""),3,500),AC404&amp;IF(B404="","; Missing Order Date","")&amp;IF(C404="","; Missing Ship Date","")&amp;IF(P404&lt;0,"; Invalid Discount (Negative)","")&amp;IF(P404&gt;0.5,"; Invalid Discount (Too High)","")&amp;IF(Z404&lt;0,"; Invalid Shipping Record (Ship Before Order)","")&amp;IF(ABS(Q404-W404)&gt;1,"; Sales Mismatch","")&amp;IF(ABS(S404-X404)&gt;1,"; Profit Mismatch","")&amp;IF(COUNTIF($A$2:$A$913,A404)&gt;1,"; Duplicate Order ID Conflict",""))</f>
        <v>Missing Ship Mode (filled Unknown)</v>
      </c>
      <c r="AE404" s="10" t="str">
        <f aca="false">IF(OR(ISNUMBER(SEARCH("Invalid Discount",AD404)),ISNUMBER(SEARCH("Invalid Shipping Record",AD404)),ISNUMBER(SEARCH("Sales Mismatch",AD404)),ISNUMBER(SEARCH("Profit Mismatch",AD404)),ISNUMBER(SEARCH("Duplicate Order ID Conflict",AD404)),ISNUMBER(SEARCH("Missing Order Date",AD404)),ISNUMBER(SEARCH("Missing Ship Date",AD404))),"Invalid",IF(AD404&lt;&gt;"","Warning","Clean"))</f>
        <v>Warning</v>
      </c>
    </row>
    <row r="405" customFormat="false" ht="15" hidden="false" customHeight="true" outlineLevel="0" collapsed="false">
      <c r="A405" s="3" t="s">
        <v>1233</v>
      </c>
      <c r="B405" s="4" t="n">
        <v>45565</v>
      </c>
      <c r="C405" s="4" t="n">
        <v>45569</v>
      </c>
      <c r="D405" s="3" t="s">
        <v>1234</v>
      </c>
      <c r="E405" s="3" t="str">
        <f aca="false">PROPER(TRIM(SUBSTITUTE(Raw_Text_Fields!B406,CHAR(160)," ")))</f>
        <v>Arjun Bose</v>
      </c>
      <c r="F405" s="3" t="str">
        <f aca="false">PROPER(TRIM(SUBSTITUTE(Raw_Text_Fields!C406,CHAR(160)," ")))</f>
        <v>Small Business</v>
      </c>
      <c r="G405" s="3" t="str">
        <f aca="false">PROPER(TRIM(SUBSTITUTE(Raw_Text_Fields!D406,CHAR(160)," ")))</f>
        <v>South</v>
      </c>
      <c r="H405" s="3" t="str">
        <f aca="false">PROPER(TRIM(SUBSTITUTE(Raw_Text_Fields!E406,CHAR(160)," ")))</f>
        <v>Kerala</v>
      </c>
      <c r="I405" s="3" t="str">
        <f aca="false">PROPER(TRIM(SUBSTITUTE(Raw_Text_Fields!F406,CHAR(160)," ")))</f>
        <v>Kochi</v>
      </c>
      <c r="J405" s="3" t="str">
        <f aca="false">PROPER(TRIM(SUBSTITUTE(Raw_Text_Fields!G406,CHAR(160)," ")))</f>
        <v>Office Supplies</v>
      </c>
      <c r="K405" s="3" t="str">
        <f aca="false">PROPER(TRIM(SUBSTITUTE(Raw_Text_Fields!H406,CHAR(160)," ")))</f>
        <v>Paper</v>
      </c>
      <c r="L405" s="3" t="s">
        <v>1235</v>
      </c>
      <c r="M405" s="3" t="str">
        <f aca="false">PROPER(TRIM(SUBSTITUTE(Raw_Text_Fields!I406,CHAR(160)," ")))</f>
        <v>Same Day</v>
      </c>
      <c r="N405" s="3" t="n">
        <v>5</v>
      </c>
      <c r="O405" s="5" t="n">
        <v>3512.25</v>
      </c>
      <c r="P405" s="6" t="n">
        <v>0.05</v>
      </c>
      <c r="Q405" s="5" t="n">
        <v>16683.19</v>
      </c>
      <c r="R405" s="5" t="n">
        <v>10301.16</v>
      </c>
      <c r="S405" s="5" t="n">
        <v>6382.03</v>
      </c>
      <c r="T405" s="3" t="str">
        <f aca="false">PROPER(TRIM(SUBSTITUTE(Raw_Text_Fields!J406,CHAR(160)," ")))</f>
        <v>Paid</v>
      </c>
      <c r="U405" s="3" t="str">
        <f aca="false">PROPER(TRIM(SUBSTITUTE(Raw_Text_Fields!K406,CHAR(160)," ")))</f>
        <v>Returned</v>
      </c>
      <c r="V405" s="7" t="n">
        <f aca="false">IF(OR(P405&lt;0,P405&gt;0.5),0,P405)</f>
        <v>0.05</v>
      </c>
      <c r="W405" s="8" t="n">
        <f aca="false">N405*O405*(1-V405)</f>
        <v>16683.1875</v>
      </c>
      <c r="X405" s="8" t="n">
        <f aca="false">W405-R405</f>
        <v>6382.0275</v>
      </c>
      <c r="Y405" s="7" t="n">
        <f aca="false">IFERROR(X405/W405,0)</f>
        <v>0.382542454791688</v>
      </c>
      <c r="Z405" s="9" t="n">
        <f aca="false">C405-B405</f>
        <v>4</v>
      </c>
      <c r="AA405" s="1" t="str">
        <f aca="false">IF(B405="","",TEXT(B405,"mmm"))</f>
        <v>Sep</v>
      </c>
      <c r="AB405" s="9" t="n">
        <f aca="false">IF(B405="","",YEAR(B405))</f>
        <v>2024</v>
      </c>
      <c r="AC405" s="3"/>
      <c r="AD405" s="3" t="str">
        <f aca="false">IF(LEFT(AC405&amp;IF(B405="","; Missing Order Date","")&amp;IF(C405="","; Missing Ship Date","")&amp;IF(P405&lt;0,"; Invalid Discount (Negative)","")&amp;IF(P405&gt;0.5,"; Invalid Discount (Too High)","")&amp;IF(Z405&lt;0,"; Invalid Shipping Record (Ship Before Order)","")&amp;IF(ABS(Q405-W405)&gt;1,"; Sales Mismatch","")&amp;IF(ABS(S405-X405)&gt;1,"; Profit Mismatch","")&amp;IF(COUNTIF($A$2:$A$913,A405)&gt;1,"; Duplicate Order ID Conflict",""),2)="; ",MID(AC405&amp;IF(B405="","; Missing Order Date","")&amp;IF(C405="","; Missing Ship Date","")&amp;IF(P405&lt;0,"; Invalid Discount (Negative)","")&amp;IF(P405&gt;0.5,"; Invalid Discount (Too High)","")&amp;IF(Z405&lt;0,"; Invalid Shipping Record (Ship Before Order)","")&amp;IF(ABS(Q405-W405)&gt;1,"; Sales Mismatch","")&amp;IF(ABS(S405-X405)&gt;1,"; Profit Mismatch","")&amp;IF(COUNTIF($A$2:$A$913,A405)&gt;1,"; Duplicate Order ID Conflict",""),3,500),AC405&amp;IF(B405="","; Missing Order Date","")&amp;IF(C405="","; Missing Ship Date","")&amp;IF(P405&lt;0,"; Invalid Discount (Negative)","")&amp;IF(P405&gt;0.5,"; Invalid Discount (Too High)","")&amp;IF(Z405&lt;0,"; Invalid Shipping Record (Ship Before Order)","")&amp;IF(ABS(Q405-W405)&gt;1,"; Sales Mismatch","")&amp;IF(ABS(S405-X405)&gt;1,"; Profit Mismatch","")&amp;IF(COUNTIF($A$2:$A$913,A405)&gt;1,"; Duplicate Order ID Conflict",""))</f>
        <v/>
      </c>
      <c r="AE405" s="10" t="str">
        <f aca="false">IF(OR(ISNUMBER(SEARCH("Invalid Discount",AD405)),ISNUMBER(SEARCH("Invalid Shipping Record",AD405)),ISNUMBER(SEARCH("Sales Mismatch",AD405)),ISNUMBER(SEARCH("Profit Mismatch",AD405)),ISNUMBER(SEARCH("Duplicate Order ID Conflict",AD405)),ISNUMBER(SEARCH("Missing Order Date",AD405)),ISNUMBER(SEARCH("Missing Ship Date",AD405))),"Invalid",IF(AD405&lt;&gt;"","Warning","Clean"))</f>
        <v>Clean</v>
      </c>
    </row>
    <row r="406" customFormat="false" ht="15" hidden="false" customHeight="true" outlineLevel="0" collapsed="false">
      <c r="A406" s="3" t="s">
        <v>1236</v>
      </c>
      <c r="B406" s="4" t="n">
        <v>45318</v>
      </c>
      <c r="C406" s="4" t="n">
        <v>45325</v>
      </c>
      <c r="D406" s="3" t="s">
        <v>1237</v>
      </c>
      <c r="E406" s="3" t="str">
        <f aca="false">PROPER(TRIM(SUBSTITUTE(Raw_Text_Fields!B407,CHAR(160)," ")))</f>
        <v>Aditi Sen</v>
      </c>
      <c r="F406" s="3" t="str">
        <f aca="false">PROPER(TRIM(SUBSTITUTE(Raw_Text_Fields!C407,CHAR(160)," ")))</f>
        <v>Corporate</v>
      </c>
      <c r="G406" s="3" t="str">
        <f aca="false">PROPER(TRIM(SUBSTITUTE(Raw_Text_Fields!D407,CHAR(160)," ")))</f>
        <v>West</v>
      </c>
      <c r="H406" s="3" t="str">
        <f aca="false">PROPER(TRIM(SUBSTITUTE(Raw_Text_Fields!E407,CHAR(160)," ")))</f>
        <v>Rajasthan</v>
      </c>
      <c r="I406" s="3" t="str">
        <f aca="false">PROPER(TRIM(SUBSTITUTE(Raw_Text_Fields!F407,CHAR(160)," ")))</f>
        <v>Udaipur</v>
      </c>
      <c r="J406" s="3" t="str">
        <f aca="false">PROPER(TRIM(SUBSTITUTE(Raw_Text_Fields!G407,CHAR(160)," ")))</f>
        <v>Furniture</v>
      </c>
      <c r="K406" s="3" t="str">
        <f aca="false">PROPER(TRIM(SUBSTITUTE(Raw_Text_Fields!H407,CHAR(160)," ")))</f>
        <v>Chairs</v>
      </c>
      <c r="L406" s="3" t="s">
        <v>1238</v>
      </c>
      <c r="M406" s="3" t="str">
        <f aca="false">PROPER(TRIM(SUBSTITUTE(Raw_Text_Fields!I407,CHAR(160)," ")))</f>
        <v>Same Day</v>
      </c>
      <c r="N406" s="3" t="n">
        <v>3</v>
      </c>
      <c r="O406" s="5" t="n">
        <v>359.61</v>
      </c>
      <c r="P406" s="6" t="n">
        <v>0</v>
      </c>
      <c r="Q406" s="5" t="n">
        <v>1078.83</v>
      </c>
      <c r="R406" s="5" t="n">
        <v>926.35</v>
      </c>
      <c r="S406" s="5" t="n">
        <v>152.48</v>
      </c>
      <c r="T406" s="3" t="str">
        <f aca="false">PROPER(TRIM(SUBSTITUTE(Raw_Text_Fields!J407,CHAR(160)," ")))</f>
        <v>Paid</v>
      </c>
      <c r="U406" s="3" t="str">
        <f aca="false">PROPER(TRIM(SUBSTITUTE(Raw_Text_Fields!K407,CHAR(160)," ")))</f>
        <v>Completed</v>
      </c>
      <c r="V406" s="7" t="n">
        <f aca="false">IF(OR(P406&lt;0,P406&gt;0.5),0,P406)</f>
        <v>0</v>
      </c>
      <c r="W406" s="8" t="n">
        <f aca="false">N406*O406*(1-V406)</f>
        <v>1078.83</v>
      </c>
      <c r="X406" s="8" t="n">
        <f aca="false">W406-R406</f>
        <v>152.48</v>
      </c>
      <c r="Y406" s="7" t="n">
        <f aca="false">IFERROR(X406/W406,0)</f>
        <v>0.14133830167867</v>
      </c>
      <c r="Z406" s="9" t="n">
        <f aca="false">C406-B406</f>
        <v>7</v>
      </c>
      <c r="AA406" s="1" t="str">
        <f aca="false">IF(B406="","",TEXT(B406,"mmm"))</f>
        <v>Jan</v>
      </c>
      <c r="AB406" s="9" t="n">
        <f aca="false">IF(B406="","",YEAR(B406))</f>
        <v>2024</v>
      </c>
      <c r="AC406" s="3"/>
      <c r="AD406" s="3" t="str">
        <f aca="false">IF(LEFT(AC406&amp;IF(B406="","; Missing Order Date","")&amp;IF(C406="","; Missing Ship Date","")&amp;IF(P406&lt;0,"; Invalid Discount (Negative)","")&amp;IF(P406&gt;0.5,"; Invalid Discount (Too High)","")&amp;IF(Z406&lt;0,"; Invalid Shipping Record (Ship Before Order)","")&amp;IF(ABS(Q406-W406)&gt;1,"; Sales Mismatch","")&amp;IF(ABS(S406-X406)&gt;1,"; Profit Mismatch","")&amp;IF(COUNTIF($A$2:$A$913,A406)&gt;1,"; Duplicate Order ID Conflict",""),2)="; ",MID(AC406&amp;IF(B406="","; Missing Order Date","")&amp;IF(C406="","; Missing Ship Date","")&amp;IF(P406&lt;0,"; Invalid Discount (Negative)","")&amp;IF(P406&gt;0.5,"; Invalid Discount (Too High)","")&amp;IF(Z406&lt;0,"; Invalid Shipping Record (Ship Before Order)","")&amp;IF(ABS(Q406-W406)&gt;1,"; Sales Mismatch","")&amp;IF(ABS(S406-X406)&gt;1,"; Profit Mismatch","")&amp;IF(COUNTIF($A$2:$A$913,A406)&gt;1,"; Duplicate Order ID Conflict",""),3,500),AC406&amp;IF(B406="","; Missing Order Date","")&amp;IF(C406="","; Missing Ship Date","")&amp;IF(P406&lt;0,"; Invalid Discount (Negative)","")&amp;IF(P406&gt;0.5,"; Invalid Discount (Too High)","")&amp;IF(Z406&lt;0,"; Invalid Shipping Record (Ship Before Order)","")&amp;IF(ABS(Q406-W406)&gt;1,"; Sales Mismatch","")&amp;IF(ABS(S406-X406)&gt;1,"; Profit Mismatch","")&amp;IF(COUNTIF($A$2:$A$913,A406)&gt;1,"; Duplicate Order ID Conflict",""))</f>
        <v/>
      </c>
      <c r="AE406" s="10" t="str">
        <f aca="false">IF(OR(ISNUMBER(SEARCH("Invalid Discount",AD406)),ISNUMBER(SEARCH("Invalid Shipping Record",AD406)),ISNUMBER(SEARCH("Sales Mismatch",AD406)),ISNUMBER(SEARCH("Profit Mismatch",AD406)),ISNUMBER(SEARCH("Duplicate Order ID Conflict",AD406)),ISNUMBER(SEARCH("Missing Order Date",AD406)),ISNUMBER(SEARCH("Missing Ship Date",AD406))),"Invalid",IF(AD406&lt;&gt;"","Warning","Clean"))</f>
        <v>Clean</v>
      </c>
    </row>
    <row r="407" customFormat="false" ht="15" hidden="false" customHeight="true" outlineLevel="0" collapsed="false">
      <c r="A407" s="3" t="s">
        <v>1239</v>
      </c>
      <c r="B407" s="4" t="n">
        <v>45558</v>
      </c>
      <c r="C407" s="4" t="n">
        <v>45559</v>
      </c>
      <c r="D407" s="3" t="s">
        <v>1240</v>
      </c>
      <c r="E407" s="3" t="str">
        <f aca="false">PROPER(TRIM(SUBSTITUTE(Raw_Text_Fields!B408,CHAR(160)," ")))</f>
        <v>Aditi Sen</v>
      </c>
      <c r="F407" s="3" t="str">
        <f aca="false">PROPER(TRIM(SUBSTITUTE(Raw_Text_Fields!C408,CHAR(160)," ")))</f>
        <v>Home Office</v>
      </c>
      <c r="G407" s="3" t="str">
        <f aca="false">PROPER(TRIM(SUBSTITUTE(Raw_Text_Fields!D408,CHAR(160)," ")))</f>
        <v>West</v>
      </c>
      <c r="H407" s="3" t="str">
        <f aca="false">PROPER(TRIM(SUBSTITUTE(Raw_Text_Fields!E408,CHAR(160)," ")))</f>
        <v>Gujarat</v>
      </c>
      <c r="I407" s="3" t="str">
        <f aca="false">PROPER(TRIM(SUBSTITUTE(Raw_Text_Fields!F408,CHAR(160)," ")))</f>
        <v>Ahmedabad</v>
      </c>
      <c r="J407" s="3" t="str">
        <f aca="false">PROPER(TRIM(SUBSTITUTE(Raw_Text_Fields!G408,CHAR(160)," ")))</f>
        <v>Furniture</v>
      </c>
      <c r="K407" s="3" t="str">
        <f aca="false">PROPER(TRIM(SUBSTITUTE(Raw_Text_Fields!H408,CHAR(160)," ")))</f>
        <v>Bookcases</v>
      </c>
      <c r="L407" s="3" t="s">
        <v>1241</v>
      </c>
      <c r="M407" s="3" t="str">
        <f aca="false">PROPER(TRIM(SUBSTITUTE(Raw_Text_Fields!I408,CHAR(160)," ")))</f>
        <v>Unknown</v>
      </c>
      <c r="N407" s="3" t="n">
        <v>7</v>
      </c>
      <c r="O407" s="5" t="n">
        <v>3878.01</v>
      </c>
      <c r="P407" s="6" t="n">
        <v>0.1</v>
      </c>
      <c r="Q407" s="5" t="n">
        <v>24431.46</v>
      </c>
      <c r="R407" s="5" t="n">
        <v>18202.36</v>
      </c>
      <c r="S407" s="5" t="n">
        <v>6229.1</v>
      </c>
      <c r="T407" s="3" t="str">
        <f aca="false">PROPER(TRIM(SUBSTITUTE(Raw_Text_Fields!J408,CHAR(160)," ")))</f>
        <v>Paid</v>
      </c>
      <c r="U407" s="3" t="str">
        <f aca="false">PROPER(TRIM(SUBSTITUTE(Raw_Text_Fields!K408,CHAR(160)," ")))</f>
        <v>Completed</v>
      </c>
      <c r="V407" s="7" t="n">
        <f aca="false">IF(OR(P407&lt;0,P407&gt;0.5),0,P407)</f>
        <v>0.1</v>
      </c>
      <c r="W407" s="8" t="n">
        <f aca="false">N407*O407*(1-V407)</f>
        <v>24431.463</v>
      </c>
      <c r="X407" s="8" t="n">
        <f aca="false">W407-R407</f>
        <v>6229.103</v>
      </c>
      <c r="Y407" s="7" t="n">
        <f aca="false">IFERROR(X407/W407,0)</f>
        <v>0.254962340978107</v>
      </c>
      <c r="Z407" s="9" t="n">
        <f aca="false">C407-B407</f>
        <v>1</v>
      </c>
      <c r="AA407" s="1" t="str">
        <f aca="false">IF(B407="","",TEXT(B407,"mmm"))</f>
        <v>Sep</v>
      </c>
      <c r="AB407" s="9" t="n">
        <f aca="false">IF(B407="","",YEAR(B407))</f>
        <v>2024</v>
      </c>
      <c r="AC407" s="3" t="s">
        <v>137</v>
      </c>
      <c r="AD407" s="3" t="str">
        <f aca="false">IF(LEFT(AC407&amp;IF(B407="","; Missing Order Date","")&amp;IF(C407="","; Missing Ship Date","")&amp;IF(P407&lt;0,"; Invalid Discount (Negative)","")&amp;IF(P407&gt;0.5,"; Invalid Discount (Too High)","")&amp;IF(Z407&lt;0,"; Invalid Shipping Record (Ship Before Order)","")&amp;IF(ABS(Q407-W407)&gt;1,"; Sales Mismatch","")&amp;IF(ABS(S407-X407)&gt;1,"; Profit Mismatch","")&amp;IF(COUNTIF($A$2:$A$913,A407)&gt;1,"; Duplicate Order ID Conflict",""),2)="; ",MID(AC407&amp;IF(B407="","; Missing Order Date","")&amp;IF(C407="","; Missing Ship Date","")&amp;IF(P407&lt;0,"; Invalid Discount (Negative)","")&amp;IF(P407&gt;0.5,"; Invalid Discount (Too High)","")&amp;IF(Z407&lt;0,"; Invalid Shipping Record (Ship Before Order)","")&amp;IF(ABS(Q407-W407)&gt;1,"; Sales Mismatch","")&amp;IF(ABS(S407-X407)&gt;1,"; Profit Mismatch","")&amp;IF(COUNTIF($A$2:$A$913,A407)&gt;1,"; Duplicate Order ID Conflict",""),3,500),AC407&amp;IF(B407="","; Missing Order Date","")&amp;IF(C407="","; Missing Ship Date","")&amp;IF(P407&lt;0,"; Invalid Discount (Negative)","")&amp;IF(P407&gt;0.5,"; Invalid Discount (Too High)","")&amp;IF(Z407&lt;0,"; Invalid Shipping Record (Ship Before Order)","")&amp;IF(ABS(Q407-W407)&gt;1,"; Sales Mismatch","")&amp;IF(ABS(S407-X407)&gt;1,"; Profit Mismatch","")&amp;IF(COUNTIF($A$2:$A$913,A407)&gt;1,"; Duplicate Order ID Conflict",""))</f>
        <v>Missing Ship Mode (filled Unknown)</v>
      </c>
      <c r="AE407" s="10" t="str">
        <f aca="false">IF(OR(ISNUMBER(SEARCH("Invalid Discount",AD407)),ISNUMBER(SEARCH("Invalid Shipping Record",AD407)),ISNUMBER(SEARCH("Sales Mismatch",AD407)),ISNUMBER(SEARCH("Profit Mismatch",AD407)),ISNUMBER(SEARCH("Duplicate Order ID Conflict",AD407)),ISNUMBER(SEARCH("Missing Order Date",AD407)),ISNUMBER(SEARCH("Missing Ship Date",AD407))),"Invalid",IF(AD407&lt;&gt;"","Warning","Clean"))</f>
        <v>Warning</v>
      </c>
    </row>
    <row r="408" customFormat="false" ht="15" hidden="false" customHeight="true" outlineLevel="0" collapsed="false">
      <c r="A408" s="3" t="s">
        <v>1242</v>
      </c>
      <c r="B408" s="4" t="n">
        <v>45713</v>
      </c>
      <c r="C408" s="4" t="n">
        <v>45713</v>
      </c>
      <c r="D408" s="3" t="s">
        <v>1243</v>
      </c>
      <c r="E408" s="3" t="str">
        <f aca="false">PROPER(TRIM(SUBSTITUTE(Raw_Text_Fields!B409,CHAR(160)," ")))</f>
        <v>Kabir Singh</v>
      </c>
      <c r="F408" s="3" t="str">
        <f aca="false">PROPER(TRIM(SUBSTITUTE(Raw_Text_Fields!C409,CHAR(160)," ")))</f>
        <v>Small Business</v>
      </c>
      <c r="G408" s="3" t="str">
        <f aca="false">PROPER(TRIM(SUBSTITUTE(Raw_Text_Fields!D409,CHAR(160)," ")))</f>
        <v>West</v>
      </c>
      <c r="H408" s="3" t="str">
        <f aca="false">PROPER(TRIM(SUBSTITUTE(Raw_Text_Fields!E409,CHAR(160)," ")))</f>
        <v>Goa</v>
      </c>
      <c r="I408" s="3" t="str">
        <f aca="false">PROPER(TRIM(SUBSTITUTE(Raw_Text_Fields!F409,CHAR(160)," ")))</f>
        <v>Panaji</v>
      </c>
      <c r="J408" s="3" t="str">
        <f aca="false">PROPER(TRIM(SUBSTITUTE(Raw_Text_Fields!G409,CHAR(160)," ")))</f>
        <v>Furniture</v>
      </c>
      <c r="K408" s="3" t="str">
        <f aca="false">PROPER(TRIM(SUBSTITUTE(Raw_Text_Fields!H409,CHAR(160)," ")))</f>
        <v>Furnishings</v>
      </c>
      <c r="L408" s="3" t="s">
        <v>1244</v>
      </c>
      <c r="M408" s="3" t="str">
        <f aca="false">PROPER(TRIM(SUBSTITUTE(Raw_Text_Fields!I409,CHAR(160)," ")))</f>
        <v>Standard Class</v>
      </c>
      <c r="N408" s="3" t="n">
        <v>2</v>
      </c>
      <c r="O408" s="5" t="n">
        <v>3924.2</v>
      </c>
      <c r="P408" s="6" t="n">
        <v>0.25</v>
      </c>
      <c r="Q408" s="5" t="n">
        <v>5886.3</v>
      </c>
      <c r="R408" s="5" t="n">
        <v>3621.76</v>
      </c>
      <c r="S408" s="5" t="n">
        <v>2264.54</v>
      </c>
      <c r="T408" s="3" t="str">
        <f aca="false">PROPER(TRIM(SUBSTITUTE(Raw_Text_Fields!J409,CHAR(160)," ")))</f>
        <v>Pending</v>
      </c>
      <c r="U408" s="3" t="str">
        <f aca="false">PROPER(TRIM(SUBSTITUTE(Raw_Text_Fields!K409,CHAR(160)," ")))</f>
        <v>Returned</v>
      </c>
      <c r="V408" s="7" t="n">
        <f aca="false">IF(OR(P408&lt;0,P408&gt;0.5),0,P408)</f>
        <v>0.25</v>
      </c>
      <c r="W408" s="8" t="n">
        <f aca="false">N408*O408*(1-V408)</f>
        <v>5886.3</v>
      </c>
      <c r="X408" s="8" t="n">
        <f aca="false">W408-R408</f>
        <v>2264.54</v>
      </c>
      <c r="Y408" s="7" t="n">
        <f aca="false">IFERROR(X408/W408,0)</f>
        <v>0.384713657136062</v>
      </c>
      <c r="Z408" s="9" t="n">
        <f aca="false">C408-B408</f>
        <v>0</v>
      </c>
      <c r="AA408" s="1" t="str">
        <f aca="false">IF(B408="","",TEXT(B408,"mmm"))</f>
        <v>Feb</v>
      </c>
      <c r="AB408" s="9" t="n">
        <f aca="false">IF(B408="","",YEAR(B408))</f>
        <v>2025</v>
      </c>
      <c r="AC408" s="3"/>
      <c r="AD408" s="3" t="str">
        <f aca="false">IF(LEFT(AC408&amp;IF(B408="","; Missing Order Date","")&amp;IF(C408="","; Missing Ship Date","")&amp;IF(P408&lt;0,"; Invalid Discount (Negative)","")&amp;IF(P408&gt;0.5,"; Invalid Discount (Too High)","")&amp;IF(Z408&lt;0,"; Invalid Shipping Record (Ship Before Order)","")&amp;IF(ABS(Q408-W408)&gt;1,"; Sales Mismatch","")&amp;IF(ABS(S408-X408)&gt;1,"; Profit Mismatch","")&amp;IF(COUNTIF($A$2:$A$913,A408)&gt;1,"; Duplicate Order ID Conflict",""),2)="; ",MID(AC408&amp;IF(B408="","; Missing Order Date","")&amp;IF(C408="","; Missing Ship Date","")&amp;IF(P408&lt;0,"; Invalid Discount (Negative)","")&amp;IF(P408&gt;0.5,"; Invalid Discount (Too High)","")&amp;IF(Z408&lt;0,"; Invalid Shipping Record (Ship Before Order)","")&amp;IF(ABS(Q408-W408)&gt;1,"; Sales Mismatch","")&amp;IF(ABS(S408-X408)&gt;1,"; Profit Mismatch","")&amp;IF(COUNTIF($A$2:$A$913,A408)&gt;1,"; Duplicate Order ID Conflict",""),3,500),AC408&amp;IF(B408="","; Missing Order Date","")&amp;IF(C408="","; Missing Ship Date","")&amp;IF(P408&lt;0,"; Invalid Discount (Negative)","")&amp;IF(P408&gt;0.5,"; Invalid Discount (Too High)","")&amp;IF(Z408&lt;0,"; Invalid Shipping Record (Ship Before Order)","")&amp;IF(ABS(Q408-W408)&gt;1,"; Sales Mismatch","")&amp;IF(ABS(S408-X408)&gt;1,"; Profit Mismatch","")&amp;IF(COUNTIF($A$2:$A$913,A408)&gt;1,"; Duplicate Order ID Conflict",""))</f>
        <v/>
      </c>
      <c r="AE408" s="10" t="str">
        <f aca="false">IF(OR(ISNUMBER(SEARCH("Invalid Discount",AD408)),ISNUMBER(SEARCH("Invalid Shipping Record",AD408)),ISNUMBER(SEARCH("Sales Mismatch",AD408)),ISNUMBER(SEARCH("Profit Mismatch",AD408)),ISNUMBER(SEARCH("Duplicate Order ID Conflict",AD408)),ISNUMBER(SEARCH("Missing Order Date",AD408)),ISNUMBER(SEARCH("Missing Ship Date",AD408))),"Invalid",IF(AD408&lt;&gt;"","Warning","Clean"))</f>
        <v>Clean</v>
      </c>
    </row>
    <row r="409" customFormat="false" ht="15" hidden="false" customHeight="true" outlineLevel="0" collapsed="false">
      <c r="A409" s="3" t="s">
        <v>1245</v>
      </c>
      <c r="B409" s="4" t="n">
        <v>45424</v>
      </c>
      <c r="C409" s="4" t="n">
        <v>45425</v>
      </c>
      <c r="D409" s="3" t="s">
        <v>1246</v>
      </c>
      <c r="E409" s="3" t="str">
        <f aca="false">PROPER(TRIM(SUBSTITUTE(Raw_Text_Fields!B410,CHAR(160)," ")))</f>
        <v>Rahul Verma</v>
      </c>
      <c r="F409" s="3" t="str">
        <f aca="false">PROPER(TRIM(SUBSTITUTE(Raw_Text_Fields!C410,CHAR(160)," ")))</f>
        <v>Corporate</v>
      </c>
      <c r="G409" s="3" t="str">
        <f aca="false">PROPER(TRIM(SUBSTITUTE(Raw_Text_Fields!D410,CHAR(160)," ")))</f>
        <v>West</v>
      </c>
      <c r="H409" s="3" t="str">
        <f aca="false">PROPER(TRIM(SUBSTITUTE(Raw_Text_Fields!E410,CHAR(160)," ")))</f>
        <v>Goa</v>
      </c>
      <c r="I409" s="3" t="str">
        <f aca="false">PROPER(TRIM(SUBSTITUTE(Raw_Text_Fields!F410,CHAR(160)," ")))</f>
        <v>Panaji</v>
      </c>
      <c r="J409" s="3" t="str">
        <f aca="false">PROPER(TRIM(SUBSTITUTE(Raw_Text_Fields!G410,CHAR(160)," ")))</f>
        <v>Office Supplies</v>
      </c>
      <c r="K409" s="3" t="str">
        <f aca="false">PROPER(TRIM(SUBSTITUTE(Raw_Text_Fields!H410,CHAR(160)," ")))</f>
        <v>Labels</v>
      </c>
      <c r="L409" s="3" t="s">
        <v>1247</v>
      </c>
      <c r="M409" s="3" t="str">
        <f aca="false">PROPER(TRIM(SUBSTITUTE(Raw_Text_Fields!I410,CHAR(160)," ")))</f>
        <v>Second Class</v>
      </c>
      <c r="N409" s="3" t="n">
        <v>3</v>
      </c>
      <c r="O409" s="5" t="n">
        <v>2644.55</v>
      </c>
      <c r="P409" s="6" t="n">
        <v>0</v>
      </c>
      <c r="Q409" s="5" t="n">
        <v>7933.65</v>
      </c>
      <c r="R409" s="5" t="n">
        <v>5698.42</v>
      </c>
      <c r="S409" s="5" t="n">
        <v>2235.23</v>
      </c>
      <c r="T409" s="3" t="str">
        <f aca="false">PROPER(TRIM(SUBSTITUTE(Raw_Text_Fields!J410,CHAR(160)," ")))</f>
        <v>Paid</v>
      </c>
      <c r="U409" s="3" t="str">
        <f aca="false">PROPER(TRIM(SUBSTITUTE(Raw_Text_Fields!K410,CHAR(160)," ")))</f>
        <v>Completed</v>
      </c>
      <c r="V409" s="7" t="n">
        <f aca="false">IF(OR(P409&lt;0,P409&gt;0.5),0,P409)</f>
        <v>0</v>
      </c>
      <c r="W409" s="8" t="n">
        <f aca="false">N409*O409*(1-V409)</f>
        <v>7933.65</v>
      </c>
      <c r="X409" s="8" t="n">
        <f aca="false">W409-R409</f>
        <v>2235.23</v>
      </c>
      <c r="Y409" s="7" t="n">
        <f aca="false">IFERROR(X409/W409,0)</f>
        <v>0.281740434730547</v>
      </c>
      <c r="Z409" s="9" t="n">
        <f aca="false">C409-B409</f>
        <v>1</v>
      </c>
      <c r="AA409" s="1" t="str">
        <f aca="false">IF(B409="","",TEXT(B409,"mmm"))</f>
        <v>May</v>
      </c>
      <c r="AB409" s="9" t="n">
        <f aca="false">IF(B409="","",YEAR(B409))</f>
        <v>2024</v>
      </c>
      <c r="AC409" s="3"/>
      <c r="AD409" s="3" t="str">
        <f aca="false">IF(LEFT(AC409&amp;IF(B409="","; Missing Order Date","")&amp;IF(C409="","; Missing Ship Date","")&amp;IF(P409&lt;0,"; Invalid Discount (Negative)","")&amp;IF(P409&gt;0.5,"; Invalid Discount (Too High)","")&amp;IF(Z409&lt;0,"; Invalid Shipping Record (Ship Before Order)","")&amp;IF(ABS(Q409-W409)&gt;1,"; Sales Mismatch","")&amp;IF(ABS(S409-X409)&gt;1,"; Profit Mismatch","")&amp;IF(COUNTIF($A$2:$A$913,A409)&gt;1,"; Duplicate Order ID Conflict",""),2)="; ",MID(AC409&amp;IF(B409="","; Missing Order Date","")&amp;IF(C409="","; Missing Ship Date","")&amp;IF(P409&lt;0,"; Invalid Discount (Negative)","")&amp;IF(P409&gt;0.5,"; Invalid Discount (Too High)","")&amp;IF(Z409&lt;0,"; Invalid Shipping Record (Ship Before Order)","")&amp;IF(ABS(Q409-W409)&gt;1,"; Sales Mismatch","")&amp;IF(ABS(S409-X409)&gt;1,"; Profit Mismatch","")&amp;IF(COUNTIF($A$2:$A$913,A409)&gt;1,"; Duplicate Order ID Conflict",""),3,500),AC409&amp;IF(B409="","; Missing Order Date","")&amp;IF(C409="","; Missing Ship Date","")&amp;IF(P409&lt;0,"; Invalid Discount (Negative)","")&amp;IF(P409&gt;0.5,"; Invalid Discount (Too High)","")&amp;IF(Z409&lt;0,"; Invalid Shipping Record (Ship Before Order)","")&amp;IF(ABS(Q409-W409)&gt;1,"; Sales Mismatch","")&amp;IF(ABS(S409-X409)&gt;1,"; Profit Mismatch","")&amp;IF(COUNTIF($A$2:$A$913,A409)&gt;1,"; Duplicate Order ID Conflict",""))</f>
        <v/>
      </c>
      <c r="AE409" s="10" t="str">
        <f aca="false">IF(OR(ISNUMBER(SEARCH("Invalid Discount",AD409)),ISNUMBER(SEARCH("Invalid Shipping Record",AD409)),ISNUMBER(SEARCH("Sales Mismatch",AD409)),ISNUMBER(SEARCH("Profit Mismatch",AD409)),ISNUMBER(SEARCH("Duplicate Order ID Conflict",AD409)),ISNUMBER(SEARCH("Missing Order Date",AD409)),ISNUMBER(SEARCH("Missing Ship Date",AD409))),"Invalid",IF(AD409&lt;&gt;"","Warning","Clean"))</f>
        <v>Clean</v>
      </c>
    </row>
    <row r="410" customFormat="false" ht="15" hidden="false" customHeight="true" outlineLevel="0" collapsed="false">
      <c r="A410" s="3" t="s">
        <v>1248</v>
      </c>
      <c r="B410" s="4" t="n">
        <v>45870</v>
      </c>
      <c r="C410" s="4" t="n">
        <v>45872</v>
      </c>
      <c r="D410" s="3" t="s">
        <v>1249</v>
      </c>
      <c r="E410" s="3" t="str">
        <f aca="false">PROPER(TRIM(SUBSTITUTE(Raw_Text_Fields!B411,CHAR(160)," ")))</f>
        <v>Sneha Kapoor</v>
      </c>
      <c r="F410" s="3" t="str">
        <f aca="false">PROPER(TRIM(SUBSTITUTE(Raw_Text_Fields!C411,CHAR(160)," ")))</f>
        <v>Consumer</v>
      </c>
      <c r="G410" s="3" t="str">
        <f aca="false">PROPER(TRIM(SUBSTITUTE(Raw_Text_Fields!D411,CHAR(160)," ")))</f>
        <v>West</v>
      </c>
      <c r="H410" s="3" t="str">
        <f aca="false">PROPER(TRIM(SUBSTITUTE(Raw_Text_Fields!E411,CHAR(160)," ")))</f>
        <v>Maharashtra</v>
      </c>
      <c r="I410" s="3" t="str">
        <f aca="false">PROPER(TRIM(SUBSTITUTE(Raw_Text_Fields!F411,CHAR(160)," ")))</f>
        <v>Mumbai</v>
      </c>
      <c r="J410" s="3" t="str">
        <f aca="false">PROPER(TRIM(SUBSTITUTE(Raw_Text_Fields!G411,CHAR(160)," ")))</f>
        <v>Furniture</v>
      </c>
      <c r="K410" s="3" t="str">
        <f aca="false">PROPER(TRIM(SUBSTITUTE(Raw_Text_Fields!H411,CHAR(160)," ")))</f>
        <v>Chairs</v>
      </c>
      <c r="L410" s="3" t="s">
        <v>1250</v>
      </c>
      <c r="M410" s="3" t="str">
        <f aca="false">PROPER(TRIM(SUBSTITUTE(Raw_Text_Fields!I411,CHAR(160)," ")))</f>
        <v>First Class</v>
      </c>
      <c r="N410" s="3" t="n">
        <v>4</v>
      </c>
      <c r="O410" s="5" t="n">
        <v>1773.46</v>
      </c>
      <c r="P410" s="6" t="n">
        <v>0</v>
      </c>
      <c r="Q410" s="5" t="n">
        <v>7093.84</v>
      </c>
      <c r="R410" s="5" t="n">
        <v>4587.49</v>
      </c>
      <c r="S410" s="5" t="n">
        <v>2506.35</v>
      </c>
      <c r="T410" s="3" t="str">
        <f aca="false">PROPER(TRIM(SUBSTITUTE(Raw_Text_Fields!J411,CHAR(160)," ")))</f>
        <v>Failed</v>
      </c>
      <c r="U410" s="3" t="str">
        <f aca="false">PROPER(TRIM(SUBSTITUTE(Raw_Text_Fields!K411,CHAR(160)," ")))</f>
        <v>Returned</v>
      </c>
      <c r="V410" s="7" t="n">
        <f aca="false">IF(OR(P410&lt;0,P410&gt;0.5),0,P410)</f>
        <v>0</v>
      </c>
      <c r="W410" s="8" t="n">
        <f aca="false">N410*O410*(1-V410)</f>
        <v>7093.84</v>
      </c>
      <c r="X410" s="8" t="n">
        <f aca="false">W410-R410</f>
        <v>2506.35</v>
      </c>
      <c r="Y410" s="7" t="n">
        <f aca="false">IFERROR(X410/W410,0)</f>
        <v>0.353313579105252</v>
      </c>
      <c r="Z410" s="9" t="n">
        <f aca="false">C410-B410</f>
        <v>2</v>
      </c>
      <c r="AA410" s="1" t="str">
        <f aca="false">IF(B410="","",TEXT(B410,"mmm"))</f>
        <v>Aug</v>
      </c>
      <c r="AB410" s="9" t="n">
        <f aca="false">IF(B410="","",YEAR(B410))</f>
        <v>2025</v>
      </c>
      <c r="AC410" s="3"/>
      <c r="AD410" s="3" t="str">
        <f aca="false">IF(LEFT(AC410&amp;IF(B410="","; Missing Order Date","")&amp;IF(C410="","; Missing Ship Date","")&amp;IF(P410&lt;0,"; Invalid Discount (Negative)","")&amp;IF(P410&gt;0.5,"; Invalid Discount (Too High)","")&amp;IF(Z410&lt;0,"; Invalid Shipping Record (Ship Before Order)","")&amp;IF(ABS(Q410-W410)&gt;1,"; Sales Mismatch","")&amp;IF(ABS(S410-X410)&gt;1,"; Profit Mismatch","")&amp;IF(COUNTIF($A$2:$A$913,A410)&gt;1,"; Duplicate Order ID Conflict",""),2)="; ",MID(AC410&amp;IF(B410="","; Missing Order Date","")&amp;IF(C410="","; Missing Ship Date","")&amp;IF(P410&lt;0,"; Invalid Discount (Negative)","")&amp;IF(P410&gt;0.5,"; Invalid Discount (Too High)","")&amp;IF(Z410&lt;0,"; Invalid Shipping Record (Ship Before Order)","")&amp;IF(ABS(Q410-W410)&gt;1,"; Sales Mismatch","")&amp;IF(ABS(S410-X410)&gt;1,"; Profit Mismatch","")&amp;IF(COUNTIF($A$2:$A$913,A410)&gt;1,"; Duplicate Order ID Conflict",""),3,500),AC410&amp;IF(B410="","; Missing Order Date","")&amp;IF(C410="","; Missing Ship Date","")&amp;IF(P410&lt;0,"; Invalid Discount (Negative)","")&amp;IF(P410&gt;0.5,"; Invalid Discount (Too High)","")&amp;IF(Z410&lt;0,"; Invalid Shipping Record (Ship Before Order)","")&amp;IF(ABS(Q410-W410)&gt;1,"; Sales Mismatch","")&amp;IF(ABS(S410-X410)&gt;1,"; Profit Mismatch","")&amp;IF(COUNTIF($A$2:$A$913,A410)&gt;1,"; Duplicate Order ID Conflict",""))</f>
        <v/>
      </c>
      <c r="AE410" s="10" t="str">
        <f aca="false">IF(OR(ISNUMBER(SEARCH("Invalid Discount",AD410)),ISNUMBER(SEARCH("Invalid Shipping Record",AD410)),ISNUMBER(SEARCH("Sales Mismatch",AD410)),ISNUMBER(SEARCH("Profit Mismatch",AD410)),ISNUMBER(SEARCH("Duplicate Order ID Conflict",AD410)),ISNUMBER(SEARCH("Missing Order Date",AD410)),ISNUMBER(SEARCH("Missing Ship Date",AD410))),"Invalid",IF(AD410&lt;&gt;"","Warning","Clean"))</f>
        <v>Clean</v>
      </c>
    </row>
    <row r="411" customFormat="false" ht="15" hidden="false" customHeight="true" outlineLevel="0" collapsed="false">
      <c r="A411" s="3" t="s">
        <v>1251</v>
      </c>
      <c r="B411" s="4" t="n">
        <v>45701</v>
      </c>
      <c r="C411" s="4" t="n">
        <v>45703</v>
      </c>
      <c r="D411" s="3" t="s">
        <v>1252</v>
      </c>
      <c r="E411" s="3" t="str">
        <f aca="false">PROPER(TRIM(SUBSTITUTE(Raw_Text_Fields!B412,CHAR(160)," ")))</f>
        <v>Karan Malhotra</v>
      </c>
      <c r="F411" s="3" t="str">
        <f aca="false">PROPER(TRIM(SUBSTITUTE(Raw_Text_Fields!C412,CHAR(160)," ")))</f>
        <v>Consumer</v>
      </c>
      <c r="G411" s="3" t="str">
        <f aca="false">PROPER(TRIM(SUBSTITUTE(Raw_Text_Fields!D412,CHAR(160)," ")))</f>
        <v>East</v>
      </c>
      <c r="H411" s="3" t="str">
        <f aca="false">PROPER(TRIM(SUBSTITUTE(Raw_Text_Fields!E412,CHAR(160)," ")))</f>
        <v>Assam</v>
      </c>
      <c r="I411" s="3" t="str">
        <f aca="false">PROPER(TRIM(SUBSTITUTE(Raw_Text_Fields!F412,CHAR(160)," ")))</f>
        <v>Guwahati</v>
      </c>
      <c r="J411" s="3" t="str">
        <f aca="false">PROPER(TRIM(SUBSTITUTE(Raw_Text_Fields!G412,CHAR(160)," ")))</f>
        <v>Technology</v>
      </c>
      <c r="K411" s="3" t="str">
        <f aca="false">PROPER(TRIM(SUBSTITUTE(Raw_Text_Fields!H412,CHAR(160)," ")))</f>
        <v>Accessories</v>
      </c>
      <c r="L411" s="3" t="s">
        <v>1253</v>
      </c>
      <c r="M411" s="3" t="str">
        <f aca="false">PROPER(TRIM(SUBSTITUTE(Raw_Text_Fields!I412,CHAR(160)," ")))</f>
        <v>Same Day</v>
      </c>
      <c r="N411" s="3" t="n">
        <v>1</v>
      </c>
      <c r="O411" s="5" t="n">
        <v>3025.46</v>
      </c>
      <c r="P411" s="6" t="n">
        <v>0.25</v>
      </c>
      <c r="Q411" s="5" t="n">
        <v>2269.1</v>
      </c>
      <c r="R411" s="5" t="n">
        <v>1593.59</v>
      </c>
      <c r="S411" s="5" t="n">
        <v>675.51</v>
      </c>
      <c r="T411" s="3" t="str">
        <f aca="false">PROPER(TRIM(SUBSTITUTE(Raw_Text_Fields!J412,CHAR(160)," ")))</f>
        <v>Refunded</v>
      </c>
      <c r="U411" s="3" t="str">
        <f aca="false">PROPER(TRIM(SUBSTITUTE(Raw_Text_Fields!K412,CHAR(160)," ")))</f>
        <v>Returned</v>
      </c>
      <c r="V411" s="7" t="n">
        <f aca="false">IF(OR(P411&lt;0,P411&gt;0.5),0,P411)</f>
        <v>0.25</v>
      </c>
      <c r="W411" s="8" t="n">
        <f aca="false">N411*O411*(1-V411)</f>
        <v>2269.095</v>
      </c>
      <c r="X411" s="8" t="n">
        <f aca="false">W411-R411</f>
        <v>675.505</v>
      </c>
      <c r="Y411" s="7" t="n">
        <f aca="false">IFERROR(X411/W411,0)</f>
        <v>0.297697980913095</v>
      </c>
      <c r="Z411" s="9" t="n">
        <f aca="false">C411-B411</f>
        <v>2</v>
      </c>
      <c r="AA411" s="1" t="str">
        <f aca="false">IF(B411="","",TEXT(B411,"mmm"))</f>
        <v>Feb</v>
      </c>
      <c r="AB411" s="9" t="n">
        <f aca="false">IF(B411="","",YEAR(B411))</f>
        <v>2025</v>
      </c>
      <c r="AC411" s="3"/>
      <c r="AD411" s="3" t="str">
        <f aca="false">IF(LEFT(AC411&amp;IF(B411="","; Missing Order Date","")&amp;IF(C411="","; Missing Ship Date","")&amp;IF(P411&lt;0,"; Invalid Discount (Negative)","")&amp;IF(P411&gt;0.5,"; Invalid Discount (Too High)","")&amp;IF(Z411&lt;0,"; Invalid Shipping Record (Ship Before Order)","")&amp;IF(ABS(Q411-W411)&gt;1,"; Sales Mismatch","")&amp;IF(ABS(S411-X411)&gt;1,"; Profit Mismatch","")&amp;IF(COUNTIF($A$2:$A$913,A411)&gt;1,"; Duplicate Order ID Conflict",""),2)="; ",MID(AC411&amp;IF(B411="","; Missing Order Date","")&amp;IF(C411="","; Missing Ship Date","")&amp;IF(P411&lt;0,"; Invalid Discount (Negative)","")&amp;IF(P411&gt;0.5,"; Invalid Discount (Too High)","")&amp;IF(Z411&lt;0,"; Invalid Shipping Record (Ship Before Order)","")&amp;IF(ABS(Q411-W411)&gt;1,"; Sales Mismatch","")&amp;IF(ABS(S411-X411)&gt;1,"; Profit Mismatch","")&amp;IF(COUNTIF($A$2:$A$913,A411)&gt;1,"; Duplicate Order ID Conflict",""),3,500),AC411&amp;IF(B411="","; Missing Order Date","")&amp;IF(C411="","; Missing Ship Date","")&amp;IF(P411&lt;0,"; Invalid Discount (Negative)","")&amp;IF(P411&gt;0.5,"; Invalid Discount (Too High)","")&amp;IF(Z411&lt;0,"; Invalid Shipping Record (Ship Before Order)","")&amp;IF(ABS(Q411-W411)&gt;1,"; Sales Mismatch","")&amp;IF(ABS(S411-X411)&gt;1,"; Profit Mismatch","")&amp;IF(COUNTIF($A$2:$A$913,A411)&gt;1,"; Duplicate Order ID Conflict",""))</f>
        <v/>
      </c>
      <c r="AE411" s="10" t="str">
        <f aca="false">IF(OR(ISNUMBER(SEARCH("Invalid Discount",AD411)),ISNUMBER(SEARCH("Invalid Shipping Record",AD411)),ISNUMBER(SEARCH("Sales Mismatch",AD411)),ISNUMBER(SEARCH("Profit Mismatch",AD411)),ISNUMBER(SEARCH("Duplicate Order ID Conflict",AD411)),ISNUMBER(SEARCH("Missing Order Date",AD411)),ISNUMBER(SEARCH("Missing Ship Date",AD411))),"Invalid",IF(AD411&lt;&gt;"","Warning","Clean"))</f>
        <v>Clean</v>
      </c>
    </row>
    <row r="412" customFormat="false" ht="15" hidden="false" customHeight="true" outlineLevel="0" collapsed="false">
      <c r="A412" s="3" t="s">
        <v>1254</v>
      </c>
      <c r="B412" s="4" t="n">
        <v>45394</v>
      </c>
      <c r="C412" s="4" t="n">
        <v>45402</v>
      </c>
      <c r="D412" s="3" t="s">
        <v>1255</v>
      </c>
      <c r="E412" s="3" t="str">
        <f aca="false">PROPER(TRIM(SUBSTITUTE(Raw_Text_Fields!B413,CHAR(160)," ")))</f>
        <v>Diya Patel</v>
      </c>
      <c r="F412" s="3" t="str">
        <f aca="false">PROPER(TRIM(SUBSTITUTE(Raw_Text_Fields!C413,CHAR(160)," ")))</f>
        <v>Consumer</v>
      </c>
      <c r="G412" s="3" t="str">
        <f aca="false">PROPER(TRIM(SUBSTITUTE(Raw_Text_Fields!D413,CHAR(160)," ")))</f>
        <v>West</v>
      </c>
      <c r="H412" s="3" t="str">
        <f aca="false">PROPER(TRIM(SUBSTITUTE(Raw_Text_Fields!E413,CHAR(160)," ")))</f>
        <v>Goa</v>
      </c>
      <c r="I412" s="3" t="str">
        <f aca="false">PROPER(TRIM(SUBSTITUTE(Raw_Text_Fields!F413,CHAR(160)," ")))</f>
        <v>Panaji</v>
      </c>
      <c r="J412" s="3" t="str">
        <f aca="false">PROPER(TRIM(SUBSTITUTE(Raw_Text_Fields!G413,CHAR(160)," ")))</f>
        <v>Furniture</v>
      </c>
      <c r="K412" s="3" t="str">
        <f aca="false">PROPER(TRIM(SUBSTITUTE(Raw_Text_Fields!H413,CHAR(160)," ")))</f>
        <v>Tables</v>
      </c>
      <c r="L412" s="3" t="s">
        <v>1256</v>
      </c>
      <c r="M412" s="3" t="str">
        <f aca="false">PROPER(TRIM(SUBSTITUTE(Raw_Text_Fields!I413,CHAR(160)," ")))</f>
        <v>First Class</v>
      </c>
      <c r="N412" s="3" t="n">
        <v>9</v>
      </c>
      <c r="O412" s="5" t="n">
        <v>1302.61</v>
      </c>
      <c r="P412" s="6" t="n">
        <v>0.2</v>
      </c>
      <c r="Q412" s="5" t="n">
        <v>9378.79</v>
      </c>
      <c r="R412" s="5" t="n">
        <v>6774.48</v>
      </c>
      <c r="S412" s="5" t="n">
        <v>2604.31</v>
      </c>
      <c r="T412" s="3" t="str">
        <f aca="false">PROPER(TRIM(SUBSTITUTE(Raw_Text_Fields!J413,CHAR(160)," ")))</f>
        <v>Paid</v>
      </c>
      <c r="U412" s="3" t="str">
        <f aca="false">PROPER(TRIM(SUBSTITUTE(Raw_Text_Fields!K413,CHAR(160)," ")))</f>
        <v>Completed</v>
      </c>
      <c r="V412" s="7" t="n">
        <f aca="false">IF(OR(P412&lt;0,P412&gt;0.5),0,P412)</f>
        <v>0.2</v>
      </c>
      <c r="W412" s="8" t="n">
        <f aca="false">N412*O412*(1-V412)</f>
        <v>9378.792</v>
      </c>
      <c r="X412" s="8" t="n">
        <f aca="false">W412-R412</f>
        <v>2604.312</v>
      </c>
      <c r="Y412" s="7" t="n">
        <f aca="false">IFERROR(X412/W412,0)</f>
        <v>0.277680963603842</v>
      </c>
      <c r="Z412" s="9" t="n">
        <f aca="false">C412-B412</f>
        <v>8</v>
      </c>
      <c r="AA412" s="1" t="str">
        <f aca="false">IF(B412="","",TEXT(B412,"mmm"))</f>
        <v>Apr</v>
      </c>
      <c r="AB412" s="9" t="n">
        <f aca="false">IF(B412="","",YEAR(B412))</f>
        <v>2024</v>
      </c>
      <c r="AC412" s="3"/>
      <c r="AD412" s="3" t="str">
        <f aca="false">IF(LEFT(AC412&amp;IF(B412="","; Missing Order Date","")&amp;IF(C412="","; Missing Ship Date","")&amp;IF(P412&lt;0,"; Invalid Discount (Negative)","")&amp;IF(P412&gt;0.5,"; Invalid Discount (Too High)","")&amp;IF(Z412&lt;0,"; Invalid Shipping Record (Ship Before Order)","")&amp;IF(ABS(Q412-W412)&gt;1,"; Sales Mismatch","")&amp;IF(ABS(S412-X412)&gt;1,"; Profit Mismatch","")&amp;IF(COUNTIF($A$2:$A$913,A412)&gt;1,"; Duplicate Order ID Conflict",""),2)="; ",MID(AC412&amp;IF(B412="","; Missing Order Date","")&amp;IF(C412="","; Missing Ship Date","")&amp;IF(P412&lt;0,"; Invalid Discount (Negative)","")&amp;IF(P412&gt;0.5,"; Invalid Discount (Too High)","")&amp;IF(Z412&lt;0,"; Invalid Shipping Record (Ship Before Order)","")&amp;IF(ABS(Q412-W412)&gt;1,"; Sales Mismatch","")&amp;IF(ABS(S412-X412)&gt;1,"; Profit Mismatch","")&amp;IF(COUNTIF($A$2:$A$913,A412)&gt;1,"; Duplicate Order ID Conflict",""),3,500),AC412&amp;IF(B412="","; Missing Order Date","")&amp;IF(C412="","; Missing Ship Date","")&amp;IF(P412&lt;0,"; Invalid Discount (Negative)","")&amp;IF(P412&gt;0.5,"; Invalid Discount (Too High)","")&amp;IF(Z412&lt;0,"; Invalid Shipping Record (Ship Before Order)","")&amp;IF(ABS(Q412-W412)&gt;1,"; Sales Mismatch","")&amp;IF(ABS(S412-X412)&gt;1,"; Profit Mismatch","")&amp;IF(COUNTIF($A$2:$A$913,A412)&gt;1,"; Duplicate Order ID Conflict",""))</f>
        <v/>
      </c>
      <c r="AE412" s="10" t="str">
        <f aca="false">IF(OR(ISNUMBER(SEARCH("Invalid Discount",AD412)),ISNUMBER(SEARCH("Invalid Shipping Record",AD412)),ISNUMBER(SEARCH("Sales Mismatch",AD412)),ISNUMBER(SEARCH("Profit Mismatch",AD412)),ISNUMBER(SEARCH("Duplicate Order ID Conflict",AD412)),ISNUMBER(SEARCH("Missing Order Date",AD412)),ISNUMBER(SEARCH("Missing Ship Date",AD412))),"Invalid",IF(AD412&lt;&gt;"","Warning","Clean"))</f>
        <v>Clean</v>
      </c>
    </row>
    <row r="413" customFormat="false" ht="15" hidden="false" customHeight="true" outlineLevel="0" collapsed="false">
      <c r="A413" s="3" t="s">
        <v>1257</v>
      </c>
      <c r="B413" s="4" t="n">
        <v>45892</v>
      </c>
      <c r="C413" s="4" t="n">
        <v>45897</v>
      </c>
      <c r="D413" s="3" t="s">
        <v>1258</v>
      </c>
      <c r="E413" s="3" t="str">
        <f aca="false">PROPER(TRIM(SUBSTITUTE(Raw_Text_Fields!B414,CHAR(160)," ")))</f>
        <v>Arjun Bose</v>
      </c>
      <c r="F413" s="3" t="str">
        <f aca="false">PROPER(TRIM(SUBSTITUTE(Raw_Text_Fields!C414,CHAR(160)," ")))</f>
        <v>Home Office</v>
      </c>
      <c r="G413" s="3" t="str">
        <f aca="false">PROPER(TRIM(SUBSTITUTE(Raw_Text_Fields!D414,CHAR(160)," ")))</f>
        <v>West</v>
      </c>
      <c r="H413" s="3" t="str">
        <f aca="false">PROPER(TRIM(SUBSTITUTE(Raw_Text_Fields!E414,CHAR(160)," ")))</f>
        <v>Rajasthan</v>
      </c>
      <c r="I413" s="3" t="str">
        <f aca="false">PROPER(TRIM(SUBSTITUTE(Raw_Text_Fields!F414,CHAR(160)," ")))</f>
        <v>Udaipur</v>
      </c>
      <c r="J413" s="3" t="str">
        <f aca="false">PROPER(TRIM(SUBSTITUTE(Raw_Text_Fields!G414,CHAR(160)," ")))</f>
        <v>Furniture</v>
      </c>
      <c r="K413" s="3" t="str">
        <f aca="false">PROPER(TRIM(SUBSTITUTE(Raw_Text_Fields!H414,CHAR(160)," ")))</f>
        <v>Tables</v>
      </c>
      <c r="L413" s="3" t="s">
        <v>1259</v>
      </c>
      <c r="M413" s="3" t="str">
        <f aca="false">PROPER(TRIM(SUBSTITUTE(Raw_Text_Fields!I414,CHAR(160)," ")))</f>
        <v>First Class</v>
      </c>
      <c r="N413" s="3" t="n">
        <v>1</v>
      </c>
      <c r="O413" s="5" t="n">
        <v>4167.81</v>
      </c>
      <c r="P413" s="6" t="n">
        <v>0.2</v>
      </c>
      <c r="Q413" s="5" t="n">
        <v>3334.25</v>
      </c>
      <c r="R413" s="5" t="n">
        <v>2768.77</v>
      </c>
      <c r="S413" s="5" t="n">
        <v>565.48</v>
      </c>
      <c r="T413" s="3" t="str">
        <f aca="false">PROPER(TRIM(SUBSTITUTE(Raw_Text_Fields!J414,CHAR(160)," ")))</f>
        <v>Failed</v>
      </c>
      <c r="U413" s="3" t="str">
        <f aca="false">PROPER(TRIM(SUBSTITUTE(Raw_Text_Fields!K414,CHAR(160)," ")))</f>
        <v>Returned</v>
      </c>
      <c r="V413" s="7" t="n">
        <f aca="false">IF(OR(P413&lt;0,P413&gt;0.5),0,P413)</f>
        <v>0.2</v>
      </c>
      <c r="W413" s="8" t="n">
        <f aca="false">N413*O413*(1-V413)</f>
        <v>3334.248</v>
      </c>
      <c r="X413" s="8" t="n">
        <f aca="false">W413-R413</f>
        <v>565.478000000001</v>
      </c>
      <c r="Y413" s="7" t="n">
        <f aca="false">IFERROR(X413/W413,0)</f>
        <v>0.169596862620897</v>
      </c>
      <c r="Z413" s="9" t="n">
        <f aca="false">C413-B413</f>
        <v>5</v>
      </c>
      <c r="AA413" s="1" t="str">
        <f aca="false">IF(B413="","",TEXT(B413,"mmm"))</f>
        <v>Aug</v>
      </c>
      <c r="AB413" s="9" t="n">
        <f aca="false">IF(B413="","",YEAR(B413))</f>
        <v>2025</v>
      </c>
      <c r="AC413" s="3"/>
      <c r="AD413" s="3" t="str">
        <f aca="false">IF(LEFT(AC413&amp;IF(B413="","; Missing Order Date","")&amp;IF(C413="","; Missing Ship Date","")&amp;IF(P413&lt;0,"; Invalid Discount (Negative)","")&amp;IF(P413&gt;0.5,"; Invalid Discount (Too High)","")&amp;IF(Z413&lt;0,"; Invalid Shipping Record (Ship Before Order)","")&amp;IF(ABS(Q413-W413)&gt;1,"; Sales Mismatch","")&amp;IF(ABS(S413-X413)&gt;1,"; Profit Mismatch","")&amp;IF(COUNTIF($A$2:$A$913,A413)&gt;1,"; Duplicate Order ID Conflict",""),2)="; ",MID(AC413&amp;IF(B413="","; Missing Order Date","")&amp;IF(C413="","; Missing Ship Date","")&amp;IF(P413&lt;0,"; Invalid Discount (Negative)","")&amp;IF(P413&gt;0.5,"; Invalid Discount (Too High)","")&amp;IF(Z413&lt;0,"; Invalid Shipping Record (Ship Before Order)","")&amp;IF(ABS(Q413-W413)&gt;1,"; Sales Mismatch","")&amp;IF(ABS(S413-X413)&gt;1,"; Profit Mismatch","")&amp;IF(COUNTIF($A$2:$A$913,A413)&gt;1,"; Duplicate Order ID Conflict",""),3,500),AC413&amp;IF(B413="","; Missing Order Date","")&amp;IF(C413="","; Missing Ship Date","")&amp;IF(P413&lt;0,"; Invalid Discount (Negative)","")&amp;IF(P413&gt;0.5,"; Invalid Discount (Too High)","")&amp;IF(Z413&lt;0,"; Invalid Shipping Record (Ship Before Order)","")&amp;IF(ABS(Q413-W413)&gt;1,"; Sales Mismatch","")&amp;IF(ABS(S413-X413)&gt;1,"; Profit Mismatch","")&amp;IF(COUNTIF($A$2:$A$913,A413)&gt;1,"; Duplicate Order ID Conflict",""))</f>
        <v/>
      </c>
      <c r="AE413" s="10" t="str">
        <f aca="false">IF(OR(ISNUMBER(SEARCH("Invalid Discount",AD413)),ISNUMBER(SEARCH("Invalid Shipping Record",AD413)),ISNUMBER(SEARCH("Sales Mismatch",AD413)),ISNUMBER(SEARCH("Profit Mismatch",AD413)),ISNUMBER(SEARCH("Duplicate Order ID Conflict",AD413)),ISNUMBER(SEARCH("Missing Order Date",AD413)),ISNUMBER(SEARCH("Missing Ship Date",AD413))),"Invalid",IF(AD413&lt;&gt;"","Warning","Clean"))</f>
        <v>Clean</v>
      </c>
    </row>
    <row r="414" customFormat="false" ht="15" hidden="false" customHeight="true" outlineLevel="0" collapsed="false">
      <c r="A414" s="3" t="s">
        <v>1260</v>
      </c>
      <c r="B414" s="4" t="n">
        <v>45313</v>
      </c>
      <c r="C414" s="4" t="n">
        <v>45321</v>
      </c>
      <c r="D414" s="3" t="s">
        <v>1261</v>
      </c>
      <c r="E414" s="3" t="str">
        <f aca="false">PROPER(TRIM(SUBSTITUTE(Raw_Text_Fields!B415,CHAR(160)," ")))</f>
        <v>Isha Nair</v>
      </c>
      <c r="F414" s="3" t="str">
        <f aca="false">PROPER(TRIM(SUBSTITUTE(Raw_Text_Fields!C415,CHAR(160)," ")))</f>
        <v>Corporate</v>
      </c>
      <c r="G414" s="3" t="str">
        <f aca="false">PROPER(TRIM(SUBSTITUTE(Raw_Text_Fields!D415,CHAR(160)," ")))</f>
        <v>South</v>
      </c>
      <c r="H414" s="3" t="str">
        <f aca="false">PROPER(TRIM(SUBSTITUTE(Raw_Text_Fields!E415,CHAR(160)," ")))</f>
        <v>Karnataka</v>
      </c>
      <c r="I414" s="3" t="str">
        <f aca="false">PROPER(TRIM(SUBSTITUTE(Raw_Text_Fields!F415,CHAR(160)," ")))</f>
        <v>Bengaluru</v>
      </c>
      <c r="J414" s="3" t="str">
        <f aca="false">PROPER(TRIM(SUBSTITUTE(Raw_Text_Fields!G415,CHAR(160)," ")))</f>
        <v>Furniture</v>
      </c>
      <c r="K414" s="3" t="str">
        <f aca="false">PROPER(TRIM(SUBSTITUTE(Raw_Text_Fields!H415,CHAR(160)," ")))</f>
        <v>Chairs</v>
      </c>
      <c r="L414" s="3" t="s">
        <v>1262</v>
      </c>
      <c r="M414" s="3" t="str">
        <f aca="false">PROPER(TRIM(SUBSTITUTE(Raw_Text_Fields!I415,CHAR(160)," ")))</f>
        <v>Same Day</v>
      </c>
      <c r="N414" s="3" t="n">
        <v>1</v>
      </c>
      <c r="O414" s="5" t="n">
        <v>2111.39</v>
      </c>
      <c r="P414" s="6" t="n">
        <v>0.25</v>
      </c>
      <c r="Q414" s="5" t="n">
        <v>1583.54</v>
      </c>
      <c r="R414" s="5" t="n">
        <v>1014.19</v>
      </c>
      <c r="S414" s="5" t="n">
        <v>569.35</v>
      </c>
      <c r="T414" s="3" t="str">
        <f aca="false">PROPER(TRIM(SUBSTITUTE(Raw_Text_Fields!J415,CHAR(160)," ")))</f>
        <v>Paid</v>
      </c>
      <c r="U414" s="3" t="str">
        <f aca="false">PROPER(TRIM(SUBSTITUTE(Raw_Text_Fields!K415,CHAR(160)," ")))</f>
        <v>Completed</v>
      </c>
      <c r="V414" s="7" t="n">
        <f aca="false">IF(OR(P414&lt;0,P414&gt;0.5),0,P414)</f>
        <v>0.25</v>
      </c>
      <c r="W414" s="8" t="n">
        <f aca="false">N414*O414*(1-V414)</f>
        <v>1583.5425</v>
      </c>
      <c r="X414" s="8" t="n">
        <f aca="false">W414-R414</f>
        <v>569.3525</v>
      </c>
      <c r="Y414" s="7" t="n">
        <f aca="false">IFERROR(X414/W414,0)</f>
        <v>0.359543555035624</v>
      </c>
      <c r="Z414" s="9" t="n">
        <f aca="false">C414-B414</f>
        <v>8</v>
      </c>
      <c r="AA414" s="1" t="str">
        <f aca="false">IF(B414="","",TEXT(B414,"mmm"))</f>
        <v>Jan</v>
      </c>
      <c r="AB414" s="9" t="n">
        <f aca="false">IF(B414="","",YEAR(B414))</f>
        <v>2024</v>
      </c>
      <c r="AC414" s="3"/>
      <c r="AD414" s="3" t="str">
        <f aca="false">IF(LEFT(AC414&amp;IF(B414="","; Missing Order Date","")&amp;IF(C414="","; Missing Ship Date","")&amp;IF(P414&lt;0,"; Invalid Discount (Negative)","")&amp;IF(P414&gt;0.5,"; Invalid Discount (Too High)","")&amp;IF(Z414&lt;0,"; Invalid Shipping Record (Ship Before Order)","")&amp;IF(ABS(Q414-W414)&gt;1,"; Sales Mismatch","")&amp;IF(ABS(S414-X414)&gt;1,"; Profit Mismatch","")&amp;IF(COUNTIF($A$2:$A$913,A414)&gt;1,"; Duplicate Order ID Conflict",""),2)="; ",MID(AC414&amp;IF(B414="","; Missing Order Date","")&amp;IF(C414="","; Missing Ship Date","")&amp;IF(P414&lt;0,"; Invalid Discount (Negative)","")&amp;IF(P414&gt;0.5,"; Invalid Discount (Too High)","")&amp;IF(Z414&lt;0,"; Invalid Shipping Record (Ship Before Order)","")&amp;IF(ABS(Q414-W414)&gt;1,"; Sales Mismatch","")&amp;IF(ABS(S414-X414)&gt;1,"; Profit Mismatch","")&amp;IF(COUNTIF($A$2:$A$913,A414)&gt;1,"; Duplicate Order ID Conflict",""),3,500),AC414&amp;IF(B414="","; Missing Order Date","")&amp;IF(C414="","; Missing Ship Date","")&amp;IF(P414&lt;0,"; Invalid Discount (Negative)","")&amp;IF(P414&gt;0.5,"; Invalid Discount (Too High)","")&amp;IF(Z414&lt;0,"; Invalid Shipping Record (Ship Before Order)","")&amp;IF(ABS(Q414-W414)&gt;1,"; Sales Mismatch","")&amp;IF(ABS(S414-X414)&gt;1,"; Profit Mismatch","")&amp;IF(COUNTIF($A$2:$A$913,A414)&gt;1,"; Duplicate Order ID Conflict",""))</f>
        <v/>
      </c>
      <c r="AE414" s="10" t="str">
        <f aca="false">IF(OR(ISNUMBER(SEARCH("Invalid Discount",AD414)),ISNUMBER(SEARCH("Invalid Shipping Record",AD414)),ISNUMBER(SEARCH("Sales Mismatch",AD414)),ISNUMBER(SEARCH("Profit Mismatch",AD414)),ISNUMBER(SEARCH("Duplicate Order ID Conflict",AD414)),ISNUMBER(SEARCH("Missing Order Date",AD414)),ISNUMBER(SEARCH("Missing Ship Date",AD414))),"Invalid",IF(AD414&lt;&gt;"","Warning","Clean"))</f>
        <v>Clean</v>
      </c>
    </row>
    <row r="415" customFormat="false" ht="15" hidden="false" customHeight="true" outlineLevel="0" collapsed="false">
      <c r="A415" s="3" t="s">
        <v>1263</v>
      </c>
      <c r="B415" s="4" t="n">
        <v>45882</v>
      </c>
      <c r="C415" s="4" t="n">
        <v>45886</v>
      </c>
      <c r="D415" s="3" t="s">
        <v>1264</v>
      </c>
      <c r="E415" s="3" t="str">
        <f aca="false">PROPER(TRIM(SUBSTITUTE(Raw_Text_Fields!B416,CHAR(160)," ")))</f>
        <v>Neha Gupta</v>
      </c>
      <c r="F415" s="3" t="str">
        <f aca="false">PROPER(TRIM(SUBSTITUTE(Raw_Text_Fields!C416,CHAR(160)," ")))</f>
        <v>Home Office</v>
      </c>
      <c r="G415" s="3" t="str">
        <f aca="false">PROPER(TRIM(SUBSTITUTE(Raw_Text_Fields!D416,CHAR(160)," ")))</f>
        <v>West</v>
      </c>
      <c r="H415" s="3" t="str">
        <f aca="false">PROPER(TRIM(SUBSTITUTE(Raw_Text_Fields!E416,CHAR(160)," ")))</f>
        <v>Madhya Pradesh</v>
      </c>
      <c r="I415" s="3" t="str">
        <f aca="false">PROPER(TRIM(SUBSTITUTE(Raw_Text_Fields!F416,CHAR(160)," ")))</f>
        <v>Indore</v>
      </c>
      <c r="J415" s="3" t="str">
        <f aca="false">PROPER(TRIM(SUBSTITUTE(Raw_Text_Fields!G416,CHAR(160)," ")))</f>
        <v>Technology</v>
      </c>
      <c r="K415" s="3" t="str">
        <f aca="false">PROPER(TRIM(SUBSTITUTE(Raw_Text_Fields!H416,CHAR(160)," ")))</f>
        <v>Accessories</v>
      </c>
      <c r="L415" s="3" t="s">
        <v>1265</v>
      </c>
      <c r="M415" s="3" t="str">
        <f aca="false">PROPER(TRIM(SUBSTITUTE(Raw_Text_Fields!I416,CHAR(160)," ")))</f>
        <v>Second Class</v>
      </c>
      <c r="N415" s="3" t="n">
        <v>8</v>
      </c>
      <c r="O415" s="5" t="n">
        <v>1918.23</v>
      </c>
      <c r="P415" s="6" t="n">
        <v>0</v>
      </c>
      <c r="Q415" s="5" t="n">
        <v>15345.84</v>
      </c>
      <c r="R415" s="5" t="n">
        <v>10735.33</v>
      </c>
      <c r="S415" s="5" t="n">
        <v>4610.51</v>
      </c>
      <c r="T415" s="3" t="str">
        <f aca="false">PROPER(TRIM(SUBSTITUTE(Raw_Text_Fields!J416,CHAR(160)," ")))</f>
        <v>Pending</v>
      </c>
      <c r="U415" s="3" t="str">
        <f aca="false">PROPER(TRIM(SUBSTITUTE(Raw_Text_Fields!K416,CHAR(160)," ")))</f>
        <v>Cancelled</v>
      </c>
      <c r="V415" s="7" t="n">
        <f aca="false">IF(OR(P415&lt;0,P415&gt;0.5),0,P415)</f>
        <v>0</v>
      </c>
      <c r="W415" s="8" t="n">
        <f aca="false">N415*O415*(1-V415)</f>
        <v>15345.84</v>
      </c>
      <c r="X415" s="8" t="n">
        <f aca="false">W415-R415</f>
        <v>4610.51</v>
      </c>
      <c r="Y415" s="7" t="n">
        <f aca="false">IFERROR(X415/W415,0)</f>
        <v>0.300440379933585</v>
      </c>
      <c r="Z415" s="9" t="n">
        <f aca="false">C415-B415</f>
        <v>4</v>
      </c>
      <c r="AA415" s="1" t="str">
        <f aca="false">IF(B415="","",TEXT(B415,"mmm"))</f>
        <v>Aug</v>
      </c>
      <c r="AB415" s="9" t="n">
        <f aca="false">IF(B415="","",YEAR(B415))</f>
        <v>2025</v>
      </c>
      <c r="AC415" s="3"/>
      <c r="AD415" s="3" t="str">
        <f aca="false">IF(LEFT(AC415&amp;IF(B415="","; Missing Order Date","")&amp;IF(C415="","; Missing Ship Date","")&amp;IF(P415&lt;0,"; Invalid Discount (Negative)","")&amp;IF(P415&gt;0.5,"; Invalid Discount (Too High)","")&amp;IF(Z415&lt;0,"; Invalid Shipping Record (Ship Before Order)","")&amp;IF(ABS(Q415-W415)&gt;1,"; Sales Mismatch","")&amp;IF(ABS(S415-X415)&gt;1,"; Profit Mismatch","")&amp;IF(COUNTIF($A$2:$A$913,A415)&gt;1,"; Duplicate Order ID Conflict",""),2)="; ",MID(AC415&amp;IF(B415="","; Missing Order Date","")&amp;IF(C415="","; Missing Ship Date","")&amp;IF(P415&lt;0,"; Invalid Discount (Negative)","")&amp;IF(P415&gt;0.5,"; Invalid Discount (Too High)","")&amp;IF(Z415&lt;0,"; Invalid Shipping Record (Ship Before Order)","")&amp;IF(ABS(Q415-W415)&gt;1,"; Sales Mismatch","")&amp;IF(ABS(S415-X415)&gt;1,"; Profit Mismatch","")&amp;IF(COUNTIF($A$2:$A$913,A415)&gt;1,"; Duplicate Order ID Conflict",""),3,500),AC415&amp;IF(B415="","; Missing Order Date","")&amp;IF(C415="","; Missing Ship Date","")&amp;IF(P415&lt;0,"; Invalid Discount (Negative)","")&amp;IF(P415&gt;0.5,"; Invalid Discount (Too High)","")&amp;IF(Z415&lt;0,"; Invalid Shipping Record (Ship Before Order)","")&amp;IF(ABS(Q415-W415)&gt;1,"; Sales Mismatch","")&amp;IF(ABS(S415-X415)&gt;1,"; Profit Mismatch","")&amp;IF(COUNTIF($A$2:$A$913,A415)&gt;1,"; Duplicate Order ID Conflict",""))</f>
        <v/>
      </c>
      <c r="AE415" s="10" t="str">
        <f aca="false">IF(OR(ISNUMBER(SEARCH("Invalid Discount",AD415)),ISNUMBER(SEARCH("Invalid Shipping Record",AD415)),ISNUMBER(SEARCH("Sales Mismatch",AD415)),ISNUMBER(SEARCH("Profit Mismatch",AD415)),ISNUMBER(SEARCH("Duplicate Order ID Conflict",AD415)),ISNUMBER(SEARCH("Missing Order Date",AD415)),ISNUMBER(SEARCH("Missing Ship Date",AD415))),"Invalid",IF(AD415&lt;&gt;"","Warning","Clean"))</f>
        <v>Clean</v>
      </c>
    </row>
    <row r="416" customFormat="false" ht="15" hidden="false" customHeight="true" outlineLevel="0" collapsed="false">
      <c r="A416" s="3" t="s">
        <v>1266</v>
      </c>
      <c r="B416" s="4" t="n">
        <v>45533</v>
      </c>
      <c r="C416" s="4" t="n">
        <v>45534</v>
      </c>
      <c r="D416" s="3" t="s">
        <v>1267</v>
      </c>
      <c r="E416" s="3" t="str">
        <f aca="false">PROPER(TRIM(SUBSTITUTE(Raw_Text_Fields!B417,CHAR(160)," ")))</f>
        <v>Arjun Bose</v>
      </c>
      <c r="F416" s="3" t="str">
        <f aca="false">PROPER(TRIM(SUBSTITUTE(Raw_Text_Fields!C417,CHAR(160)," ")))</f>
        <v>Home Office</v>
      </c>
      <c r="G416" s="3" t="str">
        <f aca="false">PROPER(TRIM(SUBSTITUTE(Raw_Text_Fields!D417,CHAR(160)," ")))</f>
        <v>East</v>
      </c>
      <c r="H416" s="3" t="str">
        <f aca="false">PROPER(TRIM(SUBSTITUTE(Raw_Text_Fields!E417,CHAR(160)," ")))</f>
        <v>Assam</v>
      </c>
      <c r="I416" s="3" t="str">
        <f aca="false">PROPER(TRIM(SUBSTITUTE(Raw_Text_Fields!F417,CHAR(160)," ")))</f>
        <v>Guwahati</v>
      </c>
      <c r="J416" s="3" t="str">
        <f aca="false">PROPER(TRIM(SUBSTITUTE(Raw_Text_Fields!G417,CHAR(160)," ")))</f>
        <v>Office Supplies</v>
      </c>
      <c r="K416" s="3" t="str">
        <f aca="false">PROPER(TRIM(SUBSTITUTE(Raw_Text_Fields!H417,CHAR(160)," ")))</f>
        <v>Storage</v>
      </c>
      <c r="L416" s="3" t="s">
        <v>1268</v>
      </c>
      <c r="M416" s="3" t="str">
        <f aca="false">PROPER(TRIM(SUBSTITUTE(Raw_Text_Fields!I417,CHAR(160)," ")))</f>
        <v>First Class</v>
      </c>
      <c r="N416" s="3" t="n">
        <v>4</v>
      </c>
      <c r="O416" s="5" t="n">
        <v>2484.08</v>
      </c>
      <c r="P416" s="6" t="n">
        <v>0.05</v>
      </c>
      <c r="Q416" s="5" t="n">
        <v>9439.5</v>
      </c>
      <c r="R416" s="5" t="n">
        <v>5519.39</v>
      </c>
      <c r="S416" s="5" t="n">
        <v>3920.11</v>
      </c>
      <c r="T416" s="3" t="str">
        <f aca="false">PROPER(TRIM(SUBSTITUTE(Raw_Text_Fields!J417,CHAR(160)," ")))</f>
        <v>Paid</v>
      </c>
      <c r="U416" s="3" t="str">
        <f aca="false">PROPER(TRIM(SUBSTITUTE(Raw_Text_Fields!K417,CHAR(160)," ")))</f>
        <v>Completed</v>
      </c>
      <c r="V416" s="7" t="n">
        <f aca="false">IF(OR(P416&lt;0,P416&gt;0.5),0,P416)</f>
        <v>0.05</v>
      </c>
      <c r="W416" s="8" t="n">
        <f aca="false">N416*O416*(1-V416)</f>
        <v>9439.504</v>
      </c>
      <c r="X416" s="8" t="n">
        <f aca="false">W416-R416</f>
        <v>3920.114</v>
      </c>
      <c r="Y416" s="7" t="n">
        <f aca="false">IFERROR(X416/W416,0)</f>
        <v>0.4152881337833</v>
      </c>
      <c r="Z416" s="9" t="n">
        <f aca="false">C416-B416</f>
        <v>1</v>
      </c>
      <c r="AA416" s="1" t="str">
        <f aca="false">IF(B416="","",TEXT(B416,"mmm"))</f>
        <v>Aug</v>
      </c>
      <c r="AB416" s="9" t="n">
        <f aca="false">IF(B416="","",YEAR(B416))</f>
        <v>2024</v>
      </c>
      <c r="AC416" s="3"/>
      <c r="AD416" s="3" t="str">
        <f aca="false">IF(LEFT(AC416&amp;IF(B416="","; Missing Order Date","")&amp;IF(C416="","; Missing Ship Date","")&amp;IF(P416&lt;0,"; Invalid Discount (Negative)","")&amp;IF(P416&gt;0.5,"; Invalid Discount (Too High)","")&amp;IF(Z416&lt;0,"; Invalid Shipping Record (Ship Before Order)","")&amp;IF(ABS(Q416-W416)&gt;1,"; Sales Mismatch","")&amp;IF(ABS(S416-X416)&gt;1,"; Profit Mismatch","")&amp;IF(COUNTIF($A$2:$A$913,A416)&gt;1,"; Duplicate Order ID Conflict",""),2)="; ",MID(AC416&amp;IF(B416="","; Missing Order Date","")&amp;IF(C416="","; Missing Ship Date","")&amp;IF(P416&lt;0,"; Invalid Discount (Negative)","")&amp;IF(P416&gt;0.5,"; Invalid Discount (Too High)","")&amp;IF(Z416&lt;0,"; Invalid Shipping Record (Ship Before Order)","")&amp;IF(ABS(Q416-W416)&gt;1,"; Sales Mismatch","")&amp;IF(ABS(S416-X416)&gt;1,"; Profit Mismatch","")&amp;IF(COUNTIF($A$2:$A$913,A416)&gt;1,"; Duplicate Order ID Conflict",""),3,500),AC416&amp;IF(B416="","; Missing Order Date","")&amp;IF(C416="","; Missing Ship Date","")&amp;IF(P416&lt;0,"; Invalid Discount (Negative)","")&amp;IF(P416&gt;0.5,"; Invalid Discount (Too High)","")&amp;IF(Z416&lt;0,"; Invalid Shipping Record (Ship Before Order)","")&amp;IF(ABS(Q416-W416)&gt;1,"; Sales Mismatch","")&amp;IF(ABS(S416-X416)&gt;1,"; Profit Mismatch","")&amp;IF(COUNTIF($A$2:$A$913,A416)&gt;1,"; Duplicate Order ID Conflict",""))</f>
        <v/>
      </c>
      <c r="AE416" s="10" t="str">
        <f aca="false">IF(OR(ISNUMBER(SEARCH("Invalid Discount",AD416)),ISNUMBER(SEARCH("Invalid Shipping Record",AD416)),ISNUMBER(SEARCH("Sales Mismatch",AD416)),ISNUMBER(SEARCH("Profit Mismatch",AD416)),ISNUMBER(SEARCH("Duplicate Order ID Conflict",AD416)),ISNUMBER(SEARCH("Missing Order Date",AD416)),ISNUMBER(SEARCH("Missing Ship Date",AD416))),"Invalid",IF(AD416&lt;&gt;"","Warning","Clean"))</f>
        <v>Clean</v>
      </c>
    </row>
    <row r="417" customFormat="false" ht="15" hidden="false" customHeight="true" outlineLevel="0" collapsed="false">
      <c r="A417" s="3" t="s">
        <v>1269</v>
      </c>
      <c r="B417" s="4" t="n">
        <v>45316</v>
      </c>
      <c r="C417" s="4" t="n">
        <v>45318</v>
      </c>
      <c r="D417" s="3" t="s">
        <v>1270</v>
      </c>
      <c r="E417" s="3" t="str">
        <f aca="false">PROPER(TRIM(SUBSTITUTE(Raw_Text_Fields!B418,CHAR(160)," ")))</f>
        <v>Aarav Sharma</v>
      </c>
      <c r="F417" s="3" t="str">
        <f aca="false">PROPER(TRIM(SUBSTITUTE(Raw_Text_Fields!C418,CHAR(160)," ")))</f>
        <v>Corporate</v>
      </c>
      <c r="G417" s="3" t="str">
        <f aca="false">PROPER(TRIM(SUBSTITUTE(Raw_Text_Fields!D418,CHAR(160)," ")))</f>
        <v>South</v>
      </c>
      <c r="H417" s="3" t="str">
        <f aca="false">PROPER(TRIM(SUBSTITUTE(Raw_Text_Fields!E418,CHAR(160)," ")))</f>
        <v>Karnataka</v>
      </c>
      <c r="I417" s="3" t="str">
        <f aca="false">PROPER(TRIM(SUBSTITUTE(Raw_Text_Fields!F418,CHAR(160)," ")))</f>
        <v>Bengaluru</v>
      </c>
      <c r="J417" s="3" t="str">
        <f aca="false">PROPER(TRIM(SUBSTITUTE(Raw_Text_Fields!G418,CHAR(160)," ")))</f>
        <v>Office Supplies</v>
      </c>
      <c r="K417" s="3" t="str">
        <f aca="false">PROPER(TRIM(SUBSTITUTE(Raw_Text_Fields!H418,CHAR(160)," ")))</f>
        <v>Storage</v>
      </c>
      <c r="L417" s="3" t="s">
        <v>1271</v>
      </c>
      <c r="M417" s="3" t="str">
        <f aca="false">PROPER(TRIM(SUBSTITUTE(Raw_Text_Fields!I418,CHAR(160)," ")))</f>
        <v>Same Day</v>
      </c>
      <c r="N417" s="3" t="n">
        <v>7</v>
      </c>
      <c r="O417" s="5" t="n">
        <v>1727.26</v>
      </c>
      <c r="P417" s="6" t="n">
        <v>0.15</v>
      </c>
      <c r="Q417" s="5" t="n">
        <v>10277.2</v>
      </c>
      <c r="R417" s="5" t="n">
        <v>7906.5</v>
      </c>
      <c r="S417" s="5" t="n">
        <v>2370.7</v>
      </c>
      <c r="T417" s="3" t="str">
        <f aca="false">PROPER(TRIM(SUBSTITUTE(Raw_Text_Fields!J418,CHAR(160)," ")))</f>
        <v>Paid</v>
      </c>
      <c r="U417" s="3" t="str">
        <f aca="false">PROPER(TRIM(SUBSTITUTE(Raw_Text_Fields!K418,CHAR(160)," ")))</f>
        <v>Returned</v>
      </c>
      <c r="V417" s="7" t="n">
        <f aca="false">IF(OR(P417&lt;0,P417&gt;0.5),0,P417)</f>
        <v>0.15</v>
      </c>
      <c r="W417" s="8" t="n">
        <f aca="false">N417*O417*(1-V417)</f>
        <v>10277.197</v>
      </c>
      <c r="X417" s="8" t="n">
        <f aca="false">W417-R417</f>
        <v>2370.697</v>
      </c>
      <c r="Y417" s="7" t="n">
        <f aca="false">IFERROR(X417/W417,0)</f>
        <v>0.230675445843842</v>
      </c>
      <c r="Z417" s="9" t="n">
        <f aca="false">C417-B417</f>
        <v>2</v>
      </c>
      <c r="AA417" s="1" t="str">
        <f aca="false">IF(B417="","",TEXT(B417,"mmm"))</f>
        <v>Jan</v>
      </c>
      <c r="AB417" s="9" t="n">
        <f aca="false">IF(B417="","",YEAR(B417))</f>
        <v>2024</v>
      </c>
      <c r="AC417" s="3"/>
      <c r="AD417" s="3" t="str">
        <f aca="false">IF(LEFT(AC417&amp;IF(B417="","; Missing Order Date","")&amp;IF(C417="","; Missing Ship Date","")&amp;IF(P417&lt;0,"; Invalid Discount (Negative)","")&amp;IF(P417&gt;0.5,"; Invalid Discount (Too High)","")&amp;IF(Z417&lt;0,"; Invalid Shipping Record (Ship Before Order)","")&amp;IF(ABS(Q417-W417)&gt;1,"; Sales Mismatch","")&amp;IF(ABS(S417-X417)&gt;1,"; Profit Mismatch","")&amp;IF(COUNTIF($A$2:$A$913,A417)&gt;1,"; Duplicate Order ID Conflict",""),2)="; ",MID(AC417&amp;IF(B417="","; Missing Order Date","")&amp;IF(C417="","; Missing Ship Date","")&amp;IF(P417&lt;0,"; Invalid Discount (Negative)","")&amp;IF(P417&gt;0.5,"; Invalid Discount (Too High)","")&amp;IF(Z417&lt;0,"; Invalid Shipping Record (Ship Before Order)","")&amp;IF(ABS(Q417-W417)&gt;1,"; Sales Mismatch","")&amp;IF(ABS(S417-X417)&gt;1,"; Profit Mismatch","")&amp;IF(COUNTIF($A$2:$A$913,A417)&gt;1,"; Duplicate Order ID Conflict",""),3,500),AC417&amp;IF(B417="","; Missing Order Date","")&amp;IF(C417="","; Missing Ship Date","")&amp;IF(P417&lt;0,"; Invalid Discount (Negative)","")&amp;IF(P417&gt;0.5,"; Invalid Discount (Too High)","")&amp;IF(Z417&lt;0,"; Invalid Shipping Record (Ship Before Order)","")&amp;IF(ABS(Q417-W417)&gt;1,"; Sales Mismatch","")&amp;IF(ABS(S417-X417)&gt;1,"; Profit Mismatch","")&amp;IF(COUNTIF($A$2:$A$913,A417)&gt;1,"; Duplicate Order ID Conflict",""))</f>
        <v/>
      </c>
      <c r="AE417" s="10" t="str">
        <f aca="false">IF(OR(ISNUMBER(SEARCH("Invalid Discount",AD417)),ISNUMBER(SEARCH("Invalid Shipping Record",AD417)),ISNUMBER(SEARCH("Sales Mismatch",AD417)),ISNUMBER(SEARCH("Profit Mismatch",AD417)),ISNUMBER(SEARCH("Duplicate Order ID Conflict",AD417)),ISNUMBER(SEARCH("Missing Order Date",AD417)),ISNUMBER(SEARCH("Missing Ship Date",AD417))),"Invalid",IF(AD417&lt;&gt;"","Warning","Clean"))</f>
        <v>Clean</v>
      </c>
    </row>
    <row r="418" customFormat="false" ht="15" hidden="false" customHeight="true" outlineLevel="0" collapsed="false">
      <c r="A418" s="3" t="s">
        <v>1272</v>
      </c>
      <c r="B418" s="4" t="n">
        <v>45665</v>
      </c>
      <c r="C418" s="4" t="n">
        <v>45673</v>
      </c>
      <c r="D418" s="3" t="s">
        <v>1273</v>
      </c>
      <c r="E418" s="3" t="str">
        <f aca="false">PROPER(TRIM(SUBSTITUTE(Raw_Text_Fields!B419,CHAR(160)," ")))</f>
        <v>Neha Gupta</v>
      </c>
      <c r="F418" s="3" t="str">
        <f aca="false">PROPER(TRIM(SUBSTITUTE(Raw_Text_Fields!C419,CHAR(160)," ")))</f>
        <v>Consumer</v>
      </c>
      <c r="G418" s="3" t="str">
        <f aca="false">PROPER(TRIM(SUBSTITUTE(Raw_Text_Fields!D419,CHAR(160)," ")))</f>
        <v>South</v>
      </c>
      <c r="H418" s="3" t="str">
        <f aca="false">PROPER(TRIM(SUBSTITUTE(Raw_Text_Fields!E419,CHAR(160)," ")))</f>
        <v>Telangana</v>
      </c>
      <c r="I418" s="3" t="str">
        <f aca="false">PROPER(TRIM(SUBSTITUTE(Raw_Text_Fields!F419,CHAR(160)," ")))</f>
        <v>Hyderabad</v>
      </c>
      <c r="J418" s="3" t="str">
        <f aca="false">PROPER(TRIM(SUBSTITUTE(Raw_Text_Fields!G419,CHAR(160)," ")))</f>
        <v>Furniture</v>
      </c>
      <c r="K418" s="3" t="str">
        <f aca="false">PROPER(TRIM(SUBSTITUTE(Raw_Text_Fields!H419,CHAR(160)," ")))</f>
        <v>Furnishings</v>
      </c>
      <c r="L418" s="3" t="s">
        <v>1274</v>
      </c>
      <c r="M418" s="3" t="str">
        <f aca="false">PROPER(TRIM(SUBSTITUTE(Raw_Text_Fields!I419,CHAR(160)," ")))</f>
        <v>First Class</v>
      </c>
      <c r="N418" s="3" t="n">
        <v>8</v>
      </c>
      <c r="O418" s="5" t="n">
        <v>638.95</v>
      </c>
      <c r="P418" s="6" t="n">
        <v>0.25</v>
      </c>
      <c r="Q418" s="5" t="n">
        <v>3833.7</v>
      </c>
      <c r="R418" s="5" t="n">
        <v>2886.35</v>
      </c>
      <c r="S418" s="5" t="n">
        <v>947.35</v>
      </c>
      <c r="T418" s="3" t="str">
        <f aca="false">PROPER(TRIM(SUBSTITUTE(Raw_Text_Fields!J419,CHAR(160)," ")))</f>
        <v>Paid</v>
      </c>
      <c r="U418" s="3" t="str">
        <f aca="false">PROPER(TRIM(SUBSTITUTE(Raw_Text_Fields!K419,CHAR(160)," ")))</f>
        <v>Completed</v>
      </c>
      <c r="V418" s="7" t="n">
        <f aca="false">IF(OR(P418&lt;0,P418&gt;0.5),0,P418)</f>
        <v>0.25</v>
      </c>
      <c r="W418" s="8" t="n">
        <f aca="false">N418*O418*(1-V418)</f>
        <v>3833.7</v>
      </c>
      <c r="X418" s="8" t="n">
        <f aca="false">W418-R418</f>
        <v>947.35</v>
      </c>
      <c r="Y418" s="7" t="n">
        <f aca="false">IFERROR(X418/W418,0)</f>
        <v>0.247111145890393</v>
      </c>
      <c r="Z418" s="9" t="n">
        <f aca="false">C418-B418</f>
        <v>8</v>
      </c>
      <c r="AA418" s="1" t="str">
        <f aca="false">IF(B418="","",TEXT(B418,"mmm"))</f>
        <v>Jan</v>
      </c>
      <c r="AB418" s="9" t="n">
        <f aca="false">IF(B418="","",YEAR(B418))</f>
        <v>2025</v>
      </c>
      <c r="AC418" s="3"/>
      <c r="AD418" s="3" t="str">
        <f aca="false">IF(LEFT(AC418&amp;IF(B418="","; Missing Order Date","")&amp;IF(C418="","; Missing Ship Date","")&amp;IF(P418&lt;0,"; Invalid Discount (Negative)","")&amp;IF(P418&gt;0.5,"; Invalid Discount (Too High)","")&amp;IF(Z418&lt;0,"; Invalid Shipping Record (Ship Before Order)","")&amp;IF(ABS(Q418-W418)&gt;1,"; Sales Mismatch","")&amp;IF(ABS(S418-X418)&gt;1,"; Profit Mismatch","")&amp;IF(COUNTIF($A$2:$A$913,A418)&gt;1,"; Duplicate Order ID Conflict",""),2)="; ",MID(AC418&amp;IF(B418="","; Missing Order Date","")&amp;IF(C418="","; Missing Ship Date","")&amp;IF(P418&lt;0,"; Invalid Discount (Negative)","")&amp;IF(P418&gt;0.5,"; Invalid Discount (Too High)","")&amp;IF(Z418&lt;0,"; Invalid Shipping Record (Ship Before Order)","")&amp;IF(ABS(Q418-W418)&gt;1,"; Sales Mismatch","")&amp;IF(ABS(S418-X418)&gt;1,"; Profit Mismatch","")&amp;IF(COUNTIF($A$2:$A$913,A418)&gt;1,"; Duplicate Order ID Conflict",""),3,500),AC418&amp;IF(B418="","; Missing Order Date","")&amp;IF(C418="","; Missing Ship Date","")&amp;IF(P418&lt;0,"; Invalid Discount (Negative)","")&amp;IF(P418&gt;0.5,"; Invalid Discount (Too High)","")&amp;IF(Z418&lt;0,"; Invalid Shipping Record (Ship Before Order)","")&amp;IF(ABS(Q418-W418)&gt;1,"; Sales Mismatch","")&amp;IF(ABS(S418-X418)&gt;1,"; Profit Mismatch","")&amp;IF(COUNTIF($A$2:$A$913,A418)&gt;1,"; Duplicate Order ID Conflict",""))</f>
        <v/>
      </c>
      <c r="AE418" s="10" t="str">
        <f aca="false">IF(OR(ISNUMBER(SEARCH("Invalid Discount",AD418)),ISNUMBER(SEARCH("Invalid Shipping Record",AD418)),ISNUMBER(SEARCH("Sales Mismatch",AD418)),ISNUMBER(SEARCH("Profit Mismatch",AD418)),ISNUMBER(SEARCH("Duplicate Order ID Conflict",AD418)),ISNUMBER(SEARCH("Missing Order Date",AD418)),ISNUMBER(SEARCH("Missing Ship Date",AD418))),"Invalid",IF(AD418&lt;&gt;"","Warning","Clean"))</f>
        <v>Clean</v>
      </c>
    </row>
    <row r="419" customFormat="false" ht="15" hidden="false" customHeight="true" outlineLevel="0" collapsed="false">
      <c r="A419" s="3" t="s">
        <v>1275</v>
      </c>
      <c r="B419" s="4" t="n">
        <v>45686</v>
      </c>
      <c r="C419" s="4" t="n">
        <v>45693</v>
      </c>
      <c r="D419" s="3" t="s">
        <v>1276</v>
      </c>
      <c r="E419" s="3" t="str">
        <f aca="false">PROPER(TRIM(SUBSTITUTE(Raw_Text_Fields!B420,CHAR(160)," ")))</f>
        <v>Mira Das</v>
      </c>
      <c r="F419" s="3" t="str">
        <f aca="false">PROPER(TRIM(SUBSTITUTE(Raw_Text_Fields!C420,CHAR(160)," ")))</f>
        <v>Consumer</v>
      </c>
      <c r="G419" s="3" t="str">
        <f aca="false">PROPER(TRIM(SUBSTITUTE(Raw_Text_Fields!D420,CHAR(160)," ")))</f>
        <v>West</v>
      </c>
      <c r="H419" s="3" t="str">
        <f aca="false">PROPER(TRIM(SUBSTITUTE(Raw_Text_Fields!E420,CHAR(160)," ")))</f>
        <v>Gujarat</v>
      </c>
      <c r="I419" s="3" t="str">
        <f aca="false">PROPER(TRIM(SUBSTITUTE(Raw_Text_Fields!F420,CHAR(160)," ")))</f>
        <v>Ahmedabad</v>
      </c>
      <c r="J419" s="3" t="str">
        <f aca="false">PROPER(TRIM(SUBSTITUTE(Raw_Text_Fields!G420,CHAR(160)," ")))</f>
        <v>Office Supplies</v>
      </c>
      <c r="K419" s="3" t="str">
        <f aca="false">PROPER(TRIM(SUBSTITUTE(Raw_Text_Fields!H420,CHAR(160)," ")))</f>
        <v>Art</v>
      </c>
      <c r="L419" s="3" t="s">
        <v>1277</v>
      </c>
      <c r="M419" s="3" t="str">
        <f aca="false">PROPER(TRIM(SUBSTITUTE(Raw_Text_Fields!I420,CHAR(160)," ")))</f>
        <v>First Class</v>
      </c>
      <c r="N419" s="3" t="n">
        <v>6</v>
      </c>
      <c r="O419" s="5" t="n">
        <v>3863</v>
      </c>
      <c r="P419" s="6" t="n">
        <v>0.2</v>
      </c>
      <c r="Q419" s="5" t="n">
        <v>18542.4</v>
      </c>
      <c r="R419" s="5" t="n">
        <v>11193.75</v>
      </c>
      <c r="S419" s="5" t="n">
        <v>7348.65</v>
      </c>
      <c r="T419" s="3" t="str">
        <f aca="false">PROPER(TRIM(SUBSTITUTE(Raw_Text_Fields!J420,CHAR(160)," ")))</f>
        <v>Paid</v>
      </c>
      <c r="U419" s="3" t="str">
        <f aca="false">PROPER(TRIM(SUBSTITUTE(Raw_Text_Fields!K420,CHAR(160)," ")))</f>
        <v>Completed</v>
      </c>
      <c r="V419" s="7" t="n">
        <f aca="false">IF(OR(P419&lt;0,P419&gt;0.5),0,P419)</f>
        <v>0.2</v>
      </c>
      <c r="W419" s="8" t="n">
        <f aca="false">N419*O419*(1-V419)</f>
        <v>18542.4</v>
      </c>
      <c r="X419" s="8" t="n">
        <f aca="false">W419-R419</f>
        <v>7348.65</v>
      </c>
      <c r="Y419" s="7" t="n">
        <f aca="false">IFERROR(X419/W419,0)</f>
        <v>0.396316010872379</v>
      </c>
      <c r="Z419" s="9" t="n">
        <f aca="false">C419-B419</f>
        <v>7</v>
      </c>
      <c r="AA419" s="1" t="str">
        <f aca="false">IF(B419="","",TEXT(B419,"mmm"))</f>
        <v>Jan</v>
      </c>
      <c r="AB419" s="9" t="n">
        <f aca="false">IF(B419="","",YEAR(B419))</f>
        <v>2025</v>
      </c>
      <c r="AC419" s="3"/>
      <c r="AD419" s="3" t="str">
        <f aca="false">IF(LEFT(AC419&amp;IF(B419="","; Missing Order Date","")&amp;IF(C419="","; Missing Ship Date","")&amp;IF(P419&lt;0,"; Invalid Discount (Negative)","")&amp;IF(P419&gt;0.5,"; Invalid Discount (Too High)","")&amp;IF(Z419&lt;0,"; Invalid Shipping Record (Ship Before Order)","")&amp;IF(ABS(Q419-W419)&gt;1,"; Sales Mismatch","")&amp;IF(ABS(S419-X419)&gt;1,"; Profit Mismatch","")&amp;IF(COUNTIF($A$2:$A$913,A419)&gt;1,"; Duplicate Order ID Conflict",""),2)="; ",MID(AC419&amp;IF(B419="","; Missing Order Date","")&amp;IF(C419="","; Missing Ship Date","")&amp;IF(P419&lt;0,"; Invalid Discount (Negative)","")&amp;IF(P419&gt;0.5,"; Invalid Discount (Too High)","")&amp;IF(Z419&lt;0,"; Invalid Shipping Record (Ship Before Order)","")&amp;IF(ABS(Q419-W419)&gt;1,"; Sales Mismatch","")&amp;IF(ABS(S419-X419)&gt;1,"; Profit Mismatch","")&amp;IF(COUNTIF($A$2:$A$913,A419)&gt;1,"; Duplicate Order ID Conflict",""),3,500),AC419&amp;IF(B419="","; Missing Order Date","")&amp;IF(C419="","; Missing Ship Date","")&amp;IF(P419&lt;0,"; Invalid Discount (Negative)","")&amp;IF(P419&gt;0.5,"; Invalid Discount (Too High)","")&amp;IF(Z419&lt;0,"; Invalid Shipping Record (Ship Before Order)","")&amp;IF(ABS(Q419-W419)&gt;1,"; Sales Mismatch","")&amp;IF(ABS(S419-X419)&gt;1,"; Profit Mismatch","")&amp;IF(COUNTIF($A$2:$A$913,A419)&gt;1,"; Duplicate Order ID Conflict",""))</f>
        <v/>
      </c>
      <c r="AE419" s="10" t="str">
        <f aca="false">IF(OR(ISNUMBER(SEARCH("Invalid Discount",AD419)),ISNUMBER(SEARCH("Invalid Shipping Record",AD419)),ISNUMBER(SEARCH("Sales Mismatch",AD419)),ISNUMBER(SEARCH("Profit Mismatch",AD419)),ISNUMBER(SEARCH("Duplicate Order ID Conflict",AD419)),ISNUMBER(SEARCH("Missing Order Date",AD419)),ISNUMBER(SEARCH("Missing Ship Date",AD419))),"Invalid",IF(AD419&lt;&gt;"","Warning","Clean"))</f>
        <v>Clean</v>
      </c>
    </row>
    <row r="420" customFormat="false" ht="15" hidden="false" customHeight="true" outlineLevel="0" collapsed="false">
      <c r="A420" s="3" t="s">
        <v>1278</v>
      </c>
      <c r="B420" s="4" t="n">
        <v>45605</v>
      </c>
      <c r="C420" s="4" t="n">
        <v>45613</v>
      </c>
      <c r="D420" s="3" t="s">
        <v>1279</v>
      </c>
      <c r="E420" s="3" t="str">
        <f aca="false">PROPER(TRIM(SUBSTITUTE(Raw_Text_Fields!B421,CHAR(160)," ")))</f>
        <v>Sneha Kapoor</v>
      </c>
      <c r="F420" s="3" t="str">
        <f aca="false">PROPER(TRIM(SUBSTITUTE(Raw_Text_Fields!C421,CHAR(160)," ")))</f>
        <v>Corporate</v>
      </c>
      <c r="G420" s="3" t="str">
        <f aca="false">PROPER(TRIM(SUBSTITUTE(Raw_Text_Fields!D421,CHAR(160)," ")))</f>
        <v>East</v>
      </c>
      <c r="H420" s="3" t="str">
        <f aca="false">PROPER(TRIM(SUBSTITUTE(Raw_Text_Fields!E421,CHAR(160)," ")))</f>
        <v>Odisha</v>
      </c>
      <c r="I420" s="3" t="str">
        <f aca="false">PROPER(TRIM(SUBSTITUTE(Raw_Text_Fields!F421,CHAR(160)," ")))</f>
        <v>Bhubaneswar</v>
      </c>
      <c r="J420" s="3" t="str">
        <f aca="false">PROPER(TRIM(SUBSTITUTE(Raw_Text_Fields!G421,CHAR(160)," ")))</f>
        <v>Technology</v>
      </c>
      <c r="K420" s="3" t="str">
        <f aca="false">PROPER(TRIM(SUBSTITUTE(Raw_Text_Fields!H421,CHAR(160)," ")))</f>
        <v>Copiers</v>
      </c>
      <c r="L420" s="3" t="s">
        <v>1280</v>
      </c>
      <c r="M420" s="3" t="str">
        <f aca="false">PROPER(TRIM(SUBSTITUTE(Raw_Text_Fields!I421,CHAR(160)," ")))</f>
        <v>Standard Class</v>
      </c>
      <c r="N420" s="3" t="n">
        <v>6</v>
      </c>
      <c r="O420" s="5" t="n">
        <v>3660.4</v>
      </c>
      <c r="P420" s="6" t="n">
        <v>0</v>
      </c>
      <c r="Q420" s="5" t="n">
        <v>21962.4</v>
      </c>
      <c r="R420" s="5" t="n">
        <v>15331.99</v>
      </c>
      <c r="S420" s="5" t="n">
        <v>6630.41</v>
      </c>
      <c r="T420" s="3" t="str">
        <f aca="false">PROPER(TRIM(SUBSTITUTE(Raw_Text_Fields!J421,CHAR(160)," ")))</f>
        <v>Failed</v>
      </c>
      <c r="U420" s="3" t="str">
        <f aca="false">PROPER(TRIM(SUBSTITUTE(Raw_Text_Fields!K421,CHAR(160)," ")))</f>
        <v>Cancelled</v>
      </c>
      <c r="V420" s="7" t="n">
        <f aca="false">IF(OR(P420&lt;0,P420&gt;0.5),0,P420)</f>
        <v>0</v>
      </c>
      <c r="W420" s="8" t="n">
        <f aca="false">N420*O420*(1-V420)</f>
        <v>21962.4</v>
      </c>
      <c r="X420" s="8" t="n">
        <f aca="false">W420-R420</f>
        <v>6630.41</v>
      </c>
      <c r="Y420" s="7" t="n">
        <f aca="false">IFERROR(X420/W420,0)</f>
        <v>0.301898244272029</v>
      </c>
      <c r="Z420" s="9" t="n">
        <f aca="false">C420-B420</f>
        <v>8</v>
      </c>
      <c r="AA420" s="1" t="str">
        <f aca="false">IF(B420="","",TEXT(B420,"mmm"))</f>
        <v>Nov</v>
      </c>
      <c r="AB420" s="9" t="n">
        <f aca="false">IF(B420="","",YEAR(B420))</f>
        <v>2024</v>
      </c>
      <c r="AC420" s="3"/>
      <c r="AD420" s="3" t="str">
        <f aca="false">IF(LEFT(AC420&amp;IF(B420="","; Missing Order Date","")&amp;IF(C420="","; Missing Ship Date","")&amp;IF(P420&lt;0,"; Invalid Discount (Negative)","")&amp;IF(P420&gt;0.5,"; Invalid Discount (Too High)","")&amp;IF(Z420&lt;0,"; Invalid Shipping Record (Ship Before Order)","")&amp;IF(ABS(Q420-W420)&gt;1,"; Sales Mismatch","")&amp;IF(ABS(S420-X420)&gt;1,"; Profit Mismatch","")&amp;IF(COUNTIF($A$2:$A$913,A420)&gt;1,"; Duplicate Order ID Conflict",""),2)="; ",MID(AC420&amp;IF(B420="","; Missing Order Date","")&amp;IF(C420="","; Missing Ship Date","")&amp;IF(P420&lt;0,"; Invalid Discount (Negative)","")&amp;IF(P420&gt;0.5,"; Invalid Discount (Too High)","")&amp;IF(Z420&lt;0,"; Invalid Shipping Record (Ship Before Order)","")&amp;IF(ABS(Q420-W420)&gt;1,"; Sales Mismatch","")&amp;IF(ABS(S420-X420)&gt;1,"; Profit Mismatch","")&amp;IF(COUNTIF($A$2:$A$913,A420)&gt;1,"; Duplicate Order ID Conflict",""),3,500),AC420&amp;IF(B420="","; Missing Order Date","")&amp;IF(C420="","; Missing Ship Date","")&amp;IF(P420&lt;0,"; Invalid Discount (Negative)","")&amp;IF(P420&gt;0.5,"; Invalid Discount (Too High)","")&amp;IF(Z420&lt;0,"; Invalid Shipping Record (Ship Before Order)","")&amp;IF(ABS(Q420-W420)&gt;1,"; Sales Mismatch","")&amp;IF(ABS(S420-X420)&gt;1,"; Profit Mismatch","")&amp;IF(COUNTIF($A$2:$A$913,A420)&gt;1,"; Duplicate Order ID Conflict",""))</f>
        <v/>
      </c>
      <c r="AE420" s="10" t="str">
        <f aca="false">IF(OR(ISNUMBER(SEARCH("Invalid Discount",AD420)),ISNUMBER(SEARCH("Invalid Shipping Record",AD420)),ISNUMBER(SEARCH("Sales Mismatch",AD420)),ISNUMBER(SEARCH("Profit Mismatch",AD420)),ISNUMBER(SEARCH("Duplicate Order ID Conflict",AD420)),ISNUMBER(SEARCH("Missing Order Date",AD420)),ISNUMBER(SEARCH("Missing Ship Date",AD420))),"Invalid",IF(AD420&lt;&gt;"","Warning","Clean"))</f>
        <v>Clean</v>
      </c>
    </row>
    <row r="421" customFormat="false" ht="15" hidden="false" customHeight="true" outlineLevel="0" collapsed="false">
      <c r="A421" s="3" t="s">
        <v>1281</v>
      </c>
      <c r="B421" s="4" t="n">
        <v>45926</v>
      </c>
      <c r="C421" s="4" t="n">
        <v>45930</v>
      </c>
      <c r="D421" s="3" t="s">
        <v>1282</v>
      </c>
      <c r="E421" s="3" t="str">
        <f aca="false">PROPER(TRIM(SUBSTITUTE(Raw_Text_Fields!B422,CHAR(160)," ")))</f>
        <v>Sneha Kapoor</v>
      </c>
      <c r="F421" s="3" t="str">
        <f aca="false">PROPER(TRIM(SUBSTITUTE(Raw_Text_Fields!C422,CHAR(160)," ")))</f>
        <v>Home Office</v>
      </c>
      <c r="G421" s="3" t="str">
        <f aca="false">PROPER(TRIM(SUBSTITUTE(Raw_Text_Fields!D422,CHAR(160)," ")))</f>
        <v>North</v>
      </c>
      <c r="H421" s="3" t="str">
        <f aca="false">PROPER(TRIM(SUBSTITUTE(Raw_Text_Fields!E422,CHAR(160)," ")))</f>
        <v>Haryana</v>
      </c>
      <c r="I421" s="3" t="str">
        <f aca="false">PROPER(TRIM(SUBSTITUTE(Raw_Text_Fields!F422,CHAR(160)," ")))</f>
        <v>Gurugram</v>
      </c>
      <c r="J421" s="3" t="str">
        <f aca="false">PROPER(TRIM(SUBSTITUTE(Raw_Text_Fields!G422,CHAR(160)," ")))</f>
        <v>Technology</v>
      </c>
      <c r="K421" s="3" t="str">
        <f aca="false">PROPER(TRIM(SUBSTITUTE(Raw_Text_Fields!H422,CHAR(160)," ")))</f>
        <v>Phones</v>
      </c>
      <c r="L421" s="3" t="s">
        <v>1283</v>
      </c>
      <c r="M421" s="3" t="str">
        <f aca="false">PROPER(TRIM(SUBSTITUTE(Raw_Text_Fields!I422,CHAR(160)," ")))</f>
        <v>Same Day</v>
      </c>
      <c r="N421" s="3" t="n">
        <v>2</v>
      </c>
      <c r="O421" s="5" t="n">
        <v>688.83</v>
      </c>
      <c r="P421" s="6" t="n">
        <v>0.05</v>
      </c>
      <c r="Q421" s="5" t="n">
        <v>1308.78</v>
      </c>
      <c r="R421" s="5" t="n">
        <v>843</v>
      </c>
      <c r="S421" s="5" t="n">
        <v>465.78</v>
      </c>
      <c r="T421" s="3" t="str">
        <f aca="false">PROPER(TRIM(SUBSTITUTE(Raw_Text_Fields!J422,CHAR(160)," ")))</f>
        <v>Paid</v>
      </c>
      <c r="U421" s="3" t="str">
        <f aca="false">PROPER(TRIM(SUBSTITUTE(Raw_Text_Fields!K422,CHAR(160)," ")))</f>
        <v>Completed</v>
      </c>
      <c r="V421" s="7" t="n">
        <f aca="false">IF(OR(P421&lt;0,P421&gt;0.5),0,P421)</f>
        <v>0.05</v>
      </c>
      <c r="W421" s="8" t="n">
        <f aca="false">N421*O421*(1-V421)</f>
        <v>1308.777</v>
      </c>
      <c r="X421" s="8" t="n">
        <f aca="false">W421-R421</f>
        <v>465.777</v>
      </c>
      <c r="Y421" s="7" t="n">
        <f aca="false">IFERROR(X421/W421,0)</f>
        <v>0.35588721378814</v>
      </c>
      <c r="Z421" s="9" t="n">
        <f aca="false">C421-B421</f>
        <v>4</v>
      </c>
      <c r="AA421" s="1" t="str">
        <f aca="false">IF(B421="","",TEXT(B421,"mmm"))</f>
        <v>Sep</v>
      </c>
      <c r="AB421" s="9" t="n">
        <f aca="false">IF(B421="","",YEAR(B421))</f>
        <v>2025</v>
      </c>
      <c r="AC421" s="3"/>
      <c r="AD421" s="3" t="str">
        <f aca="false">IF(LEFT(AC421&amp;IF(B421="","; Missing Order Date","")&amp;IF(C421="","; Missing Ship Date","")&amp;IF(P421&lt;0,"; Invalid Discount (Negative)","")&amp;IF(P421&gt;0.5,"; Invalid Discount (Too High)","")&amp;IF(Z421&lt;0,"; Invalid Shipping Record (Ship Before Order)","")&amp;IF(ABS(Q421-W421)&gt;1,"; Sales Mismatch","")&amp;IF(ABS(S421-X421)&gt;1,"; Profit Mismatch","")&amp;IF(COUNTIF($A$2:$A$913,A421)&gt;1,"; Duplicate Order ID Conflict",""),2)="; ",MID(AC421&amp;IF(B421="","; Missing Order Date","")&amp;IF(C421="","; Missing Ship Date","")&amp;IF(P421&lt;0,"; Invalid Discount (Negative)","")&amp;IF(P421&gt;0.5,"; Invalid Discount (Too High)","")&amp;IF(Z421&lt;0,"; Invalid Shipping Record (Ship Before Order)","")&amp;IF(ABS(Q421-W421)&gt;1,"; Sales Mismatch","")&amp;IF(ABS(S421-X421)&gt;1,"; Profit Mismatch","")&amp;IF(COUNTIF($A$2:$A$913,A421)&gt;1,"; Duplicate Order ID Conflict",""),3,500),AC421&amp;IF(B421="","; Missing Order Date","")&amp;IF(C421="","; Missing Ship Date","")&amp;IF(P421&lt;0,"; Invalid Discount (Negative)","")&amp;IF(P421&gt;0.5,"; Invalid Discount (Too High)","")&amp;IF(Z421&lt;0,"; Invalid Shipping Record (Ship Before Order)","")&amp;IF(ABS(Q421-W421)&gt;1,"; Sales Mismatch","")&amp;IF(ABS(S421-X421)&gt;1,"; Profit Mismatch","")&amp;IF(COUNTIF($A$2:$A$913,A421)&gt;1,"; Duplicate Order ID Conflict",""))</f>
        <v/>
      </c>
      <c r="AE421" s="10" t="str">
        <f aca="false">IF(OR(ISNUMBER(SEARCH("Invalid Discount",AD421)),ISNUMBER(SEARCH("Invalid Shipping Record",AD421)),ISNUMBER(SEARCH("Sales Mismatch",AD421)),ISNUMBER(SEARCH("Profit Mismatch",AD421)),ISNUMBER(SEARCH("Duplicate Order ID Conflict",AD421)),ISNUMBER(SEARCH("Missing Order Date",AD421)),ISNUMBER(SEARCH("Missing Ship Date",AD421))),"Invalid",IF(AD421&lt;&gt;"","Warning","Clean"))</f>
        <v>Clean</v>
      </c>
    </row>
    <row r="422" customFormat="false" ht="15" hidden="false" customHeight="true" outlineLevel="0" collapsed="false">
      <c r="A422" s="3" t="s">
        <v>1284</v>
      </c>
      <c r="B422" s="4" t="n">
        <v>45734</v>
      </c>
      <c r="C422" s="4" t="n">
        <v>45735</v>
      </c>
      <c r="D422" s="3" t="s">
        <v>1285</v>
      </c>
      <c r="E422" s="3" t="str">
        <f aca="false">PROPER(TRIM(SUBSTITUTE(Raw_Text_Fields!B423,CHAR(160)," ")))</f>
        <v>Isha Nair</v>
      </c>
      <c r="F422" s="3" t="str">
        <f aca="false">PROPER(TRIM(SUBSTITUTE(Raw_Text_Fields!C423,CHAR(160)," ")))</f>
        <v>Corporate</v>
      </c>
      <c r="G422" s="3" t="str">
        <f aca="false">PROPER(TRIM(SUBSTITUTE(Raw_Text_Fields!D423,CHAR(160)," ")))</f>
        <v>South</v>
      </c>
      <c r="H422" s="3" t="str">
        <f aca="false">PROPER(TRIM(SUBSTITUTE(Raw_Text_Fields!E423,CHAR(160)," ")))</f>
        <v>Tamil Nadu</v>
      </c>
      <c r="I422" s="3" t="str">
        <f aca="false">PROPER(TRIM(SUBSTITUTE(Raw_Text_Fields!F423,CHAR(160)," ")))</f>
        <v>Chennai</v>
      </c>
      <c r="J422" s="3" t="str">
        <f aca="false">PROPER(TRIM(SUBSTITUTE(Raw_Text_Fields!G423,CHAR(160)," ")))</f>
        <v>Technology</v>
      </c>
      <c r="K422" s="3" t="str">
        <f aca="false">PROPER(TRIM(SUBSTITUTE(Raw_Text_Fields!H423,CHAR(160)," ")))</f>
        <v>Machines</v>
      </c>
      <c r="L422" s="3" t="s">
        <v>1286</v>
      </c>
      <c r="M422" s="3" t="str">
        <f aca="false">PROPER(TRIM(SUBSTITUTE(Raw_Text_Fields!I423,CHAR(160)," ")))</f>
        <v>Standard Class</v>
      </c>
      <c r="N422" s="3" t="n">
        <v>2</v>
      </c>
      <c r="O422" s="5" t="n">
        <v>1209.99</v>
      </c>
      <c r="P422" s="6" t="n">
        <v>0.25</v>
      </c>
      <c r="Q422" s="5" t="n">
        <v>1814.99</v>
      </c>
      <c r="R422" s="5" t="n">
        <v>1120.06</v>
      </c>
      <c r="S422" s="5" t="n">
        <v>694.93</v>
      </c>
      <c r="T422" s="3" t="str">
        <f aca="false">PROPER(TRIM(SUBSTITUTE(Raw_Text_Fields!J423,CHAR(160)," ")))</f>
        <v>Pending</v>
      </c>
      <c r="U422" s="3" t="str">
        <f aca="false">PROPER(TRIM(SUBSTITUTE(Raw_Text_Fields!K423,CHAR(160)," ")))</f>
        <v>Cancelled</v>
      </c>
      <c r="V422" s="7" t="n">
        <f aca="false">IF(OR(P422&lt;0,P422&gt;0.5),0,P422)</f>
        <v>0.25</v>
      </c>
      <c r="W422" s="8" t="n">
        <f aca="false">N422*O422*(1-V422)</f>
        <v>1814.985</v>
      </c>
      <c r="X422" s="8" t="n">
        <f aca="false">W422-R422</f>
        <v>694.925</v>
      </c>
      <c r="Y422" s="7" t="n">
        <f aca="false">IFERROR(X422/W422,0)</f>
        <v>0.382881952192442</v>
      </c>
      <c r="Z422" s="9" t="n">
        <f aca="false">C422-B422</f>
        <v>1</v>
      </c>
      <c r="AA422" s="1" t="str">
        <f aca="false">IF(B422="","",TEXT(B422,"mmm"))</f>
        <v>Mar</v>
      </c>
      <c r="AB422" s="9" t="n">
        <f aca="false">IF(B422="","",YEAR(B422))</f>
        <v>2025</v>
      </c>
      <c r="AC422" s="3"/>
      <c r="AD422" s="3" t="str">
        <f aca="false">IF(LEFT(AC422&amp;IF(B422="","; Missing Order Date","")&amp;IF(C422="","; Missing Ship Date","")&amp;IF(P422&lt;0,"; Invalid Discount (Negative)","")&amp;IF(P422&gt;0.5,"; Invalid Discount (Too High)","")&amp;IF(Z422&lt;0,"; Invalid Shipping Record (Ship Before Order)","")&amp;IF(ABS(Q422-W422)&gt;1,"; Sales Mismatch","")&amp;IF(ABS(S422-X422)&gt;1,"; Profit Mismatch","")&amp;IF(COUNTIF($A$2:$A$913,A422)&gt;1,"; Duplicate Order ID Conflict",""),2)="; ",MID(AC422&amp;IF(B422="","; Missing Order Date","")&amp;IF(C422="","; Missing Ship Date","")&amp;IF(P422&lt;0,"; Invalid Discount (Negative)","")&amp;IF(P422&gt;0.5,"; Invalid Discount (Too High)","")&amp;IF(Z422&lt;0,"; Invalid Shipping Record (Ship Before Order)","")&amp;IF(ABS(Q422-W422)&gt;1,"; Sales Mismatch","")&amp;IF(ABS(S422-X422)&gt;1,"; Profit Mismatch","")&amp;IF(COUNTIF($A$2:$A$913,A422)&gt;1,"; Duplicate Order ID Conflict",""),3,500),AC422&amp;IF(B422="","; Missing Order Date","")&amp;IF(C422="","; Missing Ship Date","")&amp;IF(P422&lt;0,"; Invalid Discount (Negative)","")&amp;IF(P422&gt;0.5,"; Invalid Discount (Too High)","")&amp;IF(Z422&lt;0,"; Invalid Shipping Record (Ship Before Order)","")&amp;IF(ABS(Q422-W422)&gt;1,"; Sales Mismatch","")&amp;IF(ABS(S422-X422)&gt;1,"; Profit Mismatch","")&amp;IF(COUNTIF($A$2:$A$913,A422)&gt;1,"; Duplicate Order ID Conflict",""))</f>
        <v/>
      </c>
      <c r="AE422" s="10" t="str">
        <f aca="false">IF(OR(ISNUMBER(SEARCH("Invalid Discount",AD422)),ISNUMBER(SEARCH("Invalid Shipping Record",AD422)),ISNUMBER(SEARCH("Sales Mismatch",AD422)),ISNUMBER(SEARCH("Profit Mismatch",AD422)),ISNUMBER(SEARCH("Duplicate Order ID Conflict",AD422)),ISNUMBER(SEARCH("Missing Order Date",AD422)),ISNUMBER(SEARCH("Missing Ship Date",AD422))),"Invalid",IF(AD422&lt;&gt;"","Warning","Clean"))</f>
        <v>Clean</v>
      </c>
    </row>
    <row r="423" customFormat="false" ht="15" hidden="false" customHeight="true" outlineLevel="0" collapsed="false">
      <c r="A423" s="3" t="s">
        <v>1287</v>
      </c>
      <c r="B423" s="4" t="n">
        <v>45822</v>
      </c>
      <c r="C423" s="4" t="n">
        <v>45827</v>
      </c>
      <c r="D423" s="3" t="s">
        <v>1288</v>
      </c>
      <c r="E423" s="3" t="str">
        <f aca="false">PROPER(TRIM(SUBSTITUTE(Raw_Text_Fields!B424,CHAR(160)," ")))</f>
        <v>Rohan Mehta</v>
      </c>
      <c r="F423" s="3" t="str">
        <f aca="false">PROPER(TRIM(SUBSTITUTE(Raw_Text_Fields!C424,CHAR(160)," ")))</f>
        <v>Small Business</v>
      </c>
      <c r="G423" s="3" t="str">
        <f aca="false">PROPER(TRIM(SUBSTITUTE(Raw_Text_Fields!D424,CHAR(160)," ")))</f>
        <v>North</v>
      </c>
      <c r="H423" s="3" t="str">
        <f aca="false">PROPER(TRIM(SUBSTITUTE(Raw_Text_Fields!E424,CHAR(160)," ")))</f>
        <v>Delhi</v>
      </c>
      <c r="I423" s="3" t="str">
        <f aca="false">PROPER(TRIM(SUBSTITUTE(Raw_Text_Fields!F424,CHAR(160)," ")))</f>
        <v>New Delhi</v>
      </c>
      <c r="J423" s="3" t="str">
        <f aca="false">PROPER(TRIM(SUBSTITUTE(Raw_Text_Fields!G424,CHAR(160)," ")))</f>
        <v>Office Supplies</v>
      </c>
      <c r="K423" s="3" t="str">
        <f aca="false">PROPER(TRIM(SUBSTITUTE(Raw_Text_Fields!H424,CHAR(160)," ")))</f>
        <v>Binders</v>
      </c>
      <c r="L423" s="3" t="s">
        <v>1289</v>
      </c>
      <c r="M423" s="3" t="str">
        <f aca="false">PROPER(TRIM(SUBSTITUTE(Raw_Text_Fields!I424,CHAR(160)," ")))</f>
        <v>Same Day</v>
      </c>
      <c r="N423" s="3" t="n">
        <v>3</v>
      </c>
      <c r="O423" s="5" t="n">
        <v>1037.45</v>
      </c>
      <c r="P423" s="6" t="n">
        <v>0.2</v>
      </c>
      <c r="Q423" s="5" t="n">
        <v>2489.88</v>
      </c>
      <c r="R423" s="5" t="n">
        <v>1707.52</v>
      </c>
      <c r="S423" s="5" t="n">
        <v>782.36</v>
      </c>
      <c r="T423" s="3" t="str">
        <f aca="false">PROPER(TRIM(SUBSTITUTE(Raw_Text_Fields!J424,CHAR(160)," ")))</f>
        <v>Pending</v>
      </c>
      <c r="U423" s="3" t="str">
        <f aca="false">PROPER(TRIM(SUBSTITUTE(Raw_Text_Fields!K424,CHAR(160)," ")))</f>
        <v>Returned</v>
      </c>
      <c r="V423" s="7" t="n">
        <f aca="false">IF(OR(P423&lt;0,P423&gt;0.5),0,P423)</f>
        <v>0.2</v>
      </c>
      <c r="W423" s="8" t="n">
        <f aca="false">N423*O423*(1-V423)</f>
        <v>2489.88</v>
      </c>
      <c r="X423" s="8" t="n">
        <f aca="false">W423-R423</f>
        <v>782.360000000001</v>
      </c>
      <c r="Y423" s="7" t="n">
        <f aca="false">IFERROR(X423/W423,0)</f>
        <v>0.314215946150015</v>
      </c>
      <c r="Z423" s="9" t="n">
        <f aca="false">C423-B423</f>
        <v>5</v>
      </c>
      <c r="AA423" s="1" t="str">
        <f aca="false">IF(B423="","",TEXT(B423,"mmm"))</f>
        <v>Jun</v>
      </c>
      <c r="AB423" s="9" t="n">
        <f aca="false">IF(B423="","",YEAR(B423))</f>
        <v>2025</v>
      </c>
      <c r="AC423" s="3"/>
      <c r="AD423" s="3" t="str">
        <f aca="false">IF(LEFT(AC423&amp;IF(B423="","; Missing Order Date","")&amp;IF(C423="","; Missing Ship Date","")&amp;IF(P423&lt;0,"; Invalid Discount (Negative)","")&amp;IF(P423&gt;0.5,"; Invalid Discount (Too High)","")&amp;IF(Z423&lt;0,"; Invalid Shipping Record (Ship Before Order)","")&amp;IF(ABS(Q423-W423)&gt;1,"; Sales Mismatch","")&amp;IF(ABS(S423-X423)&gt;1,"; Profit Mismatch","")&amp;IF(COUNTIF($A$2:$A$913,A423)&gt;1,"; Duplicate Order ID Conflict",""),2)="; ",MID(AC423&amp;IF(B423="","; Missing Order Date","")&amp;IF(C423="","; Missing Ship Date","")&amp;IF(P423&lt;0,"; Invalid Discount (Negative)","")&amp;IF(P423&gt;0.5,"; Invalid Discount (Too High)","")&amp;IF(Z423&lt;0,"; Invalid Shipping Record (Ship Before Order)","")&amp;IF(ABS(Q423-W423)&gt;1,"; Sales Mismatch","")&amp;IF(ABS(S423-X423)&gt;1,"; Profit Mismatch","")&amp;IF(COUNTIF($A$2:$A$913,A423)&gt;1,"; Duplicate Order ID Conflict",""),3,500),AC423&amp;IF(B423="","; Missing Order Date","")&amp;IF(C423="","; Missing Ship Date","")&amp;IF(P423&lt;0,"; Invalid Discount (Negative)","")&amp;IF(P423&gt;0.5,"; Invalid Discount (Too High)","")&amp;IF(Z423&lt;0,"; Invalid Shipping Record (Ship Before Order)","")&amp;IF(ABS(Q423-W423)&gt;1,"; Sales Mismatch","")&amp;IF(ABS(S423-X423)&gt;1,"; Profit Mismatch","")&amp;IF(COUNTIF($A$2:$A$913,A423)&gt;1,"; Duplicate Order ID Conflict",""))</f>
        <v/>
      </c>
      <c r="AE423" s="10" t="str">
        <f aca="false">IF(OR(ISNUMBER(SEARCH("Invalid Discount",AD423)),ISNUMBER(SEARCH("Invalid Shipping Record",AD423)),ISNUMBER(SEARCH("Sales Mismatch",AD423)),ISNUMBER(SEARCH("Profit Mismatch",AD423)),ISNUMBER(SEARCH("Duplicate Order ID Conflict",AD423)),ISNUMBER(SEARCH("Missing Order Date",AD423)),ISNUMBER(SEARCH("Missing Ship Date",AD423))),"Invalid",IF(AD423&lt;&gt;"","Warning","Clean"))</f>
        <v>Clean</v>
      </c>
    </row>
    <row r="424" customFormat="false" ht="15" hidden="false" customHeight="true" outlineLevel="0" collapsed="false">
      <c r="A424" s="3" t="s">
        <v>1290</v>
      </c>
      <c r="B424" s="4" t="n">
        <v>45903</v>
      </c>
      <c r="C424" s="4" t="n">
        <v>45906</v>
      </c>
      <c r="D424" s="3" t="s">
        <v>1291</v>
      </c>
      <c r="E424" s="3" t="str">
        <f aca="false">PROPER(TRIM(SUBSTITUTE(Raw_Text_Fields!B425,CHAR(160)," ")))</f>
        <v>Kabir Singh</v>
      </c>
      <c r="F424" s="3" t="str">
        <f aca="false">PROPER(TRIM(SUBSTITUTE(Raw_Text_Fields!C425,CHAR(160)," ")))</f>
        <v>Consumer</v>
      </c>
      <c r="G424" s="3" t="str">
        <f aca="false">PROPER(TRIM(SUBSTITUTE(Raw_Text_Fields!D425,CHAR(160)," ")))</f>
        <v>West</v>
      </c>
      <c r="H424" s="3" t="str">
        <f aca="false">PROPER(TRIM(SUBSTITUTE(Raw_Text_Fields!E425,CHAR(160)," ")))</f>
        <v>Madhya Pradesh</v>
      </c>
      <c r="I424" s="3" t="str">
        <f aca="false">PROPER(TRIM(SUBSTITUTE(Raw_Text_Fields!F425,CHAR(160)," ")))</f>
        <v>Indore</v>
      </c>
      <c r="J424" s="3" t="str">
        <f aca="false">PROPER(TRIM(SUBSTITUTE(Raw_Text_Fields!G425,CHAR(160)," ")))</f>
        <v>Technology</v>
      </c>
      <c r="K424" s="3" t="str">
        <f aca="false">PROPER(TRIM(SUBSTITUTE(Raw_Text_Fields!H425,CHAR(160)," ")))</f>
        <v>Copiers</v>
      </c>
      <c r="L424" s="3" t="s">
        <v>1292</v>
      </c>
      <c r="M424" s="3" t="str">
        <f aca="false">PROPER(TRIM(SUBSTITUTE(Raw_Text_Fields!I425,CHAR(160)," ")))</f>
        <v>Same Day</v>
      </c>
      <c r="N424" s="3" t="n">
        <v>7</v>
      </c>
      <c r="O424" s="5" t="n">
        <v>688.85</v>
      </c>
      <c r="P424" s="6" t="n">
        <v>0.15</v>
      </c>
      <c r="Q424" s="5" t="n">
        <v>4098.66</v>
      </c>
      <c r="R424" s="5" t="n">
        <v>2678.06</v>
      </c>
      <c r="S424" s="5" t="n">
        <v>1420.6</v>
      </c>
      <c r="T424" s="3" t="str">
        <f aca="false">PROPER(TRIM(SUBSTITUTE(Raw_Text_Fields!J425,CHAR(160)," ")))</f>
        <v>Paid</v>
      </c>
      <c r="U424" s="3" t="str">
        <f aca="false">PROPER(TRIM(SUBSTITUTE(Raw_Text_Fields!K425,CHAR(160)," ")))</f>
        <v>Completed</v>
      </c>
      <c r="V424" s="7" t="n">
        <f aca="false">IF(OR(P424&lt;0,P424&gt;0.5),0,P424)</f>
        <v>0.15</v>
      </c>
      <c r="W424" s="8" t="n">
        <f aca="false">N424*O424*(1-V424)</f>
        <v>4098.6575</v>
      </c>
      <c r="X424" s="8" t="n">
        <f aca="false">W424-R424</f>
        <v>1420.5975</v>
      </c>
      <c r="Y424" s="7" t="n">
        <f aca="false">IFERROR(X424/W424,0)</f>
        <v>0.346600685712334</v>
      </c>
      <c r="Z424" s="9" t="n">
        <f aca="false">C424-B424</f>
        <v>3</v>
      </c>
      <c r="AA424" s="1" t="str">
        <f aca="false">IF(B424="","",TEXT(B424,"mmm"))</f>
        <v>Sep</v>
      </c>
      <c r="AB424" s="9" t="n">
        <f aca="false">IF(B424="","",YEAR(B424))</f>
        <v>2025</v>
      </c>
      <c r="AC424" s="3"/>
      <c r="AD424" s="3" t="str">
        <f aca="false">IF(LEFT(AC424&amp;IF(B424="","; Missing Order Date","")&amp;IF(C424="","; Missing Ship Date","")&amp;IF(P424&lt;0,"; Invalid Discount (Negative)","")&amp;IF(P424&gt;0.5,"; Invalid Discount (Too High)","")&amp;IF(Z424&lt;0,"; Invalid Shipping Record (Ship Before Order)","")&amp;IF(ABS(Q424-W424)&gt;1,"; Sales Mismatch","")&amp;IF(ABS(S424-X424)&gt;1,"; Profit Mismatch","")&amp;IF(COUNTIF($A$2:$A$913,A424)&gt;1,"; Duplicate Order ID Conflict",""),2)="; ",MID(AC424&amp;IF(B424="","; Missing Order Date","")&amp;IF(C424="","; Missing Ship Date","")&amp;IF(P424&lt;0,"; Invalid Discount (Negative)","")&amp;IF(P424&gt;0.5,"; Invalid Discount (Too High)","")&amp;IF(Z424&lt;0,"; Invalid Shipping Record (Ship Before Order)","")&amp;IF(ABS(Q424-W424)&gt;1,"; Sales Mismatch","")&amp;IF(ABS(S424-X424)&gt;1,"; Profit Mismatch","")&amp;IF(COUNTIF($A$2:$A$913,A424)&gt;1,"; Duplicate Order ID Conflict",""),3,500),AC424&amp;IF(B424="","; Missing Order Date","")&amp;IF(C424="","; Missing Ship Date","")&amp;IF(P424&lt;0,"; Invalid Discount (Negative)","")&amp;IF(P424&gt;0.5,"; Invalid Discount (Too High)","")&amp;IF(Z424&lt;0,"; Invalid Shipping Record (Ship Before Order)","")&amp;IF(ABS(Q424-W424)&gt;1,"; Sales Mismatch","")&amp;IF(ABS(S424-X424)&gt;1,"; Profit Mismatch","")&amp;IF(COUNTIF($A$2:$A$913,A424)&gt;1,"; Duplicate Order ID Conflict",""))</f>
        <v/>
      </c>
      <c r="AE424" s="10" t="str">
        <f aca="false">IF(OR(ISNUMBER(SEARCH("Invalid Discount",AD424)),ISNUMBER(SEARCH("Invalid Shipping Record",AD424)),ISNUMBER(SEARCH("Sales Mismatch",AD424)),ISNUMBER(SEARCH("Profit Mismatch",AD424)),ISNUMBER(SEARCH("Duplicate Order ID Conflict",AD424)),ISNUMBER(SEARCH("Missing Order Date",AD424)),ISNUMBER(SEARCH("Missing Ship Date",AD424))),"Invalid",IF(AD424&lt;&gt;"","Warning","Clean"))</f>
        <v>Clean</v>
      </c>
    </row>
    <row r="425" customFormat="false" ht="15" hidden="false" customHeight="true" outlineLevel="0" collapsed="false">
      <c r="A425" s="3" t="s">
        <v>1293</v>
      </c>
      <c r="B425" s="4" t="n">
        <v>45342</v>
      </c>
      <c r="C425" s="4" t="n">
        <v>45349</v>
      </c>
      <c r="D425" s="3" t="s">
        <v>1294</v>
      </c>
      <c r="E425" s="3" t="str">
        <f aca="false">PROPER(TRIM(SUBSTITUTE(Raw_Text_Fields!B426,CHAR(160)," ")))</f>
        <v>Diya Patel</v>
      </c>
      <c r="F425" s="3" t="str">
        <f aca="false">PROPER(TRIM(SUBSTITUTE(Raw_Text_Fields!C426,CHAR(160)," ")))</f>
        <v>Consumer</v>
      </c>
      <c r="G425" s="3" t="str">
        <f aca="false">PROPER(TRIM(SUBSTITUTE(Raw_Text_Fields!D426,CHAR(160)," ")))</f>
        <v>South</v>
      </c>
      <c r="H425" s="3" t="str">
        <f aca="false">PROPER(TRIM(SUBSTITUTE(Raw_Text_Fields!E426,CHAR(160)," ")))</f>
        <v>Kerala</v>
      </c>
      <c r="I425" s="3" t="str">
        <f aca="false">PROPER(TRIM(SUBSTITUTE(Raw_Text_Fields!F426,CHAR(160)," ")))</f>
        <v>Kochi</v>
      </c>
      <c r="J425" s="3" t="str">
        <f aca="false">PROPER(TRIM(SUBSTITUTE(Raw_Text_Fields!G426,CHAR(160)," ")))</f>
        <v>Technology</v>
      </c>
      <c r="K425" s="3" t="str">
        <f aca="false">PROPER(TRIM(SUBSTITUTE(Raw_Text_Fields!H426,CHAR(160)," ")))</f>
        <v>Accessories</v>
      </c>
      <c r="L425" s="3" t="s">
        <v>1295</v>
      </c>
      <c r="M425" s="3" t="str">
        <f aca="false">PROPER(TRIM(SUBSTITUTE(Raw_Text_Fields!I426,CHAR(160)," ")))</f>
        <v>First Class</v>
      </c>
      <c r="N425" s="3" t="n">
        <v>9</v>
      </c>
      <c r="O425" s="5" t="n">
        <v>3779.31</v>
      </c>
      <c r="P425" s="6" t="n">
        <v>0.2</v>
      </c>
      <c r="Q425" s="5" t="n">
        <v>27211.03</v>
      </c>
      <c r="R425" s="5" t="n">
        <v>17940.43</v>
      </c>
      <c r="S425" s="5" t="n">
        <v>9270.6</v>
      </c>
      <c r="T425" s="3" t="str">
        <f aca="false">PROPER(TRIM(SUBSTITUTE(Raw_Text_Fields!J426,CHAR(160)," ")))</f>
        <v>Paid</v>
      </c>
      <c r="U425" s="3" t="str">
        <f aca="false">PROPER(TRIM(SUBSTITUTE(Raw_Text_Fields!K426,CHAR(160)," ")))</f>
        <v>Completed</v>
      </c>
      <c r="V425" s="7" t="n">
        <f aca="false">IF(OR(P425&lt;0,P425&gt;0.5),0,P425)</f>
        <v>0.2</v>
      </c>
      <c r="W425" s="8" t="n">
        <f aca="false">N425*O425*(1-V425)</f>
        <v>27211.032</v>
      </c>
      <c r="X425" s="8" t="n">
        <f aca="false">W425-R425</f>
        <v>9270.602</v>
      </c>
      <c r="Y425" s="7" t="n">
        <f aca="false">IFERROR(X425/W425,0)</f>
        <v>0.340692774901003</v>
      </c>
      <c r="Z425" s="9" t="n">
        <f aca="false">C425-B425</f>
        <v>7</v>
      </c>
      <c r="AA425" s="1" t="str">
        <f aca="false">IF(B425="","",TEXT(B425,"mmm"))</f>
        <v>Feb</v>
      </c>
      <c r="AB425" s="9" t="n">
        <f aca="false">IF(B425="","",YEAR(B425))</f>
        <v>2024</v>
      </c>
      <c r="AC425" s="3"/>
      <c r="AD425" s="3" t="str">
        <f aca="false">IF(LEFT(AC425&amp;IF(B425="","; Missing Order Date","")&amp;IF(C425="","; Missing Ship Date","")&amp;IF(P425&lt;0,"; Invalid Discount (Negative)","")&amp;IF(P425&gt;0.5,"; Invalid Discount (Too High)","")&amp;IF(Z425&lt;0,"; Invalid Shipping Record (Ship Before Order)","")&amp;IF(ABS(Q425-W425)&gt;1,"; Sales Mismatch","")&amp;IF(ABS(S425-X425)&gt;1,"; Profit Mismatch","")&amp;IF(COUNTIF($A$2:$A$913,A425)&gt;1,"; Duplicate Order ID Conflict",""),2)="; ",MID(AC425&amp;IF(B425="","; Missing Order Date","")&amp;IF(C425="","; Missing Ship Date","")&amp;IF(P425&lt;0,"; Invalid Discount (Negative)","")&amp;IF(P425&gt;0.5,"; Invalid Discount (Too High)","")&amp;IF(Z425&lt;0,"; Invalid Shipping Record (Ship Before Order)","")&amp;IF(ABS(Q425-W425)&gt;1,"; Sales Mismatch","")&amp;IF(ABS(S425-X425)&gt;1,"; Profit Mismatch","")&amp;IF(COUNTIF($A$2:$A$913,A425)&gt;1,"; Duplicate Order ID Conflict",""),3,500),AC425&amp;IF(B425="","; Missing Order Date","")&amp;IF(C425="","; Missing Ship Date","")&amp;IF(P425&lt;0,"; Invalid Discount (Negative)","")&amp;IF(P425&gt;0.5,"; Invalid Discount (Too High)","")&amp;IF(Z425&lt;0,"; Invalid Shipping Record (Ship Before Order)","")&amp;IF(ABS(Q425-W425)&gt;1,"; Sales Mismatch","")&amp;IF(ABS(S425-X425)&gt;1,"; Profit Mismatch","")&amp;IF(COUNTIF($A$2:$A$913,A425)&gt;1,"; Duplicate Order ID Conflict",""))</f>
        <v>Duplicate Order ID Conflict</v>
      </c>
      <c r="AE425" s="10" t="str">
        <f aca="false">IF(OR(ISNUMBER(SEARCH("Invalid Discount",AD425)),ISNUMBER(SEARCH("Invalid Shipping Record",AD425)),ISNUMBER(SEARCH("Sales Mismatch",AD425)),ISNUMBER(SEARCH("Profit Mismatch",AD425)),ISNUMBER(SEARCH("Duplicate Order ID Conflict",AD425)),ISNUMBER(SEARCH("Missing Order Date",AD425)),ISNUMBER(SEARCH("Missing Ship Date",AD425))),"Invalid",IF(AD425&lt;&gt;"","Warning","Clean"))</f>
        <v>Invalid</v>
      </c>
    </row>
    <row r="426" customFormat="false" ht="15" hidden="false" customHeight="true" outlineLevel="0" collapsed="false">
      <c r="A426" s="3" t="s">
        <v>1296</v>
      </c>
      <c r="B426" s="4" t="n">
        <v>45469</v>
      </c>
      <c r="C426" s="4" t="n">
        <v>45472</v>
      </c>
      <c r="D426" s="3" t="s">
        <v>1297</v>
      </c>
      <c r="E426" s="3" t="str">
        <f aca="false">PROPER(TRIM(SUBSTITUTE(Raw_Text_Fields!B427,CHAR(160)," ")))</f>
        <v>Neha Gupta</v>
      </c>
      <c r="F426" s="3" t="str">
        <f aca="false">PROPER(TRIM(SUBSTITUTE(Raw_Text_Fields!C427,CHAR(160)," ")))</f>
        <v>Corporate</v>
      </c>
      <c r="G426" s="3" t="str">
        <f aca="false">PROPER(TRIM(SUBSTITUTE(Raw_Text_Fields!D427,CHAR(160)," ")))</f>
        <v>North</v>
      </c>
      <c r="H426" s="3" t="str">
        <f aca="false">PROPER(TRIM(SUBSTITUTE(Raw_Text_Fields!E427,CHAR(160)," ")))</f>
        <v>Punjab</v>
      </c>
      <c r="I426" s="3" t="str">
        <f aca="false">PROPER(TRIM(SUBSTITUTE(Raw_Text_Fields!F427,CHAR(160)," ")))</f>
        <v>Ludhiana</v>
      </c>
      <c r="J426" s="3" t="str">
        <f aca="false">PROPER(TRIM(SUBSTITUTE(Raw_Text_Fields!G427,CHAR(160)," ")))</f>
        <v>Technology</v>
      </c>
      <c r="K426" s="3" t="str">
        <f aca="false">PROPER(TRIM(SUBSTITUTE(Raw_Text_Fields!H427,CHAR(160)," ")))</f>
        <v>Phones</v>
      </c>
      <c r="L426" s="3" t="s">
        <v>1298</v>
      </c>
      <c r="M426" s="3" t="str">
        <f aca="false">PROPER(TRIM(SUBSTITUTE(Raw_Text_Fields!I427,CHAR(160)," ")))</f>
        <v>Standard Class</v>
      </c>
      <c r="N426" s="3" t="n">
        <v>8</v>
      </c>
      <c r="O426" s="5" t="n">
        <v>804.52</v>
      </c>
      <c r="P426" s="6" t="n">
        <v>0</v>
      </c>
      <c r="Q426" s="5" t="n">
        <v>6436.16</v>
      </c>
      <c r="R426" s="5" t="n">
        <v>4263.83</v>
      </c>
      <c r="S426" s="5" t="n">
        <v>2172.33</v>
      </c>
      <c r="T426" s="3" t="str">
        <f aca="false">PROPER(TRIM(SUBSTITUTE(Raw_Text_Fields!J427,CHAR(160)," ")))</f>
        <v>Paid</v>
      </c>
      <c r="U426" s="3" t="str">
        <f aca="false">PROPER(TRIM(SUBSTITUTE(Raw_Text_Fields!K427,CHAR(160)," ")))</f>
        <v>Completed</v>
      </c>
      <c r="V426" s="7" t="n">
        <f aca="false">IF(OR(P426&lt;0,P426&gt;0.5),0,P426)</f>
        <v>0</v>
      </c>
      <c r="W426" s="8" t="n">
        <f aca="false">N426*O426*(1-V426)</f>
        <v>6436.16</v>
      </c>
      <c r="X426" s="8" t="n">
        <f aca="false">W426-R426</f>
        <v>2172.33</v>
      </c>
      <c r="Y426" s="7" t="n">
        <f aca="false">IFERROR(X426/W426,0)</f>
        <v>0.337519576890568</v>
      </c>
      <c r="Z426" s="9" t="n">
        <f aca="false">C426-B426</f>
        <v>3</v>
      </c>
      <c r="AA426" s="1" t="str">
        <f aca="false">IF(B426="","",TEXT(B426,"mmm"))</f>
        <v>Jun</v>
      </c>
      <c r="AB426" s="9" t="n">
        <f aca="false">IF(B426="","",YEAR(B426))</f>
        <v>2024</v>
      </c>
      <c r="AC426" s="3"/>
      <c r="AD426" s="3" t="str">
        <f aca="false">IF(LEFT(AC426&amp;IF(B426="","; Missing Order Date","")&amp;IF(C426="","; Missing Ship Date","")&amp;IF(P426&lt;0,"; Invalid Discount (Negative)","")&amp;IF(P426&gt;0.5,"; Invalid Discount (Too High)","")&amp;IF(Z426&lt;0,"; Invalid Shipping Record (Ship Before Order)","")&amp;IF(ABS(Q426-W426)&gt;1,"; Sales Mismatch","")&amp;IF(ABS(S426-X426)&gt;1,"; Profit Mismatch","")&amp;IF(COUNTIF($A$2:$A$913,A426)&gt;1,"; Duplicate Order ID Conflict",""),2)="; ",MID(AC426&amp;IF(B426="","; Missing Order Date","")&amp;IF(C426="","; Missing Ship Date","")&amp;IF(P426&lt;0,"; Invalid Discount (Negative)","")&amp;IF(P426&gt;0.5,"; Invalid Discount (Too High)","")&amp;IF(Z426&lt;0,"; Invalid Shipping Record (Ship Before Order)","")&amp;IF(ABS(Q426-W426)&gt;1,"; Sales Mismatch","")&amp;IF(ABS(S426-X426)&gt;1,"; Profit Mismatch","")&amp;IF(COUNTIF($A$2:$A$913,A426)&gt;1,"; Duplicate Order ID Conflict",""),3,500),AC426&amp;IF(B426="","; Missing Order Date","")&amp;IF(C426="","; Missing Ship Date","")&amp;IF(P426&lt;0,"; Invalid Discount (Negative)","")&amp;IF(P426&gt;0.5,"; Invalid Discount (Too High)","")&amp;IF(Z426&lt;0,"; Invalid Shipping Record (Ship Before Order)","")&amp;IF(ABS(Q426-W426)&gt;1,"; Sales Mismatch","")&amp;IF(ABS(S426-X426)&gt;1,"; Profit Mismatch","")&amp;IF(COUNTIF($A$2:$A$913,A426)&gt;1,"; Duplicate Order ID Conflict",""))</f>
        <v/>
      </c>
      <c r="AE426" s="10" t="str">
        <f aca="false">IF(OR(ISNUMBER(SEARCH("Invalid Discount",AD426)),ISNUMBER(SEARCH("Invalid Shipping Record",AD426)),ISNUMBER(SEARCH("Sales Mismatch",AD426)),ISNUMBER(SEARCH("Profit Mismatch",AD426)),ISNUMBER(SEARCH("Duplicate Order ID Conflict",AD426)),ISNUMBER(SEARCH("Missing Order Date",AD426)),ISNUMBER(SEARCH("Missing Ship Date",AD426))),"Invalid",IF(AD426&lt;&gt;"","Warning","Clean"))</f>
        <v>Clean</v>
      </c>
    </row>
    <row r="427" customFormat="false" ht="15" hidden="false" customHeight="true" outlineLevel="0" collapsed="false">
      <c r="A427" s="3" t="s">
        <v>1299</v>
      </c>
      <c r="B427" s="4" t="n">
        <v>45561</v>
      </c>
      <c r="C427" s="4" t="n">
        <v>45562</v>
      </c>
      <c r="D427" s="3" t="s">
        <v>1300</v>
      </c>
      <c r="E427" s="3" t="str">
        <f aca="false">PROPER(TRIM(SUBSTITUTE(Raw_Text_Fields!B428,CHAR(160)," ")))</f>
        <v>Isha Nair</v>
      </c>
      <c r="F427" s="3" t="str">
        <f aca="false">PROPER(TRIM(SUBSTITUTE(Raw_Text_Fields!C428,CHAR(160)," ")))</f>
        <v>Home Office</v>
      </c>
      <c r="G427" s="3" t="str">
        <f aca="false">PROPER(TRIM(SUBSTITUTE(Raw_Text_Fields!D428,CHAR(160)," ")))</f>
        <v>North</v>
      </c>
      <c r="H427" s="3" t="str">
        <f aca="false">PROPER(TRIM(SUBSTITUTE(Raw_Text_Fields!E428,CHAR(160)," ")))</f>
        <v>Delhi</v>
      </c>
      <c r="I427" s="3" t="str">
        <f aca="false">PROPER(TRIM(SUBSTITUTE(Raw_Text_Fields!F428,CHAR(160)," ")))</f>
        <v>New Delhi</v>
      </c>
      <c r="J427" s="3" t="str">
        <f aca="false">PROPER(TRIM(SUBSTITUTE(Raw_Text_Fields!G428,CHAR(160)," ")))</f>
        <v>Office Supplies</v>
      </c>
      <c r="K427" s="3" t="str">
        <f aca="false">PROPER(TRIM(SUBSTITUTE(Raw_Text_Fields!H428,CHAR(160)," ")))</f>
        <v>Labels</v>
      </c>
      <c r="L427" s="3" t="s">
        <v>1301</v>
      </c>
      <c r="M427" s="3" t="str">
        <f aca="false">PROPER(TRIM(SUBSTITUTE(Raw_Text_Fields!I428,CHAR(160)," ")))</f>
        <v>First Class</v>
      </c>
      <c r="N427" s="3" t="n">
        <v>2</v>
      </c>
      <c r="O427" s="5" t="n">
        <v>1065.69</v>
      </c>
      <c r="P427" s="6" t="n">
        <v>0.1</v>
      </c>
      <c r="Q427" s="5" t="n">
        <v>1918.24</v>
      </c>
      <c r="R427" s="5" t="n">
        <v>1373.52</v>
      </c>
      <c r="S427" s="5" t="n">
        <v>544.72</v>
      </c>
      <c r="T427" s="3" t="str">
        <f aca="false">PROPER(TRIM(SUBSTITUTE(Raw_Text_Fields!J428,CHAR(160)," ")))</f>
        <v>Refunded</v>
      </c>
      <c r="U427" s="3" t="str">
        <f aca="false">PROPER(TRIM(SUBSTITUTE(Raw_Text_Fields!K428,CHAR(160)," ")))</f>
        <v>Cancelled</v>
      </c>
      <c r="V427" s="7" t="n">
        <f aca="false">IF(OR(P427&lt;0,P427&gt;0.5),0,P427)</f>
        <v>0.1</v>
      </c>
      <c r="W427" s="8" t="n">
        <f aca="false">N427*O427*(1-V427)</f>
        <v>1918.242</v>
      </c>
      <c r="X427" s="8" t="n">
        <f aca="false">W427-R427</f>
        <v>544.722</v>
      </c>
      <c r="Y427" s="7" t="n">
        <f aca="false">IFERROR(X427/W427,0)</f>
        <v>0.283969384467653</v>
      </c>
      <c r="Z427" s="9" t="n">
        <f aca="false">C427-B427</f>
        <v>1</v>
      </c>
      <c r="AA427" s="1" t="str">
        <f aca="false">IF(B427="","",TEXT(B427,"mmm"))</f>
        <v>Sep</v>
      </c>
      <c r="AB427" s="9" t="n">
        <f aca="false">IF(B427="","",YEAR(B427))</f>
        <v>2024</v>
      </c>
      <c r="AC427" s="3"/>
      <c r="AD427" s="3" t="str">
        <f aca="false">IF(LEFT(AC427&amp;IF(B427="","; Missing Order Date","")&amp;IF(C427="","; Missing Ship Date","")&amp;IF(P427&lt;0,"; Invalid Discount (Negative)","")&amp;IF(P427&gt;0.5,"; Invalid Discount (Too High)","")&amp;IF(Z427&lt;0,"; Invalid Shipping Record (Ship Before Order)","")&amp;IF(ABS(Q427-W427)&gt;1,"; Sales Mismatch","")&amp;IF(ABS(S427-X427)&gt;1,"; Profit Mismatch","")&amp;IF(COUNTIF($A$2:$A$913,A427)&gt;1,"; Duplicate Order ID Conflict",""),2)="; ",MID(AC427&amp;IF(B427="","; Missing Order Date","")&amp;IF(C427="","; Missing Ship Date","")&amp;IF(P427&lt;0,"; Invalid Discount (Negative)","")&amp;IF(P427&gt;0.5,"; Invalid Discount (Too High)","")&amp;IF(Z427&lt;0,"; Invalid Shipping Record (Ship Before Order)","")&amp;IF(ABS(Q427-W427)&gt;1,"; Sales Mismatch","")&amp;IF(ABS(S427-X427)&gt;1,"; Profit Mismatch","")&amp;IF(COUNTIF($A$2:$A$913,A427)&gt;1,"; Duplicate Order ID Conflict",""),3,500),AC427&amp;IF(B427="","; Missing Order Date","")&amp;IF(C427="","; Missing Ship Date","")&amp;IF(P427&lt;0,"; Invalid Discount (Negative)","")&amp;IF(P427&gt;0.5,"; Invalid Discount (Too High)","")&amp;IF(Z427&lt;0,"; Invalid Shipping Record (Ship Before Order)","")&amp;IF(ABS(Q427-W427)&gt;1,"; Sales Mismatch","")&amp;IF(ABS(S427-X427)&gt;1,"; Profit Mismatch","")&amp;IF(COUNTIF($A$2:$A$913,A427)&gt;1,"; Duplicate Order ID Conflict",""))</f>
        <v/>
      </c>
      <c r="AE427" s="10" t="str">
        <f aca="false">IF(OR(ISNUMBER(SEARCH("Invalid Discount",AD427)),ISNUMBER(SEARCH("Invalid Shipping Record",AD427)),ISNUMBER(SEARCH("Sales Mismatch",AD427)),ISNUMBER(SEARCH("Profit Mismatch",AD427)),ISNUMBER(SEARCH("Duplicate Order ID Conflict",AD427)),ISNUMBER(SEARCH("Missing Order Date",AD427)),ISNUMBER(SEARCH("Missing Ship Date",AD427))),"Invalid",IF(AD427&lt;&gt;"","Warning","Clean"))</f>
        <v>Clean</v>
      </c>
    </row>
    <row r="428" customFormat="false" ht="15" hidden="false" customHeight="true" outlineLevel="0" collapsed="false">
      <c r="A428" s="3" t="s">
        <v>1302</v>
      </c>
      <c r="B428" s="4" t="n">
        <v>45473</v>
      </c>
      <c r="C428" s="4" t="n">
        <v>45474</v>
      </c>
      <c r="D428" s="3" t="s">
        <v>1303</v>
      </c>
      <c r="E428" s="3" t="str">
        <f aca="false">PROPER(TRIM(SUBSTITUTE(Raw_Text_Fields!B429,CHAR(160)," ")))</f>
        <v>Aditi Sen</v>
      </c>
      <c r="F428" s="3" t="str">
        <f aca="false">PROPER(TRIM(SUBSTITUTE(Raw_Text_Fields!C429,CHAR(160)," ")))</f>
        <v>Consumer</v>
      </c>
      <c r="G428" s="3" t="str">
        <f aca="false">PROPER(TRIM(SUBSTITUTE(Raw_Text_Fields!D429,CHAR(160)," ")))</f>
        <v>North</v>
      </c>
      <c r="H428" s="3" t="str">
        <f aca="false">PROPER(TRIM(SUBSTITUTE(Raw_Text_Fields!E429,CHAR(160)," ")))</f>
        <v>Haryana</v>
      </c>
      <c r="I428" s="3" t="str">
        <f aca="false">PROPER(TRIM(SUBSTITUTE(Raw_Text_Fields!F429,CHAR(160)," ")))</f>
        <v>Gurugram</v>
      </c>
      <c r="J428" s="3" t="str">
        <f aca="false">PROPER(TRIM(SUBSTITUTE(Raw_Text_Fields!G429,CHAR(160)," ")))</f>
        <v>Technology</v>
      </c>
      <c r="K428" s="3" t="str">
        <f aca="false">PROPER(TRIM(SUBSTITUTE(Raw_Text_Fields!H429,CHAR(160)," ")))</f>
        <v>Copiers</v>
      </c>
      <c r="L428" s="3" t="s">
        <v>1304</v>
      </c>
      <c r="M428" s="3" t="str">
        <f aca="false">PROPER(TRIM(SUBSTITUTE(Raw_Text_Fields!I429,CHAR(160)," ")))</f>
        <v>Same Day</v>
      </c>
      <c r="N428" s="3" t="n">
        <v>8</v>
      </c>
      <c r="O428" s="5" t="n">
        <v>3756.66</v>
      </c>
      <c r="P428" s="6" t="n">
        <v>0.1</v>
      </c>
      <c r="Q428" s="5" t="n">
        <v>27047.95</v>
      </c>
      <c r="R428" s="5" t="n">
        <v>18431.33</v>
      </c>
      <c r="S428" s="5" t="n">
        <v>8616.62</v>
      </c>
      <c r="T428" s="3" t="str">
        <f aca="false">PROPER(TRIM(SUBSTITUTE(Raw_Text_Fields!J429,CHAR(160)," ")))</f>
        <v>Paid</v>
      </c>
      <c r="U428" s="3" t="str">
        <f aca="false">PROPER(TRIM(SUBSTITUTE(Raw_Text_Fields!K429,CHAR(160)," ")))</f>
        <v>Completed</v>
      </c>
      <c r="V428" s="7" t="n">
        <f aca="false">IF(OR(P428&lt;0,P428&gt;0.5),0,P428)</f>
        <v>0.1</v>
      </c>
      <c r="W428" s="8" t="n">
        <f aca="false">N428*O428*(1-V428)</f>
        <v>27047.952</v>
      </c>
      <c r="X428" s="8" t="n">
        <f aca="false">W428-R428</f>
        <v>8616.622</v>
      </c>
      <c r="Y428" s="7" t="n">
        <f aca="false">IFERROR(X428/W428,0)</f>
        <v>0.318568370721746</v>
      </c>
      <c r="Z428" s="9" t="n">
        <f aca="false">C428-B428</f>
        <v>1</v>
      </c>
      <c r="AA428" s="1" t="str">
        <f aca="false">IF(B428="","",TEXT(B428,"mmm"))</f>
        <v>Jun</v>
      </c>
      <c r="AB428" s="9" t="n">
        <f aca="false">IF(B428="","",YEAR(B428))</f>
        <v>2024</v>
      </c>
      <c r="AC428" s="3"/>
      <c r="AD428" s="3" t="str">
        <f aca="false">IF(LEFT(AC428&amp;IF(B428="","; Missing Order Date","")&amp;IF(C428="","; Missing Ship Date","")&amp;IF(P428&lt;0,"; Invalid Discount (Negative)","")&amp;IF(P428&gt;0.5,"; Invalid Discount (Too High)","")&amp;IF(Z428&lt;0,"; Invalid Shipping Record (Ship Before Order)","")&amp;IF(ABS(Q428-W428)&gt;1,"; Sales Mismatch","")&amp;IF(ABS(S428-X428)&gt;1,"; Profit Mismatch","")&amp;IF(COUNTIF($A$2:$A$913,A428)&gt;1,"; Duplicate Order ID Conflict",""),2)="; ",MID(AC428&amp;IF(B428="","; Missing Order Date","")&amp;IF(C428="","; Missing Ship Date","")&amp;IF(P428&lt;0,"; Invalid Discount (Negative)","")&amp;IF(P428&gt;0.5,"; Invalid Discount (Too High)","")&amp;IF(Z428&lt;0,"; Invalid Shipping Record (Ship Before Order)","")&amp;IF(ABS(Q428-W428)&gt;1,"; Sales Mismatch","")&amp;IF(ABS(S428-X428)&gt;1,"; Profit Mismatch","")&amp;IF(COUNTIF($A$2:$A$913,A428)&gt;1,"; Duplicate Order ID Conflict",""),3,500),AC428&amp;IF(B428="","; Missing Order Date","")&amp;IF(C428="","; Missing Ship Date","")&amp;IF(P428&lt;0,"; Invalid Discount (Negative)","")&amp;IF(P428&gt;0.5,"; Invalid Discount (Too High)","")&amp;IF(Z428&lt;0,"; Invalid Shipping Record (Ship Before Order)","")&amp;IF(ABS(Q428-W428)&gt;1,"; Sales Mismatch","")&amp;IF(ABS(S428-X428)&gt;1,"; Profit Mismatch","")&amp;IF(COUNTIF($A$2:$A$913,A428)&gt;1,"; Duplicate Order ID Conflict",""))</f>
        <v/>
      </c>
      <c r="AE428" s="10" t="str">
        <f aca="false">IF(OR(ISNUMBER(SEARCH("Invalid Discount",AD428)),ISNUMBER(SEARCH("Invalid Shipping Record",AD428)),ISNUMBER(SEARCH("Sales Mismatch",AD428)),ISNUMBER(SEARCH("Profit Mismatch",AD428)),ISNUMBER(SEARCH("Duplicate Order ID Conflict",AD428)),ISNUMBER(SEARCH("Missing Order Date",AD428)),ISNUMBER(SEARCH("Missing Ship Date",AD428))),"Invalid",IF(AD428&lt;&gt;"","Warning","Clean"))</f>
        <v>Clean</v>
      </c>
    </row>
    <row r="429" customFormat="false" ht="15" hidden="false" customHeight="true" outlineLevel="0" collapsed="false">
      <c r="A429" s="3" t="s">
        <v>1305</v>
      </c>
      <c r="B429" s="4" t="n">
        <v>45769</v>
      </c>
      <c r="C429" s="4" t="n">
        <v>45771</v>
      </c>
      <c r="D429" s="3" t="s">
        <v>1306</v>
      </c>
      <c r="E429" s="3" t="str">
        <f aca="false">PROPER(TRIM(SUBSTITUTE(Raw_Text_Fields!B430,CHAR(160)," ")))</f>
        <v>Isha Nair</v>
      </c>
      <c r="F429" s="3" t="str">
        <f aca="false">PROPER(TRIM(SUBSTITUTE(Raw_Text_Fields!C430,CHAR(160)," ")))</f>
        <v>Corporate</v>
      </c>
      <c r="G429" s="3" t="str">
        <f aca="false">PROPER(TRIM(SUBSTITUTE(Raw_Text_Fields!D430,CHAR(160)," ")))</f>
        <v>Unknown</v>
      </c>
      <c r="H429" s="3" t="str">
        <f aca="false">PROPER(TRIM(SUBSTITUTE(Raw_Text_Fields!E430,CHAR(160)," ")))</f>
        <v>Jharkhand</v>
      </c>
      <c r="I429" s="3" t="str">
        <f aca="false">PROPER(TRIM(SUBSTITUTE(Raw_Text_Fields!F430,CHAR(160)," ")))</f>
        <v>Ranchi</v>
      </c>
      <c r="J429" s="3" t="str">
        <f aca="false">PROPER(TRIM(SUBSTITUTE(Raw_Text_Fields!G430,CHAR(160)," ")))</f>
        <v>Technology</v>
      </c>
      <c r="K429" s="3" t="str">
        <f aca="false">PROPER(TRIM(SUBSTITUTE(Raw_Text_Fields!H430,CHAR(160)," ")))</f>
        <v>Accessories</v>
      </c>
      <c r="L429" s="3" t="s">
        <v>1307</v>
      </c>
      <c r="M429" s="3" t="str">
        <f aca="false">PROPER(TRIM(SUBSTITUTE(Raw_Text_Fields!I430,CHAR(160)," ")))</f>
        <v>Standard Class</v>
      </c>
      <c r="N429" s="3" t="n">
        <v>9</v>
      </c>
      <c r="O429" s="5" t="n">
        <v>2939.44</v>
      </c>
      <c r="P429" s="6" t="n">
        <v>0</v>
      </c>
      <c r="Q429" s="5" t="n">
        <v>26454.96</v>
      </c>
      <c r="R429" s="5" t="n">
        <v>17630.25</v>
      </c>
      <c r="S429" s="5" t="n">
        <v>8824.71</v>
      </c>
      <c r="T429" s="3" t="str">
        <f aca="false">PROPER(TRIM(SUBSTITUTE(Raw_Text_Fields!J430,CHAR(160)," ")))</f>
        <v>Paid</v>
      </c>
      <c r="U429" s="3" t="str">
        <f aca="false">PROPER(TRIM(SUBSTITUTE(Raw_Text_Fields!K430,CHAR(160)," ")))</f>
        <v>Completed</v>
      </c>
      <c r="V429" s="7" t="n">
        <f aca="false">IF(OR(P429&lt;0,P429&gt;0.5),0,P429)</f>
        <v>0</v>
      </c>
      <c r="W429" s="8" t="n">
        <f aca="false">N429*O429*(1-V429)</f>
        <v>26454.96</v>
      </c>
      <c r="X429" s="8" t="n">
        <f aca="false">W429-R429</f>
        <v>8824.71</v>
      </c>
      <c r="Y429" s="7" t="n">
        <f aca="false">IFERROR(X429/W429,0)</f>
        <v>0.333574875940088</v>
      </c>
      <c r="Z429" s="9" t="n">
        <f aca="false">C429-B429</f>
        <v>2</v>
      </c>
      <c r="AA429" s="1" t="str">
        <f aca="false">IF(B429="","",TEXT(B429,"mmm"))</f>
        <v>Apr</v>
      </c>
      <c r="AB429" s="9" t="n">
        <f aca="false">IF(B429="","",YEAR(B429))</f>
        <v>2025</v>
      </c>
      <c r="AC429" s="3" t="s">
        <v>372</v>
      </c>
      <c r="AD429" s="3" t="str">
        <f aca="false">IF(LEFT(AC429&amp;IF(B429="","; Missing Order Date","")&amp;IF(C429="","; Missing Ship Date","")&amp;IF(P429&lt;0,"; Invalid Discount (Negative)","")&amp;IF(P429&gt;0.5,"; Invalid Discount (Too High)","")&amp;IF(Z429&lt;0,"; Invalid Shipping Record (Ship Before Order)","")&amp;IF(ABS(Q429-W429)&gt;1,"; Sales Mismatch","")&amp;IF(ABS(S429-X429)&gt;1,"; Profit Mismatch","")&amp;IF(COUNTIF($A$2:$A$913,A429)&gt;1,"; Duplicate Order ID Conflict",""),2)="; ",MID(AC429&amp;IF(B429="","; Missing Order Date","")&amp;IF(C429="","; Missing Ship Date","")&amp;IF(P429&lt;0,"; Invalid Discount (Negative)","")&amp;IF(P429&gt;0.5,"; Invalid Discount (Too High)","")&amp;IF(Z429&lt;0,"; Invalid Shipping Record (Ship Before Order)","")&amp;IF(ABS(Q429-W429)&gt;1,"; Sales Mismatch","")&amp;IF(ABS(S429-X429)&gt;1,"; Profit Mismatch","")&amp;IF(COUNTIF($A$2:$A$913,A429)&gt;1,"; Duplicate Order ID Conflict",""),3,500),AC429&amp;IF(B429="","; Missing Order Date","")&amp;IF(C429="","; Missing Ship Date","")&amp;IF(P429&lt;0,"; Invalid Discount (Negative)","")&amp;IF(P429&gt;0.5,"; Invalid Discount (Too High)","")&amp;IF(Z429&lt;0,"; Invalid Shipping Record (Ship Before Order)","")&amp;IF(ABS(Q429-W429)&gt;1,"; Sales Mismatch","")&amp;IF(ABS(S429-X429)&gt;1,"; Profit Mismatch","")&amp;IF(COUNTIF($A$2:$A$913,A429)&gt;1,"; Duplicate Order ID Conflict",""))</f>
        <v>Missing Region (filled Unknown)</v>
      </c>
      <c r="AE429" s="10" t="str">
        <f aca="false">IF(OR(ISNUMBER(SEARCH("Invalid Discount",AD429)),ISNUMBER(SEARCH("Invalid Shipping Record",AD429)),ISNUMBER(SEARCH("Sales Mismatch",AD429)),ISNUMBER(SEARCH("Profit Mismatch",AD429)),ISNUMBER(SEARCH("Duplicate Order ID Conflict",AD429)),ISNUMBER(SEARCH("Missing Order Date",AD429)),ISNUMBER(SEARCH("Missing Ship Date",AD429))),"Invalid",IF(AD429&lt;&gt;"","Warning","Clean"))</f>
        <v>Warning</v>
      </c>
    </row>
    <row r="430" customFormat="false" ht="15" hidden="false" customHeight="true" outlineLevel="0" collapsed="false">
      <c r="A430" s="3" t="s">
        <v>1308</v>
      </c>
      <c r="B430" s="4" t="n">
        <v>45731</v>
      </c>
      <c r="C430" s="4" t="n">
        <v>45738</v>
      </c>
      <c r="D430" s="3" t="s">
        <v>1309</v>
      </c>
      <c r="E430" s="3" t="str">
        <f aca="false">PROPER(TRIM(SUBSTITUTE(Raw_Text_Fields!B431,CHAR(160)," ")))</f>
        <v>Karan Malhotra</v>
      </c>
      <c r="F430" s="3" t="str">
        <f aca="false">PROPER(TRIM(SUBSTITUTE(Raw_Text_Fields!C431,CHAR(160)," ")))</f>
        <v>Small Business</v>
      </c>
      <c r="G430" s="3" t="str">
        <f aca="false">PROPER(TRIM(SUBSTITUTE(Raw_Text_Fields!D431,CHAR(160)," ")))</f>
        <v>East</v>
      </c>
      <c r="H430" s="3" t="str">
        <f aca="false">PROPER(TRIM(SUBSTITUTE(Raw_Text_Fields!E431,CHAR(160)," ")))</f>
        <v>West Bengal</v>
      </c>
      <c r="I430" s="3" t="str">
        <f aca="false">PROPER(TRIM(SUBSTITUTE(Raw_Text_Fields!F431,CHAR(160)," ")))</f>
        <v>Kolkata</v>
      </c>
      <c r="J430" s="3" t="str">
        <f aca="false">PROPER(TRIM(SUBSTITUTE(Raw_Text_Fields!G431,CHAR(160)," ")))</f>
        <v>Technology</v>
      </c>
      <c r="K430" s="3" t="str">
        <f aca="false">PROPER(TRIM(SUBSTITUTE(Raw_Text_Fields!H431,CHAR(160)," ")))</f>
        <v>Phones</v>
      </c>
      <c r="L430" s="3" t="s">
        <v>1310</v>
      </c>
      <c r="M430" s="3" t="str">
        <f aca="false">PROPER(TRIM(SUBSTITUTE(Raw_Text_Fields!I431,CHAR(160)," ")))</f>
        <v>Same Day</v>
      </c>
      <c r="N430" s="3" t="n">
        <v>2</v>
      </c>
      <c r="O430" s="5" t="n">
        <v>1235.93</v>
      </c>
      <c r="P430" s="6" t="n">
        <v>0.25</v>
      </c>
      <c r="Q430" s="5" t="n">
        <v>1853.89</v>
      </c>
      <c r="R430" s="5" t="n">
        <v>1101.23</v>
      </c>
      <c r="S430" s="5" t="n">
        <v>752.66</v>
      </c>
      <c r="T430" s="3" t="str">
        <f aca="false">PROPER(TRIM(SUBSTITUTE(Raw_Text_Fields!J431,CHAR(160)," ")))</f>
        <v>Pending</v>
      </c>
      <c r="U430" s="3" t="str">
        <f aca="false">PROPER(TRIM(SUBSTITUTE(Raw_Text_Fields!K431,CHAR(160)," ")))</f>
        <v>Cancelled</v>
      </c>
      <c r="V430" s="7" t="n">
        <f aca="false">IF(OR(P430&lt;0,P430&gt;0.5),0,P430)</f>
        <v>0.25</v>
      </c>
      <c r="W430" s="8" t="n">
        <f aca="false">N430*O430*(1-V430)</f>
        <v>1853.895</v>
      </c>
      <c r="X430" s="8" t="n">
        <f aca="false">W430-R430</f>
        <v>752.665</v>
      </c>
      <c r="Y430" s="7" t="n">
        <f aca="false">IFERROR(X430/W430,0)</f>
        <v>0.405991169942203</v>
      </c>
      <c r="Z430" s="9" t="n">
        <f aca="false">C430-B430</f>
        <v>7</v>
      </c>
      <c r="AA430" s="1" t="str">
        <f aca="false">IF(B430="","",TEXT(B430,"mmm"))</f>
        <v>Mar</v>
      </c>
      <c r="AB430" s="9" t="n">
        <f aca="false">IF(B430="","",YEAR(B430))</f>
        <v>2025</v>
      </c>
      <c r="AC430" s="3"/>
      <c r="AD430" s="3" t="str">
        <f aca="false">IF(LEFT(AC430&amp;IF(B430="","; Missing Order Date","")&amp;IF(C430="","; Missing Ship Date","")&amp;IF(P430&lt;0,"; Invalid Discount (Negative)","")&amp;IF(P430&gt;0.5,"; Invalid Discount (Too High)","")&amp;IF(Z430&lt;0,"; Invalid Shipping Record (Ship Before Order)","")&amp;IF(ABS(Q430-W430)&gt;1,"; Sales Mismatch","")&amp;IF(ABS(S430-X430)&gt;1,"; Profit Mismatch","")&amp;IF(COUNTIF($A$2:$A$913,A430)&gt;1,"; Duplicate Order ID Conflict",""),2)="; ",MID(AC430&amp;IF(B430="","; Missing Order Date","")&amp;IF(C430="","; Missing Ship Date","")&amp;IF(P430&lt;0,"; Invalid Discount (Negative)","")&amp;IF(P430&gt;0.5,"; Invalid Discount (Too High)","")&amp;IF(Z430&lt;0,"; Invalid Shipping Record (Ship Before Order)","")&amp;IF(ABS(Q430-W430)&gt;1,"; Sales Mismatch","")&amp;IF(ABS(S430-X430)&gt;1,"; Profit Mismatch","")&amp;IF(COUNTIF($A$2:$A$913,A430)&gt;1,"; Duplicate Order ID Conflict",""),3,500),AC430&amp;IF(B430="","; Missing Order Date","")&amp;IF(C430="","; Missing Ship Date","")&amp;IF(P430&lt;0,"; Invalid Discount (Negative)","")&amp;IF(P430&gt;0.5,"; Invalid Discount (Too High)","")&amp;IF(Z430&lt;0,"; Invalid Shipping Record (Ship Before Order)","")&amp;IF(ABS(Q430-W430)&gt;1,"; Sales Mismatch","")&amp;IF(ABS(S430-X430)&gt;1,"; Profit Mismatch","")&amp;IF(COUNTIF($A$2:$A$913,A430)&gt;1,"; Duplicate Order ID Conflict",""))</f>
        <v/>
      </c>
      <c r="AE430" s="10" t="str">
        <f aca="false">IF(OR(ISNUMBER(SEARCH("Invalid Discount",AD430)),ISNUMBER(SEARCH("Invalid Shipping Record",AD430)),ISNUMBER(SEARCH("Sales Mismatch",AD430)),ISNUMBER(SEARCH("Profit Mismatch",AD430)),ISNUMBER(SEARCH("Duplicate Order ID Conflict",AD430)),ISNUMBER(SEARCH("Missing Order Date",AD430)),ISNUMBER(SEARCH("Missing Ship Date",AD430))),"Invalid",IF(AD430&lt;&gt;"","Warning","Clean"))</f>
        <v>Clean</v>
      </c>
    </row>
    <row r="431" customFormat="false" ht="15" hidden="false" customHeight="true" outlineLevel="0" collapsed="false">
      <c r="A431" s="3" t="s">
        <v>1311</v>
      </c>
      <c r="B431" s="4" t="n">
        <v>45717</v>
      </c>
      <c r="C431" s="4" t="n">
        <v>45724</v>
      </c>
      <c r="D431" s="3" t="s">
        <v>1312</v>
      </c>
      <c r="E431" s="3" t="str">
        <f aca="false">PROPER(TRIM(SUBSTITUTE(Raw_Text_Fields!B432,CHAR(160)," ")))</f>
        <v>Neha Gupta</v>
      </c>
      <c r="F431" s="3" t="str">
        <f aca="false">PROPER(TRIM(SUBSTITUTE(Raw_Text_Fields!C432,CHAR(160)," ")))</f>
        <v>Home Office</v>
      </c>
      <c r="G431" s="3" t="str">
        <f aca="false">PROPER(TRIM(SUBSTITUTE(Raw_Text_Fields!D432,CHAR(160)," ")))</f>
        <v>North</v>
      </c>
      <c r="H431" s="3" t="str">
        <f aca="false">PROPER(TRIM(SUBSTITUTE(Raw_Text_Fields!E432,CHAR(160)," ")))</f>
        <v>Rajasthan</v>
      </c>
      <c r="I431" s="3" t="str">
        <f aca="false">PROPER(TRIM(SUBSTITUTE(Raw_Text_Fields!F432,CHAR(160)," ")))</f>
        <v>Jaipur</v>
      </c>
      <c r="J431" s="3" t="str">
        <f aca="false">PROPER(TRIM(SUBSTITUTE(Raw_Text_Fields!G432,CHAR(160)," ")))</f>
        <v>Technology</v>
      </c>
      <c r="K431" s="3" t="str">
        <f aca="false">PROPER(TRIM(SUBSTITUTE(Raw_Text_Fields!H432,CHAR(160)," ")))</f>
        <v>Copiers</v>
      </c>
      <c r="L431" s="3" t="s">
        <v>1313</v>
      </c>
      <c r="M431" s="3" t="str">
        <f aca="false">PROPER(TRIM(SUBSTITUTE(Raw_Text_Fields!I432,CHAR(160)," ")))</f>
        <v>Same Day</v>
      </c>
      <c r="N431" s="3" t="n">
        <v>8</v>
      </c>
      <c r="O431" s="5" t="n">
        <v>2943.1</v>
      </c>
      <c r="P431" s="6" t="n">
        <v>0.25</v>
      </c>
      <c r="Q431" s="5" t="n">
        <v>17658.6</v>
      </c>
      <c r="R431" s="5" t="n">
        <v>13842.48</v>
      </c>
      <c r="S431" s="5" t="n">
        <v>3816.12</v>
      </c>
      <c r="T431" s="3" t="str">
        <f aca="false">PROPER(TRIM(SUBSTITUTE(Raw_Text_Fields!J432,CHAR(160)," ")))</f>
        <v>Paid</v>
      </c>
      <c r="U431" s="3" t="str">
        <f aca="false">PROPER(TRIM(SUBSTITUTE(Raw_Text_Fields!K432,CHAR(160)," ")))</f>
        <v>Completed</v>
      </c>
      <c r="V431" s="7" t="n">
        <f aca="false">IF(OR(P431&lt;0,P431&gt;0.5),0,P431)</f>
        <v>0.25</v>
      </c>
      <c r="W431" s="8" t="n">
        <f aca="false">N431*O431*(1-V431)</f>
        <v>17658.6</v>
      </c>
      <c r="X431" s="8" t="n">
        <f aca="false">W431-R431</f>
        <v>3816.12</v>
      </c>
      <c r="Y431" s="7" t="n">
        <f aca="false">IFERROR(X431/W431,0)</f>
        <v>0.216105467024566</v>
      </c>
      <c r="Z431" s="9" t="n">
        <f aca="false">C431-B431</f>
        <v>7</v>
      </c>
      <c r="AA431" s="1" t="str">
        <f aca="false">IF(B431="","",TEXT(B431,"mmm"))</f>
        <v>Mar</v>
      </c>
      <c r="AB431" s="9" t="n">
        <f aca="false">IF(B431="","",YEAR(B431))</f>
        <v>2025</v>
      </c>
      <c r="AC431" s="3"/>
      <c r="AD431" s="3" t="str">
        <f aca="false">IF(LEFT(AC431&amp;IF(B431="","; Missing Order Date","")&amp;IF(C431="","; Missing Ship Date","")&amp;IF(P431&lt;0,"; Invalid Discount (Negative)","")&amp;IF(P431&gt;0.5,"; Invalid Discount (Too High)","")&amp;IF(Z431&lt;0,"; Invalid Shipping Record (Ship Before Order)","")&amp;IF(ABS(Q431-W431)&gt;1,"; Sales Mismatch","")&amp;IF(ABS(S431-X431)&gt;1,"; Profit Mismatch","")&amp;IF(COUNTIF($A$2:$A$913,A431)&gt;1,"; Duplicate Order ID Conflict",""),2)="; ",MID(AC431&amp;IF(B431="","; Missing Order Date","")&amp;IF(C431="","; Missing Ship Date","")&amp;IF(P431&lt;0,"; Invalid Discount (Negative)","")&amp;IF(P431&gt;0.5,"; Invalid Discount (Too High)","")&amp;IF(Z431&lt;0,"; Invalid Shipping Record (Ship Before Order)","")&amp;IF(ABS(Q431-W431)&gt;1,"; Sales Mismatch","")&amp;IF(ABS(S431-X431)&gt;1,"; Profit Mismatch","")&amp;IF(COUNTIF($A$2:$A$913,A431)&gt;1,"; Duplicate Order ID Conflict",""),3,500),AC431&amp;IF(B431="","; Missing Order Date","")&amp;IF(C431="","; Missing Ship Date","")&amp;IF(P431&lt;0,"; Invalid Discount (Negative)","")&amp;IF(P431&gt;0.5,"; Invalid Discount (Too High)","")&amp;IF(Z431&lt;0,"; Invalid Shipping Record (Ship Before Order)","")&amp;IF(ABS(Q431-W431)&gt;1,"; Sales Mismatch","")&amp;IF(ABS(S431-X431)&gt;1,"; Profit Mismatch","")&amp;IF(COUNTIF($A$2:$A$913,A431)&gt;1,"; Duplicate Order ID Conflict",""))</f>
        <v/>
      </c>
      <c r="AE431" s="10" t="str">
        <f aca="false">IF(OR(ISNUMBER(SEARCH("Invalid Discount",AD431)),ISNUMBER(SEARCH("Invalid Shipping Record",AD431)),ISNUMBER(SEARCH("Sales Mismatch",AD431)),ISNUMBER(SEARCH("Profit Mismatch",AD431)),ISNUMBER(SEARCH("Duplicate Order ID Conflict",AD431)),ISNUMBER(SEARCH("Missing Order Date",AD431)),ISNUMBER(SEARCH("Missing Ship Date",AD431))),"Invalid",IF(AD431&lt;&gt;"","Warning","Clean"))</f>
        <v>Clean</v>
      </c>
    </row>
    <row r="432" customFormat="false" ht="15" hidden="false" customHeight="true" outlineLevel="0" collapsed="false">
      <c r="A432" s="3" t="s">
        <v>1314</v>
      </c>
      <c r="B432" s="4" t="n">
        <v>45534</v>
      </c>
      <c r="C432" s="4" t="n">
        <v>45537</v>
      </c>
      <c r="D432" s="3" t="s">
        <v>1315</v>
      </c>
      <c r="E432" s="3" t="str">
        <f aca="false">PROPER(TRIM(SUBSTITUTE(Raw_Text_Fields!B433,CHAR(160)," ")))</f>
        <v>Neha Gupta</v>
      </c>
      <c r="F432" s="3" t="str">
        <f aca="false">PROPER(TRIM(SUBSTITUTE(Raw_Text_Fields!C433,CHAR(160)," ")))</f>
        <v>Small Business</v>
      </c>
      <c r="G432" s="3" t="str">
        <f aca="false">PROPER(TRIM(SUBSTITUTE(Raw_Text_Fields!D433,CHAR(160)," ")))</f>
        <v>North</v>
      </c>
      <c r="H432" s="3" t="str">
        <f aca="false">PROPER(TRIM(SUBSTITUTE(Raw_Text_Fields!E433,CHAR(160)," ")))</f>
        <v>Haryana</v>
      </c>
      <c r="I432" s="3" t="str">
        <f aca="false">PROPER(TRIM(SUBSTITUTE(Raw_Text_Fields!F433,CHAR(160)," ")))</f>
        <v>Gurugram</v>
      </c>
      <c r="J432" s="3" t="str">
        <f aca="false">PROPER(TRIM(SUBSTITUTE(Raw_Text_Fields!G433,CHAR(160)," ")))</f>
        <v>Office Supplies</v>
      </c>
      <c r="K432" s="3" t="str">
        <f aca="false">PROPER(TRIM(SUBSTITUTE(Raw_Text_Fields!H433,CHAR(160)," ")))</f>
        <v>Paper</v>
      </c>
      <c r="L432" s="3" t="s">
        <v>1316</v>
      </c>
      <c r="M432" s="3" t="str">
        <f aca="false">PROPER(TRIM(SUBSTITUTE(Raw_Text_Fields!I433,CHAR(160)," ")))</f>
        <v>Second Class</v>
      </c>
      <c r="N432" s="3" t="n">
        <v>1</v>
      </c>
      <c r="O432" s="5" t="n">
        <v>4320.84</v>
      </c>
      <c r="P432" s="6" t="n">
        <v>0.15</v>
      </c>
      <c r="Q432" s="5" t="n">
        <v>3672.71</v>
      </c>
      <c r="R432" s="5" t="n">
        <v>2714.23</v>
      </c>
      <c r="S432" s="5" t="n">
        <v>763.38</v>
      </c>
      <c r="T432" s="3" t="str">
        <f aca="false">PROPER(TRIM(SUBSTITUTE(Raw_Text_Fields!J433,CHAR(160)," ")))</f>
        <v>Paid</v>
      </c>
      <c r="U432" s="3" t="str">
        <f aca="false">PROPER(TRIM(SUBSTITUTE(Raw_Text_Fields!K433,CHAR(160)," ")))</f>
        <v>Completed</v>
      </c>
      <c r="V432" s="7" t="n">
        <f aca="false">IF(OR(P432&lt;0,P432&gt;0.5),0,P432)</f>
        <v>0.15</v>
      </c>
      <c r="W432" s="8" t="n">
        <f aca="false">N432*O432*(1-V432)</f>
        <v>3672.714</v>
      </c>
      <c r="X432" s="8" t="n">
        <f aca="false">W432-R432</f>
        <v>958.484</v>
      </c>
      <c r="Y432" s="7" t="n">
        <f aca="false">IFERROR(X432/W432,0)</f>
        <v>0.260974309461613</v>
      </c>
      <c r="Z432" s="9" t="n">
        <f aca="false">C432-B432</f>
        <v>3</v>
      </c>
      <c r="AA432" s="1" t="str">
        <f aca="false">IF(B432="","",TEXT(B432,"mmm"))</f>
        <v>Aug</v>
      </c>
      <c r="AB432" s="9" t="n">
        <f aca="false">IF(B432="","",YEAR(B432))</f>
        <v>2024</v>
      </c>
      <c r="AC432" s="3"/>
      <c r="AD432" s="3" t="str">
        <f aca="false">IF(LEFT(AC432&amp;IF(B432="","; Missing Order Date","")&amp;IF(C432="","; Missing Ship Date","")&amp;IF(P432&lt;0,"; Invalid Discount (Negative)","")&amp;IF(P432&gt;0.5,"; Invalid Discount (Too High)","")&amp;IF(Z432&lt;0,"; Invalid Shipping Record (Ship Before Order)","")&amp;IF(ABS(Q432-W432)&gt;1,"; Sales Mismatch","")&amp;IF(ABS(S432-X432)&gt;1,"; Profit Mismatch","")&amp;IF(COUNTIF($A$2:$A$913,A432)&gt;1,"; Duplicate Order ID Conflict",""),2)="; ",MID(AC432&amp;IF(B432="","; Missing Order Date","")&amp;IF(C432="","; Missing Ship Date","")&amp;IF(P432&lt;0,"; Invalid Discount (Negative)","")&amp;IF(P432&gt;0.5,"; Invalid Discount (Too High)","")&amp;IF(Z432&lt;0,"; Invalid Shipping Record (Ship Before Order)","")&amp;IF(ABS(Q432-W432)&gt;1,"; Sales Mismatch","")&amp;IF(ABS(S432-X432)&gt;1,"; Profit Mismatch","")&amp;IF(COUNTIF($A$2:$A$913,A432)&gt;1,"; Duplicate Order ID Conflict",""),3,500),AC432&amp;IF(B432="","; Missing Order Date","")&amp;IF(C432="","; Missing Ship Date","")&amp;IF(P432&lt;0,"; Invalid Discount (Negative)","")&amp;IF(P432&gt;0.5,"; Invalid Discount (Too High)","")&amp;IF(Z432&lt;0,"; Invalid Shipping Record (Ship Before Order)","")&amp;IF(ABS(Q432-W432)&gt;1,"; Sales Mismatch","")&amp;IF(ABS(S432-X432)&gt;1,"; Profit Mismatch","")&amp;IF(COUNTIF($A$2:$A$913,A432)&gt;1,"; Duplicate Order ID Conflict",""))</f>
        <v>Profit Mismatch</v>
      </c>
      <c r="AE432" s="10" t="str">
        <f aca="false">IF(OR(ISNUMBER(SEARCH("Invalid Discount",AD432)),ISNUMBER(SEARCH("Invalid Shipping Record",AD432)),ISNUMBER(SEARCH("Sales Mismatch",AD432)),ISNUMBER(SEARCH("Profit Mismatch",AD432)),ISNUMBER(SEARCH("Duplicate Order ID Conflict",AD432)),ISNUMBER(SEARCH("Missing Order Date",AD432)),ISNUMBER(SEARCH("Missing Ship Date",AD432))),"Invalid",IF(AD432&lt;&gt;"","Warning","Clean"))</f>
        <v>Invalid</v>
      </c>
    </row>
    <row r="433" customFormat="false" ht="15" hidden="false" customHeight="true" outlineLevel="0" collapsed="false">
      <c r="A433" s="3" t="s">
        <v>1317</v>
      </c>
      <c r="B433" s="4" t="n">
        <v>45332</v>
      </c>
      <c r="C433" s="4" t="n">
        <v>45335</v>
      </c>
      <c r="D433" s="3" t="s">
        <v>1318</v>
      </c>
      <c r="E433" s="3" t="str">
        <f aca="false">PROPER(TRIM(SUBSTITUTE(Raw_Text_Fields!B434,CHAR(160)," ")))</f>
        <v>Karan Malhotra</v>
      </c>
      <c r="F433" s="3" t="str">
        <f aca="false">PROPER(TRIM(SUBSTITUTE(Raw_Text_Fields!C434,CHAR(160)," ")))</f>
        <v>Home Office</v>
      </c>
      <c r="G433" s="3" t="str">
        <f aca="false">PROPER(TRIM(SUBSTITUTE(Raw_Text_Fields!D434,CHAR(160)," ")))</f>
        <v>West</v>
      </c>
      <c r="H433" s="3" t="str">
        <f aca="false">PROPER(TRIM(SUBSTITUTE(Raw_Text_Fields!E434,CHAR(160)," ")))</f>
        <v>Goa</v>
      </c>
      <c r="I433" s="3" t="str">
        <f aca="false">PROPER(TRIM(SUBSTITUTE(Raw_Text_Fields!F434,CHAR(160)," ")))</f>
        <v>Panaji</v>
      </c>
      <c r="J433" s="3" t="str">
        <f aca="false">PROPER(TRIM(SUBSTITUTE(Raw_Text_Fields!G434,CHAR(160)," ")))</f>
        <v>Technology</v>
      </c>
      <c r="K433" s="3" t="str">
        <f aca="false">PROPER(TRIM(SUBSTITUTE(Raw_Text_Fields!H434,CHAR(160)," ")))</f>
        <v>Machines</v>
      </c>
      <c r="L433" s="3" t="s">
        <v>1319</v>
      </c>
      <c r="M433" s="3" t="str">
        <f aca="false">PROPER(TRIM(SUBSTITUTE(Raw_Text_Fields!I434,CHAR(160)," ")))</f>
        <v>Same Day</v>
      </c>
      <c r="N433" s="3" t="n">
        <v>2</v>
      </c>
      <c r="O433" s="5" t="n">
        <v>4118.45</v>
      </c>
      <c r="P433" s="6" t="n">
        <v>0.25</v>
      </c>
      <c r="Q433" s="5" t="n">
        <v>6177.67</v>
      </c>
      <c r="R433" s="5" t="n">
        <v>4520.75</v>
      </c>
      <c r="S433" s="5" t="n">
        <v>1656.92</v>
      </c>
      <c r="T433" s="3" t="str">
        <f aca="false">PROPER(TRIM(SUBSTITUTE(Raw_Text_Fields!J434,CHAR(160)," ")))</f>
        <v>Paid</v>
      </c>
      <c r="U433" s="3" t="str">
        <f aca="false">PROPER(TRIM(SUBSTITUTE(Raw_Text_Fields!K434,CHAR(160)," ")))</f>
        <v>Completed</v>
      </c>
      <c r="V433" s="7" t="n">
        <f aca="false">IF(OR(P433&lt;0,P433&gt;0.5),0,P433)</f>
        <v>0.25</v>
      </c>
      <c r="W433" s="8" t="n">
        <f aca="false">N433*O433*(1-V433)</f>
        <v>6177.675</v>
      </c>
      <c r="X433" s="8" t="n">
        <f aca="false">W433-R433</f>
        <v>1656.925</v>
      </c>
      <c r="Y433" s="7" t="n">
        <f aca="false">IFERROR(X433/W433,0)</f>
        <v>0.268211746328513</v>
      </c>
      <c r="Z433" s="9" t="n">
        <f aca="false">C433-B433</f>
        <v>3</v>
      </c>
      <c r="AA433" s="1" t="str">
        <f aca="false">IF(B433="","",TEXT(B433,"mmm"))</f>
        <v>Feb</v>
      </c>
      <c r="AB433" s="9" t="n">
        <f aca="false">IF(B433="","",YEAR(B433))</f>
        <v>2024</v>
      </c>
      <c r="AC433" s="3"/>
      <c r="AD433" s="3" t="str">
        <f aca="false">IF(LEFT(AC433&amp;IF(B433="","; Missing Order Date","")&amp;IF(C433="","; Missing Ship Date","")&amp;IF(P433&lt;0,"; Invalid Discount (Negative)","")&amp;IF(P433&gt;0.5,"; Invalid Discount (Too High)","")&amp;IF(Z433&lt;0,"; Invalid Shipping Record (Ship Before Order)","")&amp;IF(ABS(Q433-W433)&gt;1,"; Sales Mismatch","")&amp;IF(ABS(S433-X433)&gt;1,"; Profit Mismatch","")&amp;IF(COUNTIF($A$2:$A$913,A433)&gt;1,"; Duplicate Order ID Conflict",""),2)="; ",MID(AC433&amp;IF(B433="","; Missing Order Date","")&amp;IF(C433="","; Missing Ship Date","")&amp;IF(P433&lt;0,"; Invalid Discount (Negative)","")&amp;IF(P433&gt;0.5,"; Invalid Discount (Too High)","")&amp;IF(Z433&lt;0,"; Invalid Shipping Record (Ship Before Order)","")&amp;IF(ABS(Q433-W433)&gt;1,"; Sales Mismatch","")&amp;IF(ABS(S433-X433)&gt;1,"; Profit Mismatch","")&amp;IF(COUNTIF($A$2:$A$913,A433)&gt;1,"; Duplicate Order ID Conflict",""),3,500),AC433&amp;IF(B433="","; Missing Order Date","")&amp;IF(C433="","; Missing Ship Date","")&amp;IF(P433&lt;0,"; Invalid Discount (Negative)","")&amp;IF(P433&gt;0.5,"; Invalid Discount (Too High)","")&amp;IF(Z433&lt;0,"; Invalid Shipping Record (Ship Before Order)","")&amp;IF(ABS(Q433-W433)&gt;1,"; Sales Mismatch","")&amp;IF(ABS(S433-X433)&gt;1,"; Profit Mismatch","")&amp;IF(COUNTIF($A$2:$A$913,A433)&gt;1,"; Duplicate Order ID Conflict",""))</f>
        <v/>
      </c>
      <c r="AE433" s="10" t="str">
        <f aca="false">IF(OR(ISNUMBER(SEARCH("Invalid Discount",AD433)),ISNUMBER(SEARCH("Invalid Shipping Record",AD433)),ISNUMBER(SEARCH("Sales Mismatch",AD433)),ISNUMBER(SEARCH("Profit Mismatch",AD433)),ISNUMBER(SEARCH("Duplicate Order ID Conflict",AD433)),ISNUMBER(SEARCH("Missing Order Date",AD433)),ISNUMBER(SEARCH("Missing Ship Date",AD433))),"Invalid",IF(AD433&lt;&gt;"","Warning","Clean"))</f>
        <v>Clean</v>
      </c>
    </row>
    <row r="434" customFormat="false" ht="15" hidden="false" customHeight="true" outlineLevel="0" collapsed="false">
      <c r="A434" s="3" t="s">
        <v>1320</v>
      </c>
      <c r="B434" s="4" t="n">
        <v>45533</v>
      </c>
      <c r="C434" s="4" t="n">
        <v>45537</v>
      </c>
      <c r="D434" s="3" t="s">
        <v>1321</v>
      </c>
      <c r="E434" s="3" t="str">
        <f aca="false">PROPER(TRIM(SUBSTITUTE(Raw_Text_Fields!B435,CHAR(160)," ")))</f>
        <v>Priya Menon</v>
      </c>
      <c r="F434" s="3" t="str">
        <f aca="false">PROPER(TRIM(SUBSTITUTE(Raw_Text_Fields!C435,CHAR(160)," ")))</f>
        <v>Small Business</v>
      </c>
      <c r="G434" s="3" t="str">
        <f aca="false">PROPER(TRIM(SUBSTITUTE(Raw_Text_Fields!D435,CHAR(160)," ")))</f>
        <v>West</v>
      </c>
      <c r="H434" s="3" t="str">
        <f aca="false">PROPER(TRIM(SUBSTITUTE(Raw_Text_Fields!E435,CHAR(160)," ")))</f>
        <v>Maharashtra</v>
      </c>
      <c r="I434" s="3" t="str">
        <f aca="false">PROPER(TRIM(SUBSTITUTE(Raw_Text_Fields!F435,CHAR(160)," ")))</f>
        <v>Mumbai</v>
      </c>
      <c r="J434" s="3" t="str">
        <f aca="false">PROPER(TRIM(SUBSTITUTE(Raw_Text_Fields!G435,CHAR(160)," ")))</f>
        <v>Furniture</v>
      </c>
      <c r="K434" s="3" t="str">
        <f aca="false">PROPER(TRIM(SUBSTITUTE(Raw_Text_Fields!H435,CHAR(160)," ")))</f>
        <v>Bookcases</v>
      </c>
      <c r="L434" s="3" t="s">
        <v>1322</v>
      </c>
      <c r="M434" s="3" t="str">
        <f aca="false">PROPER(TRIM(SUBSTITUTE(Raw_Text_Fields!I435,CHAR(160)," ")))</f>
        <v>Standard Class</v>
      </c>
      <c r="N434" s="3" t="n">
        <v>6</v>
      </c>
      <c r="O434" s="5" t="n">
        <v>172.82</v>
      </c>
      <c r="P434" s="6" t="n">
        <v>0.05</v>
      </c>
      <c r="Q434" s="5" t="n">
        <v>985.07</v>
      </c>
      <c r="R434" s="5" t="n">
        <v>844.48</v>
      </c>
      <c r="S434" s="5" t="n">
        <v>140.59</v>
      </c>
      <c r="T434" s="3" t="str">
        <f aca="false">PROPER(TRIM(SUBSTITUTE(Raw_Text_Fields!J435,CHAR(160)," ")))</f>
        <v>Paid</v>
      </c>
      <c r="U434" s="3" t="str">
        <f aca="false">PROPER(TRIM(SUBSTITUTE(Raw_Text_Fields!K435,CHAR(160)," ")))</f>
        <v>Completed</v>
      </c>
      <c r="V434" s="7" t="n">
        <f aca="false">IF(OR(P434&lt;0,P434&gt;0.5),0,P434)</f>
        <v>0.05</v>
      </c>
      <c r="W434" s="8" t="n">
        <f aca="false">N434*O434*(1-V434)</f>
        <v>985.074</v>
      </c>
      <c r="X434" s="8" t="n">
        <f aca="false">W434-R434</f>
        <v>140.594</v>
      </c>
      <c r="Y434" s="7" t="n">
        <f aca="false">IFERROR(X434/W434,0)</f>
        <v>0.142724302945769</v>
      </c>
      <c r="Z434" s="9" t="n">
        <f aca="false">C434-B434</f>
        <v>4</v>
      </c>
      <c r="AA434" s="1" t="str">
        <f aca="false">IF(B434="","",TEXT(B434,"mmm"))</f>
        <v>Aug</v>
      </c>
      <c r="AB434" s="9" t="n">
        <f aca="false">IF(B434="","",YEAR(B434))</f>
        <v>2024</v>
      </c>
      <c r="AC434" s="3"/>
      <c r="AD434" s="3" t="str">
        <f aca="false">IF(LEFT(AC434&amp;IF(B434="","; Missing Order Date","")&amp;IF(C434="","; Missing Ship Date","")&amp;IF(P434&lt;0,"; Invalid Discount (Negative)","")&amp;IF(P434&gt;0.5,"; Invalid Discount (Too High)","")&amp;IF(Z434&lt;0,"; Invalid Shipping Record (Ship Before Order)","")&amp;IF(ABS(Q434-W434)&gt;1,"; Sales Mismatch","")&amp;IF(ABS(S434-X434)&gt;1,"; Profit Mismatch","")&amp;IF(COUNTIF($A$2:$A$913,A434)&gt;1,"; Duplicate Order ID Conflict",""),2)="; ",MID(AC434&amp;IF(B434="","; Missing Order Date","")&amp;IF(C434="","; Missing Ship Date","")&amp;IF(P434&lt;0,"; Invalid Discount (Negative)","")&amp;IF(P434&gt;0.5,"; Invalid Discount (Too High)","")&amp;IF(Z434&lt;0,"; Invalid Shipping Record (Ship Before Order)","")&amp;IF(ABS(Q434-W434)&gt;1,"; Sales Mismatch","")&amp;IF(ABS(S434-X434)&gt;1,"; Profit Mismatch","")&amp;IF(COUNTIF($A$2:$A$913,A434)&gt;1,"; Duplicate Order ID Conflict",""),3,500),AC434&amp;IF(B434="","; Missing Order Date","")&amp;IF(C434="","; Missing Ship Date","")&amp;IF(P434&lt;0,"; Invalid Discount (Negative)","")&amp;IF(P434&gt;0.5,"; Invalid Discount (Too High)","")&amp;IF(Z434&lt;0,"; Invalid Shipping Record (Ship Before Order)","")&amp;IF(ABS(Q434-W434)&gt;1,"; Sales Mismatch","")&amp;IF(ABS(S434-X434)&gt;1,"; Profit Mismatch","")&amp;IF(COUNTIF($A$2:$A$913,A434)&gt;1,"; Duplicate Order ID Conflict",""))</f>
        <v/>
      </c>
      <c r="AE434" s="10" t="str">
        <f aca="false">IF(OR(ISNUMBER(SEARCH("Invalid Discount",AD434)),ISNUMBER(SEARCH("Invalid Shipping Record",AD434)),ISNUMBER(SEARCH("Sales Mismatch",AD434)),ISNUMBER(SEARCH("Profit Mismatch",AD434)),ISNUMBER(SEARCH("Duplicate Order ID Conflict",AD434)),ISNUMBER(SEARCH("Missing Order Date",AD434)),ISNUMBER(SEARCH("Missing Ship Date",AD434))),"Invalid",IF(AD434&lt;&gt;"","Warning","Clean"))</f>
        <v>Clean</v>
      </c>
    </row>
    <row r="435" customFormat="false" ht="15" hidden="false" customHeight="true" outlineLevel="0" collapsed="false">
      <c r="A435" s="3" t="s">
        <v>1323</v>
      </c>
      <c r="B435" s="4" t="n">
        <v>45401</v>
      </c>
      <c r="C435" s="4" t="n">
        <v>45402</v>
      </c>
      <c r="D435" s="3" t="s">
        <v>1324</v>
      </c>
      <c r="E435" s="3" t="str">
        <f aca="false">PROPER(TRIM(SUBSTITUTE(Raw_Text_Fields!B436,CHAR(160)," ")))</f>
        <v>Priya Menon</v>
      </c>
      <c r="F435" s="3" t="str">
        <f aca="false">PROPER(TRIM(SUBSTITUTE(Raw_Text_Fields!C436,CHAR(160)," ")))</f>
        <v>Corporate</v>
      </c>
      <c r="G435" s="3" t="str">
        <f aca="false">PROPER(TRIM(SUBSTITUTE(Raw_Text_Fields!D436,CHAR(160)," ")))</f>
        <v>South</v>
      </c>
      <c r="H435" s="3" t="str">
        <f aca="false">PROPER(TRIM(SUBSTITUTE(Raw_Text_Fields!E436,CHAR(160)," ")))</f>
        <v>Kerala</v>
      </c>
      <c r="I435" s="3" t="str">
        <f aca="false">PROPER(TRIM(SUBSTITUTE(Raw_Text_Fields!F436,CHAR(160)," ")))</f>
        <v>Kochi</v>
      </c>
      <c r="J435" s="3" t="str">
        <f aca="false">PROPER(TRIM(SUBSTITUTE(Raw_Text_Fields!G436,CHAR(160)," ")))</f>
        <v>Office Supplies</v>
      </c>
      <c r="K435" s="3" t="str">
        <f aca="false">PROPER(TRIM(SUBSTITUTE(Raw_Text_Fields!H436,CHAR(160)," ")))</f>
        <v>Art</v>
      </c>
      <c r="L435" s="3" t="s">
        <v>1325</v>
      </c>
      <c r="M435" s="3" t="str">
        <f aca="false">PROPER(TRIM(SUBSTITUTE(Raw_Text_Fields!I436,CHAR(160)," ")))</f>
        <v>Second Class</v>
      </c>
      <c r="N435" s="3" t="n">
        <v>4</v>
      </c>
      <c r="O435" s="5" t="n">
        <v>1540.22</v>
      </c>
      <c r="P435" s="6" t="n">
        <v>0</v>
      </c>
      <c r="Q435" s="5" t="n">
        <v>6160.88</v>
      </c>
      <c r="R435" s="5" t="n">
        <v>4938.7</v>
      </c>
      <c r="S435" s="5" t="n">
        <v>1222.18</v>
      </c>
      <c r="T435" s="3" t="str">
        <f aca="false">PROPER(TRIM(SUBSTITUTE(Raw_Text_Fields!J436,CHAR(160)," ")))</f>
        <v>Refunded</v>
      </c>
      <c r="U435" s="3" t="str">
        <f aca="false">PROPER(TRIM(SUBSTITUTE(Raw_Text_Fields!K436,CHAR(160)," ")))</f>
        <v>Returned</v>
      </c>
      <c r="V435" s="7" t="n">
        <f aca="false">IF(OR(P435&lt;0,P435&gt;0.5),0,P435)</f>
        <v>0</v>
      </c>
      <c r="W435" s="8" t="n">
        <f aca="false">N435*O435*(1-V435)</f>
        <v>6160.88</v>
      </c>
      <c r="X435" s="8" t="n">
        <f aca="false">W435-R435</f>
        <v>1222.18</v>
      </c>
      <c r="Y435" s="7" t="n">
        <f aca="false">IFERROR(X435/W435,0)</f>
        <v>0.198377504512342</v>
      </c>
      <c r="Z435" s="9" t="n">
        <f aca="false">C435-B435</f>
        <v>1</v>
      </c>
      <c r="AA435" s="1" t="str">
        <f aca="false">IF(B435="","",TEXT(B435,"mmm"))</f>
        <v>Apr</v>
      </c>
      <c r="AB435" s="9" t="n">
        <f aca="false">IF(B435="","",YEAR(B435))</f>
        <v>2024</v>
      </c>
      <c r="AC435" s="3"/>
      <c r="AD435" s="3" t="str">
        <f aca="false">IF(LEFT(AC435&amp;IF(B435="","; Missing Order Date","")&amp;IF(C435="","; Missing Ship Date","")&amp;IF(P435&lt;0,"; Invalid Discount (Negative)","")&amp;IF(P435&gt;0.5,"; Invalid Discount (Too High)","")&amp;IF(Z435&lt;0,"; Invalid Shipping Record (Ship Before Order)","")&amp;IF(ABS(Q435-W435)&gt;1,"; Sales Mismatch","")&amp;IF(ABS(S435-X435)&gt;1,"; Profit Mismatch","")&amp;IF(COUNTIF($A$2:$A$913,A435)&gt;1,"; Duplicate Order ID Conflict",""),2)="; ",MID(AC435&amp;IF(B435="","; Missing Order Date","")&amp;IF(C435="","; Missing Ship Date","")&amp;IF(P435&lt;0,"; Invalid Discount (Negative)","")&amp;IF(P435&gt;0.5,"; Invalid Discount (Too High)","")&amp;IF(Z435&lt;0,"; Invalid Shipping Record (Ship Before Order)","")&amp;IF(ABS(Q435-W435)&gt;1,"; Sales Mismatch","")&amp;IF(ABS(S435-X435)&gt;1,"; Profit Mismatch","")&amp;IF(COUNTIF($A$2:$A$913,A435)&gt;1,"; Duplicate Order ID Conflict",""),3,500),AC435&amp;IF(B435="","; Missing Order Date","")&amp;IF(C435="","; Missing Ship Date","")&amp;IF(P435&lt;0,"; Invalid Discount (Negative)","")&amp;IF(P435&gt;0.5,"; Invalid Discount (Too High)","")&amp;IF(Z435&lt;0,"; Invalid Shipping Record (Ship Before Order)","")&amp;IF(ABS(Q435-W435)&gt;1,"; Sales Mismatch","")&amp;IF(ABS(S435-X435)&gt;1,"; Profit Mismatch","")&amp;IF(COUNTIF($A$2:$A$913,A435)&gt;1,"; Duplicate Order ID Conflict",""))</f>
        <v/>
      </c>
      <c r="AE435" s="10" t="str">
        <f aca="false">IF(OR(ISNUMBER(SEARCH("Invalid Discount",AD435)),ISNUMBER(SEARCH("Invalid Shipping Record",AD435)),ISNUMBER(SEARCH("Sales Mismatch",AD435)),ISNUMBER(SEARCH("Profit Mismatch",AD435)),ISNUMBER(SEARCH("Duplicate Order ID Conflict",AD435)),ISNUMBER(SEARCH("Missing Order Date",AD435)),ISNUMBER(SEARCH("Missing Ship Date",AD435))),"Invalid",IF(AD435&lt;&gt;"","Warning","Clean"))</f>
        <v>Clean</v>
      </c>
    </row>
    <row r="436" customFormat="false" ht="15" hidden="false" customHeight="true" outlineLevel="0" collapsed="false">
      <c r="A436" s="3" t="s">
        <v>1326</v>
      </c>
      <c r="B436" s="4" t="n">
        <v>45758</v>
      </c>
      <c r="C436" s="4" t="n">
        <v>45762</v>
      </c>
      <c r="D436" s="3" t="s">
        <v>1327</v>
      </c>
      <c r="E436" s="3" t="str">
        <f aca="false">PROPER(TRIM(SUBSTITUTE(Raw_Text_Fields!B437,CHAR(160)," ")))</f>
        <v>Mira Das</v>
      </c>
      <c r="F436" s="3" t="str">
        <f aca="false">PROPER(TRIM(SUBSTITUTE(Raw_Text_Fields!C437,CHAR(160)," ")))</f>
        <v>Home Office</v>
      </c>
      <c r="G436" s="3" t="str">
        <f aca="false">PROPER(TRIM(SUBSTITUTE(Raw_Text_Fields!D437,CHAR(160)," ")))</f>
        <v>North</v>
      </c>
      <c r="H436" s="3" t="str">
        <f aca="false">PROPER(TRIM(SUBSTITUTE(Raw_Text_Fields!E437,CHAR(160)," ")))</f>
        <v>Uttar Pradesh</v>
      </c>
      <c r="I436" s="3" t="str">
        <f aca="false">PROPER(TRIM(SUBSTITUTE(Raw_Text_Fields!F437,CHAR(160)," ")))</f>
        <v>Noida</v>
      </c>
      <c r="J436" s="3" t="str">
        <f aca="false">PROPER(TRIM(SUBSTITUTE(Raw_Text_Fields!G437,CHAR(160)," ")))</f>
        <v>Technology</v>
      </c>
      <c r="K436" s="3" t="str">
        <f aca="false">PROPER(TRIM(SUBSTITUTE(Raw_Text_Fields!H437,CHAR(160)," ")))</f>
        <v>Accessories</v>
      </c>
      <c r="L436" s="3" t="s">
        <v>1328</v>
      </c>
      <c r="M436" s="3" t="str">
        <f aca="false">PROPER(TRIM(SUBSTITUTE(Raw_Text_Fields!I437,CHAR(160)," ")))</f>
        <v>Second Class</v>
      </c>
      <c r="N436" s="3" t="n">
        <v>5</v>
      </c>
      <c r="O436" s="5" t="n">
        <v>652.78</v>
      </c>
      <c r="P436" s="6" t="n">
        <v>0</v>
      </c>
      <c r="Q436" s="5" t="n">
        <v>3263.9</v>
      </c>
      <c r="R436" s="5" t="n">
        <v>2068.44</v>
      </c>
      <c r="S436" s="5" t="n">
        <v>1195.46</v>
      </c>
      <c r="T436" s="3" t="str">
        <f aca="false">PROPER(TRIM(SUBSTITUTE(Raw_Text_Fields!J437,CHAR(160)," ")))</f>
        <v>Paid</v>
      </c>
      <c r="U436" s="3" t="str">
        <f aca="false">PROPER(TRIM(SUBSTITUTE(Raw_Text_Fields!K437,CHAR(160)," ")))</f>
        <v>Completed</v>
      </c>
      <c r="V436" s="7" t="n">
        <f aca="false">IF(OR(P436&lt;0,P436&gt;0.5),0,P436)</f>
        <v>0</v>
      </c>
      <c r="W436" s="8" t="n">
        <f aca="false">N436*O436*(1-V436)</f>
        <v>3263.9</v>
      </c>
      <c r="X436" s="8" t="n">
        <f aca="false">W436-R436</f>
        <v>1195.46</v>
      </c>
      <c r="Y436" s="7" t="n">
        <f aca="false">IFERROR(X436/W436,0)</f>
        <v>0.36626734887711</v>
      </c>
      <c r="Z436" s="9" t="n">
        <f aca="false">C436-B436</f>
        <v>4</v>
      </c>
      <c r="AA436" s="1" t="str">
        <f aca="false">IF(B436="","",TEXT(B436,"mmm"))</f>
        <v>Apr</v>
      </c>
      <c r="AB436" s="9" t="n">
        <f aca="false">IF(B436="","",YEAR(B436))</f>
        <v>2025</v>
      </c>
      <c r="AC436" s="3"/>
      <c r="AD436" s="3" t="str">
        <f aca="false">IF(LEFT(AC436&amp;IF(B436="","; Missing Order Date","")&amp;IF(C436="","; Missing Ship Date","")&amp;IF(P436&lt;0,"; Invalid Discount (Negative)","")&amp;IF(P436&gt;0.5,"; Invalid Discount (Too High)","")&amp;IF(Z436&lt;0,"; Invalid Shipping Record (Ship Before Order)","")&amp;IF(ABS(Q436-W436)&gt;1,"; Sales Mismatch","")&amp;IF(ABS(S436-X436)&gt;1,"; Profit Mismatch","")&amp;IF(COUNTIF($A$2:$A$913,A436)&gt;1,"; Duplicate Order ID Conflict",""),2)="; ",MID(AC436&amp;IF(B436="","; Missing Order Date","")&amp;IF(C436="","; Missing Ship Date","")&amp;IF(P436&lt;0,"; Invalid Discount (Negative)","")&amp;IF(P436&gt;0.5,"; Invalid Discount (Too High)","")&amp;IF(Z436&lt;0,"; Invalid Shipping Record (Ship Before Order)","")&amp;IF(ABS(Q436-W436)&gt;1,"; Sales Mismatch","")&amp;IF(ABS(S436-X436)&gt;1,"; Profit Mismatch","")&amp;IF(COUNTIF($A$2:$A$913,A436)&gt;1,"; Duplicate Order ID Conflict",""),3,500),AC436&amp;IF(B436="","; Missing Order Date","")&amp;IF(C436="","; Missing Ship Date","")&amp;IF(P436&lt;0,"; Invalid Discount (Negative)","")&amp;IF(P436&gt;0.5,"; Invalid Discount (Too High)","")&amp;IF(Z436&lt;0,"; Invalid Shipping Record (Ship Before Order)","")&amp;IF(ABS(Q436-W436)&gt;1,"; Sales Mismatch","")&amp;IF(ABS(S436-X436)&gt;1,"; Profit Mismatch","")&amp;IF(COUNTIF($A$2:$A$913,A436)&gt;1,"; Duplicate Order ID Conflict",""))</f>
        <v/>
      </c>
      <c r="AE436" s="10" t="str">
        <f aca="false">IF(OR(ISNUMBER(SEARCH("Invalid Discount",AD436)),ISNUMBER(SEARCH("Invalid Shipping Record",AD436)),ISNUMBER(SEARCH("Sales Mismatch",AD436)),ISNUMBER(SEARCH("Profit Mismatch",AD436)),ISNUMBER(SEARCH("Duplicate Order ID Conflict",AD436)),ISNUMBER(SEARCH("Missing Order Date",AD436)),ISNUMBER(SEARCH("Missing Ship Date",AD436))),"Invalid",IF(AD436&lt;&gt;"","Warning","Clean"))</f>
        <v>Clean</v>
      </c>
    </row>
    <row r="437" customFormat="false" ht="15" hidden="false" customHeight="true" outlineLevel="0" collapsed="false">
      <c r="A437" s="3" t="s">
        <v>1329</v>
      </c>
      <c r="B437" s="4" t="n">
        <v>45759</v>
      </c>
      <c r="C437" s="4" t="n">
        <v>45767</v>
      </c>
      <c r="D437" s="3" t="s">
        <v>1330</v>
      </c>
      <c r="E437" s="3" t="str">
        <f aca="false">PROPER(TRIM(SUBSTITUTE(Raw_Text_Fields!B438,CHAR(160)," ")))</f>
        <v>Kabir Singh</v>
      </c>
      <c r="F437" s="3" t="str">
        <f aca="false">PROPER(TRIM(SUBSTITUTE(Raw_Text_Fields!C438,CHAR(160)," ")))</f>
        <v>Home Office</v>
      </c>
      <c r="G437" s="3" t="str">
        <f aca="false">PROPER(TRIM(SUBSTITUTE(Raw_Text_Fields!D438,CHAR(160)," ")))</f>
        <v>North</v>
      </c>
      <c r="H437" s="3" t="str">
        <f aca="false">PROPER(TRIM(SUBSTITUTE(Raw_Text_Fields!E438,CHAR(160)," ")))</f>
        <v>Delhi</v>
      </c>
      <c r="I437" s="3" t="str">
        <f aca="false">PROPER(TRIM(SUBSTITUTE(Raw_Text_Fields!F438,CHAR(160)," ")))</f>
        <v>New Delhi</v>
      </c>
      <c r="J437" s="3" t="str">
        <f aca="false">PROPER(TRIM(SUBSTITUTE(Raw_Text_Fields!G438,CHAR(160)," ")))</f>
        <v>Technology</v>
      </c>
      <c r="K437" s="3" t="str">
        <f aca="false">PROPER(TRIM(SUBSTITUTE(Raw_Text_Fields!H438,CHAR(160)," ")))</f>
        <v>Machines</v>
      </c>
      <c r="L437" s="3" t="s">
        <v>1331</v>
      </c>
      <c r="M437" s="3" t="str">
        <f aca="false">PROPER(TRIM(SUBSTITUTE(Raw_Text_Fields!I438,CHAR(160)," ")))</f>
        <v>Standard Class</v>
      </c>
      <c r="N437" s="3" t="n">
        <v>1</v>
      </c>
      <c r="O437" s="5" t="n">
        <v>2737.71</v>
      </c>
      <c r="P437" s="6" t="n">
        <v>0.15</v>
      </c>
      <c r="Q437" s="5" t="n">
        <v>2327.05</v>
      </c>
      <c r="R437" s="5" t="n">
        <v>1919.42</v>
      </c>
      <c r="S437" s="5" t="n">
        <v>407.63</v>
      </c>
      <c r="T437" s="3" t="str">
        <f aca="false">PROPER(TRIM(SUBSTITUTE(Raw_Text_Fields!J438,CHAR(160)," ")))</f>
        <v>Paid</v>
      </c>
      <c r="U437" s="3" t="str">
        <f aca="false">PROPER(TRIM(SUBSTITUTE(Raw_Text_Fields!K438,CHAR(160)," ")))</f>
        <v>Cancelled</v>
      </c>
      <c r="V437" s="7" t="n">
        <f aca="false">IF(OR(P437&lt;0,P437&gt;0.5),0,P437)</f>
        <v>0.15</v>
      </c>
      <c r="W437" s="8" t="n">
        <f aca="false">N437*O437*(1-V437)</f>
        <v>2327.0535</v>
      </c>
      <c r="X437" s="8" t="n">
        <f aca="false">W437-R437</f>
        <v>407.6335</v>
      </c>
      <c r="Y437" s="7" t="n">
        <f aca="false">IFERROR(X437/W437,0)</f>
        <v>0.175171520551633</v>
      </c>
      <c r="Z437" s="9" t="n">
        <f aca="false">C437-B437</f>
        <v>8</v>
      </c>
      <c r="AA437" s="1" t="str">
        <f aca="false">IF(B437="","",TEXT(B437,"mmm"))</f>
        <v>Apr</v>
      </c>
      <c r="AB437" s="9" t="n">
        <f aca="false">IF(B437="","",YEAR(B437))</f>
        <v>2025</v>
      </c>
      <c r="AC437" s="3"/>
      <c r="AD437" s="3" t="str">
        <f aca="false">IF(LEFT(AC437&amp;IF(B437="","; Missing Order Date","")&amp;IF(C437="","; Missing Ship Date","")&amp;IF(P437&lt;0,"; Invalid Discount (Negative)","")&amp;IF(P437&gt;0.5,"; Invalid Discount (Too High)","")&amp;IF(Z437&lt;0,"; Invalid Shipping Record (Ship Before Order)","")&amp;IF(ABS(Q437-W437)&gt;1,"; Sales Mismatch","")&amp;IF(ABS(S437-X437)&gt;1,"; Profit Mismatch","")&amp;IF(COUNTIF($A$2:$A$913,A437)&gt;1,"; Duplicate Order ID Conflict",""),2)="; ",MID(AC437&amp;IF(B437="","; Missing Order Date","")&amp;IF(C437="","; Missing Ship Date","")&amp;IF(P437&lt;0,"; Invalid Discount (Negative)","")&amp;IF(P437&gt;0.5,"; Invalid Discount (Too High)","")&amp;IF(Z437&lt;0,"; Invalid Shipping Record (Ship Before Order)","")&amp;IF(ABS(Q437-W437)&gt;1,"; Sales Mismatch","")&amp;IF(ABS(S437-X437)&gt;1,"; Profit Mismatch","")&amp;IF(COUNTIF($A$2:$A$913,A437)&gt;1,"; Duplicate Order ID Conflict",""),3,500),AC437&amp;IF(B437="","; Missing Order Date","")&amp;IF(C437="","; Missing Ship Date","")&amp;IF(P437&lt;0,"; Invalid Discount (Negative)","")&amp;IF(P437&gt;0.5,"; Invalid Discount (Too High)","")&amp;IF(Z437&lt;0,"; Invalid Shipping Record (Ship Before Order)","")&amp;IF(ABS(Q437-W437)&gt;1,"; Sales Mismatch","")&amp;IF(ABS(S437-X437)&gt;1,"; Profit Mismatch","")&amp;IF(COUNTIF($A$2:$A$913,A437)&gt;1,"; Duplicate Order ID Conflict",""))</f>
        <v/>
      </c>
      <c r="AE437" s="10" t="str">
        <f aca="false">IF(OR(ISNUMBER(SEARCH("Invalid Discount",AD437)),ISNUMBER(SEARCH("Invalid Shipping Record",AD437)),ISNUMBER(SEARCH("Sales Mismatch",AD437)),ISNUMBER(SEARCH("Profit Mismatch",AD437)),ISNUMBER(SEARCH("Duplicate Order ID Conflict",AD437)),ISNUMBER(SEARCH("Missing Order Date",AD437)),ISNUMBER(SEARCH("Missing Ship Date",AD437))),"Invalid",IF(AD437&lt;&gt;"","Warning","Clean"))</f>
        <v>Clean</v>
      </c>
    </row>
    <row r="438" customFormat="false" ht="15" hidden="false" customHeight="true" outlineLevel="0" collapsed="false">
      <c r="A438" s="3" t="s">
        <v>1332</v>
      </c>
      <c r="B438" s="4" t="n">
        <v>45459</v>
      </c>
      <c r="C438" s="4" t="n">
        <v>45464</v>
      </c>
      <c r="D438" s="3" t="s">
        <v>1333</v>
      </c>
      <c r="E438" s="3" t="str">
        <f aca="false">PROPER(TRIM(SUBSTITUTE(Raw_Text_Fields!B439,CHAR(160)," ")))</f>
        <v>Neha Gupta</v>
      </c>
      <c r="F438" s="3" t="str">
        <f aca="false">PROPER(TRIM(SUBSTITUTE(Raw_Text_Fields!C439,CHAR(160)," ")))</f>
        <v>Consumer</v>
      </c>
      <c r="G438" s="3" t="str">
        <f aca="false">PROPER(TRIM(SUBSTITUTE(Raw_Text_Fields!D439,CHAR(160)," ")))</f>
        <v>South</v>
      </c>
      <c r="H438" s="3" t="str">
        <f aca="false">PROPER(TRIM(SUBSTITUTE(Raw_Text_Fields!E439,CHAR(160)," ")))</f>
        <v>Kerala</v>
      </c>
      <c r="I438" s="3" t="str">
        <f aca="false">PROPER(TRIM(SUBSTITUTE(Raw_Text_Fields!F439,CHAR(160)," ")))</f>
        <v>Kochi</v>
      </c>
      <c r="J438" s="3" t="str">
        <f aca="false">PROPER(TRIM(SUBSTITUTE(Raw_Text_Fields!G439,CHAR(160)," ")))</f>
        <v>Furniture</v>
      </c>
      <c r="K438" s="3" t="str">
        <f aca="false">PROPER(TRIM(SUBSTITUTE(Raw_Text_Fields!H439,CHAR(160)," ")))</f>
        <v>Furnishings</v>
      </c>
      <c r="L438" s="3" t="s">
        <v>1334</v>
      </c>
      <c r="M438" s="3" t="str">
        <f aca="false">PROPER(TRIM(SUBSTITUTE(Raw_Text_Fields!I439,CHAR(160)," ")))</f>
        <v>Same Day</v>
      </c>
      <c r="N438" s="3" t="n">
        <v>6</v>
      </c>
      <c r="O438" s="5" t="n">
        <v>1156.78</v>
      </c>
      <c r="P438" s="6" t="n">
        <v>0.05</v>
      </c>
      <c r="Q438" s="5" t="n">
        <v>6593.65</v>
      </c>
      <c r="R438" s="5" t="n">
        <v>4359.39</v>
      </c>
      <c r="S438" s="5" t="n">
        <v>2234.26</v>
      </c>
      <c r="T438" s="3" t="str">
        <f aca="false">PROPER(TRIM(SUBSTITUTE(Raw_Text_Fields!J439,CHAR(160)," ")))</f>
        <v>Paid</v>
      </c>
      <c r="U438" s="3" t="str">
        <f aca="false">PROPER(TRIM(SUBSTITUTE(Raw_Text_Fields!K439,CHAR(160)," ")))</f>
        <v>Returned</v>
      </c>
      <c r="V438" s="7" t="n">
        <f aca="false">IF(OR(P438&lt;0,P438&gt;0.5),0,P438)</f>
        <v>0.05</v>
      </c>
      <c r="W438" s="8" t="n">
        <f aca="false">N438*O438*(1-V438)</f>
        <v>6593.646</v>
      </c>
      <c r="X438" s="8" t="n">
        <f aca="false">W438-R438</f>
        <v>2234.256</v>
      </c>
      <c r="Y438" s="7" t="n">
        <f aca="false">IFERROR(X438/W438,0)</f>
        <v>0.338849856361715</v>
      </c>
      <c r="Z438" s="9" t="n">
        <f aca="false">C438-B438</f>
        <v>5</v>
      </c>
      <c r="AA438" s="1" t="str">
        <f aca="false">IF(B438="","",TEXT(B438,"mmm"))</f>
        <v>Jun</v>
      </c>
      <c r="AB438" s="9" t="n">
        <f aca="false">IF(B438="","",YEAR(B438))</f>
        <v>2024</v>
      </c>
      <c r="AC438" s="3"/>
      <c r="AD438" s="3" t="str">
        <f aca="false">IF(LEFT(AC438&amp;IF(B438="","; Missing Order Date","")&amp;IF(C438="","; Missing Ship Date","")&amp;IF(P438&lt;0,"; Invalid Discount (Negative)","")&amp;IF(P438&gt;0.5,"; Invalid Discount (Too High)","")&amp;IF(Z438&lt;0,"; Invalid Shipping Record (Ship Before Order)","")&amp;IF(ABS(Q438-W438)&gt;1,"; Sales Mismatch","")&amp;IF(ABS(S438-X438)&gt;1,"; Profit Mismatch","")&amp;IF(COUNTIF($A$2:$A$913,A438)&gt;1,"; Duplicate Order ID Conflict",""),2)="; ",MID(AC438&amp;IF(B438="","; Missing Order Date","")&amp;IF(C438="","; Missing Ship Date","")&amp;IF(P438&lt;0,"; Invalid Discount (Negative)","")&amp;IF(P438&gt;0.5,"; Invalid Discount (Too High)","")&amp;IF(Z438&lt;0,"; Invalid Shipping Record (Ship Before Order)","")&amp;IF(ABS(Q438-W438)&gt;1,"; Sales Mismatch","")&amp;IF(ABS(S438-X438)&gt;1,"; Profit Mismatch","")&amp;IF(COUNTIF($A$2:$A$913,A438)&gt;1,"; Duplicate Order ID Conflict",""),3,500),AC438&amp;IF(B438="","; Missing Order Date","")&amp;IF(C438="","; Missing Ship Date","")&amp;IF(P438&lt;0,"; Invalid Discount (Negative)","")&amp;IF(P438&gt;0.5,"; Invalid Discount (Too High)","")&amp;IF(Z438&lt;0,"; Invalid Shipping Record (Ship Before Order)","")&amp;IF(ABS(Q438-W438)&gt;1,"; Sales Mismatch","")&amp;IF(ABS(S438-X438)&gt;1,"; Profit Mismatch","")&amp;IF(COUNTIF($A$2:$A$913,A438)&gt;1,"; Duplicate Order ID Conflict",""))</f>
        <v/>
      </c>
      <c r="AE438" s="10" t="str">
        <f aca="false">IF(OR(ISNUMBER(SEARCH("Invalid Discount",AD438)),ISNUMBER(SEARCH("Invalid Shipping Record",AD438)),ISNUMBER(SEARCH("Sales Mismatch",AD438)),ISNUMBER(SEARCH("Profit Mismatch",AD438)),ISNUMBER(SEARCH("Duplicate Order ID Conflict",AD438)),ISNUMBER(SEARCH("Missing Order Date",AD438)),ISNUMBER(SEARCH("Missing Ship Date",AD438))),"Invalid",IF(AD438&lt;&gt;"","Warning","Clean"))</f>
        <v>Clean</v>
      </c>
    </row>
    <row r="439" customFormat="false" ht="15" hidden="false" customHeight="true" outlineLevel="0" collapsed="false">
      <c r="A439" s="3" t="s">
        <v>1335</v>
      </c>
      <c r="B439" s="4" t="n">
        <v>45337</v>
      </c>
      <c r="C439" s="4" t="n">
        <v>45340</v>
      </c>
      <c r="D439" s="3" t="s">
        <v>1336</v>
      </c>
      <c r="E439" s="3" t="str">
        <f aca="false">PROPER(TRIM(SUBSTITUTE(Raw_Text_Fields!B440,CHAR(160)," ")))</f>
        <v>Aditi Sen</v>
      </c>
      <c r="F439" s="3" t="str">
        <f aca="false">PROPER(TRIM(SUBSTITUTE(Raw_Text_Fields!C440,CHAR(160)," ")))</f>
        <v>Small Business</v>
      </c>
      <c r="G439" s="3" t="str">
        <f aca="false">PROPER(TRIM(SUBSTITUTE(Raw_Text_Fields!D440,CHAR(160)," ")))</f>
        <v>South</v>
      </c>
      <c r="H439" s="3" t="str">
        <f aca="false">PROPER(TRIM(SUBSTITUTE(Raw_Text_Fields!E440,CHAR(160)," ")))</f>
        <v>Kerala</v>
      </c>
      <c r="I439" s="3" t="str">
        <f aca="false">PROPER(TRIM(SUBSTITUTE(Raw_Text_Fields!F440,CHAR(160)," ")))</f>
        <v>Kochi</v>
      </c>
      <c r="J439" s="3" t="str">
        <f aca="false">PROPER(TRIM(SUBSTITUTE(Raw_Text_Fields!G440,CHAR(160)," ")))</f>
        <v>Technology</v>
      </c>
      <c r="K439" s="3" t="str">
        <f aca="false">PROPER(TRIM(SUBSTITUTE(Raw_Text_Fields!H440,CHAR(160)," ")))</f>
        <v>Accessories</v>
      </c>
      <c r="L439" s="3" t="s">
        <v>1337</v>
      </c>
      <c r="M439" s="3" t="str">
        <f aca="false">PROPER(TRIM(SUBSTITUTE(Raw_Text_Fields!I440,CHAR(160)," ")))</f>
        <v>Same Day</v>
      </c>
      <c r="N439" s="3" t="n">
        <v>8</v>
      </c>
      <c r="O439" s="5" t="n">
        <v>379.82</v>
      </c>
      <c r="P439" s="6" t="n">
        <v>0.05</v>
      </c>
      <c r="Q439" s="5" t="n">
        <v>2886.63</v>
      </c>
      <c r="R439" s="5" t="n">
        <v>1588.23</v>
      </c>
      <c r="S439" s="5" t="n">
        <v>1298.4</v>
      </c>
      <c r="T439" s="3" t="str">
        <f aca="false">PROPER(TRIM(SUBSTITUTE(Raw_Text_Fields!J440,CHAR(160)," ")))</f>
        <v>Failed</v>
      </c>
      <c r="U439" s="3" t="str">
        <f aca="false">PROPER(TRIM(SUBSTITUTE(Raw_Text_Fields!K440,CHAR(160)," ")))</f>
        <v>Returned</v>
      </c>
      <c r="V439" s="7" t="n">
        <f aca="false">IF(OR(P439&lt;0,P439&gt;0.5),0,P439)</f>
        <v>0.05</v>
      </c>
      <c r="W439" s="8" t="n">
        <f aca="false">N439*O439*(1-V439)</f>
        <v>2886.632</v>
      </c>
      <c r="X439" s="8" t="n">
        <f aca="false">W439-R439</f>
        <v>1298.402</v>
      </c>
      <c r="Y439" s="7" t="n">
        <f aca="false">IFERROR(X439/W439,0)</f>
        <v>0.44979824238074</v>
      </c>
      <c r="Z439" s="9" t="n">
        <f aca="false">C439-B439</f>
        <v>3</v>
      </c>
      <c r="AA439" s="1" t="str">
        <f aca="false">IF(B439="","",TEXT(B439,"mmm"))</f>
        <v>Feb</v>
      </c>
      <c r="AB439" s="9" t="n">
        <f aca="false">IF(B439="","",YEAR(B439))</f>
        <v>2024</v>
      </c>
      <c r="AC439" s="3"/>
      <c r="AD439" s="3" t="str">
        <f aca="false">IF(LEFT(AC439&amp;IF(B439="","; Missing Order Date","")&amp;IF(C439="","; Missing Ship Date","")&amp;IF(P439&lt;0,"; Invalid Discount (Negative)","")&amp;IF(P439&gt;0.5,"; Invalid Discount (Too High)","")&amp;IF(Z439&lt;0,"; Invalid Shipping Record (Ship Before Order)","")&amp;IF(ABS(Q439-W439)&gt;1,"; Sales Mismatch","")&amp;IF(ABS(S439-X439)&gt;1,"; Profit Mismatch","")&amp;IF(COUNTIF($A$2:$A$913,A439)&gt;1,"; Duplicate Order ID Conflict",""),2)="; ",MID(AC439&amp;IF(B439="","; Missing Order Date","")&amp;IF(C439="","; Missing Ship Date","")&amp;IF(P439&lt;0,"; Invalid Discount (Negative)","")&amp;IF(P439&gt;0.5,"; Invalid Discount (Too High)","")&amp;IF(Z439&lt;0,"; Invalid Shipping Record (Ship Before Order)","")&amp;IF(ABS(Q439-W439)&gt;1,"; Sales Mismatch","")&amp;IF(ABS(S439-X439)&gt;1,"; Profit Mismatch","")&amp;IF(COUNTIF($A$2:$A$913,A439)&gt;1,"; Duplicate Order ID Conflict",""),3,500),AC439&amp;IF(B439="","; Missing Order Date","")&amp;IF(C439="","; Missing Ship Date","")&amp;IF(P439&lt;0,"; Invalid Discount (Negative)","")&amp;IF(P439&gt;0.5,"; Invalid Discount (Too High)","")&amp;IF(Z439&lt;0,"; Invalid Shipping Record (Ship Before Order)","")&amp;IF(ABS(Q439-W439)&gt;1,"; Sales Mismatch","")&amp;IF(ABS(S439-X439)&gt;1,"; Profit Mismatch","")&amp;IF(COUNTIF($A$2:$A$913,A439)&gt;1,"; Duplicate Order ID Conflict",""))</f>
        <v/>
      </c>
      <c r="AE439" s="10" t="str">
        <f aca="false">IF(OR(ISNUMBER(SEARCH("Invalid Discount",AD439)),ISNUMBER(SEARCH("Invalid Shipping Record",AD439)),ISNUMBER(SEARCH("Sales Mismatch",AD439)),ISNUMBER(SEARCH("Profit Mismatch",AD439)),ISNUMBER(SEARCH("Duplicate Order ID Conflict",AD439)),ISNUMBER(SEARCH("Missing Order Date",AD439)),ISNUMBER(SEARCH("Missing Ship Date",AD439))),"Invalid",IF(AD439&lt;&gt;"","Warning","Clean"))</f>
        <v>Clean</v>
      </c>
    </row>
    <row r="440" customFormat="false" ht="15" hidden="false" customHeight="true" outlineLevel="0" collapsed="false">
      <c r="A440" s="3" t="s">
        <v>1338</v>
      </c>
      <c r="B440" s="4" t="n">
        <v>45784</v>
      </c>
      <c r="C440" s="4" t="n">
        <v>45782</v>
      </c>
      <c r="D440" s="3" t="s">
        <v>1339</v>
      </c>
      <c r="E440" s="3" t="str">
        <f aca="false">PROPER(TRIM(SUBSTITUTE(Raw_Text_Fields!B441,CHAR(160)," ")))</f>
        <v>Neha Gupta</v>
      </c>
      <c r="F440" s="3" t="str">
        <f aca="false">PROPER(TRIM(SUBSTITUTE(Raw_Text_Fields!C441,CHAR(160)," ")))</f>
        <v>Corporate</v>
      </c>
      <c r="G440" s="3" t="str">
        <f aca="false">PROPER(TRIM(SUBSTITUTE(Raw_Text_Fields!D441,CHAR(160)," ")))</f>
        <v>East</v>
      </c>
      <c r="H440" s="3" t="str">
        <f aca="false">PROPER(TRIM(SUBSTITUTE(Raw_Text_Fields!E441,CHAR(160)," ")))</f>
        <v>Jharkhand</v>
      </c>
      <c r="I440" s="3" t="str">
        <f aca="false">PROPER(TRIM(SUBSTITUTE(Raw_Text_Fields!F441,CHAR(160)," ")))</f>
        <v>Ranchi</v>
      </c>
      <c r="J440" s="3" t="str">
        <f aca="false">PROPER(TRIM(SUBSTITUTE(Raw_Text_Fields!G441,CHAR(160)," ")))</f>
        <v>Technology</v>
      </c>
      <c r="K440" s="3" t="str">
        <f aca="false">PROPER(TRIM(SUBSTITUTE(Raw_Text_Fields!H441,CHAR(160)," ")))</f>
        <v>Phones</v>
      </c>
      <c r="L440" s="3" t="s">
        <v>1340</v>
      </c>
      <c r="M440" s="3" t="str">
        <f aca="false">PROPER(TRIM(SUBSTITUTE(Raw_Text_Fields!I441,CHAR(160)," ")))</f>
        <v>Standard Class</v>
      </c>
      <c r="N440" s="3" t="n">
        <v>1</v>
      </c>
      <c r="O440" s="5" t="n">
        <v>2266.47</v>
      </c>
      <c r="P440" s="6" t="n">
        <v>0.2</v>
      </c>
      <c r="Q440" s="5" t="n">
        <v>1813.18</v>
      </c>
      <c r="R440" s="5" t="n">
        <v>1363.64</v>
      </c>
      <c r="S440" s="5" t="n">
        <v>449.54</v>
      </c>
      <c r="T440" s="3" t="str">
        <f aca="false">PROPER(TRIM(SUBSTITUTE(Raw_Text_Fields!J441,CHAR(160)," ")))</f>
        <v>Paid</v>
      </c>
      <c r="U440" s="3" t="str">
        <f aca="false">PROPER(TRIM(SUBSTITUTE(Raw_Text_Fields!K441,CHAR(160)," ")))</f>
        <v>Completed</v>
      </c>
      <c r="V440" s="7" t="n">
        <f aca="false">IF(OR(P440&lt;0,P440&gt;0.5),0,P440)</f>
        <v>0.2</v>
      </c>
      <c r="W440" s="8" t="n">
        <f aca="false">N440*O440*(1-V440)</f>
        <v>1813.176</v>
      </c>
      <c r="X440" s="8" t="n">
        <f aca="false">W440-R440</f>
        <v>449.536</v>
      </c>
      <c r="Y440" s="7" t="n">
        <f aca="false">IFERROR(X440/W440,0)</f>
        <v>0.247927393700336</v>
      </c>
      <c r="Z440" s="9" t="n">
        <f aca="false">C440-B440</f>
        <v>-2</v>
      </c>
      <c r="AA440" s="1" t="str">
        <f aca="false">IF(B440="","",TEXT(B440,"mmm"))</f>
        <v>May</v>
      </c>
      <c r="AB440" s="9" t="n">
        <f aca="false">IF(B440="","",YEAR(B440))</f>
        <v>2025</v>
      </c>
      <c r="AC440" s="3"/>
      <c r="AD440" s="3" t="str">
        <f aca="false">IF(LEFT(AC440&amp;IF(B440="","; Missing Order Date","")&amp;IF(C440="","; Missing Ship Date","")&amp;IF(P440&lt;0,"; Invalid Discount (Negative)","")&amp;IF(P440&gt;0.5,"; Invalid Discount (Too High)","")&amp;IF(Z440&lt;0,"; Invalid Shipping Record (Ship Before Order)","")&amp;IF(ABS(Q440-W440)&gt;1,"; Sales Mismatch","")&amp;IF(ABS(S440-X440)&gt;1,"; Profit Mismatch","")&amp;IF(COUNTIF($A$2:$A$913,A440)&gt;1,"; Duplicate Order ID Conflict",""),2)="; ",MID(AC440&amp;IF(B440="","; Missing Order Date","")&amp;IF(C440="","; Missing Ship Date","")&amp;IF(P440&lt;0,"; Invalid Discount (Negative)","")&amp;IF(P440&gt;0.5,"; Invalid Discount (Too High)","")&amp;IF(Z440&lt;0,"; Invalid Shipping Record (Ship Before Order)","")&amp;IF(ABS(Q440-W440)&gt;1,"; Sales Mismatch","")&amp;IF(ABS(S440-X440)&gt;1,"; Profit Mismatch","")&amp;IF(COUNTIF($A$2:$A$913,A440)&gt;1,"; Duplicate Order ID Conflict",""),3,500),AC440&amp;IF(B440="","; Missing Order Date","")&amp;IF(C440="","; Missing Ship Date","")&amp;IF(P440&lt;0,"; Invalid Discount (Negative)","")&amp;IF(P440&gt;0.5,"; Invalid Discount (Too High)","")&amp;IF(Z440&lt;0,"; Invalid Shipping Record (Ship Before Order)","")&amp;IF(ABS(Q440-W440)&gt;1,"; Sales Mismatch","")&amp;IF(ABS(S440-X440)&gt;1,"; Profit Mismatch","")&amp;IF(COUNTIF($A$2:$A$913,A440)&gt;1,"; Duplicate Order ID Conflict",""))</f>
        <v>Invalid Shipping Record (Ship Before Order)</v>
      </c>
      <c r="AE440" s="10" t="str">
        <f aca="false">IF(OR(ISNUMBER(SEARCH("Invalid Discount",AD440)),ISNUMBER(SEARCH("Invalid Shipping Record",AD440)),ISNUMBER(SEARCH("Sales Mismatch",AD440)),ISNUMBER(SEARCH("Profit Mismatch",AD440)),ISNUMBER(SEARCH("Duplicate Order ID Conflict",AD440)),ISNUMBER(SEARCH("Missing Order Date",AD440)),ISNUMBER(SEARCH("Missing Ship Date",AD440))),"Invalid",IF(AD440&lt;&gt;"","Warning","Clean"))</f>
        <v>Invalid</v>
      </c>
    </row>
    <row r="441" customFormat="false" ht="15" hidden="false" customHeight="true" outlineLevel="0" collapsed="false">
      <c r="A441" s="3" t="s">
        <v>1341</v>
      </c>
      <c r="B441" s="4" t="n">
        <v>45838</v>
      </c>
      <c r="C441" s="4" t="n">
        <v>45841</v>
      </c>
      <c r="D441" s="3" t="s">
        <v>1342</v>
      </c>
      <c r="E441" s="3" t="str">
        <f aca="false">PROPER(TRIM(SUBSTITUTE(Raw_Text_Fields!B442,CHAR(160)," ")))</f>
        <v>Aarav Sharma</v>
      </c>
      <c r="F441" s="3" t="str">
        <f aca="false">PROPER(TRIM(SUBSTITUTE(Raw_Text_Fields!C442,CHAR(160)," ")))</f>
        <v>Home Office</v>
      </c>
      <c r="G441" s="3" t="str">
        <f aca="false">PROPER(TRIM(SUBSTITUTE(Raw_Text_Fields!D442,CHAR(160)," ")))</f>
        <v>West</v>
      </c>
      <c r="H441" s="3" t="str">
        <f aca="false">PROPER(TRIM(SUBSTITUTE(Raw_Text_Fields!E442,CHAR(160)," ")))</f>
        <v>Goa</v>
      </c>
      <c r="I441" s="3" t="str">
        <f aca="false">PROPER(TRIM(SUBSTITUTE(Raw_Text_Fields!F442,CHAR(160)," ")))</f>
        <v>Panaji</v>
      </c>
      <c r="J441" s="3" t="str">
        <f aca="false">PROPER(TRIM(SUBSTITUTE(Raw_Text_Fields!G442,CHAR(160)," ")))</f>
        <v>Office Supplies</v>
      </c>
      <c r="K441" s="3" t="str">
        <f aca="false">PROPER(TRIM(SUBSTITUTE(Raw_Text_Fields!H442,CHAR(160)," ")))</f>
        <v>Storage</v>
      </c>
      <c r="L441" s="3" t="s">
        <v>1343</v>
      </c>
      <c r="M441" s="3" t="str">
        <f aca="false">PROPER(TRIM(SUBSTITUTE(Raw_Text_Fields!I442,CHAR(160)," ")))</f>
        <v>Same Day</v>
      </c>
      <c r="N441" s="3" t="n">
        <v>5</v>
      </c>
      <c r="O441" s="5" t="n">
        <v>665.25</v>
      </c>
      <c r="P441" s="6" t="n">
        <v>0</v>
      </c>
      <c r="Q441" s="5" t="n">
        <v>3326.25</v>
      </c>
      <c r="R441" s="5" t="n">
        <v>2689.36</v>
      </c>
      <c r="S441" s="5" t="n">
        <v>636.89</v>
      </c>
      <c r="T441" s="3" t="str">
        <f aca="false">PROPER(TRIM(SUBSTITUTE(Raw_Text_Fields!J442,CHAR(160)," ")))</f>
        <v>Refunded</v>
      </c>
      <c r="U441" s="3" t="str">
        <f aca="false">PROPER(TRIM(SUBSTITUTE(Raw_Text_Fields!K442,CHAR(160)," ")))</f>
        <v>Returned</v>
      </c>
      <c r="V441" s="7" t="n">
        <f aca="false">IF(OR(P441&lt;0,P441&gt;0.5),0,P441)</f>
        <v>0</v>
      </c>
      <c r="W441" s="8" t="n">
        <f aca="false">N441*O441*(1-V441)</f>
        <v>3326.25</v>
      </c>
      <c r="X441" s="8" t="n">
        <f aca="false">W441-R441</f>
        <v>636.89</v>
      </c>
      <c r="Y441" s="7" t="n">
        <f aca="false">IFERROR(X441/W441,0)</f>
        <v>0.191473881999248</v>
      </c>
      <c r="Z441" s="9" t="n">
        <f aca="false">C441-B441</f>
        <v>3</v>
      </c>
      <c r="AA441" s="1" t="str">
        <f aca="false">IF(B441="","",TEXT(B441,"mmm"))</f>
        <v>Jun</v>
      </c>
      <c r="AB441" s="9" t="n">
        <f aca="false">IF(B441="","",YEAR(B441))</f>
        <v>2025</v>
      </c>
      <c r="AC441" s="3"/>
      <c r="AD441" s="3" t="str">
        <f aca="false">IF(LEFT(AC441&amp;IF(B441="","; Missing Order Date","")&amp;IF(C441="","; Missing Ship Date","")&amp;IF(P441&lt;0,"; Invalid Discount (Negative)","")&amp;IF(P441&gt;0.5,"; Invalid Discount (Too High)","")&amp;IF(Z441&lt;0,"; Invalid Shipping Record (Ship Before Order)","")&amp;IF(ABS(Q441-W441)&gt;1,"; Sales Mismatch","")&amp;IF(ABS(S441-X441)&gt;1,"; Profit Mismatch","")&amp;IF(COUNTIF($A$2:$A$913,A441)&gt;1,"; Duplicate Order ID Conflict",""),2)="; ",MID(AC441&amp;IF(B441="","; Missing Order Date","")&amp;IF(C441="","; Missing Ship Date","")&amp;IF(P441&lt;0,"; Invalid Discount (Negative)","")&amp;IF(P441&gt;0.5,"; Invalid Discount (Too High)","")&amp;IF(Z441&lt;0,"; Invalid Shipping Record (Ship Before Order)","")&amp;IF(ABS(Q441-W441)&gt;1,"; Sales Mismatch","")&amp;IF(ABS(S441-X441)&gt;1,"; Profit Mismatch","")&amp;IF(COUNTIF($A$2:$A$913,A441)&gt;1,"; Duplicate Order ID Conflict",""),3,500),AC441&amp;IF(B441="","; Missing Order Date","")&amp;IF(C441="","; Missing Ship Date","")&amp;IF(P441&lt;0,"; Invalid Discount (Negative)","")&amp;IF(P441&gt;0.5,"; Invalid Discount (Too High)","")&amp;IF(Z441&lt;0,"; Invalid Shipping Record (Ship Before Order)","")&amp;IF(ABS(Q441-W441)&gt;1,"; Sales Mismatch","")&amp;IF(ABS(S441-X441)&gt;1,"; Profit Mismatch","")&amp;IF(COUNTIF($A$2:$A$913,A441)&gt;1,"; Duplicate Order ID Conflict",""))</f>
        <v/>
      </c>
      <c r="AE441" s="10" t="str">
        <f aca="false">IF(OR(ISNUMBER(SEARCH("Invalid Discount",AD441)),ISNUMBER(SEARCH("Invalid Shipping Record",AD441)),ISNUMBER(SEARCH("Sales Mismatch",AD441)),ISNUMBER(SEARCH("Profit Mismatch",AD441)),ISNUMBER(SEARCH("Duplicate Order ID Conflict",AD441)),ISNUMBER(SEARCH("Missing Order Date",AD441)),ISNUMBER(SEARCH("Missing Ship Date",AD441))),"Invalid",IF(AD441&lt;&gt;"","Warning","Clean"))</f>
        <v>Clean</v>
      </c>
    </row>
    <row r="442" customFormat="false" ht="15" hidden="false" customHeight="true" outlineLevel="0" collapsed="false">
      <c r="A442" s="3" t="s">
        <v>1344</v>
      </c>
      <c r="B442" s="4" t="n">
        <v>45384</v>
      </c>
      <c r="C442" s="4" t="n">
        <v>45390</v>
      </c>
      <c r="D442" s="3" t="s">
        <v>196</v>
      </c>
      <c r="E442" s="3" t="str">
        <f aca="false">PROPER(TRIM(SUBSTITUTE(Raw_Text_Fields!B443,CHAR(160)," ")))</f>
        <v>Vikram Iyer</v>
      </c>
      <c r="F442" s="3" t="str">
        <f aca="false">PROPER(TRIM(SUBSTITUTE(Raw_Text_Fields!C443,CHAR(160)," ")))</f>
        <v>Corporate</v>
      </c>
      <c r="G442" s="3" t="str">
        <f aca="false">PROPER(TRIM(SUBSTITUTE(Raw_Text_Fields!D443,CHAR(160)," ")))</f>
        <v>East</v>
      </c>
      <c r="H442" s="3" t="str">
        <f aca="false">PROPER(TRIM(SUBSTITUTE(Raw_Text_Fields!E443,CHAR(160)," ")))</f>
        <v>Odisha</v>
      </c>
      <c r="I442" s="3" t="str">
        <f aca="false">PROPER(TRIM(SUBSTITUTE(Raw_Text_Fields!F443,CHAR(160)," ")))</f>
        <v>Bhubaneswar</v>
      </c>
      <c r="J442" s="3" t="str">
        <f aca="false">PROPER(TRIM(SUBSTITUTE(Raw_Text_Fields!G443,CHAR(160)," ")))</f>
        <v>Technology</v>
      </c>
      <c r="K442" s="3" t="str">
        <f aca="false">PROPER(TRIM(SUBSTITUTE(Raw_Text_Fields!H443,CHAR(160)," ")))</f>
        <v>Machines</v>
      </c>
      <c r="L442" s="3" t="s">
        <v>1345</v>
      </c>
      <c r="M442" s="3" t="str">
        <f aca="false">PROPER(TRIM(SUBSTITUTE(Raw_Text_Fields!I443,CHAR(160)," ")))</f>
        <v>Second Class</v>
      </c>
      <c r="N442" s="3" t="n">
        <v>6</v>
      </c>
      <c r="O442" s="5" t="n">
        <v>3722.84</v>
      </c>
      <c r="P442" s="6" t="n">
        <v>0.2</v>
      </c>
      <c r="Q442" s="5" t="n">
        <v>17869.63</v>
      </c>
      <c r="R442" s="5" t="n">
        <v>12163.8</v>
      </c>
      <c r="S442" s="5" t="n">
        <v>5705.83</v>
      </c>
      <c r="T442" s="3" t="str">
        <f aca="false">PROPER(TRIM(SUBSTITUTE(Raw_Text_Fields!J443,CHAR(160)," ")))</f>
        <v>Paid</v>
      </c>
      <c r="U442" s="3" t="str">
        <f aca="false">PROPER(TRIM(SUBSTITUTE(Raw_Text_Fields!K443,CHAR(160)," ")))</f>
        <v>Completed</v>
      </c>
      <c r="V442" s="7" t="n">
        <f aca="false">IF(OR(P442&lt;0,P442&gt;0.5),0,P442)</f>
        <v>0.2</v>
      </c>
      <c r="W442" s="8" t="n">
        <f aca="false">N442*O442*(1-V442)</f>
        <v>17869.632</v>
      </c>
      <c r="X442" s="8" t="n">
        <f aca="false">W442-R442</f>
        <v>5705.832</v>
      </c>
      <c r="Y442" s="7" t="n">
        <f aca="false">IFERROR(X442/W442,0)</f>
        <v>0.319303273844699</v>
      </c>
      <c r="Z442" s="9" t="n">
        <f aca="false">C442-B442</f>
        <v>6</v>
      </c>
      <c r="AA442" s="1" t="str">
        <f aca="false">IF(B442="","",TEXT(B442,"mmm"))</f>
        <v>Apr</v>
      </c>
      <c r="AB442" s="9" t="n">
        <f aca="false">IF(B442="","",YEAR(B442))</f>
        <v>2024</v>
      </c>
      <c r="AC442" s="3"/>
      <c r="AD442" s="3" t="str">
        <f aca="false">IF(LEFT(AC442&amp;IF(B442="","; Missing Order Date","")&amp;IF(C442="","; Missing Ship Date","")&amp;IF(P442&lt;0,"; Invalid Discount (Negative)","")&amp;IF(P442&gt;0.5,"; Invalid Discount (Too High)","")&amp;IF(Z442&lt;0,"; Invalid Shipping Record (Ship Before Order)","")&amp;IF(ABS(Q442-W442)&gt;1,"; Sales Mismatch","")&amp;IF(ABS(S442-X442)&gt;1,"; Profit Mismatch","")&amp;IF(COUNTIF($A$2:$A$913,A442)&gt;1,"; Duplicate Order ID Conflict",""),2)="; ",MID(AC442&amp;IF(B442="","; Missing Order Date","")&amp;IF(C442="","; Missing Ship Date","")&amp;IF(P442&lt;0,"; Invalid Discount (Negative)","")&amp;IF(P442&gt;0.5,"; Invalid Discount (Too High)","")&amp;IF(Z442&lt;0,"; Invalid Shipping Record (Ship Before Order)","")&amp;IF(ABS(Q442-W442)&gt;1,"; Sales Mismatch","")&amp;IF(ABS(S442-X442)&gt;1,"; Profit Mismatch","")&amp;IF(COUNTIF($A$2:$A$913,A442)&gt;1,"; Duplicate Order ID Conflict",""),3,500),AC442&amp;IF(B442="","; Missing Order Date","")&amp;IF(C442="","; Missing Ship Date","")&amp;IF(P442&lt;0,"; Invalid Discount (Negative)","")&amp;IF(P442&gt;0.5,"; Invalid Discount (Too High)","")&amp;IF(Z442&lt;0,"; Invalid Shipping Record (Ship Before Order)","")&amp;IF(ABS(Q442-W442)&gt;1,"; Sales Mismatch","")&amp;IF(ABS(S442-X442)&gt;1,"; Profit Mismatch","")&amp;IF(COUNTIF($A$2:$A$913,A442)&gt;1,"; Duplicate Order ID Conflict",""))</f>
        <v/>
      </c>
      <c r="AE442" s="10" t="str">
        <f aca="false">IF(OR(ISNUMBER(SEARCH("Invalid Discount",AD442)),ISNUMBER(SEARCH("Invalid Shipping Record",AD442)),ISNUMBER(SEARCH("Sales Mismatch",AD442)),ISNUMBER(SEARCH("Profit Mismatch",AD442)),ISNUMBER(SEARCH("Duplicate Order ID Conflict",AD442)),ISNUMBER(SEARCH("Missing Order Date",AD442)),ISNUMBER(SEARCH("Missing Ship Date",AD442))),"Invalid",IF(AD442&lt;&gt;"","Warning","Clean"))</f>
        <v>Clean</v>
      </c>
    </row>
    <row r="443" customFormat="false" ht="15" hidden="false" customHeight="true" outlineLevel="0" collapsed="false">
      <c r="A443" s="3" t="s">
        <v>1346</v>
      </c>
      <c r="B443" s="4" t="n">
        <v>45568</v>
      </c>
      <c r="C443" s="4" t="n">
        <v>45568</v>
      </c>
      <c r="D443" s="3" t="s">
        <v>1347</v>
      </c>
      <c r="E443" s="3" t="str">
        <f aca="false">PROPER(TRIM(SUBSTITUTE(Raw_Text_Fields!B444,CHAR(160)," ")))</f>
        <v>Karan Malhotra</v>
      </c>
      <c r="F443" s="3" t="str">
        <f aca="false">PROPER(TRIM(SUBSTITUTE(Raw_Text_Fields!C444,CHAR(160)," ")))</f>
        <v>Consumer</v>
      </c>
      <c r="G443" s="3" t="str">
        <f aca="false">PROPER(TRIM(SUBSTITUTE(Raw_Text_Fields!D444,CHAR(160)," ")))</f>
        <v>East</v>
      </c>
      <c r="H443" s="3" t="str">
        <f aca="false">PROPER(TRIM(SUBSTITUTE(Raw_Text_Fields!E444,CHAR(160)," ")))</f>
        <v>Bihar</v>
      </c>
      <c r="I443" s="3" t="str">
        <f aca="false">PROPER(TRIM(SUBSTITUTE(Raw_Text_Fields!F444,CHAR(160)," ")))</f>
        <v>Patna</v>
      </c>
      <c r="J443" s="3" t="str">
        <f aca="false">PROPER(TRIM(SUBSTITUTE(Raw_Text_Fields!G444,CHAR(160)," ")))</f>
        <v>Furniture</v>
      </c>
      <c r="K443" s="3" t="str">
        <f aca="false">PROPER(TRIM(SUBSTITUTE(Raw_Text_Fields!H444,CHAR(160)," ")))</f>
        <v>Bookcases</v>
      </c>
      <c r="L443" s="3" t="s">
        <v>1348</v>
      </c>
      <c r="M443" s="3" t="str">
        <f aca="false">PROPER(TRIM(SUBSTITUTE(Raw_Text_Fields!I444,CHAR(160)," ")))</f>
        <v>Standard Class</v>
      </c>
      <c r="N443" s="3" t="n">
        <v>6</v>
      </c>
      <c r="O443" s="5" t="n">
        <v>4217.49</v>
      </c>
      <c r="P443" s="6" t="n">
        <v>0</v>
      </c>
      <c r="Q443" s="5" t="n">
        <v>25304.94</v>
      </c>
      <c r="R443" s="5" t="n">
        <v>20771.95</v>
      </c>
      <c r="S443" s="5" t="n">
        <v>4532.99</v>
      </c>
      <c r="T443" s="3" t="str">
        <f aca="false">PROPER(TRIM(SUBSTITUTE(Raw_Text_Fields!J444,CHAR(160)," ")))</f>
        <v>Paid</v>
      </c>
      <c r="U443" s="3" t="str">
        <f aca="false">PROPER(TRIM(SUBSTITUTE(Raw_Text_Fields!K444,CHAR(160)," ")))</f>
        <v>Cancelled</v>
      </c>
      <c r="V443" s="7" t="n">
        <f aca="false">IF(OR(P443&lt;0,P443&gt;0.5),0,P443)</f>
        <v>0</v>
      </c>
      <c r="W443" s="8" t="n">
        <f aca="false">N443*O443*(1-V443)</f>
        <v>25304.94</v>
      </c>
      <c r="X443" s="8" t="n">
        <f aca="false">W443-R443</f>
        <v>4532.99</v>
      </c>
      <c r="Y443" s="7" t="n">
        <f aca="false">IFERROR(X443/W443,0)</f>
        <v>0.179134587950021</v>
      </c>
      <c r="Z443" s="9" t="n">
        <f aca="false">C443-B443</f>
        <v>0</v>
      </c>
      <c r="AA443" s="1" t="str">
        <f aca="false">IF(B443="","",TEXT(B443,"mmm"))</f>
        <v>Oct</v>
      </c>
      <c r="AB443" s="9" t="n">
        <f aca="false">IF(B443="","",YEAR(B443))</f>
        <v>2024</v>
      </c>
      <c r="AC443" s="3"/>
      <c r="AD443" s="3" t="str">
        <f aca="false">IF(LEFT(AC443&amp;IF(B443="","; Missing Order Date","")&amp;IF(C443="","; Missing Ship Date","")&amp;IF(P443&lt;0,"; Invalid Discount (Negative)","")&amp;IF(P443&gt;0.5,"; Invalid Discount (Too High)","")&amp;IF(Z443&lt;0,"; Invalid Shipping Record (Ship Before Order)","")&amp;IF(ABS(Q443-W443)&gt;1,"; Sales Mismatch","")&amp;IF(ABS(S443-X443)&gt;1,"; Profit Mismatch","")&amp;IF(COUNTIF($A$2:$A$913,A443)&gt;1,"; Duplicate Order ID Conflict",""),2)="; ",MID(AC443&amp;IF(B443="","; Missing Order Date","")&amp;IF(C443="","; Missing Ship Date","")&amp;IF(P443&lt;0,"; Invalid Discount (Negative)","")&amp;IF(P443&gt;0.5,"; Invalid Discount (Too High)","")&amp;IF(Z443&lt;0,"; Invalid Shipping Record (Ship Before Order)","")&amp;IF(ABS(Q443-W443)&gt;1,"; Sales Mismatch","")&amp;IF(ABS(S443-X443)&gt;1,"; Profit Mismatch","")&amp;IF(COUNTIF($A$2:$A$913,A443)&gt;1,"; Duplicate Order ID Conflict",""),3,500),AC443&amp;IF(B443="","; Missing Order Date","")&amp;IF(C443="","; Missing Ship Date","")&amp;IF(P443&lt;0,"; Invalid Discount (Negative)","")&amp;IF(P443&gt;0.5,"; Invalid Discount (Too High)","")&amp;IF(Z443&lt;0,"; Invalid Shipping Record (Ship Before Order)","")&amp;IF(ABS(Q443-W443)&gt;1,"; Sales Mismatch","")&amp;IF(ABS(S443-X443)&gt;1,"; Profit Mismatch","")&amp;IF(COUNTIF($A$2:$A$913,A443)&gt;1,"; Duplicate Order ID Conflict",""))</f>
        <v/>
      </c>
      <c r="AE443" s="10" t="str">
        <f aca="false">IF(OR(ISNUMBER(SEARCH("Invalid Discount",AD443)),ISNUMBER(SEARCH("Invalid Shipping Record",AD443)),ISNUMBER(SEARCH("Sales Mismatch",AD443)),ISNUMBER(SEARCH("Profit Mismatch",AD443)),ISNUMBER(SEARCH("Duplicate Order ID Conflict",AD443)),ISNUMBER(SEARCH("Missing Order Date",AD443)),ISNUMBER(SEARCH("Missing Ship Date",AD443))),"Invalid",IF(AD443&lt;&gt;"","Warning","Clean"))</f>
        <v>Clean</v>
      </c>
    </row>
    <row r="444" customFormat="false" ht="15" hidden="false" customHeight="true" outlineLevel="0" collapsed="false">
      <c r="A444" s="3" t="s">
        <v>1349</v>
      </c>
      <c r="B444" s="4" t="n">
        <v>45669</v>
      </c>
      <c r="C444" s="4" t="n">
        <v>45676</v>
      </c>
      <c r="D444" s="3" t="s">
        <v>1350</v>
      </c>
      <c r="E444" s="3" t="str">
        <f aca="false">PROPER(TRIM(SUBSTITUTE(Raw_Text_Fields!B445,CHAR(160)," ")))</f>
        <v>Aarav Sharma</v>
      </c>
      <c r="F444" s="3" t="str">
        <f aca="false">PROPER(TRIM(SUBSTITUTE(Raw_Text_Fields!C445,CHAR(160)," ")))</f>
        <v>Consumer</v>
      </c>
      <c r="G444" s="3" t="str">
        <f aca="false">PROPER(TRIM(SUBSTITUTE(Raw_Text_Fields!D445,CHAR(160)," ")))</f>
        <v>East</v>
      </c>
      <c r="H444" s="3" t="str">
        <f aca="false">PROPER(TRIM(SUBSTITUTE(Raw_Text_Fields!E445,CHAR(160)," ")))</f>
        <v>Jharkhand</v>
      </c>
      <c r="I444" s="3" t="str">
        <f aca="false">PROPER(TRIM(SUBSTITUTE(Raw_Text_Fields!F445,CHAR(160)," ")))</f>
        <v>Ranchi</v>
      </c>
      <c r="J444" s="3" t="str">
        <f aca="false">PROPER(TRIM(SUBSTITUTE(Raw_Text_Fields!G445,CHAR(160)," ")))</f>
        <v>Furniture</v>
      </c>
      <c r="K444" s="3" t="str">
        <f aca="false">PROPER(TRIM(SUBSTITUTE(Raw_Text_Fields!H445,CHAR(160)," ")))</f>
        <v>Tables</v>
      </c>
      <c r="L444" s="3" t="s">
        <v>1351</v>
      </c>
      <c r="M444" s="3" t="str">
        <f aca="false">PROPER(TRIM(SUBSTITUTE(Raw_Text_Fields!I445,CHAR(160)," ")))</f>
        <v>First Class</v>
      </c>
      <c r="N444" s="3" t="n">
        <v>1</v>
      </c>
      <c r="O444" s="5" t="n">
        <v>1842.31</v>
      </c>
      <c r="P444" s="6" t="n">
        <v>0</v>
      </c>
      <c r="Q444" s="5" t="n">
        <v>1842.31</v>
      </c>
      <c r="R444" s="5" t="n">
        <v>1019.17</v>
      </c>
      <c r="S444" s="5" t="n">
        <v>823.14</v>
      </c>
      <c r="T444" s="3" t="str">
        <f aca="false">PROPER(TRIM(SUBSTITUTE(Raw_Text_Fields!J445,CHAR(160)," ")))</f>
        <v>Paid</v>
      </c>
      <c r="U444" s="3" t="str">
        <f aca="false">PROPER(TRIM(SUBSTITUTE(Raw_Text_Fields!K445,CHAR(160)," ")))</f>
        <v>Completed</v>
      </c>
      <c r="V444" s="7" t="n">
        <f aca="false">IF(OR(P444&lt;0,P444&gt;0.5),0,P444)</f>
        <v>0</v>
      </c>
      <c r="W444" s="8" t="n">
        <f aca="false">N444*O444*(1-V444)</f>
        <v>1842.31</v>
      </c>
      <c r="X444" s="8" t="n">
        <f aca="false">W444-R444</f>
        <v>823.14</v>
      </c>
      <c r="Y444" s="7" t="n">
        <f aca="false">IFERROR(X444/W444,0)</f>
        <v>0.446797770190685</v>
      </c>
      <c r="Z444" s="9" t="n">
        <f aca="false">C444-B444</f>
        <v>7</v>
      </c>
      <c r="AA444" s="1" t="str">
        <f aca="false">IF(B444="","",TEXT(B444,"mmm"))</f>
        <v>Jan</v>
      </c>
      <c r="AB444" s="9" t="n">
        <f aca="false">IF(B444="","",YEAR(B444))</f>
        <v>2025</v>
      </c>
      <c r="AC444" s="3"/>
      <c r="AD444" s="3" t="str">
        <f aca="false">IF(LEFT(AC444&amp;IF(B444="","; Missing Order Date","")&amp;IF(C444="","; Missing Ship Date","")&amp;IF(P444&lt;0,"; Invalid Discount (Negative)","")&amp;IF(P444&gt;0.5,"; Invalid Discount (Too High)","")&amp;IF(Z444&lt;0,"; Invalid Shipping Record (Ship Before Order)","")&amp;IF(ABS(Q444-W444)&gt;1,"; Sales Mismatch","")&amp;IF(ABS(S444-X444)&gt;1,"; Profit Mismatch","")&amp;IF(COUNTIF($A$2:$A$913,A444)&gt;1,"; Duplicate Order ID Conflict",""),2)="; ",MID(AC444&amp;IF(B444="","; Missing Order Date","")&amp;IF(C444="","; Missing Ship Date","")&amp;IF(P444&lt;0,"; Invalid Discount (Negative)","")&amp;IF(P444&gt;0.5,"; Invalid Discount (Too High)","")&amp;IF(Z444&lt;0,"; Invalid Shipping Record (Ship Before Order)","")&amp;IF(ABS(Q444-W444)&gt;1,"; Sales Mismatch","")&amp;IF(ABS(S444-X444)&gt;1,"; Profit Mismatch","")&amp;IF(COUNTIF($A$2:$A$913,A444)&gt;1,"; Duplicate Order ID Conflict",""),3,500),AC444&amp;IF(B444="","; Missing Order Date","")&amp;IF(C444="","; Missing Ship Date","")&amp;IF(P444&lt;0,"; Invalid Discount (Negative)","")&amp;IF(P444&gt;0.5,"; Invalid Discount (Too High)","")&amp;IF(Z444&lt;0,"; Invalid Shipping Record (Ship Before Order)","")&amp;IF(ABS(Q444-W444)&gt;1,"; Sales Mismatch","")&amp;IF(ABS(S444-X444)&gt;1,"; Profit Mismatch","")&amp;IF(COUNTIF($A$2:$A$913,A444)&gt;1,"; Duplicate Order ID Conflict",""))</f>
        <v/>
      </c>
      <c r="AE444" s="10" t="str">
        <f aca="false">IF(OR(ISNUMBER(SEARCH("Invalid Discount",AD444)),ISNUMBER(SEARCH("Invalid Shipping Record",AD444)),ISNUMBER(SEARCH("Sales Mismatch",AD444)),ISNUMBER(SEARCH("Profit Mismatch",AD444)),ISNUMBER(SEARCH("Duplicate Order ID Conflict",AD444)),ISNUMBER(SEARCH("Missing Order Date",AD444)),ISNUMBER(SEARCH("Missing Ship Date",AD444))),"Invalid",IF(AD444&lt;&gt;"","Warning","Clean"))</f>
        <v>Clean</v>
      </c>
    </row>
    <row r="445" customFormat="false" ht="15" hidden="false" customHeight="true" outlineLevel="0" collapsed="false">
      <c r="A445" s="3" t="s">
        <v>1352</v>
      </c>
      <c r="B445" s="4" t="n">
        <v>45386</v>
      </c>
      <c r="C445" s="4" t="n">
        <v>45389</v>
      </c>
      <c r="D445" s="3" t="s">
        <v>1353</v>
      </c>
      <c r="E445" s="3" t="str">
        <f aca="false">PROPER(TRIM(SUBSTITUTE(Raw_Text_Fields!B446,CHAR(160)," ")))</f>
        <v>Rohan Mehta</v>
      </c>
      <c r="F445" s="3" t="str">
        <f aca="false">PROPER(TRIM(SUBSTITUTE(Raw_Text_Fields!C446,CHAR(160)," ")))</f>
        <v>Home Office</v>
      </c>
      <c r="G445" s="3" t="str">
        <f aca="false">PROPER(TRIM(SUBSTITUTE(Raw_Text_Fields!D446,CHAR(160)," ")))</f>
        <v>East</v>
      </c>
      <c r="H445" s="3" t="str">
        <f aca="false">PROPER(TRIM(SUBSTITUTE(Raw_Text_Fields!E446,CHAR(160)," ")))</f>
        <v>Odisha</v>
      </c>
      <c r="I445" s="3" t="str">
        <f aca="false">PROPER(TRIM(SUBSTITUTE(Raw_Text_Fields!F446,CHAR(160)," ")))</f>
        <v>Bhubaneswar</v>
      </c>
      <c r="J445" s="3" t="str">
        <f aca="false">PROPER(TRIM(SUBSTITUTE(Raw_Text_Fields!G446,CHAR(160)," ")))</f>
        <v>Furniture</v>
      </c>
      <c r="K445" s="3" t="str">
        <f aca="false">PROPER(TRIM(SUBSTITUTE(Raw_Text_Fields!H446,CHAR(160)," ")))</f>
        <v>Furnishings</v>
      </c>
      <c r="L445" s="3" t="s">
        <v>1354</v>
      </c>
      <c r="M445" s="3" t="str">
        <f aca="false">PROPER(TRIM(SUBSTITUTE(Raw_Text_Fields!I446,CHAR(160)," ")))</f>
        <v>First Class</v>
      </c>
      <c r="N445" s="3" t="n">
        <v>1</v>
      </c>
      <c r="O445" s="5" t="n">
        <v>3683.75</v>
      </c>
      <c r="P445" s="6" t="n">
        <v>0.1</v>
      </c>
      <c r="Q445" s="5" t="n">
        <v>3315.38</v>
      </c>
      <c r="R445" s="5" t="n">
        <v>2347.68</v>
      </c>
      <c r="S445" s="5" t="n">
        <v>967.7</v>
      </c>
      <c r="T445" s="3" t="str">
        <f aca="false">PROPER(TRIM(SUBSTITUTE(Raw_Text_Fields!J446,CHAR(160)," ")))</f>
        <v>Paid</v>
      </c>
      <c r="U445" s="3" t="str">
        <f aca="false">PROPER(TRIM(SUBSTITUTE(Raw_Text_Fields!K446,CHAR(160)," ")))</f>
        <v>Completed</v>
      </c>
      <c r="V445" s="7" t="n">
        <f aca="false">IF(OR(P445&lt;0,P445&gt;0.5),0,P445)</f>
        <v>0.1</v>
      </c>
      <c r="W445" s="8" t="n">
        <f aca="false">N445*O445*(1-V445)</f>
        <v>3315.375</v>
      </c>
      <c r="X445" s="8" t="n">
        <f aca="false">W445-R445</f>
        <v>967.695</v>
      </c>
      <c r="Y445" s="7" t="n">
        <f aca="false">IFERROR(X445/W445,0)</f>
        <v>0.291881008935641</v>
      </c>
      <c r="Z445" s="9" t="n">
        <f aca="false">C445-B445</f>
        <v>3</v>
      </c>
      <c r="AA445" s="1" t="str">
        <f aca="false">IF(B445="","",TEXT(B445,"mmm"))</f>
        <v>Apr</v>
      </c>
      <c r="AB445" s="9" t="n">
        <f aca="false">IF(B445="","",YEAR(B445))</f>
        <v>2024</v>
      </c>
      <c r="AC445" s="3"/>
      <c r="AD445" s="3" t="str">
        <f aca="false">IF(LEFT(AC445&amp;IF(B445="","; Missing Order Date","")&amp;IF(C445="","; Missing Ship Date","")&amp;IF(P445&lt;0,"; Invalid Discount (Negative)","")&amp;IF(P445&gt;0.5,"; Invalid Discount (Too High)","")&amp;IF(Z445&lt;0,"; Invalid Shipping Record (Ship Before Order)","")&amp;IF(ABS(Q445-W445)&gt;1,"; Sales Mismatch","")&amp;IF(ABS(S445-X445)&gt;1,"; Profit Mismatch","")&amp;IF(COUNTIF($A$2:$A$913,A445)&gt;1,"; Duplicate Order ID Conflict",""),2)="; ",MID(AC445&amp;IF(B445="","; Missing Order Date","")&amp;IF(C445="","; Missing Ship Date","")&amp;IF(P445&lt;0,"; Invalid Discount (Negative)","")&amp;IF(P445&gt;0.5,"; Invalid Discount (Too High)","")&amp;IF(Z445&lt;0,"; Invalid Shipping Record (Ship Before Order)","")&amp;IF(ABS(Q445-W445)&gt;1,"; Sales Mismatch","")&amp;IF(ABS(S445-X445)&gt;1,"; Profit Mismatch","")&amp;IF(COUNTIF($A$2:$A$913,A445)&gt;1,"; Duplicate Order ID Conflict",""),3,500),AC445&amp;IF(B445="","; Missing Order Date","")&amp;IF(C445="","; Missing Ship Date","")&amp;IF(P445&lt;0,"; Invalid Discount (Negative)","")&amp;IF(P445&gt;0.5,"; Invalid Discount (Too High)","")&amp;IF(Z445&lt;0,"; Invalid Shipping Record (Ship Before Order)","")&amp;IF(ABS(Q445-W445)&gt;1,"; Sales Mismatch","")&amp;IF(ABS(S445-X445)&gt;1,"; Profit Mismatch","")&amp;IF(COUNTIF($A$2:$A$913,A445)&gt;1,"; Duplicate Order ID Conflict",""))</f>
        <v/>
      </c>
      <c r="AE445" s="10" t="str">
        <f aca="false">IF(OR(ISNUMBER(SEARCH("Invalid Discount",AD445)),ISNUMBER(SEARCH("Invalid Shipping Record",AD445)),ISNUMBER(SEARCH("Sales Mismatch",AD445)),ISNUMBER(SEARCH("Profit Mismatch",AD445)),ISNUMBER(SEARCH("Duplicate Order ID Conflict",AD445)),ISNUMBER(SEARCH("Missing Order Date",AD445)),ISNUMBER(SEARCH("Missing Ship Date",AD445))),"Invalid",IF(AD445&lt;&gt;"","Warning","Clean"))</f>
        <v>Clean</v>
      </c>
    </row>
    <row r="446" customFormat="false" ht="15" hidden="false" customHeight="true" outlineLevel="0" collapsed="false">
      <c r="A446" s="3" t="s">
        <v>1355</v>
      </c>
      <c r="B446" s="4" t="n">
        <v>45881</v>
      </c>
      <c r="C446" s="4" t="n">
        <v>45885</v>
      </c>
      <c r="D446" s="3" t="s">
        <v>1356</v>
      </c>
      <c r="E446" s="3" t="str">
        <f aca="false">PROPER(TRIM(SUBSTITUTE(Raw_Text_Fields!B447,CHAR(160)," ")))</f>
        <v>Ananya Rao</v>
      </c>
      <c r="F446" s="3" t="str">
        <f aca="false">PROPER(TRIM(SUBSTITUTE(Raw_Text_Fields!C447,CHAR(160)," ")))</f>
        <v>Consumer</v>
      </c>
      <c r="G446" s="3" t="str">
        <f aca="false">PROPER(TRIM(SUBSTITUTE(Raw_Text_Fields!D447,CHAR(160)," ")))</f>
        <v>East</v>
      </c>
      <c r="H446" s="3" t="str">
        <f aca="false">PROPER(TRIM(SUBSTITUTE(Raw_Text_Fields!E447,CHAR(160)," ")))</f>
        <v>Assam</v>
      </c>
      <c r="I446" s="3" t="str">
        <f aca="false">PROPER(TRIM(SUBSTITUTE(Raw_Text_Fields!F447,CHAR(160)," ")))</f>
        <v>Guwahati</v>
      </c>
      <c r="J446" s="3" t="str">
        <f aca="false">PROPER(TRIM(SUBSTITUTE(Raw_Text_Fields!G447,CHAR(160)," ")))</f>
        <v>Technology</v>
      </c>
      <c r="K446" s="3" t="str">
        <f aca="false">PROPER(TRIM(SUBSTITUTE(Raw_Text_Fields!H447,CHAR(160)," ")))</f>
        <v>Accessories</v>
      </c>
      <c r="L446" s="3" t="s">
        <v>1357</v>
      </c>
      <c r="M446" s="3" t="str">
        <f aca="false">PROPER(TRIM(SUBSTITUTE(Raw_Text_Fields!I447,CHAR(160)," ")))</f>
        <v>Same Day</v>
      </c>
      <c r="N446" s="3" t="n">
        <v>9</v>
      </c>
      <c r="O446" s="5" t="n">
        <v>2379.24</v>
      </c>
      <c r="P446" s="6" t="n">
        <v>0.05</v>
      </c>
      <c r="Q446" s="5" t="n">
        <v>20342.5</v>
      </c>
      <c r="R446" s="5" t="n">
        <v>12407.51</v>
      </c>
      <c r="S446" s="5" t="n">
        <v>7934.99</v>
      </c>
      <c r="T446" s="3" t="str">
        <f aca="false">PROPER(TRIM(SUBSTITUTE(Raw_Text_Fields!J447,CHAR(160)," ")))</f>
        <v>Paid</v>
      </c>
      <c r="U446" s="3" t="str">
        <f aca="false">PROPER(TRIM(SUBSTITUTE(Raw_Text_Fields!K447,CHAR(160)," ")))</f>
        <v>Completed</v>
      </c>
      <c r="V446" s="7" t="n">
        <f aca="false">IF(OR(P446&lt;0,P446&gt;0.5),0,P446)</f>
        <v>0.05</v>
      </c>
      <c r="W446" s="8" t="n">
        <f aca="false">N446*O446*(1-V446)</f>
        <v>20342.502</v>
      </c>
      <c r="X446" s="8" t="n">
        <f aca="false">W446-R446</f>
        <v>7934.992</v>
      </c>
      <c r="Y446" s="7" t="n">
        <f aca="false">IFERROR(X446/W446,0)</f>
        <v>0.390069618771575</v>
      </c>
      <c r="Z446" s="9" t="n">
        <f aca="false">C446-B446</f>
        <v>4</v>
      </c>
      <c r="AA446" s="1" t="str">
        <f aca="false">IF(B446="","",TEXT(B446,"mmm"))</f>
        <v>Aug</v>
      </c>
      <c r="AB446" s="9" t="n">
        <f aca="false">IF(B446="","",YEAR(B446))</f>
        <v>2025</v>
      </c>
      <c r="AC446" s="3"/>
      <c r="AD446" s="3" t="str">
        <f aca="false">IF(LEFT(AC446&amp;IF(B446="","; Missing Order Date","")&amp;IF(C446="","; Missing Ship Date","")&amp;IF(P446&lt;0,"; Invalid Discount (Negative)","")&amp;IF(P446&gt;0.5,"; Invalid Discount (Too High)","")&amp;IF(Z446&lt;0,"; Invalid Shipping Record (Ship Before Order)","")&amp;IF(ABS(Q446-W446)&gt;1,"; Sales Mismatch","")&amp;IF(ABS(S446-X446)&gt;1,"; Profit Mismatch","")&amp;IF(COUNTIF($A$2:$A$913,A446)&gt;1,"; Duplicate Order ID Conflict",""),2)="; ",MID(AC446&amp;IF(B446="","; Missing Order Date","")&amp;IF(C446="","; Missing Ship Date","")&amp;IF(P446&lt;0,"; Invalid Discount (Negative)","")&amp;IF(P446&gt;0.5,"; Invalid Discount (Too High)","")&amp;IF(Z446&lt;0,"; Invalid Shipping Record (Ship Before Order)","")&amp;IF(ABS(Q446-W446)&gt;1,"; Sales Mismatch","")&amp;IF(ABS(S446-X446)&gt;1,"; Profit Mismatch","")&amp;IF(COUNTIF($A$2:$A$913,A446)&gt;1,"; Duplicate Order ID Conflict",""),3,500),AC446&amp;IF(B446="","; Missing Order Date","")&amp;IF(C446="","; Missing Ship Date","")&amp;IF(P446&lt;0,"; Invalid Discount (Negative)","")&amp;IF(P446&gt;0.5,"; Invalid Discount (Too High)","")&amp;IF(Z446&lt;0,"; Invalid Shipping Record (Ship Before Order)","")&amp;IF(ABS(Q446-W446)&gt;1,"; Sales Mismatch","")&amp;IF(ABS(S446-X446)&gt;1,"; Profit Mismatch","")&amp;IF(COUNTIF($A$2:$A$913,A446)&gt;1,"; Duplicate Order ID Conflict",""))</f>
        <v/>
      </c>
      <c r="AE446" s="10" t="str">
        <f aca="false">IF(OR(ISNUMBER(SEARCH("Invalid Discount",AD446)),ISNUMBER(SEARCH("Invalid Shipping Record",AD446)),ISNUMBER(SEARCH("Sales Mismatch",AD446)),ISNUMBER(SEARCH("Profit Mismatch",AD446)),ISNUMBER(SEARCH("Duplicate Order ID Conflict",AD446)),ISNUMBER(SEARCH("Missing Order Date",AD446)),ISNUMBER(SEARCH("Missing Ship Date",AD446))),"Invalid",IF(AD446&lt;&gt;"","Warning","Clean"))</f>
        <v>Clean</v>
      </c>
    </row>
    <row r="447" customFormat="false" ht="15" hidden="false" customHeight="true" outlineLevel="0" collapsed="false">
      <c r="A447" s="3" t="s">
        <v>1358</v>
      </c>
      <c r="B447" s="4" t="n">
        <v>45421</v>
      </c>
      <c r="C447" s="4" t="n">
        <v>45417</v>
      </c>
      <c r="D447" s="3" t="s">
        <v>1359</v>
      </c>
      <c r="E447" s="3" t="str">
        <f aca="false">PROPER(TRIM(SUBSTITUTE(Raw_Text_Fields!B448,CHAR(160)," ")))</f>
        <v>Arjun Bose</v>
      </c>
      <c r="F447" s="3" t="str">
        <f aca="false">PROPER(TRIM(SUBSTITUTE(Raw_Text_Fields!C448,CHAR(160)," ")))</f>
        <v>Consumer</v>
      </c>
      <c r="G447" s="3" t="str">
        <f aca="false">PROPER(TRIM(SUBSTITUTE(Raw_Text_Fields!D448,CHAR(160)," ")))</f>
        <v>East</v>
      </c>
      <c r="H447" s="3" t="str">
        <f aca="false">PROPER(TRIM(SUBSTITUTE(Raw_Text_Fields!E448,CHAR(160)," ")))</f>
        <v>Assam</v>
      </c>
      <c r="I447" s="3" t="str">
        <f aca="false">PROPER(TRIM(SUBSTITUTE(Raw_Text_Fields!F448,CHAR(160)," ")))</f>
        <v>Guwahati</v>
      </c>
      <c r="J447" s="3" t="str">
        <f aca="false">PROPER(TRIM(SUBSTITUTE(Raw_Text_Fields!G448,CHAR(160)," ")))</f>
        <v>Furniture</v>
      </c>
      <c r="K447" s="3" t="str">
        <f aca="false">PROPER(TRIM(SUBSTITUTE(Raw_Text_Fields!H448,CHAR(160)," ")))</f>
        <v>Bookcases</v>
      </c>
      <c r="L447" s="3" t="s">
        <v>1360</v>
      </c>
      <c r="M447" s="3" t="str">
        <f aca="false">PROPER(TRIM(SUBSTITUTE(Raw_Text_Fields!I448,CHAR(160)," ")))</f>
        <v>Same Day</v>
      </c>
      <c r="N447" s="3" t="n">
        <v>2</v>
      </c>
      <c r="O447" s="5" t="n">
        <v>2111.23</v>
      </c>
      <c r="P447" s="6" t="n">
        <v>0.2</v>
      </c>
      <c r="Q447" s="5" t="n">
        <v>3377.97</v>
      </c>
      <c r="R447" s="5" t="n">
        <v>2496.29</v>
      </c>
      <c r="S447" s="5" t="n">
        <v>881.68</v>
      </c>
      <c r="T447" s="3" t="str">
        <f aca="false">PROPER(TRIM(SUBSTITUTE(Raw_Text_Fields!J448,CHAR(160)," ")))</f>
        <v>Paid</v>
      </c>
      <c r="U447" s="3" t="str">
        <f aca="false">PROPER(TRIM(SUBSTITUTE(Raw_Text_Fields!K448,CHAR(160)," ")))</f>
        <v>Completed</v>
      </c>
      <c r="V447" s="7" t="n">
        <f aca="false">IF(OR(P447&lt;0,P447&gt;0.5),0,P447)</f>
        <v>0.2</v>
      </c>
      <c r="W447" s="8" t="n">
        <f aca="false">N447*O447*(1-V447)</f>
        <v>3377.968</v>
      </c>
      <c r="X447" s="8" t="n">
        <f aca="false">W447-R447</f>
        <v>881.678</v>
      </c>
      <c r="Y447" s="7" t="n">
        <f aca="false">IFERROR(X447/W447,0)</f>
        <v>0.26100839321154</v>
      </c>
      <c r="Z447" s="9" t="n">
        <f aca="false">C447-B447</f>
        <v>-4</v>
      </c>
      <c r="AA447" s="1" t="str">
        <f aca="false">IF(B447="","",TEXT(B447,"mmm"))</f>
        <v>May</v>
      </c>
      <c r="AB447" s="9" t="n">
        <f aca="false">IF(B447="","",YEAR(B447))</f>
        <v>2024</v>
      </c>
      <c r="AC447" s="3"/>
      <c r="AD447" s="3" t="str">
        <f aca="false">IF(LEFT(AC447&amp;IF(B447="","; Missing Order Date","")&amp;IF(C447="","; Missing Ship Date","")&amp;IF(P447&lt;0,"; Invalid Discount (Negative)","")&amp;IF(P447&gt;0.5,"; Invalid Discount (Too High)","")&amp;IF(Z447&lt;0,"; Invalid Shipping Record (Ship Before Order)","")&amp;IF(ABS(Q447-W447)&gt;1,"; Sales Mismatch","")&amp;IF(ABS(S447-X447)&gt;1,"; Profit Mismatch","")&amp;IF(COUNTIF($A$2:$A$913,A447)&gt;1,"; Duplicate Order ID Conflict",""),2)="; ",MID(AC447&amp;IF(B447="","; Missing Order Date","")&amp;IF(C447="","; Missing Ship Date","")&amp;IF(P447&lt;0,"; Invalid Discount (Negative)","")&amp;IF(P447&gt;0.5,"; Invalid Discount (Too High)","")&amp;IF(Z447&lt;0,"; Invalid Shipping Record (Ship Before Order)","")&amp;IF(ABS(Q447-W447)&gt;1,"; Sales Mismatch","")&amp;IF(ABS(S447-X447)&gt;1,"; Profit Mismatch","")&amp;IF(COUNTIF($A$2:$A$913,A447)&gt;1,"; Duplicate Order ID Conflict",""),3,500),AC447&amp;IF(B447="","; Missing Order Date","")&amp;IF(C447="","; Missing Ship Date","")&amp;IF(P447&lt;0,"; Invalid Discount (Negative)","")&amp;IF(P447&gt;0.5,"; Invalid Discount (Too High)","")&amp;IF(Z447&lt;0,"; Invalid Shipping Record (Ship Before Order)","")&amp;IF(ABS(Q447-W447)&gt;1,"; Sales Mismatch","")&amp;IF(ABS(S447-X447)&gt;1,"; Profit Mismatch","")&amp;IF(COUNTIF($A$2:$A$913,A447)&gt;1,"; Duplicate Order ID Conflict",""))</f>
        <v>Invalid Shipping Record (Ship Before Order)</v>
      </c>
      <c r="AE447" s="10" t="str">
        <f aca="false">IF(OR(ISNUMBER(SEARCH("Invalid Discount",AD447)),ISNUMBER(SEARCH("Invalid Shipping Record",AD447)),ISNUMBER(SEARCH("Sales Mismatch",AD447)),ISNUMBER(SEARCH("Profit Mismatch",AD447)),ISNUMBER(SEARCH("Duplicate Order ID Conflict",AD447)),ISNUMBER(SEARCH("Missing Order Date",AD447)),ISNUMBER(SEARCH("Missing Ship Date",AD447))),"Invalid",IF(AD447&lt;&gt;"","Warning","Clean"))</f>
        <v>Invalid</v>
      </c>
    </row>
    <row r="448" customFormat="false" ht="15" hidden="false" customHeight="true" outlineLevel="0" collapsed="false">
      <c r="A448" s="3" t="s">
        <v>1361</v>
      </c>
      <c r="B448" s="4" t="n">
        <v>45918</v>
      </c>
      <c r="C448" s="4" t="n">
        <v>45919</v>
      </c>
      <c r="D448" s="3" t="s">
        <v>1362</v>
      </c>
      <c r="E448" s="3" t="str">
        <f aca="false">PROPER(TRIM(SUBSTITUTE(Raw_Text_Fields!B449,CHAR(160)," ")))</f>
        <v>Sneha Kapoor</v>
      </c>
      <c r="F448" s="3" t="str">
        <f aca="false">PROPER(TRIM(SUBSTITUTE(Raw_Text_Fields!C449,CHAR(160)," ")))</f>
        <v>Home Office</v>
      </c>
      <c r="G448" s="3" t="str">
        <f aca="false">PROPER(TRIM(SUBSTITUTE(Raw_Text_Fields!D449,CHAR(160)," ")))</f>
        <v>South</v>
      </c>
      <c r="H448" s="3" t="str">
        <f aca="false">PROPER(TRIM(SUBSTITUTE(Raw_Text_Fields!E449,CHAR(160)," ")))</f>
        <v>Andhra Pradesh</v>
      </c>
      <c r="I448" s="3" t="str">
        <f aca="false">PROPER(TRIM(SUBSTITUTE(Raw_Text_Fields!F449,CHAR(160)," ")))</f>
        <v>Vijayawada</v>
      </c>
      <c r="J448" s="3" t="str">
        <f aca="false">PROPER(TRIM(SUBSTITUTE(Raw_Text_Fields!G449,CHAR(160)," ")))</f>
        <v>Office Supplies</v>
      </c>
      <c r="K448" s="3" t="str">
        <f aca="false">PROPER(TRIM(SUBSTITUTE(Raw_Text_Fields!H449,CHAR(160)," ")))</f>
        <v>Storage</v>
      </c>
      <c r="L448" s="3" t="s">
        <v>1363</v>
      </c>
      <c r="M448" s="3" t="str">
        <f aca="false">PROPER(TRIM(SUBSTITUTE(Raw_Text_Fields!I449,CHAR(160)," ")))</f>
        <v>Same Day</v>
      </c>
      <c r="N448" s="3" t="n">
        <v>8</v>
      </c>
      <c r="O448" s="5" t="n">
        <v>4242.51</v>
      </c>
      <c r="P448" s="6" t="n">
        <v>0</v>
      </c>
      <c r="Q448" s="5" t="n">
        <v>33940.08</v>
      </c>
      <c r="R448" s="5" t="n">
        <v>23754.19</v>
      </c>
      <c r="S448" s="5" t="n">
        <v>10185.89</v>
      </c>
      <c r="T448" s="3" t="str">
        <f aca="false">PROPER(TRIM(SUBSTITUTE(Raw_Text_Fields!J449,CHAR(160)," ")))</f>
        <v>Paid</v>
      </c>
      <c r="U448" s="3" t="str">
        <f aca="false">PROPER(TRIM(SUBSTITUTE(Raw_Text_Fields!K449,CHAR(160)," ")))</f>
        <v>Completed</v>
      </c>
      <c r="V448" s="7" t="n">
        <f aca="false">IF(OR(P448&lt;0,P448&gt;0.5),0,P448)</f>
        <v>0</v>
      </c>
      <c r="W448" s="8" t="n">
        <f aca="false">N448*O448*(1-V448)</f>
        <v>33940.08</v>
      </c>
      <c r="X448" s="8" t="n">
        <f aca="false">W448-R448</f>
        <v>10185.89</v>
      </c>
      <c r="Y448" s="7" t="n">
        <f aca="false">IFERROR(X448/W448,0)</f>
        <v>0.30011390662603</v>
      </c>
      <c r="Z448" s="9" t="n">
        <f aca="false">C448-B448</f>
        <v>1</v>
      </c>
      <c r="AA448" s="1" t="str">
        <f aca="false">IF(B448="","",TEXT(B448,"mmm"))</f>
        <v>Sep</v>
      </c>
      <c r="AB448" s="9" t="n">
        <f aca="false">IF(B448="","",YEAR(B448))</f>
        <v>2025</v>
      </c>
      <c r="AC448" s="3"/>
      <c r="AD448" s="3" t="str">
        <f aca="false">IF(LEFT(AC448&amp;IF(B448="","; Missing Order Date","")&amp;IF(C448="","; Missing Ship Date","")&amp;IF(P448&lt;0,"; Invalid Discount (Negative)","")&amp;IF(P448&gt;0.5,"; Invalid Discount (Too High)","")&amp;IF(Z448&lt;0,"; Invalid Shipping Record (Ship Before Order)","")&amp;IF(ABS(Q448-W448)&gt;1,"; Sales Mismatch","")&amp;IF(ABS(S448-X448)&gt;1,"; Profit Mismatch","")&amp;IF(COUNTIF($A$2:$A$913,A448)&gt;1,"; Duplicate Order ID Conflict",""),2)="; ",MID(AC448&amp;IF(B448="","; Missing Order Date","")&amp;IF(C448="","; Missing Ship Date","")&amp;IF(P448&lt;0,"; Invalid Discount (Negative)","")&amp;IF(P448&gt;0.5,"; Invalid Discount (Too High)","")&amp;IF(Z448&lt;0,"; Invalid Shipping Record (Ship Before Order)","")&amp;IF(ABS(Q448-W448)&gt;1,"; Sales Mismatch","")&amp;IF(ABS(S448-X448)&gt;1,"; Profit Mismatch","")&amp;IF(COUNTIF($A$2:$A$913,A448)&gt;1,"; Duplicate Order ID Conflict",""),3,500),AC448&amp;IF(B448="","; Missing Order Date","")&amp;IF(C448="","; Missing Ship Date","")&amp;IF(P448&lt;0,"; Invalid Discount (Negative)","")&amp;IF(P448&gt;0.5,"; Invalid Discount (Too High)","")&amp;IF(Z448&lt;0,"; Invalid Shipping Record (Ship Before Order)","")&amp;IF(ABS(Q448-W448)&gt;1,"; Sales Mismatch","")&amp;IF(ABS(S448-X448)&gt;1,"; Profit Mismatch","")&amp;IF(COUNTIF($A$2:$A$913,A448)&gt;1,"; Duplicate Order ID Conflict",""))</f>
        <v/>
      </c>
      <c r="AE448" s="10" t="str">
        <f aca="false">IF(OR(ISNUMBER(SEARCH("Invalid Discount",AD448)),ISNUMBER(SEARCH("Invalid Shipping Record",AD448)),ISNUMBER(SEARCH("Sales Mismatch",AD448)),ISNUMBER(SEARCH("Profit Mismatch",AD448)),ISNUMBER(SEARCH("Duplicate Order ID Conflict",AD448)),ISNUMBER(SEARCH("Missing Order Date",AD448)),ISNUMBER(SEARCH("Missing Ship Date",AD448))),"Invalid",IF(AD448&lt;&gt;"","Warning","Clean"))</f>
        <v>Clean</v>
      </c>
    </row>
    <row r="449" customFormat="false" ht="15" hidden="false" customHeight="true" outlineLevel="0" collapsed="false">
      <c r="A449" s="3" t="s">
        <v>1364</v>
      </c>
      <c r="B449" s="4" t="n">
        <v>45879</v>
      </c>
      <c r="C449" s="4" t="n">
        <v>45879</v>
      </c>
      <c r="D449" s="3" t="s">
        <v>1365</v>
      </c>
      <c r="E449" s="3" t="str">
        <f aca="false">PROPER(TRIM(SUBSTITUTE(Raw_Text_Fields!B450,CHAR(160)," ")))</f>
        <v>Rohan Mehta</v>
      </c>
      <c r="F449" s="3" t="str">
        <f aca="false">PROPER(TRIM(SUBSTITUTE(Raw_Text_Fields!C450,CHAR(160)," ")))</f>
        <v>Home Office</v>
      </c>
      <c r="G449" s="3" t="str">
        <f aca="false">PROPER(TRIM(SUBSTITUTE(Raw_Text_Fields!D450,CHAR(160)," ")))</f>
        <v>South</v>
      </c>
      <c r="H449" s="3" t="str">
        <f aca="false">PROPER(TRIM(SUBSTITUTE(Raw_Text_Fields!E450,CHAR(160)," ")))</f>
        <v>Telangana</v>
      </c>
      <c r="I449" s="3" t="str">
        <f aca="false">PROPER(TRIM(SUBSTITUTE(Raw_Text_Fields!F450,CHAR(160)," ")))</f>
        <v>Hyderabad</v>
      </c>
      <c r="J449" s="3" t="str">
        <f aca="false">PROPER(TRIM(SUBSTITUTE(Raw_Text_Fields!G450,CHAR(160)," ")))</f>
        <v>Furniture</v>
      </c>
      <c r="K449" s="3" t="str">
        <f aca="false">PROPER(TRIM(SUBSTITUTE(Raw_Text_Fields!H450,CHAR(160)," ")))</f>
        <v>Bookcases</v>
      </c>
      <c r="L449" s="3" t="s">
        <v>1366</v>
      </c>
      <c r="M449" s="3" t="str">
        <f aca="false">PROPER(TRIM(SUBSTITUTE(Raw_Text_Fields!I450,CHAR(160)," ")))</f>
        <v>Standard Class</v>
      </c>
      <c r="N449" s="3" t="n">
        <v>6</v>
      </c>
      <c r="O449" s="5" t="n">
        <v>4288.7</v>
      </c>
      <c r="P449" s="6" t="n">
        <v>0.15</v>
      </c>
      <c r="Q449" s="5" t="n">
        <v>21872.37</v>
      </c>
      <c r="R449" s="5" t="n">
        <v>13829.5</v>
      </c>
      <c r="S449" s="5" t="n">
        <v>8042.87</v>
      </c>
      <c r="T449" s="3" t="str">
        <f aca="false">PROPER(TRIM(SUBSTITUTE(Raw_Text_Fields!J450,CHAR(160)," ")))</f>
        <v>Pending</v>
      </c>
      <c r="U449" s="3" t="str">
        <f aca="false">PROPER(TRIM(SUBSTITUTE(Raw_Text_Fields!K450,CHAR(160)," ")))</f>
        <v>Returned</v>
      </c>
      <c r="V449" s="7" t="n">
        <f aca="false">IF(OR(P449&lt;0,P449&gt;0.5),0,P449)</f>
        <v>0.15</v>
      </c>
      <c r="W449" s="8" t="n">
        <f aca="false">N449*O449*(1-V449)</f>
        <v>21872.37</v>
      </c>
      <c r="X449" s="8" t="n">
        <f aca="false">W449-R449</f>
        <v>8042.87</v>
      </c>
      <c r="Y449" s="7" t="n">
        <f aca="false">IFERROR(X449/W449,0)</f>
        <v>0.367718267384833</v>
      </c>
      <c r="Z449" s="9" t="n">
        <f aca="false">C449-B449</f>
        <v>0</v>
      </c>
      <c r="AA449" s="1" t="str">
        <f aca="false">IF(B449="","",TEXT(B449,"mmm"))</f>
        <v>Aug</v>
      </c>
      <c r="AB449" s="9" t="n">
        <f aca="false">IF(B449="","",YEAR(B449))</f>
        <v>2025</v>
      </c>
      <c r="AC449" s="3"/>
      <c r="AD449" s="3" t="str">
        <f aca="false">IF(LEFT(AC449&amp;IF(B449="","; Missing Order Date","")&amp;IF(C449="","; Missing Ship Date","")&amp;IF(P449&lt;0,"; Invalid Discount (Negative)","")&amp;IF(P449&gt;0.5,"; Invalid Discount (Too High)","")&amp;IF(Z449&lt;0,"; Invalid Shipping Record (Ship Before Order)","")&amp;IF(ABS(Q449-W449)&gt;1,"; Sales Mismatch","")&amp;IF(ABS(S449-X449)&gt;1,"; Profit Mismatch","")&amp;IF(COUNTIF($A$2:$A$913,A449)&gt;1,"; Duplicate Order ID Conflict",""),2)="; ",MID(AC449&amp;IF(B449="","; Missing Order Date","")&amp;IF(C449="","; Missing Ship Date","")&amp;IF(P449&lt;0,"; Invalid Discount (Negative)","")&amp;IF(P449&gt;0.5,"; Invalid Discount (Too High)","")&amp;IF(Z449&lt;0,"; Invalid Shipping Record (Ship Before Order)","")&amp;IF(ABS(Q449-W449)&gt;1,"; Sales Mismatch","")&amp;IF(ABS(S449-X449)&gt;1,"; Profit Mismatch","")&amp;IF(COUNTIF($A$2:$A$913,A449)&gt;1,"; Duplicate Order ID Conflict",""),3,500),AC449&amp;IF(B449="","; Missing Order Date","")&amp;IF(C449="","; Missing Ship Date","")&amp;IF(P449&lt;0,"; Invalid Discount (Negative)","")&amp;IF(P449&gt;0.5,"; Invalid Discount (Too High)","")&amp;IF(Z449&lt;0,"; Invalid Shipping Record (Ship Before Order)","")&amp;IF(ABS(Q449-W449)&gt;1,"; Sales Mismatch","")&amp;IF(ABS(S449-X449)&gt;1,"; Profit Mismatch","")&amp;IF(COUNTIF($A$2:$A$913,A449)&gt;1,"; Duplicate Order ID Conflict",""))</f>
        <v/>
      </c>
      <c r="AE449" s="10" t="str">
        <f aca="false">IF(OR(ISNUMBER(SEARCH("Invalid Discount",AD449)),ISNUMBER(SEARCH("Invalid Shipping Record",AD449)),ISNUMBER(SEARCH("Sales Mismatch",AD449)),ISNUMBER(SEARCH("Profit Mismatch",AD449)),ISNUMBER(SEARCH("Duplicate Order ID Conflict",AD449)),ISNUMBER(SEARCH("Missing Order Date",AD449)),ISNUMBER(SEARCH("Missing Ship Date",AD449))),"Invalid",IF(AD449&lt;&gt;"","Warning","Clean"))</f>
        <v>Clean</v>
      </c>
    </row>
    <row r="450" customFormat="false" ht="15" hidden="false" customHeight="true" outlineLevel="0" collapsed="false">
      <c r="A450" s="3" t="s">
        <v>1367</v>
      </c>
      <c r="B450" s="4" t="n">
        <v>45306</v>
      </c>
      <c r="C450" s="4" t="n">
        <v>45309</v>
      </c>
      <c r="D450" s="3" t="s">
        <v>1368</v>
      </c>
      <c r="E450" s="3" t="str">
        <f aca="false">PROPER(TRIM(SUBSTITUTE(Raw_Text_Fields!B451,CHAR(160)," ")))</f>
        <v>Mira Das</v>
      </c>
      <c r="F450" s="3" t="str">
        <f aca="false">PROPER(TRIM(SUBSTITUTE(Raw_Text_Fields!C451,CHAR(160)," ")))</f>
        <v>Small Business</v>
      </c>
      <c r="G450" s="3" t="str">
        <f aca="false">PROPER(TRIM(SUBSTITUTE(Raw_Text_Fields!D451,CHAR(160)," ")))</f>
        <v>South</v>
      </c>
      <c r="H450" s="3" t="str">
        <f aca="false">PROPER(TRIM(SUBSTITUTE(Raw_Text_Fields!E451,CHAR(160)," ")))</f>
        <v>Andhra Pradesh</v>
      </c>
      <c r="I450" s="3" t="str">
        <f aca="false">PROPER(TRIM(SUBSTITUTE(Raw_Text_Fields!F451,CHAR(160)," ")))</f>
        <v>Vijayawada</v>
      </c>
      <c r="J450" s="3" t="str">
        <f aca="false">PROPER(TRIM(SUBSTITUTE(Raw_Text_Fields!G451,CHAR(160)," ")))</f>
        <v>Furniture</v>
      </c>
      <c r="K450" s="3" t="str">
        <f aca="false">PROPER(TRIM(SUBSTITUTE(Raw_Text_Fields!H451,CHAR(160)," ")))</f>
        <v>Chairs</v>
      </c>
      <c r="L450" s="3" t="s">
        <v>1369</v>
      </c>
      <c r="M450" s="3" t="str">
        <f aca="false">PROPER(TRIM(SUBSTITUTE(Raw_Text_Fields!I451,CHAR(160)," ")))</f>
        <v>First Class</v>
      </c>
      <c r="N450" s="3" t="n">
        <v>2</v>
      </c>
      <c r="O450" s="5" t="n">
        <v>201.21</v>
      </c>
      <c r="P450" s="6" t="n">
        <v>0.15</v>
      </c>
      <c r="Q450" s="5" t="n">
        <v>342.06</v>
      </c>
      <c r="R450" s="5" t="n">
        <v>244.57</v>
      </c>
      <c r="S450" s="5" t="n">
        <v>97.49</v>
      </c>
      <c r="T450" s="3" t="str">
        <f aca="false">PROPER(TRIM(SUBSTITUTE(Raw_Text_Fields!J451,CHAR(160)," ")))</f>
        <v>Paid</v>
      </c>
      <c r="U450" s="3" t="str">
        <f aca="false">PROPER(TRIM(SUBSTITUTE(Raw_Text_Fields!K451,CHAR(160)," ")))</f>
        <v>Completed</v>
      </c>
      <c r="V450" s="7" t="n">
        <f aca="false">IF(OR(P450&lt;0,P450&gt;0.5),0,P450)</f>
        <v>0.15</v>
      </c>
      <c r="W450" s="8" t="n">
        <f aca="false">N450*O450*(1-V450)</f>
        <v>342.057</v>
      </c>
      <c r="X450" s="8" t="n">
        <f aca="false">W450-R450</f>
        <v>97.487</v>
      </c>
      <c r="Y450" s="7" t="n">
        <f aca="false">IFERROR(X450/W450,0)</f>
        <v>0.285002207234467</v>
      </c>
      <c r="Z450" s="9" t="n">
        <f aca="false">C450-B450</f>
        <v>3</v>
      </c>
      <c r="AA450" s="1" t="str">
        <f aca="false">IF(B450="","",TEXT(B450,"mmm"))</f>
        <v>Jan</v>
      </c>
      <c r="AB450" s="9" t="n">
        <f aca="false">IF(B450="","",YEAR(B450))</f>
        <v>2024</v>
      </c>
      <c r="AC450" s="3"/>
      <c r="AD450" s="3" t="str">
        <f aca="false">IF(LEFT(AC450&amp;IF(B450="","; Missing Order Date","")&amp;IF(C450="","; Missing Ship Date","")&amp;IF(P450&lt;0,"; Invalid Discount (Negative)","")&amp;IF(P450&gt;0.5,"; Invalid Discount (Too High)","")&amp;IF(Z450&lt;0,"; Invalid Shipping Record (Ship Before Order)","")&amp;IF(ABS(Q450-W450)&gt;1,"; Sales Mismatch","")&amp;IF(ABS(S450-X450)&gt;1,"; Profit Mismatch","")&amp;IF(COUNTIF($A$2:$A$913,A450)&gt;1,"; Duplicate Order ID Conflict",""),2)="; ",MID(AC450&amp;IF(B450="","; Missing Order Date","")&amp;IF(C450="","; Missing Ship Date","")&amp;IF(P450&lt;0,"; Invalid Discount (Negative)","")&amp;IF(P450&gt;0.5,"; Invalid Discount (Too High)","")&amp;IF(Z450&lt;0,"; Invalid Shipping Record (Ship Before Order)","")&amp;IF(ABS(Q450-W450)&gt;1,"; Sales Mismatch","")&amp;IF(ABS(S450-X450)&gt;1,"; Profit Mismatch","")&amp;IF(COUNTIF($A$2:$A$913,A450)&gt;1,"; Duplicate Order ID Conflict",""),3,500),AC450&amp;IF(B450="","; Missing Order Date","")&amp;IF(C450="","; Missing Ship Date","")&amp;IF(P450&lt;0,"; Invalid Discount (Negative)","")&amp;IF(P450&gt;0.5,"; Invalid Discount (Too High)","")&amp;IF(Z450&lt;0,"; Invalid Shipping Record (Ship Before Order)","")&amp;IF(ABS(Q450-W450)&gt;1,"; Sales Mismatch","")&amp;IF(ABS(S450-X450)&gt;1,"; Profit Mismatch","")&amp;IF(COUNTIF($A$2:$A$913,A450)&gt;1,"; Duplicate Order ID Conflict",""))</f>
        <v/>
      </c>
      <c r="AE450" s="10" t="str">
        <f aca="false">IF(OR(ISNUMBER(SEARCH("Invalid Discount",AD450)),ISNUMBER(SEARCH("Invalid Shipping Record",AD450)),ISNUMBER(SEARCH("Sales Mismatch",AD450)),ISNUMBER(SEARCH("Profit Mismatch",AD450)),ISNUMBER(SEARCH("Duplicate Order ID Conflict",AD450)),ISNUMBER(SEARCH("Missing Order Date",AD450)),ISNUMBER(SEARCH("Missing Ship Date",AD450))),"Invalid",IF(AD450&lt;&gt;"","Warning","Clean"))</f>
        <v>Clean</v>
      </c>
    </row>
    <row r="451" customFormat="false" ht="15" hidden="false" customHeight="true" outlineLevel="0" collapsed="false">
      <c r="A451" s="3" t="s">
        <v>1370</v>
      </c>
      <c r="B451" s="4" t="n">
        <v>45449</v>
      </c>
      <c r="C451" s="4" t="n">
        <v>45456</v>
      </c>
      <c r="D451" s="3" t="s">
        <v>1264</v>
      </c>
      <c r="E451" s="3" t="str">
        <f aca="false">PROPER(TRIM(SUBSTITUTE(Raw_Text_Fields!B452,CHAR(160)," ")))</f>
        <v>Aditi Sen</v>
      </c>
      <c r="F451" s="3" t="str">
        <f aca="false">PROPER(TRIM(SUBSTITUTE(Raw_Text_Fields!C452,CHAR(160)," ")))</f>
        <v>Corporate</v>
      </c>
      <c r="G451" s="3" t="str">
        <f aca="false">PROPER(TRIM(SUBSTITUTE(Raw_Text_Fields!D452,CHAR(160)," ")))</f>
        <v>East</v>
      </c>
      <c r="H451" s="3" t="str">
        <f aca="false">PROPER(TRIM(SUBSTITUTE(Raw_Text_Fields!E452,CHAR(160)," ")))</f>
        <v>Assam</v>
      </c>
      <c r="I451" s="3" t="str">
        <f aca="false">PROPER(TRIM(SUBSTITUTE(Raw_Text_Fields!F452,CHAR(160)," ")))</f>
        <v>Guwahati</v>
      </c>
      <c r="J451" s="3" t="str">
        <f aca="false">PROPER(TRIM(SUBSTITUTE(Raw_Text_Fields!G452,CHAR(160)," ")))</f>
        <v>Technology</v>
      </c>
      <c r="K451" s="3" t="str">
        <f aca="false">PROPER(TRIM(SUBSTITUTE(Raw_Text_Fields!H452,CHAR(160)," ")))</f>
        <v>Machines</v>
      </c>
      <c r="L451" s="3" t="s">
        <v>1371</v>
      </c>
      <c r="M451" s="3" t="str">
        <f aca="false">PROPER(TRIM(SUBSTITUTE(Raw_Text_Fields!I452,CHAR(160)," ")))</f>
        <v>Second Class</v>
      </c>
      <c r="N451" s="3" t="n">
        <v>6</v>
      </c>
      <c r="O451" s="5" t="n">
        <v>3270.36</v>
      </c>
      <c r="P451" s="6" t="n">
        <v>0</v>
      </c>
      <c r="Q451" s="5" t="n">
        <v>19622.16</v>
      </c>
      <c r="R451" s="5" t="n">
        <v>14271.27</v>
      </c>
      <c r="S451" s="5" t="n">
        <v>5350.89</v>
      </c>
      <c r="T451" s="3" t="str">
        <f aca="false">PROPER(TRIM(SUBSTITUTE(Raw_Text_Fields!J452,CHAR(160)," ")))</f>
        <v>Paid</v>
      </c>
      <c r="U451" s="3" t="str">
        <f aca="false">PROPER(TRIM(SUBSTITUTE(Raw_Text_Fields!K452,CHAR(160)," ")))</f>
        <v>Completed</v>
      </c>
      <c r="V451" s="7" t="n">
        <f aca="false">IF(OR(P451&lt;0,P451&gt;0.5),0,P451)</f>
        <v>0</v>
      </c>
      <c r="W451" s="8" t="n">
        <f aca="false">N451*O451*(1-V451)</f>
        <v>19622.16</v>
      </c>
      <c r="X451" s="8" t="n">
        <f aca="false">W451-R451</f>
        <v>5350.89</v>
      </c>
      <c r="Y451" s="7" t="n">
        <f aca="false">IFERROR(X451/W451,0)</f>
        <v>0.272696278085593</v>
      </c>
      <c r="Z451" s="9" t="n">
        <f aca="false">C451-B451</f>
        <v>7</v>
      </c>
      <c r="AA451" s="1" t="str">
        <f aca="false">IF(B451="","",TEXT(B451,"mmm"))</f>
        <v>Jun</v>
      </c>
      <c r="AB451" s="9" t="n">
        <f aca="false">IF(B451="","",YEAR(B451))</f>
        <v>2024</v>
      </c>
      <c r="AC451" s="3"/>
      <c r="AD451" s="3" t="str">
        <f aca="false">IF(LEFT(AC451&amp;IF(B451="","; Missing Order Date","")&amp;IF(C451="","; Missing Ship Date","")&amp;IF(P451&lt;0,"; Invalid Discount (Negative)","")&amp;IF(P451&gt;0.5,"; Invalid Discount (Too High)","")&amp;IF(Z451&lt;0,"; Invalid Shipping Record (Ship Before Order)","")&amp;IF(ABS(Q451-W451)&gt;1,"; Sales Mismatch","")&amp;IF(ABS(S451-X451)&gt;1,"; Profit Mismatch","")&amp;IF(COUNTIF($A$2:$A$913,A451)&gt;1,"; Duplicate Order ID Conflict",""),2)="; ",MID(AC451&amp;IF(B451="","; Missing Order Date","")&amp;IF(C451="","; Missing Ship Date","")&amp;IF(P451&lt;0,"; Invalid Discount (Negative)","")&amp;IF(P451&gt;0.5,"; Invalid Discount (Too High)","")&amp;IF(Z451&lt;0,"; Invalid Shipping Record (Ship Before Order)","")&amp;IF(ABS(Q451-W451)&gt;1,"; Sales Mismatch","")&amp;IF(ABS(S451-X451)&gt;1,"; Profit Mismatch","")&amp;IF(COUNTIF($A$2:$A$913,A451)&gt;1,"; Duplicate Order ID Conflict",""),3,500),AC451&amp;IF(B451="","; Missing Order Date","")&amp;IF(C451="","; Missing Ship Date","")&amp;IF(P451&lt;0,"; Invalid Discount (Negative)","")&amp;IF(P451&gt;0.5,"; Invalid Discount (Too High)","")&amp;IF(Z451&lt;0,"; Invalid Shipping Record (Ship Before Order)","")&amp;IF(ABS(Q451-W451)&gt;1,"; Sales Mismatch","")&amp;IF(ABS(S451-X451)&gt;1,"; Profit Mismatch","")&amp;IF(COUNTIF($A$2:$A$913,A451)&gt;1,"; Duplicate Order ID Conflict",""))</f>
        <v/>
      </c>
      <c r="AE451" s="10" t="str">
        <f aca="false">IF(OR(ISNUMBER(SEARCH("Invalid Discount",AD451)),ISNUMBER(SEARCH("Invalid Shipping Record",AD451)),ISNUMBER(SEARCH("Sales Mismatch",AD451)),ISNUMBER(SEARCH("Profit Mismatch",AD451)),ISNUMBER(SEARCH("Duplicate Order ID Conflict",AD451)),ISNUMBER(SEARCH("Missing Order Date",AD451)),ISNUMBER(SEARCH("Missing Ship Date",AD451))),"Invalid",IF(AD451&lt;&gt;"","Warning","Clean"))</f>
        <v>Clean</v>
      </c>
    </row>
    <row r="452" customFormat="false" ht="15" hidden="false" customHeight="true" outlineLevel="0" collapsed="false">
      <c r="A452" s="3" t="s">
        <v>1372</v>
      </c>
      <c r="B452" s="4" t="n">
        <v>45820</v>
      </c>
      <c r="C452" s="4" t="n">
        <v>45827</v>
      </c>
      <c r="D452" s="3" t="s">
        <v>1373</v>
      </c>
      <c r="E452" s="3" t="str">
        <f aca="false">PROPER(TRIM(SUBSTITUTE(Raw_Text_Fields!B453,CHAR(160)," ")))</f>
        <v>Ananya Rao</v>
      </c>
      <c r="F452" s="3" t="str">
        <f aca="false">PROPER(TRIM(SUBSTITUTE(Raw_Text_Fields!C453,CHAR(160)," ")))</f>
        <v>Corporate</v>
      </c>
      <c r="G452" s="3" t="str">
        <f aca="false">PROPER(TRIM(SUBSTITUTE(Raw_Text_Fields!D453,CHAR(160)," ")))</f>
        <v>North</v>
      </c>
      <c r="H452" s="3" t="str">
        <f aca="false">PROPER(TRIM(SUBSTITUTE(Raw_Text_Fields!E453,CHAR(160)," ")))</f>
        <v>Delhi</v>
      </c>
      <c r="I452" s="3" t="str">
        <f aca="false">PROPER(TRIM(SUBSTITUTE(Raw_Text_Fields!F453,CHAR(160)," ")))</f>
        <v>New Delhi</v>
      </c>
      <c r="J452" s="3" t="str">
        <f aca="false">PROPER(TRIM(SUBSTITUTE(Raw_Text_Fields!G453,CHAR(160)," ")))</f>
        <v>Furniture</v>
      </c>
      <c r="K452" s="3" t="str">
        <f aca="false">PROPER(TRIM(SUBSTITUTE(Raw_Text_Fields!H453,CHAR(160)," ")))</f>
        <v>Chairs</v>
      </c>
      <c r="L452" s="3" t="s">
        <v>1374</v>
      </c>
      <c r="M452" s="3" t="str">
        <f aca="false">PROPER(TRIM(SUBSTITUTE(Raw_Text_Fields!I453,CHAR(160)," ")))</f>
        <v>Standard Class</v>
      </c>
      <c r="N452" s="3" t="n">
        <v>9</v>
      </c>
      <c r="O452" s="5" t="n">
        <v>2278.57</v>
      </c>
      <c r="P452" s="6" t="n">
        <v>0.25</v>
      </c>
      <c r="Q452" s="5" t="n">
        <v>15380.35</v>
      </c>
      <c r="R452" s="5" t="n">
        <v>9907.37</v>
      </c>
      <c r="S452" s="5" t="n">
        <v>5472.98</v>
      </c>
      <c r="T452" s="3" t="str">
        <f aca="false">PROPER(TRIM(SUBSTITUTE(Raw_Text_Fields!J453,CHAR(160)," ")))</f>
        <v>Paid</v>
      </c>
      <c r="U452" s="3" t="str">
        <f aca="false">PROPER(TRIM(SUBSTITUTE(Raw_Text_Fields!K453,CHAR(160)," ")))</f>
        <v>Completed</v>
      </c>
      <c r="V452" s="7" t="n">
        <f aca="false">IF(OR(P452&lt;0,P452&gt;0.5),0,P452)</f>
        <v>0.25</v>
      </c>
      <c r="W452" s="8" t="n">
        <f aca="false">N452*O452*(1-V452)</f>
        <v>15380.3475</v>
      </c>
      <c r="X452" s="8" t="n">
        <f aca="false">W452-R452</f>
        <v>5472.9775</v>
      </c>
      <c r="Y452" s="7" t="n">
        <f aca="false">IFERROR(X452/W452,0)</f>
        <v>0.355842252588896</v>
      </c>
      <c r="Z452" s="9" t="n">
        <f aca="false">C452-B452</f>
        <v>7</v>
      </c>
      <c r="AA452" s="1" t="str">
        <f aca="false">IF(B452="","",TEXT(B452,"mmm"))</f>
        <v>Jun</v>
      </c>
      <c r="AB452" s="9" t="n">
        <f aca="false">IF(B452="","",YEAR(B452))</f>
        <v>2025</v>
      </c>
      <c r="AC452" s="3"/>
      <c r="AD452" s="3" t="str">
        <f aca="false">IF(LEFT(AC452&amp;IF(B452="","; Missing Order Date","")&amp;IF(C452="","; Missing Ship Date","")&amp;IF(P452&lt;0,"; Invalid Discount (Negative)","")&amp;IF(P452&gt;0.5,"; Invalid Discount (Too High)","")&amp;IF(Z452&lt;0,"; Invalid Shipping Record (Ship Before Order)","")&amp;IF(ABS(Q452-W452)&gt;1,"; Sales Mismatch","")&amp;IF(ABS(S452-X452)&gt;1,"; Profit Mismatch","")&amp;IF(COUNTIF($A$2:$A$913,A452)&gt;1,"; Duplicate Order ID Conflict",""),2)="; ",MID(AC452&amp;IF(B452="","; Missing Order Date","")&amp;IF(C452="","; Missing Ship Date","")&amp;IF(P452&lt;0,"; Invalid Discount (Negative)","")&amp;IF(P452&gt;0.5,"; Invalid Discount (Too High)","")&amp;IF(Z452&lt;0,"; Invalid Shipping Record (Ship Before Order)","")&amp;IF(ABS(Q452-W452)&gt;1,"; Sales Mismatch","")&amp;IF(ABS(S452-X452)&gt;1,"; Profit Mismatch","")&amp;IF(COUNTIF($A$2:$A$913,A452)&gt;1,"; Duplicate Order ID Conflict",""),3,500),AC452&amp;IF(B452="","; Missing Order Date","")&amp;IF(C452="","; Missing Ship Date","")&amp;IF(P452&lt;0,"; Invalid Discount (Negative)","")&amp;IF(P452&gt;0.5,"; Invalid Discount (Too High)","")&amp;IF(Z452&lt;0,"; Invalid Shipping Record (Ship Before Order)","")&amp;IF(ABS(Q452-W452)&gt;1,"; Sales Mismatch","")&amp;IF(ABS(S452-X452)&gt;1,"; Profit Mismatch","")&amp;IF(COUNTIF($A$2:$A$913,A452)&gt;1,"; Duplicate Order ID Conflict",""))</f>
        <v/>
      </c>
      <c r="AE452" s="10" t="str">
        <f aca="false">IF(OR(ISNUMBER(SEARCH("Invalid Discount",AD452)),ISNUMBER(SEARCH("Invalid Shipping Record",AD452)),ISNUMBER(SEARCH("Sales Mismatch",AD452)),ISNUMBER(SEARCH("Profit Mismatch",AD452)),ISNUMBER(SEARCH("Duplicate Order ID Conflict",AD452)),ISNUMBER(SEARCH("Missing Order Date",AD452)),ISNUMBER(SEARCH("Missing Ship Date",AD452))),"Invalid",IF(AD452&lt;&gt;"","Warning","Clean"))</f>
        <v>Clean</v>
      </c>
    </row>
    <row r="453" customFormat="false" ht="15" hidden="false" customHeight="true" outlineLevel="0" collapsed="false">
      <c r="A453" s="3" t="s">
        <v>1375</v>
      </c>
      <c r="B453" s="4" t="n">
        <v>45375</v>
      </c>
      <c r="C453" s="4" t="n">
        <v>45377</v>
      </c>
      <c r="D453" s="3" t="s">
        <v>1376</v>
      </c>
      <c r="E453" s="3" t="str">
        <f aca="false">PROPER(TRIM(SUBSTITUTE(Raw_Text_Fields!B454,CHAR(160)," ")))</f>
        <v>Rohan Mehta</v>
      </c>
      <c r="F453" s="3" t="str">
        <f aca="false">PROPER(TRIM(SUBSTITUTE(Raw_Text_Fields!C454,CHAR(160)," ")))</f>
        <v>Small Business</v>
      </c>
      <c r="G453" s="3" t="str">
        <f aca="false">PROPER(TRIM(SUBSTITUTE(Raw_Text_Fields!D454,CHAR(160)," ")))</f>
        <v>North</v>
      </c>
      <c r="H453" s="3" t="str">
        <f aca="false">PROPER(TRIM(SUBSTITUTE(Raw_Text_Fields!E454,CHAR(160)," ")))</f>
        <v>Haryana</v>
      </c>
      <c r="I453" s="3" t="str">
        <f aca="false">PROPER(TRIM(SUBSTITUTE(Raw_Text_Fields!F454,CHAR(160)," ")))</f>
        <v>Gurugram</v>
      </c>
      <c r="J453" s="3" t="str">
        <f aca="false">PROPER(TRIM(SUBSTITUTE(Raw_Text_Fields!G454,CHAR(160)," ")))</f>
        <v>Office Supplies</v>
      </c>
      <c r="K453" s="3" t="str">
        <f aca="false">PROPER(TRIM(SUBSTITUTE(Raw_Text_Fields!H454,CHAR(160)," ")))</f>
        <v>Paper</v>
      </c>
      <c r="L453" s="3" t="s">
        <v>1377</v>
      </c>
      <c r="M453" s="3" t="str">
        <f aca="false">PROPER(TRIM(SUBSTITUTE(Raw_Text_Fields!I454,CHAR(160)," ")))</f>
        <v>Second Class</v>
      </c>
      <c r="N453" s="3" t="n">
        <v>8</v>
      </c>
      <c r="O453" s="5" t="n">
        <v>1917.64</v>
      </c>
      <c r="P453" s="6" t="n">
        <v>0.15</v>
      </c>
      <c r="Q453" s="5" t="n">
        <v>13039.95</v>
      </c>
      <c r="R453" s="5" t="n">
        <v>11127.82</v>
      </c>
      <c r="S453" s="5" t="n">
        <v>1912.13</v>
      </c>
      <c r="T453" s="3" t="str">
        <f aca="false">PROPER(TRIM(SUBSTITUTE(Raw_Text_Fields!J454,CHAR(160)," ")))</f>
        <v>Paid</v>
      </c>
      <c r="U453" s="3" t="str">
        <f aca="false">PROPER(TRIM(SUBSTITUTE(Raw_Text_Fields!K454,CHAR(160)," ")))</f>
        <v>Cancelled</v>
      </c>
      <c r="V453" s="7" t="n">
        <f aca="false">IF(OR(P453&lt;0,P453&gt;0.5),0,P453)</f>
        <v>0.15</v>
      </c>
      <c r="W453" s="8" t="n">
        <f aca="false">N453*O453*(1-V453)</f>
        <v>13039.952</v>
      </c>
      <c r="X453" s="8" t="n">
        <f aca="false">W453-R453</f>
        <v>1912.132</v>
      </c>
      <c r="Y453" s="7" t="n">
        <f aca="false">IFERROR(X453/W453,0)</f>
        <v>0.14663642933655</v>
      </c>
      <c r="Z453" s="9" t="n">
        <f aca="false">C453-B453</f>
        <v>2</v>
      </c>
      <c r="AA453" s="1" t="str">
        <f aca="false">IF(B453="","",TEXT(B453,"mmm"))</f>
        <v>Mar</v>
      </c>
      <c r="AB453" s="9" t="n">
        <f aca="false">IF(B453="","",YEAR(B453))</f>
        <v>2024</v>
      </c>
      <c r="AC453" s="3"/>
      <c r="AD453" s="3" t="str">
        <f aca="false">IF(LEFT(AC453&amp;IF(B453="","; Missing Order Date","")&amp;IF(C453="","; Missing Ship Date","")&amp;IF(P453&lt;0,"; Invalid Discount (Negative)","")&amp;IF(P453&gt;0.5,"; Invalid Discount (Too High)","")&amp;IF(Z453&lt;0,"; Invalid Shipping Record (Ship Before Order)","")&amp;IF(ABS(Q453-W453)&gt;1,"; Sales Mismatch","")&amp;IF(ABS(S453-X453)&gt;1,"; Profit Mismatch","")&amp;IF(COUNTIF($A$2:$A$913,A453)&gt;1,"; Duplicate Order ID Conflict",""),2)="; ",MID(AC453&amp;IF(B453="","; Missing Order Date","")&amp;IF(C453="","; Missing Ship Date","")&amp;IF(P453&lt;0,"; Invalid Discount (Negative)","")&amp;IF(P453&gt;0.5,"; Invalid Discount (Too High)","")&amp;IF(Z453&lt;0,"; Invalid Shipping Record (Ship Before Order)","")&amp;IF(ABS(Q453-W453)&gt;1,"; Sales Mismatch","")&amp;IF(ABS(S453-X453)&gt;1,"; Profit Mismatch","")&amp;IF(COUNTIF($A$2:$A$913,A453)&gt;1,"; Duplicate Order ID Conflict",""),3,500),AC453&amp;IF(B453="","; Missing Order Date","")&amp;IF(C453="","; Missing Ship Date","")&amp;IF(P453&lt;0,"; Invalid Discount (Negative)","")&amp;IF(P453&gt;0.5,"; Invalid Discount (Too High)","")&amp;IF(Z453&lt;0,"; Invalid Shipping Record (Ship Before Order)","")&amp;IF(ABS(Q453-W453)&gt;1,"; Sales Mismatch","")&amp;IF(ABS(S453-X453)&gt;1,"; Profit Mismatch","")&amp;IF(COUNTIF($A$2:$A$913,A453)&gt;1,"; Duplicate Order ID Conflict",""))</f>
        <v/>
      </c>
      <c r="AE453" s="10" t="str">
        <f aca="false">IF(OR(ISNUMBER(SEARCH("Invalid Discount",AD453)),ISNUMBER(SEARCH("Invalid Shipping Record",AD453)),ISNUMBER(SEARCH("Sales Mismatch",AD453)),ISNUMBER(SEARCH("Profit Mismatch",AD453)),ISNUMBER(SEARCH("Duplicate Order ID Conflict",AD453)),ISNUMBER(SEARCH("Missing Order Date",AD453)),ISNUMBER(SEARCH("Missing Ship Date",AD453))),"Invalid",IF(AD453&lt;&gt;"","Warning","Clean"))</f>
        <v>Clean</v>
      </c>
    </row>
    <row r="454" customFormat="false" ht="15" hidden="false" customHeight="true" outlineLevel="0" collapsed="false">
      <c r="A454" s="3" t="s">
        <v>1378</v>
      </c>
      <c r="B454" s="4" t="n">
        <v>45422</v>
      </c>
      <c r="C454" s="4" t="n">
        <v>45428</v>
      </c>
      <c r="D454" s="3" t="s">
        <v>1379</v>
      </c>
      <c r="E454" s="3" t="str">
        <f aca="false">PROPER(TRIM(SUBSTITUTE(Raw_Text_Fields!B455,CHAR(160)," ")))</f>
        <v>Diya Patel</v>
      </c>
      <c r="F454" s="3" t="str">
        <f aca="false">PROPER(TRIM(SUBSTITUTE(Raw_Text_Fields!C455,CHAR(160)," ")))</f>
        <v>Home Office</v>
      </c>
      <c r="G454" s="3" t="str">
        <f aca="false">PROPER(TRIM(SUBSTITUTE(Raw_Text_Fields!D455,CHAR(160)," ")))</f>
        <v>East</v>
      </c>
      <c r="H454" s="3" t="str">
        <f aca="false">PROPER(TRIM(SUBSTITUTE(Raw_Text_Fields!E455,CHAR(160)," ")))</f>
        <v>Jharkhand</v>
      </c>
      <c r="I454" s="3" t="str">
        <f aca="false">PROPER(TRIM(SUBSTITUTE(Raw_Text_Fields!F455,CHAR(160)," ")))</f>
        <v>Ranchi</v>
      </c>
      <c r="J454" s="3" t="str">
        <f aca="false">PROPER(TRIM(SUBSTITUTE(Raw_Text_Fields!G455,CHAR(160)," ")))</f>
        <v>Technology</v>
      </c>
      <c r="K454" s="3" t="str">
        <f aca="false">PROPER(TRIM(SUBSTITUTE(Raw_Text_Fields!H455,CHAR(160)," ")))</f>
        <v>Accessories</v>
      </c>
      <c r="L454" s="3" t="s">
        <v>1380</v>
      </c>
      <c r="M454" s="3" t="str">
        <f aca="false">PROPER(TRIM(SUBSTITUTE(Raw_Text_Fields!I455,CHAR(160)," ")))</f>
        <v>Second Class</v>
      </c>
      <c r="N454" s="3" t="n">
        <v>6</v>
      </c>
      <c r="O454" s="5" t="n">
        <v>2013.33</v>
      </c>
      <c r="P454" s="6" t="n">
        <v>0.2</v>
      </c>
      <c r="Q454" s="5" t="n">
        <v>9663.98</v>
      </c>
      <c r="R454" s="5" t="n">
        <v>5628.93</v>
      </c>
      <c r="S454" s="5" t="n">
        <v>4035.05</v>
      </c>
      <c r="T454" s="3" t="str">
        <f aca="false">PROPER(TRIM(SUBSTITUTE(Raw_Text_Fields!J455,CHAR(160)," ")))</f>
        <v>Paid</v>
      </c>
      <c r="U454" s="3" t="str">
        <f aca="false">PROPER(TRIM(SUBSTITUTE(Raw_Text_Fields!K455,CHAR(160)," ")))</f>
        <v>Completed</v>
      </c>
      <c r="V454" s="7" t="n">
        <f aca="false">IF(OR(P454&lt;0,P454&gt;0.5),0,P454)</f>
        <v>0.2</v>
      </c>
      <c r="W454" s="8" t="n">
        <f aca="false">N454*O454*(1-V454)</f>
        <v>9663.984</v>
      </c>
      <c r="X454" s="8" t="n">
        <f aca="false">W454-R454</f>
        <v>4035.054</v>
      </c>
      <c r="Y454" s="7" t="n">
        <f aca="false">IFERROR(X454/W454,0)</f>
        <v>0.417535252541809</v>
      </c>
      <c r="Z454" s="9" t="n">
        <f aca="false">C454-B454</f>
        <v>6</v>
      </c>
      <c r="AA454" s="1" t="str">
        <f aca="false">IF(B454="","",TEXT(B454,"mmm"))</f>
        <v>May</v>
      </c>
      <c r="AB454" s="9" t="n">
        <f aca="false">IF(B454="","",YEAR(B454))</f>
        <v>2024</v>
      </c>
      <c r="AC454" s="3"/>
      <c r="AD454" s="3" t="str">
        <f aca="false">IF(LEFT(AC454&amp;IF(B454="","; Missing Order Date","")&amp;IF(C454="","; Missing Ship Date","")&amp;IF(P454&lt;0,"; Invalid Discount (Negative)","")&amp;IF(P454&gt;0.5,"; Invalid Discount (Too High)","")&amp;IF(Z454&lt;0,"; Invalid Shipping Record (Ship Before Order)","")&amp;IF(ABS(Q454-W454)&gt;1,"; Sales Mismatch","")&amp;IF(ABS(S454-X454)&gt;1,"; Profit Mismatch","")&amp;IF(COUNTIF($A$2:$A$913,A454)&gt;1,"; Duplicate Order ID Conflict",""),2)="; ",MID(AC454&amp;IF(B454="","; Missing Order Date","")&amp;IF(C454="","; Missing Ship Date","")&amp;IF(P454&lt;0,"; Invalid Discount (Negative)","")&amp;IF(P454&gt;0.5,"; Invalid Discount (Too High)","")&amp;IF(Z454&lt;0,"; Invalid Shipping Record (Ship Before Order)","")&amp;IF(ABS(Q454-W454)&gt;1,"; Sales Mismatch","")&amp;IF(ABS(S454-X454)&gt;1,"; Profit Mismatch","")&amp;IF(COUNTIF($A$2:$A$913,A454)&gt;1,"; Duplicate Order ID Conflict",""),3,500),AC454&amp;IF(B454="","; Missing Order Date","")&amp;IF(C454="","; Missing Ship Date","")&amp;IF(P454&lt;0,"; Invalid Discount (Negative)","")&amp;IF(P454&gt;0.5,"; Invalid Discount (Too High)","")&amp;IF(Z454&lt;0,"; Invalid Shipping Record (Ship Before Order)","")&amp;IF(ABS(Q454-W454)&gt;1,"; Sales Mismatch","")&amp;IF(ABS(S454-X454)&gt;1,"; Profit Mismatch","")&amp;IF(COUNTIF($A$2:$A$913,A454)&gt;1,"; Duplicate Order ID Conflict",""))</f>
        <v/>
      </c>
      <c r="AE454" s="10" t="str">
        <f aca="false">IF(OR(ISNUMBER(SEARCH("Invalid Discount",AD454)),ISNUMBER(SEARCH("Invalid Shipping Record",AD454)),ISNUMBER(SEARCH("Sales Mismatch",AD454)),ISNUMBER(SEARCH("Profit Mismatch",AD454)),ISNUMBER(SEARCH("Duplicate Order ID Conflict",AD454)),ISNUMBER(SEARCH("Missing Order Date",AD454)),ISNUMBER(SEARCH("Missing Ship Date",AD454))),"Invalid",IF(AD454&lt;&gt;"","Warning","Clean"))</f>
        <v>Clean</v>
      </c>
    </row>
    <row r="455" customFormat="false" ht="15" hidden="false" customHeight="true" outlineLevel="0" collapsed="false">
      <c r="A455" s="3" t="s">
        <v>1381</v>
      </c>
      <c r="B455" s="4" t="n">
        <v>45780</v>
      </c>
      <c r="C455" s="4" t="n">
        <v>45788</v>
      </c>
      <c r="D455" s="3" t="s">
        <v>1382</v>
      </c>
      <c r="E455" s="3" t="str">
        <f aca="false">PROPER(TRIM(SUBSTITUTE(Raw_Text_Fields!B456,CHAR(160)," ")))</f>
        <v>Rohan Mehta</v>
      </c>
      <c r="F455" s="3" t="str">
        <f aca="false">PROPER(TRIM(SUBSTITUTE(Raw_Text_Fields!C456,CHAR(160)," ")))</f>
        <v>Small Business</v>
      </c>
      <c r="G455" s="3" t="str">
        <f aca="false">PROPER(TRIM(SUBSTITUTE(Raw_Text_Fields!D456,CHAR(160)," ")))</f>
        <v>West</v>
      </c>
      <c r="H455" s="3" t="str">
        <f aca="false">PROPER(TRIM(SUBSTITUTE(Raw_Text_Fields!E456,CHAR(160)," ")))</f>
        <v>Madhya Pradesh</v>
      </c>
      <c r="I455" s="3" t="str">
        <f aca="false">PROPER(TRIM(SUBSTITUTE(Raw_Text_Fields!F456,CHAR(160)," ")))</f>
        <v>Indore</v>
      </c>
      <c r="J455" s="3" t="str">
        <f aca="false">PROPER(TRIM(SUBSTITUTE(Raw_Text_Fields!G456,CHAR(160)," ")))</f>
        <v>Office Supplies</v>
      </c>
      <c r="K455" s="3" t="str">
        <f aca="false">PROPER(TRIM(SUBSTITUTE(Raw_Text_Fields!H456,CHAR(160)," ")))</f>
        <v>Labels</v>
      </c>
      <c r="L455" s="3" t="s">
        <v>1383</v>
      </c>
      <c r="M455" s="3" t="str">
        <f aca="false">PROPER(TRIM(SUBSTITUTE(Raw_Text_Fields!I456,CHAR(160)," ")))</f>
        <v>Same Day</v>
      </c>
      <c r="N455" s="3" t="n">
        <v>5</v>
      </c>
      <c r="O455" s="5" t="n">
        <v>1483.52</v>
      </c>
      <c r="P455" s="6" t="n">
        <v>0</v>
      </c>
      <c r="Q455" s="5" t="n">
        <v>7417.6</v>
      </c>
      <c r="R455" s="5" t="n">
        <v>4955.86</v>
      </c>
      <c r="S455" s="5" t="n">
        <v>2461.74</v>
      </c>
      <c r="T455" s="3" t="str">
        <f aca="false">PROPER(TRIM(SUBSTITUTE(Raw_Text_Fields!J456,CHAR(160)," ")))</f>
        <v>Paid</v>
      </c>
      <c r="U455" s="3" t="str">
        <f aca="false">PROPER(TRIM(SUBSTITUTE(Raw_Text_Fields!K456,CHAR(160)," ")))</f>
        <v>Completed</v>
      </c>
      <c r="V455" s="7" t="n">
        <f aca="false">IF(OR(P455&lt;0,P455&gt;0.5),0,P455)</f>
        <v>0</v>
      </c>
      <c r="W455" s="8" t="n">
        <f aca="false">N455*O455*(1-V455)</f>
        <v>7417.6</v>
      </c>
      <c r="X455" s="8" t="n">
        <f aca="false">W455-R455</f>
        <v>2461.74</v>
      </c>
      <c r="Y455" s="7" t="n">
        <f aca="false">IFERROR(X455/W455,0)</f>
        <v>0.331878235547886</v>
      </c>
      <c r="Z455" s="9" t="n">
        <f aca="false">C455-B455</f>
        <v>8</v>
      </c>
      <c r="AA455" s="1" t="str">
        <f aca="false">IF(B455="","",TEXT(B455,"mmm"))</f>
        <v>May</v>
      </c>
      <c r="AB455" s="9" t="n">
        <f aca="false">IF(B455="","",YEAR(B455))</f>
        <v>2025</v>
      </c>
      <c r="AC455" s="3"/>
      <c r="AD455" s="3" t="str">
        <f aca="false">IF(LEFT(AC455&amp;IF(B455="","; Missing Order Date","")&amp;IF(C455="","; Missing Ship Date","")&amp;IF(P455&lt;0,"; Invalid Discount (Negative)","")&amp;IF(P455&gt;0.5,"; Invalid Discount (Too High)","")&amp;IF(Z455&lt;0,"; Invalid Shipping Record (Ship Before Order)","")&amp;IF(ABS(Q455-W455)&gt;1,"; Sales Mismatch","")&amp;IF(ABS(S455-X455)&gt;1,"; Profit Mismatch","")&amp;IF(COUNTIF($A$2:$A$913,A455)&gt;1,"; Duplicate Order ID Conflict",""),2)="; ",MID(AC455&amp;IF(B455="","; Missing Order Date","")&amp;IF(C455="","; Missing Ship Date","")&amp;IF(P455&lt;0,"; Invalid Discount (Negative)","")&amp;IF(P455&gt;0.5,"; Invalid Discount (Too High)","")&amp;IF(Z455&lt;0,"; Invalid Shipping Record (Ship Before Order)","")&amp;IF(ABS(Q455-W455)&gt;1,"; Sales Mismatch","")&amp;IF(ABS(S455-X455)&gt;1,"; Profit Mismatch","")&amp;IF(COUNTIF($A$2:$A$913,A455)&gt;1,"; Duplicate Order ID Conflict",""),3,500),AC455&amp;IF(B455="","; Missing Order Date","")&amp;IF(C455="","; Missing Ship Date","")&amp;IF(P455&lt;0,"; Invalid Discount (Negative)","")&amp;IF(P455&gt;0.5,"; Invalid Discount (Too High)","")&amp;IF(Z455&lt;0,"; Invalid Shipping Record (Ship Before Order)","")&amp;IF(ABS(Q455-W455)&gt;1,"; Sales Mismatch","")&amp;IF(ABS(S455-X455)&gt;1,"; Profit Mismatch","")&amp;IF(COUNTIF($A$2:$A$913,A455)&gt;1,"; Duplicate Order ID Conflict",""))</f>
        <v/>
      </c>
      <c r="AE455" s="10" t="str">
        <f aca="false">IF(OR(ISNUMBER(SEARCH("Invalid Discount",AD455)),ISNUMBER(SEARCH("Invalid Shipping Record",AD455)),ISNUMBER(SEARCH("Sales Mismatch",AD455)),ISNUMBER(SEARCH("Profit Mismatch",AD455)),ISNUMBER(SEARCH("Duplicate Order ID Conflict",AD455)),ISNUMBER(SEARCH("Missing Order Date",AD455)),ISNUMBER(SEARCH("Missing Ship Date",AD455))),"Invalid",IF(AD455&lt;&gt;"","Warning","Clean"))</f>
        <v>Clean</v>
      </c>
    </row>
    <row r="456" customFormat="false" ht="15" hidden="false" customHeight="true" outlineLevel="0" collapsed="false">
      <c r="A456" s="3" t="s">
        <v>1384</v>
      </c>
      <c r="B456" s="4" t="n">
        <v>45739</v>
      </c>
      <c r="C456" s="4" t="n">
        <v>45744</v>
      </c>
      <c r="D456" s="3" t="s">
        <v>1385</v>
      </c>
      <c r="E456" s="3" t="str">
        <f aca="false">PROPER(TRIM(SUBSTITUTE(Raw_Text_Fields!B457,CHAR(160)," ")))</f>
        <v>Vikram Iyer</v>
      </c>
      <c r="F456" s="3" t="str">
        <f aca="false">PROPER(TRIM(SUBSTITUTE(Raw_Text_Fields!C457,CHAR(160)," ")))</f>
        <v>Small Business</v>
      </c>
      <c r="G456" s="3" t="str">
        <f aca="false">PROPER(TRIM(SUBSTITUTE(Raw_Text_Fields!D457,CHAR(160)," ")))</f>
        <v>North</v>
      </c>
      <c r="H456" s="3" t="str">
        <f aca="false">PROPER(TRIM(SUBSTITUTE(Raw_Text_Fields!E457,CHAR(160)," ")))</f>
        <v>Rajasthan</v>
      </c>
      <c r="I456" s="3" t="str">
        <f aca="false">PROPER(TRIM(SUBSTITUTE(Raw_Text_Fields!F457,CHAR(160)," ")))</f>
        <v>Jaipur</v>
      </c>
      <c r="J456" s="3" t="str">
        <f aca="false">PROPER(TRIM(SUBSTITUTE(Raw_Text_Fields!G457,CHAR(160)," ")))</f>
        <v>Furniture</v>
      </c>
      <c r="K456" s="3" t="str">
        <f aca="false">PROPER(TRIM(SUBSTITUTE(Raw_Text_Fields!H457,CHAR(160)," ")))</f>
        <v>Furnishings</v>
      </c>
      <c r="L456" s="3" t="s">
        <v>1386</v>
      </c>
      <c r="M456" s="3" t="str">
        <f aca="false">PROPER(TRIM(SUBSTITUTE(Raw_Text_Fields!I457,CHAR(160)," ")))</f>
        <v>Standard Class</v>
      </c>
      <c r="N456" s="3" t="n">
        <v>9</v>
      </c>
      <c r="O456" s="5" t="n">
        <v>3298</v>
      </c>
      <c r="P456" s="6" t="n">
        <v>0.15</v>
      </c>
      <c r="Q456" s="5" t="n">
        <v>25229.7</v>
      </c>
      <c r="R456" s="5" t="n">
        <v>20170.43</v>
      </c>
      <c r="S456" s="5" t="n">
        <v>5059.27</v>
      </c>
      <c r="T456" s="3" t="str">
        <f aca="false">PROPER(TRIM(SUBSTITUTE(Raw_Text_Fields!J457,CHAR(160)," ")))</f>
        <v>Paid</v>
      </c>
      <c r="U456" s="3" t="str">
        <f aca="false">PROPER(TRIM(SUBSTITUTE(Raw_Text_Fields!K457,CHAR(160)," ")))</f>
        <v>Completed</v>
      </c>
      <c r="V456" s="7" t="n">
        <f aca="false">IF(OR(P456&lt;0,P456&gt;0.5),0,P456)</f>
        <v>0.15</v>
      </c>
      <c r="W456" s="8" t="n">
        <f aca="false">N456*O456*(1-V456)</f>
        <v>25229.7</v>
      </c>
      <c r="X456" s="8" t="n">
        <f aca="false">W456-R456</f>
        <v>5059.27</v>
      </c>
      <c r="Y456" s="7" t="n">
        <f aca="false">IFERROR(X456/W456,0)</f>
        <v>0.200528345560986</v>
      </c>
      <c r="Z456" s="9" t="n">
        <f aca="false">C456-B456</f>
        <v>5</v>
      </c>
      <c r="AA456" s="1" t="str">
        <f aca="false">IF(B456="","",TEXT(B456,"mmm"))</f>
        <v>Mar</v>
      </c>
      <c r="AB456" s="9" t="n">
        <f aca="false">IF(B456="","",YEAR(B456))</f>
        <v>2025</v>
      </c>
      <c r="AC456" s="3"/>
      <c r="AD456" s="3" t="str">
        <f aca="false">IF(LEFT(AC456&amp;IF(B456="","; Missing Order Date","")&amp;IF(C456="","; Missing Ship Date","")&amp;IF(P456&lt;0,"; Invalid Discount (Negative)","")&amp;IF(P456&gt;0.5,"; Invalid Discount (Too High)","")&amp;IF(Z456&lt;0,"; Invalid Shipping Record (Ship Before Order)","")&amp;IF(ABS(Q456-W456)&gt;1,"; Sales Mismatch","")&amp;IF(ABS(S456-X456)&gt;1,"; Profit Mismatch","")&amp;IF(COUNTIF($A$2:$A$913,A456)&gt;1,"; Duplicate Order ID Conflict",""),2)="; ",MID(AC456&amp;IF(B456="","; Missing Order Date","")&amp;IF(C456="","; Missing Ship Date","")&amp;IF(P456&lt;0,"; Invalid Discount (Negative)","")&amp;IF(P456&gt;0.5,"; Invalid Discount (Too High)","")&amp;IF(Z456&lt;0,"; Invalid Shipping Record (Ship Before Order)","")&amp;IF(ABS(Q456-W456)&gt;1,"; Sales Mismatch","")&amp;IF(ABS(S456-X456)&gt;1,"; Profit Mismatch","")&amp;IF(COUNTIF($A$2:$A$913,A456)&gt;1,"; Duplicate Order ID Conflict",""),3,500),AC456&amp;IF(B456="","; Missing Order Date","")&amp;IF(C456="","; Missing Ship Date","")&amp;IF(P456&lt;0,"; Invalid Discount (Negative)","")&amp;IF(P456&gt;0.5,"; Invalid Discount (Too High)","")&amp;IF(Z456&lt;0,"; Invalid Shipping Record (Ship Before Order)","")&amp;IF(ABS(Q456-W456)&gt;1,"; Sales Mismatch","")&amp;IF(ABS(S456-X456)&gt;1,"; Profit Mismatch","")&amp;IF(COUNTIF($A$2:$A$913,A456)&gt;1,"; Duplicate Order ID Conflict",""))</f>
        <v/>
      </c>
      <c r="AE456" s="10" t="str">
        <f aca="false">IF(OR(ISNUMBER(SEARCH("Invalid Discount",AD456)),ISNUMBER(SEARCH("Invalid Shipping Record",AD456)),ISNUMBER(SEARCH("Sales Mismatch",AD456)),ISNUMBER(SEARCH("Profit Mismatch",AD456)),ISNUMBER(SEARCH("Duplicate Order ID Conflict",AD456)),ISNUMBER(SEARCH("Missing Order Date",AD456)),ISNUMBER(SEARCH("Missing Ship Date",AD456))),"Invalid",IF(AD456&lt;&gt;"","Warning","Clean"))</f>
        <v>Clean</v>
      </c>
    </row>
    <row r="457" customFormat="false" ht="15" hidden="false" customHeight="true" outlineLevel="0" collapsed="false">
      <c r="A457" s="3" t="s">
        <v>1387</v>
      </c>
      <c r="B457" s="4" t="n">
        <v>45491</v>
      </c>
      <c r="C457" s="4" t="n">
        <v>45495</v>
      </c>
      <c r="D457" s="3" t="s">
        <v>1388</v>
      </c>
      <c r="E457" s="3" t="str">
        <f aca="false">PROPER(TRIM(SUBSTITUTE(Raw_Text_Fields!B458,CHAR(160)," ")))</f>
        <v>Neha Gupta</v>
      </c>
      <c r="F457" s="3" t="str">
        <f aca="false">PROPER(TRIM(SUBSTITUTE(Raw_Text_Fields!C458,CHAR(160)," ")))</f>
        <v>Small Business</v>
      </c>
      <c r="G457" s="3" t="str">
        <f aca="false">PROPER(TRIM(SUBSTITUTE(Raw_Text_Fields!D458,CHAR(160)," ")))</f>
        <v>South</v>
      </c>
      <c r="H457" s="3" t="str">
        <f aca="false">PROPER(TRIM(SUBSTITUTE(Raw_Text_Fields!E458,CHAR(160)," ")))</f>
        <v>Telangana</v>
      </c>
      <c r="I457" s="3" t="str">
        <f aca="false">PROPER(TRIM(SUBSTITUTE(Raw_Text_Fields!F458,CHAR(160)," ")))</f>
        <v>Hyderabad</v>
      </c>
      <c r="J457" s="3" t="str">
        <f aca="false">PROPER(TRIM(SUBSTITUTE(Raw_Text_Fields!G458,CHAR(160)," ")))</f>
        <v>Office Supplies</v>
      </c>
      <c r="K457" s="3" t="str">
        <f aca="false">PROPER(TRIM(SUBSTITUTE(Raw_Text_Fields!H458,CHAR(160)," ")))</f>
        <v>Art</v>
      </c>
      <c r="L457" s="3" t="s">
        <v>1389</v>
      </c>
      <c r="M457" s="3" t="str">
        <f aca="false">PROPER(TRIM(SUBSTITUTE(Raw_Text_Fields!I458,CHAR(160)," ")))</f>
        <v>Standard Class</v>
      </c>
      <c r="N457" s="3" t="n">
        <v>4</v>
      </c>
      <c r="O457" s="5" t="n">
        <v>808.77</v>
      </c>
      <c r="P457" s="6" t="n">
        <v>0</v>
      </c>
      <c r="Q457" s="5" t="n">
        <v>3235.08</v>
      </c>
      <c r="R457" s="5" t="n">
        <v>1848.6</v>
      </c>
      <c r="S457" s="5" t="n">
        <v>1386.48</v>
      </c>
      <c r="T457" s="3" t="str">
        <f aca="false">PROPER(TRIM(SUBSTITUTE(Raw_Text_Fields!J458,CHAR(160)," ")))</f>
        <v>Paid</v>
      </c>
      <c r="U457" s="3" t="str">
        <f aca="false">PROPER(TRIM(SUBSTITUTE(Raw_Text_Fields!K458,CHAR(160)," ")))</f>
        <v>Completed</v>
      </c>
      <c r="V457" s="7" t="n">
        <f aca="false">IF(OR(P457&lt;0,P457&gt;0.5),0,P457)</f>
        <v>0</v>
      </c>
      <c r="W457" s="8" t="n">
        <f aca="false">N457*O457*(1-V457)</f>
        <v>3235.08</v>
      </c>
      <c r="X457" s="8" t="n">
        <f aca="false">W457-R457</f>
        <v>1386.48</v>
      </c>
      <c r="Y457" s="7" t="n">
        <f aca="false">IFERROR(X457/W457,0)</f>
        <v>0.428576727623428</v>
      </c>
      <c r="Z457" s="9" t="n">
        <f aca="false">C457-B457</f>
        <v>4</v>
      </c>
      <c r="AA457" s="1" t="str">
        <f aca="false">IF(B457="","",TEXT(B457,"mmm"))</f>
        <v>Jul</v>
      </c>
      <c r="AB457" s="9" t="n">
        <f aca="false">IF(B457="","",YEAR(B457))</f>
        <v>2024</v>
      </c>
      <c r="AC457" s="3"/>
      <c r="AD457" s="3" t="str">
        <f aca="false">IF(LEFT(AC457&amp;IF(B457="","; Missing Order Date","")&amp;IF(C457="","; Missing Ship Date","")&amp;IF(P457&lt;0,"; Invalid Discount (Negative)","")&amp;IF(P457&gt;0.5,"; Invalid Discount (Too High)","")&amp;IF(Z457&lt;0,"; Invalid Shipping Record (Ship Before Order)","")&amp;IF(ABS(Q457-W457)&gt;1,"; Sales Mismatch","")&amp;IF(ABS(S457-X457)&gt;1,"; Profit Mismatch","")&amp;IF(COUNTIF($A$2:$A$913,A457)&gt;1,"; Duplicate Order ID Conflict",""),2)="; ",MID(AC457&amp;IF(B457="","; Missing Order Date","")&amp;IF(C457="","; Missing Ship Date","")&amp;IF(P457&lt;0,"; Invalid Discount (Negative)","")&amp;IF(P457&gt;0.5,"; Invalid Discount (Too High)","")&amp;IF(Z457&lt;0,"; Invalid Shipping Record (Ship Before Order)","")&amp;IF(ABS(Q457-W457)&gt;1,"; Sales Mismatch","")&amp;IF(ABS(S457-X457)&gt;1,"; Profit Mismatch","")&amp;IF(COUNTIF($A$2:$A$913,A457)&gt;1,"; Duplicate Order ID Conflict",""),3,500),AC457&amp;IF(B457="","; Missing Order Date","")&amp;IF(C457="","; Missing Ship Date","")&amp;IF(P457&lt;0,"; Invalid Discount (Negative)","")&amp;IF(P457&gt;0.5,"; Invalid Discount (Too High)","")&amp;IF(Z457&lt;0,"; Invalid Shipping Record (Ship Before Order)","")&amp;IF(ABS(Q457-W457)&gt;1,"; Sales Mismatch","")&amp;IF(ABS(S457-X457)&gt;1,"; Profit Mismatch","")&amp;IF(COUNTIF($A$2:$A$913,A457)&gt;1,"; Duplicate Order ID Conflict",""))</f>
        <v/>
      </c>
      <c r="AE457" s="10" t="str">
        <f aca="false">IF(OR(ISNUMBER(SEARCH("Invalid Discount",AD457)),ISNUMBER(SEARCH("Invalid Shipping Record",AD457)),ISNUMBER(SEARCH("Sales Mismatch",AD457)),ISNUMBER(SEARCH("Profit Mismatch",AD457)),ISNUMBER(SEARCH("Duplicate Order ID Conflict",AD457)),ISNUMBER(SEARCH("Missing Order Date",AD457)),ISNUMBER(SEARCH("Missing Ship Date",AD457))),"Invalid",IF(AD457&lt;&gt;"","Warning","Clean"))</f>
        <v>Clean</v>
      </c>
    </row>
    <row r="458" customFormat="false" ht="15" hidden="false" customHeight="true" outlineLevel="0" collapsed="false">
      <c r="A458" s="3" t="s">
        <v>1390</v>
      </c>
      <c r="B458" s="4" t="n">
        <v>45342</v>
      </c>
      <c r="C458" s="4" t="n">
        <v>45342</v>
      </c>
      <c r="D458" s="3" t="s">
        <v>1391</v>
      </c>
      <c r="E458" s="3" t="str">
        <f aca="false">PROPER(TRIM(SUBSTITUTE(Raw_Text_Fields!B459,CHAR(160)," ")))</f>
        <v>Neha Gupta</v>
      </c>
      <c r="F458" s="3" t="str">
        <f aca="false">PROPER(TRIM(SUBSTITUTE(Raw_Text_Fields!C459,CHAR(160)," ")))</f>
        <v>Corporate</v>
      </c>
      <c r="G458" s="3" t="str">
        <f aca="false">PROPER(TRIM(SUBSTITUTE(Raw_Text_Fields!D459,CHAR(160)," ")))</f>
        <v>North</v>
      </c>
      <c r="H458" s="3" t="str">
        <f aca="false">PROPER(TRIM(SUBSTITUTE(Raw_Text_Fields!E459,CHAR(160)," ")))</f>
        <v>Uttar Pradesh</v>
      </c>
      <c r="I458" s="3" t="str">
        <f aca="false">PROPER(TRIM(SUBSTITUTE(Raw_Text_Fields!F459,CHAR(160)," ")))</f>
        <v>Noida</v>
      </c>
      <c r="J458" s="3" t="str">
        <f aca="false">PROPER(TRIM(SUBSTITUTE(Raw_Text_Fields!G459,CHAR(160)," ")))</f>
        <v>Technology</v>
      </c>
      <c r="K458" s="3" t="str">
        <f aca="false">PROPER(TRIM(SUBSTITUTE(Raw_Text_Fields!H459,CHAR(160)," ")))</f>
        <v>Accessories</v>
      </c>
      <c r="L458" s="3" t="s">
        <v>1392</v>
      </c>
      <c r="M458" s="3" t="str">
        <f aca="false">PROPER(TRIM(SUBSTITUTE(Raw_Text_Fields!I459,CHAR(160)," ")))</f>
        <v>Same Day</v>
      </c>
      <c r="N458" s="3" t="n">
        <v>5</v>
      </c>
      <c r="O458" s="5" t="n">
        <v>2604.91</v>
      </c>
      <c r="P458" s="6" t="n">
        <v>0.15</v>
      </c>
      <c r="Q458" s="5" t="n">
        <v>11070.87</v>
      </c>
      <c r="R458" s="5" t="n">
        <v>6623.61</v>
      </c>
      <c r="S458" s="5" t="n">
        <v>4447.26</v>
      </c>
      <c r="T458" s="3" t="str">
        <f aca="false">PROPER(TRIM(SUBSTITUTE(Raw_Text_Fields!J459,CHAR(160)," ")))</f>
        <v>Paid</v>
      </c>
      <c r="U458" s="3" t="str">
        <f aca="false">PROPER(TRIM(SUBSTITUTE(Raw_Text_Fields!K459,CHAR(160)," ")))</f>
        <v>Returned</v>
      </c>
      <c r="V458" s="7" t="n">
        <f aca="false">IF(OR(P458&lt;0,P458&gt;0.5),0,P458)</f>
        <v>0.15</v>
      </c>
      <c r="W458" s="8" t="n">
        <f aca="false">N458*O458*(1-V458)</f>
        <v>11070.8675</v>
      </c>
      <c r="X458" s="8" t="n">
        <f aca="false">W458-R458</f>
        <v>4447.2575</v>
      </c>
      <c r="Y458" s="7" t="n">
        <f aca="false">IFERROR(X458/W458,0)</f>
        <v>0.401708131724998</v>
      </c>
      <c r="Z458" s="9" t="n">
        <f aca="false">C458-B458</f>
        <v>0</v>
      </c>
      <c r="AA458" s="1" t="str">
        <f aca="false">IF(B458="","",TEXT(B458,"mmm"))</f>
        <v>Feb</v>
      </c>
      <c r="AB458" s="9" t="n">
        <f aca="false">IF(B458="","",YEAR(B458))</f>
        <v>2024</v>
      </c>
      <c r="AC458" s="3"/>
      <c r="AD458" s="3" t="str">
        <f aca="false">IF(LEFT(AC458&amp;IF(B458="","; Missing Order Date","")&amp;IF(C458="","; Missing Ship Date","")&amp;IF(P458&lt;0,"; Invalid Discount (Negative)","")&amp;IF(P458&gt;0.5,"; Invalid Discount (Too High)","")&amp;IF(Z458&lt;0,"; Invalid Shipping Record (Ship Before Order)","")&amp;IF(ABS(Q458-W458)&gt;1,"; Sales Mismatch","")&amp;IF(ABS(S458-X458)&gt;1,"; Profit Mismatch","")&amp;IF(COUNTIF($A$2:$A$913,A458)&gt;1,"; Duplicate Order ID Conflict",""),2)="; ",MID(AC458&amp;IF(B458="","; Missing Order Date","")&amp;IF(C458="","; Missing Ship Date","")&amp;IF(P458&lt;0,"; Invalid Discount (Negative)","")&amp;IF(P458&gt;0.5,"; Invalid Discount (Too High)","")&amp;IF(Z458&lt;0,"; Invalid Shipping Record (Ship Before Order)","")&amp;IF(ABS(Q458-W458)&gt;1,"; Sales Mismatch","")&amp;IF(ABS(S458-X458)&gt;1,"; Profit Mismatch","")&amp;IF(COUNTIF($A$2:$A$913,A458)&gt;1,"; Duplicate Order ID Conflict",""),3,500),AC458&amp;IF(B458="","; Missing Order Date","")&amp;IF(C458="","; Missing Ship Date","")&amp;IF(P458&lt;0,"; Invalid Discount (Negative)","")&amp;IF(P458&gt;0.5,"; Invalid Discount (Too High)","")&amp;IF(Z458&lt;0,"; Invalid Shipping Record (Ship Before Order)","")&amp;IF(ABS(Q458-W458)&gt;1,"; Sales Mismatch","")&amp;IF(ABS(S458-X458)&gt;1,"; Profit Mismatch","")&amp;IF(COUNTIF($A$2:$A$913,A458)&gt;1,"; Duplicate Order ID Conflict",""))</f>
        <v/>
      </c>
      <c r="AE458" s="10" t="str">
        <f aca="false">IF(OR(ISNUMBER(SEARCH("Invalid Discount",AD458)),ISNUMBER(SEARCH("Invalid Shipping Record",AD458)),ISNUMBER(SEARCH("Sales Mismatch",AD458)),ISNUMBER(SEARCH("Profit Mismatch",AD458)),ISNUMBER(SEARCH("Duplicate Order ID Conflict",AD458)),ISNUMBER(SEARCH("Missing Order Date",AD458)),ISNUMBER(SEARCH("Missing Ship Date",AD458))),"Invalid",IF(AD458&lt;&gt;"","Warning","Clean"))</f>
        <v>Clean</v>
      </c>
    </row>
    <row r="459" customFormat="false" ht="15" hidden="false" customHeight="true" outlineLevel="0" collapsed="false">
      <c r="A459" s="3" t="s">
        <v>1393</v>
      </c>
      <c r="B459" s="4" t="n">
        <v>45416</v>
      </c>
      <c r="C459" s="4" t="n">
        <v>45416</v>
      </c>
      <c r="D459" s="3" t="s">
        <v>1394</v>
      </c>
      <c r="E459" s="3" t="str">
        <f aca="false">PROPER(TRIM(SUBSTITUTE(Raw_Text_Fields!B460,CHAR(160)," ")))</f>
        <v>Mira Das</v>
      </c>
      <c r="F459" s="3" t="str">
        <f aca="false">PROPER(TRIM(SUBSTITUTE(Raw_Text_Fields!C460,CHAR(160)," ")))</f>
        <v>Small Business</v>
      </c>
      <c r="G459" s="3" t="str">
        <f aca="false">PROPER(TRIM(SUBSTITUTE(Raw_Text_Fields!D460,CHAR(160)," ")))</f>
        <v>West</v>
      </c>
      <c r="H459" s="3" t="str">
        <f aca="false">PROPER(TRIM(SUBSTITUTE(Raw_Text_Fields!E460,CHAR(160)," ")))</f>
        <v>Goa</v>
      </c>
      <c r="I459" s="3" t="str">
        <f aca="false">PROPER(TRIM(SUBSTITUTE(Raw_Text_Fields!F460,CHAR(160)," ")))</f>
        <v>Panaji</v>
      </c>
      <c r="J459" s="3" t="str">
        <f aca="false">PROPER(TRIM(SUBSTITUTE(Raw_Text_Fields!G460,CHAR(160)," ")))</f>
        <v>Furniture</v>
      </c>
      <c r="K459" s="3" t="str">
        <f aca="false">PROPER(TRIM(SUBSTITUTE(Raw_Text_Fields!H460,CHAR(160)," ")))</f>
        <v>Tables</v>
      </c>
      <c r="L459" s="3" t="s">
        <v>1395</v>
      </c>
      <c r="M459" s="3" t="str">
        <f aca="false">PROPER(TRIM(SUBSTITUTE(Raw_Text_Fields!I460,CHAR(160)," ")))</f>
        <v>Standard Class</v>
      </c>
      <c r="N459" s="3" t="n">
        <v>7</v>
      </c>
      <c r="O459" s="5" t="n">
        <v>2851.51</v>
      </c>
      <c r="P459" s="6" t="n">
        <v>0</v>
      </c>
      <c r="Q459" s="5" t="n">
        <v>19960.57</v>
      </c>
      <c r="R459" s="5" t="n">
        <v>16603.6</v>
      </c>
      <c r="S459" s="5" t="n">
        <v>3356.97</v>
      </c>
      <c r="T459" s="3" t="str">
        <f aca="false">PROPER(TRIM(SUBSTITUTE(Raw_Text_Fields!J460,CHAR(160)," ")))</f>
        <v>Paid</v>
      </c>
      <c r="U459" s="3" t="str">
        <f aca="false">PROPER(TRIM(SUBSTITUTE(Raw_Text_Fields!K460,CHAR(160)," ")))</f>
        <v>Completed</v>
      </c>
      <c r="V459" s="7" t="n">
        <f aca="false">IF(OR(P459&lt;0,P459&gt;0.5),0,P459)</f>
        <v>0</v>
      </c>
      <c r="W459" s="8" t="n">
        <f aca="false">N459*O459*(1-V459)</f>
        <v>19960.57</v>
      </c>
      <c r="X459" s="8" t="n">
        <f aca="false">W459-R459</f>
        <v>3356.97</v>
      </c>
      <c r="Y459" s="7" t="n">
        <f aca="false">IFERROR(X459/W459,0)</f>
        <v>0.168180067002095</v>
      </c>
      <c r="Z459" s="9" t="n">
        <f aca="false">C459-B459</f>
        <v>0</v>
      </c>
      <c r="AA459" s="1" t="str">
        <f aca="false">IF(B459="","",TEXT(B459,"mmm"))</f>
        <v>May</v>
      </c>
      <c r="AB459" s="9" t="n">
        <f aca="false">IF(B459="","",YEAR(B459))</f>
        <v>2024</v>
      </c>
      <c r="AC459" s="3"/>
      <c r="AD459" s="3" t="str">
        <f aca="false">IF(LEFT(AC459&amp;IF(B459="","; Missing Order Date","")&amp;IF(C459="","; Missing Ship Date","")&amp;IF(P459&lt;0,"; Invalid Discount (Negative)","")&amp;IF(P459&gt;0.5,"; Invalid Discount (Too High)","")&amp;IF(Z459&lt;0,"; Invalid Shipping Record (Ship Before Order)","")&amp;IF(ABS(Q459-W459)&gt;1,"; Sales Mismatch","")&amp;IF(ABS(S459-X459)&gt;1,"; Profit Mismatch","")&amp;IF(COUNTIF($A$2:$A$913,A459)&gt;1,"; Duplicate Order ID Conflict",""),2)="; ",MID(AC459&amp;IF(B459="","; Missing Order Date","")&amp;IF(C459="","; Missing Ship Date","")&amp;IF(P459&lt;0,"; Invalid Discount (Negative)","")&amp;IF(P459&gt;0.5,"; Invalid Discount (Too High)","")&amp;IF(Z459&lt;0,"; Invalid Shipping Record (Ship Before Order)","")&amp;IF(ABS(Q459-W459)&gt;1,"; Sales Mismatch","")&amp;IF(ABS(S459-X459)&gt;1,"; Profit Mismatch","")&amp;IF(COUNTIF($A$2:$A$913,A459)&gt;1,"; Duplicate Order ID Conflict",""),3,500),AC459&amp;IF(B459="","; Missing Order Date","")&amp;IF(C459="","; Missing Ship Date","")&amp;IF(P459&lt;0,"; Invalid Discount (Negative)","")&amp;IF(P459&gt;0.5,"; Invalid Discount (Too High)","")&amp;IF(Z459&lt;0,"; Invalid Shipping Record (Ship Before Order)","")&amp;IF(ABS(Q459-W459)&gt;1,"; Sales Mismatch","")&amp;IF(ABS(S459-X459)&gt;1,"; Profit Mismatch","")&amp;IF(COUNTIF($A$2:$A$913,A459)&gt;1,"; Duplicate Order ID Conflict",""))</f>
        <v/>
      </c>
      <c r="AE459" s="10" t="str">
        <f aca="false">IF(OR(ISNUMBER(SEARCH("Invalid Discount",AD459)),ISNUMBER(SEARCH("Invalid Shipping Record",AD459)),ISNUMBER(SEARCH("Sales Mismatch",AD459)),ISNUMBER(SEARCH("Profit Mismatch",AD459)),ISNUMBER(SEARCH("Duplicate Order ID Conflict",AD459)),ISNUMBER(SEARCH("Missing Order Date",AD459)),ISNUMBER(SEARCH("Missing Ship Date",AD459))),"Invalid",IF(AD459&lt;&gt;"","Warning","Clean"))</f>
        <v>Clean</v>
      </c>
    </row>
    <row r="460" customFormat="false" ht="15" hidden="false" customHeight="true" outlineLevel="0" collapsed="false">
      <c r="A460" s="3" t="s">
        <v>1396</v>
      </c>
      <c r="B460" s="4" t="n">
        <v>45332</v>
      </c>
      <c r="C460" s="4" t="n">
        <v>45333</v>
      </c>
      <c r="D460" s="3" t="s">
        <v>1397</v>
      </c>
      <c r="E460" s="3" t="str">
        <f aca="false">PROPER(TRIM(SUBSTITUTE(Raw_Text_Fields!B461,CHAR(160)," ")))</f>
        <v>Karan Malhotra</v>
      </c>
      <c r="F460" s="3" t="str">
        <f aca="false">PROPER(TRIM(SUBSTITUTE(Raw_Text_Fields!C461,CHAR(160)," ")))</f>
        <v>Corporate</v>
      </c>
      <c r="G460" s="3" t="str">
        <f aca="false">PROPER(TRIM(SUBSTITUTE(Raw_Text_Fields!D461,CHAR(160)," ")))</f>
        <v>North</v>
      </c>
      <c r="H460" s="3" t="str">
        <f aca="false">PROPER(TRIM(SUBSTITUTE(Raw_Text_Fields!E461,CHAR(160)," ")))</f>
        <v>Rajasthan</v>
      </c>
      <c r="I460" s="3" t="str">
        <f aca="false">PROPER(TRIM(SUBSTITUTE(Raw_Text_Fields!F461,CHAR(160)," ")))</f>
        <v>Jaipur</v>
      </c>
      <c r="J460" s="3" t="str">
        <f aca="false">PROPER(TRIM(SUBSTITUTE(Raw_Text_Fields!G461,CHAR(160)," ")))</f>
        <v>Technology</v>
      </c>
      <c r="K460" s="3" t="str">
        <f aca="false">PROPER(TRIM(SUBSTITUTE(Raw_Text_Fields!H461,CHAR(160)," ")))</f>
        <v>Phones</v>
      </c>
      <c r="L460" s="3" t="s">
        <v>1398</v>
      </c>
      <c r="M460" s="3" t="str">
        <f aca="false">PROPER(TRIM(SUBSTITUTE(Raw_Text_Fields!I461,CHAR(160)," ")))</f>
        <v>Second Class</v>
      </c>
      <c r="N460" s="3" t="n">
        <v>3</v>
      </c>
      <c r="O460" s="5" t="n">
        <v>3183.72</v>
      </c>
      <c r="P460" s="6" t="n">
        <v>0.1</v>
      </c>
      <c r="Q460" s="5" t="n">
        <v>8596.04</v>
      </c>
      <c r="R460" s="5" t="n">
        <v>5378.16</v>
      </c>
      <c r="S460" s="5" t="n">
        <v>3217.88</v>
      </c>
      <c r="T460" s="3" t="str">
        <f aca="false">PROPER(TRIM(SUBSTITUTE(Raw_Text_Fields!J461,CHAR(160)," ")))</f>
        <v>Paid</v>
      </c>
      <c r="U460" s="3" t="str">
        <f aca="false">PROPER(TRIM(SUBSTITUTE(Raw_Text_Fields!K461,CHAR(160)," ")))</f>
        <v>Completed</v>
      </c>
      <c r="V460" s="7" t="n">
        <f aca="false">IF(OR(P460&lt;0,P460&gt;0.5),0,P460)</f>
        <v>0.1</v>
      </c>
      <c r="W460" s="8" t="n">
        <f aca="false">N460*O460*(1-V460)</f>
        <v>8596.044</v>
      </c>
      <c r="X460" s="8" t="n">
        <f aca="false">W460-R460</f>
        <v>3217.884</v>
      </c>
      <c r="Y460" s="7" t="n">
        <f aca="false">IFERROR(X460/W460,0)</f>
        <v>0.37434475672763</v>
      </c>
      <c r="Z460" s="9" t="n">
        <f aca="false">C460-B460</f>
        <v>1</v>
      </c>
      <c r="AA460" s="1" t="str">
        <f aca="false">IF(B460="","",TEXT(B460,"mmm"))</f>
        <v>Feb</v>
      </c>
      <c r="AB460" s="9" t="n">
        <f aca="false">IF(B460="","",YEAR(B460))</f>
        <v>2024</v>
      </c>
      <c r="AC460" s="3"/>
      <c r="AD460" s="3" t="str">
        <f aca="false">IF(LEFT(AC460&amp;IF(B460="","; Missing Order Date","")&amp;IF(C460="","; Missing Ship Date","")&amp;IF(P460&lt;0,"; Invalid Discount (Negative)","")&amp;IF(P460&gt;0.5,"; Invalid Discount (Too High)","")&amp;IF(Z460&lt;0,"; Invalid Shipping Record (Ship Before Order)","")&amp;IF(ABS(Q460-W460)&gt;1,"; Sales Mismatch","")&amp;IF(ABS(S460-X460)&gt;1,"; Profit Mismatch","")&amp;IF(COUNTIF($A$2:$A$913,A460)&gt;1,"; Duplicate Order ID Conflict",""),2)="; ",MID(AC460&amp;IF(B460="","; Missing Order Date","")&amp;IF(C460="","; Missing Ship Date","")&amp;IF(P460&lt;0,"; Invalid Discount (Negative)","")&amp;IF(P460&gt;0.5,"; Invalid Discount (Too High)","")&amp;IF(Z460&lt;0,"; Invalid Shipping Record (Ship Before Order)","")&amp;IF(ABS(Q460-W460)&gt;1,"; Sales Mismatch","")&amp;IF(ABS(S460-X460)&gt;1,"; Profit Mismatch","")&amp;IF(COUNTIF($A$2:$A$913,A460)&gt;1,"; Duplicate Order ID Conflict",""),3,500),AC460&amp;IF(B460="","; Missing Order Date","")&amp;IF(C460="","; Missing Ship Date","")&amp;IF(P460&lt;0,"; Invalid Discount (Negative)","")&amp;IF(P460&gt;0.5,"; Invalid Discount (Too High)","")&amp;IF(Z460&lt;0,"; Invalid Shipping Record (Ship Before Order)","")&amp;IF(ABS(Q460-W460)&gt;1,"; Sales Mismatch","")&amp;IF(ABS(S460-X460)&gt;1,"; Profit Mismatch","")&amp;IF(COUNTIF($A$2:$A$913,A460)&gt;1,"; Duplicate Order ID Conflict",""))</f>
        <v/>
      </c>
      <c r="AE460" s="10" t="str">
        <f aca="false">IF(OR(ISNUMBER(SEARCH("Invalid Discount",AD460)),ISNUMBER(SEARCH("Invalid Shipping Record",AD460)),ISNUMBER(SEARCH("Sales Mismatch",AD460)),ISNUMBER(SEARCH("Profit Mismatch",AD460)),ISNUMBER(SEARCH("Duplicate Order ID Conflict",AD460)),ISNUMBER(SEARCH("Missing Order Date",AD460)),ISNUMBER(SEARCH("Missing Ship Date",AD460))),"Invalid",IF(AD460&lt;&gt;"","Warning","Clean"))</f>
        <v>Clean</v>
      </c>
    </row>
    <row r="461" customFormat="false" ht="15" hidden="false" customHeight="true" outlineLevel="0" collapsed="false">
      <c r="A461" s="3" t="s">
        <v>1399</v>
      </c>
      <c r="B461" s="4" t="n">
        <v>45379</v>
      </c>
      <c r="C461" s="4" t="n">
        <v>45386</v>
      </c>
      <c r="D461" s="3" t="s">
        <v>1400</v>
      </c>
      <c r="E461" s="3" t="str">
        <f aca="false">PROPER(TRIM(SUBSTITUTE(Raw_Text_Fields!B462,CHAR(160)," ")))</f>
        <v>Ananya Rao</v>
      </c>
      <c r="F461" s="3" t="str">
        <f aca="false">PROPER(TRIM(SUBSTITUTE(Raw_Text_Fields!C462,CHAR(160)," ")))</f>
        <v>Home Office</v>
      </c>
      <c r="G461" s="3" t="str">
        <f aca="false">PROPER(TRIM(SUBSTITUTE(Raw_Text_Fields!D462,CHAR(160)," ")))</f>
        <v>West</v>
      </c>
      <c r="H461" s="3" t="str">
        <f aca="false">PROPER(TRIM(SUBSTITUTE(Raw_Text_Fields!E462,CHAR(160)," ")))</f>
        <v>Goa</v>
      </c>
      <c r="I461" s="3" t="str">
        <f aca="false">PROPER(TRIM(SUBSTITUTE(Raw_Text_Fields!F462,CHAR(160)," ")))</f>
        <v>Panaji</v>
      </c>
      <c r="J461" s="3" t="str">
        <f aca="false">PROPER(TRIM(SUBSTITUTE(Raw_Text_Fields!G462,CHAR(160)," ")))</f>
        <v>Office Supplies</v>
      </c>
      <c r="K461" s="3" t="str">
        <f aca="false">PROPER(TRIM(SUBSTITUTE(Raw_Text_Fields!H462,CHAR(160)," ")))</f>
        <v>Paper</v>
      </c>
      <c r="L461" s="3" t="s">
        <v>1401</v>
      </c>
      <c r="M461" s="3" t="str">
        <f aca="false">PROPER(TRIM(SUBSTITUTE(Raw_Text_Fields!I462,CHAR(160)," ")))</f>
        <v>First Class</v>
      </c>
      <c r="N461" s="3" t="n">
        <v>3</v>
      </c>
      <c r="O461" s="5" t="n">
        <v>1150.92</v>
      </c>
      <c r="P461" s="6" t="n">
        <v>0</v>
      </c>
      <c r="Q461" s="5" t="n">
        <v>3452.76</v>
      </c>
      <c r="R461" s="5" t="n">
        <v>2077.96</v>
      </c>
      <c r="S461" s="5" t="n">
        <v>1374.8</v>
      </c>
      <c r="T461" s="3" t="str">
        <f aca="false">PROPER(TRIM(SUBSTITUTE(Raw_Text_Fields!J462,CHAR(160)," ")))</f>
        <v>Paid</v>
      </c>
      <c r="U461" s="3" t="str">
        <f aca="false">PROPER(TRIM(SUBSTITUTE(Raw_Text_Fields!K462,CHAR(160)," ")))</f>
        <v>Completed</v>
      </c>
      <c r="V461" s="7" t="n">
        <f aca="false">IF(OR(P461&lt;0,P461&gt;0.5),0,P461)</f>
        <v>0</v>
      </c>
      <c r="W461" s="8" t="n">
        <f aca="false">N461*O461*(1-V461)</f>
        <v>3452.76</v>
      </c>
      <c r="X461" s="8" t="n">
        <f aca="false">W461-R461</f>
        <v>1374.8</v>
      </c>
      <c r="Y461" s="7" t="n">
        <f aca="false">IFERROR(X461/W461,0)</f>
        <v>0.398174214251787</v>
      </c>
      <c r="Z461" s="9" t="n">
        <f aca="false">C461-B461</f>
        <v>7</v>
      </c>
      <c r="AA461" s="1" t="str">
        <f aca="false">IF(B461="","",TEXT(B461,"mmm"))</f>
        <v>Mar</v>
      </c>
      <c r="AB461" s="9" t="n">
        <f aca="false">IF(B461="","",YEAR(B461))</f>
        <v>2024</v>
      </c>
      <c r="AC461" s="3"/>
      <c r="AD461" s="3" t="str">
        <f aca="false">IF(LEFT(AC461&amp;IF(B461="","; Missing Order Date","")&amp;IF(C461="","; Missing Ship Date","")&amp;IF(P461&lt;0,"; Invalid Discount (Negative)","")&amp;IF(P461&gt;0.5,"; Invalid Discount (Too High)","")&amp;IF(Z461&lt;0,"; Invalid Shipping Record (Ship Before Order)","")&amp;IF(ABS(Q461-W461)&gt;1,"; Sales Mismatch","")&amp;IF(ABS(S461-X461)&gt;1,"; Profit Mismatch","")&amp;IF(COUNTIF($A$2:$A$913,A461)&gt;1,"; Duplicate Order ID Conflict",""),2)="; ",MID(AC461&amp;IF(B461="","; Missing Order Date","")&amp;IF(C461="","; Missing Ship Date","")&amp;IF(P461&lt;0,"; Invalid Discount (Negative)","")&amp;IF(P461&gt;0.5,"; Invalid Discount (Too High)","")&amp;IF(Z461&lt;0,"; Invalid Shipping Record (Ship Before Order)","")&amp;IF(ABS(Q461-W461)&gt;1,"; Sales Mismatch","")&amp;IF(ABS(S461-X461)&gt;1,"; Profit Mismatch","")&amp;IF(COUNTIF($A$2:$A$913,A461)&gt;1,"; Duplicate Order ID Conflict",""),3,500),AC461&amp;IF(B461="","; Missing Order Date","")&amp;IF(C461="","; Missing Ship Date","")&amp;IF(P461&lt;0,"; Invalid Discount (Negative)","")&amp;IF(P461&gt;0.5,"; Invalid Discount (Too High)","")&amp;IF(Z461&lt;0,"; Invalid Shipping Record (Ship Before Order)","")&amp;IF(ABS(Q461-W461)&gt;1,"; Sales Mismatch","")&amp;IF(ABS(S461-X461)&gt;1,"; Profit Mismatch","")&amp;IF(COUNTIF($A$2:$A$913,A461)&gt;1,"; Duplicate Order ID Conflict",""))</f>
        <v/>
      </c>
      <c r="AE461" s="10" t="str">
        <f aca="false">IF(OR(ISNUMBER(SEARCH("Invalid Discount",AD461)),ISNUMBER(SEARCH("Invalid Shipping Record",AD461)),ISNUMBER(SEARCH("Sales Mismatch",AD461)),ISNUMBER(SEARCH("Profit Mismatch",AD461)),ISNUMBER(SEARCH("Duplicate Order ID Conflict",AD461)),ISNUMBER(SEARCH("Missing Order Date",AD461)),ISNUMBER(SEARCH("Missing Ship Date",AD461))),"Invalid",IF(AD461&lt;&gt;"","Warning","Clean"))</f>
        <v>Clean</v>
      </c>
    </row>
    <row r="462" customFormat="false" ht="15" hidden="false" customHeight="true" outlineLevel="0" collapsed="false">
      <c r="A462" s="3" t="s">
        <v>1402</v>
      </c>
      <c r="B462" s="4" t="n">
        <v>45930</v>
      </c>
      <c r="C462" s="4" t="n">
        <v>45936</v>
      </c>
      <c r="D462" s="3" t="s">
        <v>1403</v>
      </c>
      <c r="E462" s="3" t="str">
        <f aca="false">PROPER(TRIM(SUBSTITUTE(Raw_Text_Fields!B463,CHAR(160)," ")))</f>
        <v>Aarav Sharma</v>
      </c>
      <c r="F462" s="3" t="str">
        <f aca="false">PROPER(TRIM(SUBSTITUTE(Raw_Text_Fields!C463,CHAR(160)," ")))</f>
        <v>Corporate</v>
      </c>
      <c r="G462" s="3" t="str">
        <f aca="false">PROPER(TRIM(SUBSTITUTE(Raw_Text_Fields!D463,CHAR(160)," ")))</f>
        <v>Unknown</v>
      </c>
      <c r="H462" s="3" t="str">
        <f aca="false">PROPER(TRIM(SUBSTITUTE(Raw_Text_Fields!E463,CHAR(160)," ")))</f>
        <v>Rajasthan</v>
      </c>
      <c r="I462" s="3" t="str">
        <f aca="false">PROPER(TRIM(SUBSTITUTE(Raw_Text_Fields!F463,CHAR(160)," ")))</f>
        <v>Jaipur</v>
      </c>
      <c r="J462" s="3" t="str">
        <f aca="false">PROPER(TRIM(SUBSTITUTE(Raw_Text_Fields!G463,CHAR(160)," ")))</f>
        <v>Technology</v>
      </c>
      <c r="K462" s="3" t="str">
        <f aca="false">PROPER(TRIM(SUBSTITUTE(Raw_Text_Fields!H463,CHAR(160)," ")))</f>
        <v>Copiers</v>
      </c>
      <c r="L462" s="3" t="s">
        <v>1404</v>
      </c>
      <c r="M462" s="3" t="str">
        <f aca="false">PROPER(TRIM(SUBSTITUTE(Raw_Text_Fields!I463,CHAR(160)," ")))</f>
        <v>Second Class</v>
      </c>
      <c r="N462" s="3" t="n">
        <v>9</v>
      </c>
      <c r="O462" s="5" t="n">
        <v>1359.88</v>
      </c>
      <c r="P462" s="6" t="n">
        <v>0.05</v>
      </c>
      <c r="Q462" s="5" t="n">
        <v>11626.97</v>
      </c>
      <c r="R462" s="5" t="n">
        <v>7394.07</v>
      </c>
      <c r="S462" s="5" t="n">
        <v>4232.9</v>
      </c>
      <c r="T462" s="3" t="str">
        <f aca="false">PROPER(TRIM(SUBSTITUTE(Raw_Text_Fields!J463,CHAR(160)," ")))</f>
        <v>Paid</v>
      </c>
      <c r="U462" s="3" t="str">
        <f aca="false">PROPER(TRIM(SUBSTITUTE(Raw_Text_Fields!K463,CHAR(160)," ")))</f>
        <v>Completed</v>
      </c>
      <c r="V462" s="7" t="n">
        <f aca="false">IF(OR(P462&lt;0,P462&gt;0.5),0,P462)</f>
        <v>0.05</v>
      </c>
      <c r="W462" s="8" t="n">
        <f aca="false">N462*O462*(1-V462)</f>
        <v>11626.974</v>
      </c>
      <c r="X462" s="8" t="n">
        <f aca="false">W462-R462</f>
        <v>4232.904</v>
      </c>
      <c r="Y462" s="7" t="n">
        <f aca="false">IFERROR(X462/W462,0)</f>
        <v>0.364058954634284</v>
      </c>
      <c r="Z462" s="9" t="n">
        <f aca="false">C462-B462</f>
        <v>6</v>
      </c>
      <c r="AA462" s="1" t="str">
        <f aca="false">IF(B462="","",TEXT(B462,"mmm"))</f>
        <v>Sep</v>
      </c>
      <c r="AB462" s="9" t="n">
        <f aca="false">IF(B462="","",YEAR(B462))</f>
        <v>2025</v>
      </c>
      <c r="AC462" s="3" t="s">
        <v>372</v>
      </c>
      <c r="AD462" s="3" t="str">
        <f aca="false">IF(LEFT(AC462&amp;IF(B462="","; Missing Order Date","")&amp;IF(C462="","; Missing Ship Date","")&amp;IF(P462&lt;0,"; Invalid Discount (Negative)","")&amp;IF(P462&gt;0.5,"; Invalid Discount (Too High)","")&amp;IF(Z462&lt;0,"; Invalid Shipping Record (Ship Before Order)","")&amp;IF(ABS(Q462-W462)&gt;1,"; Sales Mismatch","")&amp;IF(ABS(S462-X462)&gt;1,"; Profit Mismatch","")&amp;IF(COUNTIF($A$2:$A$913,A462)&gt;1,"; Duplicate Order ID Conflict",""),2)="; ",MID(AC462&amp;IF(B462="","; Missing Order Date","")&amp;IF(C462="","; Missing Ship Date","")&amp;IF(P462&lt;0,"; Invalid Discount (Negative)","")&amp;IF(P462&gt;0.5,"; Invalid Discount (Too High)","")&amp;IF(Z462&lt;0,"; Invalid Shipping Record (Ship Before Order)","")&amp;IF(ABS(Q462-W462)&gt;1,"; Sales Mismatch","")&amp;IF(ABS(S462-X462)&gt;1,"; Profit Mismatch","")&amp;IF(COUNTIF($A$2:$A$913,A462)&gt;1,"; Duplicate Order ID Conflict",""),3,500),AC462&amp;IF(B462="","; Missing Order Date","")&amp;IF(C462="","; Missing Ship Date","")&amp;IF(P462&lt;0,"; Invalid Discount (Negative)","")&amp;IF(P462&gt;0.5,"; Invalid Discount (Too High)","")&amp;IF(Z462&lt;0,"; Invalid Shipping Record (Ship Before Order)","")&amp;IF(ABS(Q462-W462)&gt;1,"; Sales Mismatch","")&amp;IF(ABS(S462-X462)&gt;1,"; Profit Mismatch","")&amp;IF(COUNTIF($A$2:$A$913,A462)&gt;1,"; Duplicate Order ID Conflict",""))</f>
        <v>Missing Region (filled Unknown)</v>
      </c>
      <c r="AE462" s="10" t="str">
        <f aca="false">IF(OR(ISNUMBER(SEARCH("Invalid Discount",AD462)),ISNUMBER(SEARCH("Invalid Shipping Record",AD462)),ISNUMBER(SEARCH("Sales Mismatch",AD462)),ISNUMBER(SEARCH("Profit Mismatch",AD462)),ISNUMBER(SEARCH("Duplicate Order ID Conflict",AD462)),ISNUMBER(SEARCH("Missing Order Date",AD462)),ISNUMBER(SEARCH("Missing Ship Date",AD462))),"Invalid",IF(AD462&lt;&gt;"","Warning","Clean"))</f>
        <v>Warning</v>
      </c>
    </row>
    <row r="463" customFormat="false" ht="15" hidden="false" customHeight="true" outlineLevel="0" collapsed="false">
      <c r="A463" s="3" t="s">
        <v>1405</v>
      </c>
      <c r="B463" s="4" t="n">
        <v>45802</v>
      </c>
      <c r="C463" s="4" t="n">
        <v>45803</v>
      </c>
      <c r="D463" s="3" t="s">
        <v>1406</v>
      </c>
      <c r="E463" s="3" t="str">
        <f aca="false">PROPER(TRIM(SUBSTITUTE(Raw_Text_Fields!B464,CHAR(160)," ")))</f>
        <v>Neha Gupta</v>
      </c>
      <c r="F463" s="3" t="str">
        <f aca="false">PROPER(TRIM(SUBSTITUTE(Raw_Text_Fields!C464,CHAR(160)," ")))</f>
        <v>Corporate</v>
      </c>
      <c r="G463" s="3" t="str">
        <f aca="false">PROPER(TRIM(SUBSTITUTE(Raw_Text_Fields!D464,CHAR(160)," ")))</f>
        <v>South</v>
      </c>
      <c r="H463" s="3" t="str">
        <f aca="false">PROPER(TRIM(SUBSTITUTE(Raw_Text_Fields!E464,CHAR(160)," ")))</f>
        <v>Andhra Pradesh</v>
      </c>
      <c r="I463" s="3" t="str">
        <f aca="false">PROPER(TRIM(SUBSTITUTE(Raw_Text_Fields!F464,CHAR(160)," ")))</f>
        <v>Vijayawada</v>
      </c>
      <c r="J463" s="3" t="str">
        <f aca="false">PROPER(TRIM(SUBSTITUTE(Raw_Text_Fields!G464,CHAR(160)," ")))</f>
        <v>Office Supplies</v>
      </c>
      <c r="K463" s="3" t="str">
        <f aca="false">PROPER(TRIM(SUBSTITUTE(Raw_Text_Fields!H464,CHAR(160)," ")))</f>
        <v>Paper</v>
      </c>
      <c r="L463" s="3" t="s">
        <v>1407</v>
      </c>
      <c r="M463" s="3" t="str">
        <f aca="false">PROPER(TRIM(SUBSTITUTE(Raw_Text_Fields!I464,CHAR(160)," ")))</f>
        <v>Standard Class</v>
      </c>
      <c r="N463" s="3" t="n">
        <v>3</v>
      </c>
      <c r="O463" s="5" t="n">
        <v>3378.15</v>
      </c>
      <c r="P463" s="6" t="n">
        <v>0.15</v>
      </c>
      <c r="Q463" s="5" t="n">
        <v>8614.28</v>
      </c>
      <c r="R463" s="5" t="n">
        <v>7052.08</v>
      </c>
      <c r="S463" s="5" t="n">
        <v>1562.2</v>
      </c>
      <c r="T463" s="3" t="str">
        <f aca="false">PROPER(TRIM(SUBSTITUTE(Raw_Text_Fields!J464,CHAR(160)," ")))</f>
        <v>Paid</v>
      </c>
      <c r="U463" s="3" t="str">
        <f aca="false">PROPER(TRIM(SUBSTITUTE(Raw_Text_Fields!K464,CHAR(160)," ")))</f>
        <v>Completed</v>
      </c>
      <c r="V463" s="7" t="n">
        <f aca="false">IF(OR(P463&lt;0,P463&gt;0.5),0,P463)</f>
        <v>0.15</v>
      </c>
      <c r="W463" s="8" t="n">
        <f aca="false">N463*O463*(1-V463)</f>
        <v>8614.2825</v>
      </c>
      <c r="X463" s="8" t="n">
        <f aca="false">W463-R463</f>
        <v>1562.2025</v>
      </c>
      <c r="Y463" s="7" t="n">
        <f aca="false">IFERROR(X463/W463,0)</f>
        <v>0.181350274964862</v>
      </c>
      <c r="Z463" s="9" t="n">
        <f aca="false">C463-B463</f>
        <v>1</v>
      </c>
      <c r="AA463" s="1" t="str">
        <f aca="false">IF(B463="","",TEXT(B463,"mmm"))</f>
        <v>May</v>
      </c>
      <c r="AB463" s="9" t="n">
        <f aca="false">IF(B463="","",YEAR(B463))</f>
        <v>2025</v>
      </c>
      <c r="AC463" s="3"/>
      <c r="AD463" s="3" t="str">
        <f aca="false">IF(LEFT(AC463&amp;IF(B463="","; Missing Order Date","")&amp;IF(C463="","; Missing Ship Date","")&amp;IF(P463&lt;0,"; Invalid Discount (Negative)","")&amp;IF(P463&gt;0.5,"; Invalid Discount (Too High)","")&amp;IF(Z463&lt;0,"; Invalid Shipping Record (Ship Before Order)","")&amp;IF(ABS(Q463-W463)&gt;1,"; Sales Mismatch","")&amp;IF(ABS(S463-X463)&gt;1,"; Profit Mismatch","")&amp;IF(COUNTIF($A$2:$A$913,A463)&gt;1,"; Duplicate Order ID Conflict",""),2)="; ",MID(AC463&amp;IF(B463="","; Missing Order Date","")&amp;IF(C463="","; Missing Ship Date","")&amp;IF(P463&lt;0,"; Invalid Discount (Negative)","")&amp;IF(P463&gt;0.5,"; Invalid Discount (Too High)","")&amp;IF(Z463&lt;0,"; Invalid Shipping Record (Ship Before Order)","")&amp;IF(ABS(Q463-W463)&gt;1,"; Sales Mismatch","")&amp;IF(ABS(S463-X463)&gt;1,"; Profit Mismatch","")&amp;IF(COUNTIF($A$2:$A$913,A463)&gt;1,"; Duplicate Order ID Conflict",""),3,500),AC463&amp;IF(B463="","; Missing Order Date","")&amp;IF(C463="","; Missing Ship Date","")&amp;IF(P463&lt;0,"; Invalid Discount (Negative)","")&amp;IF(P463&gt;0.5,"; Invalid Discount (Too High)","")&amp;IF(Z463&lt;0,"; Invalid Shipping Record (Ship Before Order)","")&amp;IF(ABS(Q463-W463)&gt;1,"; Sales Mismatch","")&amp;IF(ABS(S463-X463)&gt;1,"; Profit Mismatch","")&amp;IF(COUNTIF($A$2:$A$913,A463)&gt;1,"; Duplicate Order ID Conflict",""))</f>
        <v/>
      </c>
      <c r="AE463" s="10" t="str">
        <f aca="false">IF(OR(ISNUMBER(SEARCH("Invalid Discount",AD463)),ISNUMBER(SEARCH("Invalid Shipping Record",AD463)),ISNUMBER(SEARCH("Sales Mismatch",AD463)),ISNUMBER(SEARCH("Profit Mismatch",AD463)),ISNUMBER(SEARCH("Duplicate Order ID Conflict",AD463)),ISNUMBER(SEARCH("Missing Order Date",AD463)),ISNUMBER(SEARCH("Missing Ship Date",AD463))),"Invalid",IF(AD463&lt;&gt;"","Warning","Clean"))</f>
        <v>Clean</v>
      </c>
    </row>
    <row r="464" customFormat="false" ht="15" hidden="false" customHeight="true" outlineLevel="0" collapsed="false">
      <c r="A464" s="3" t="s">
        <v>1408</v>
      </c>
      <c r="B464" s="4" t="n">
        <v>45558</v>
      </c>
      <c r="C464" s="4" t="n">
        <v>45560</v>
      </c>
      <c r="D464" s="3" t="s">
        <v>1409</v>
      </c>
      <c r="E464" s="3" t="str">
        <f aca="false">PROPER(TRIM(SUBSTITUTE(Raw_Text_Fields!B465,CHAR(160)," ")))</f>
        <v>Aarav Sharma</v>
      </c>
      <c r="F464" s="3" t="str">
        <f aca="false">PROPER(TRIM(SUBSTITUTE(Raw_Text_Fields!C465,CHAR(160)," ")))</f>
        <v>Home Office</v>
      </c>
      <c r="G464" s="3" t="str">
        <f aca="false">PROPER(TRIM(SUBSTITUTE(Raw_Text_Fields!D465,CHAR(160)," ")))</f>
        <v>North</v>
      </c>
      <c r="H464" s="3" t="str">
        <f aca="false">PROPER(TRIM(SUBSTITUTE(Raw_Text_Fields!E465,CHAR(160)," ")))</f>
        <v>Delhi</v>
      </c>
      <c r="I464" s="3" t="str">
        <f aca="false">PROPER(TRIM(SUBSTITUTE(Raw_Text_Fields!F465,CHAR(160)," ")))</f>
        <v>New Delhi</v>
      </c>
      <c r="J464" s="3" t="str">
        <f aca="false">PROPER(TRIM(SUBSTITUTE(Raw_Text_Fields!G465,CHAR(160)," ")))</f>
        <v>Office Supplies</v>
      </c>
      <c r="K464" s="3" t="str">
        <f aca="false">PROPER(TRIM(SUBSTITUTE(Raw_Text_Fields!H465,CHAR(160)," ")))</f>
        <v>Binders</v>
      </c>
      <c r="L464" s="3" t="s">
        <v>1410</v>
      </c>
      <c r="M464" s="3" t="str">
        <f aca="false">PROPER(TRIM(SUBSTITUTE(Raw_Text_Fields!I465,CHAR(160)," ")))</f>
        <v>First Class</v>
      </c>
      <c r="N464" s="3" t="n">
        <v>2</v>
      </c>
      <c r="O464" s="5" t="n">
        <v>1275.14</v>
      </c>
      <c r="P464" s="6" t="n">
        <v>0.2</v>
      </c>
      <c r="Q464" s="5" t="n">
        <v>2040.22</v>
      </c>
      <c r="R464" s="5" t="n">
        <v>1395.71</v>
      </c>
      <c r="S464" s="5" t="n">
        <v>644.51</v>
      </c>
      <c r="T464" s="3" t="str">
        <f aca="false">PROPER(TRIM(SUBSTITUTE(Raw_Text_Fields!J465,CHAR(160)," ")))</f>
        <v>Paid</v>
      </c>
      <c r="U464" s="3" t="str">
        <f aca="false">PROPER(TRIM(SUBSTITUTE(Raw_Text_Fields!K465,CHAR(160)," ")))</f>
        <v>Completed</v>
      </c>
      <c r="V464" s="7" t="n">
        <f aca="false">IF(OR(P464&lt;0,P464&gt;0.5),0,P464)</f>
        <v>0.2</v>
      </c>
      <c r="W464" s="8" t="n">
        <f aca="false">N464*O464*(1-V464)</f>
        <v>2040.224</v>
      </c>
      <c r="X464" s="8" t="n">
        <f aca="false">W464-R464</f>
        <v>644.514</v>
      </c>
      <c r="Y464" s="7" t="n">
        <f aca="false">IFERROR(X464/W464,0)</f>
        <v>0.315903547845727</v>
      </c>
      <c r="Z464" s="9" t="n">
        <f aca="false">C464-B464</f>
        <v>2</v>
      </c>
      <c r="AA464" s="1" t="str">
        <f aca="false">IF(B464="","",TEXT(B464,"mmm"))</f>
        <v>Sep</v>
      </c>
      <c r="AB464" s="9" t="n">
        <f aca="false">IF(B464="","",YEAR(B464))</f>
        <v>2024</v>
      </c>
      <c r="AC464" s="3"/>
      <c r="AD464" s="3" t="str">
        <f aca="false">IF(LEFT(AC464&amp;IF(B464="","; Missing Order Date","")&amp;IF(C464="","; Missing Ship Date","")&amp;IF(P464&lt;0,"; Invalid Discount (Negative)","")&amp;IF(P464&gt;0.5,"; Invalid Discount (Too High)","")&amp;IF(Z464&lt;0,"; Invalid Shipping Record (Ship Before Order)","")&amp;IF(ABS(Q464-W464)&gt;1,"; Sales Mismatch","")&amp;IF(ABS(S464-X464)&gt;1,"; Profit Mismatch","")&amp;IF(COUNTIF($A$2:$A$913,A464)&gt;1,"; Duplicate Order ID Conflict",""),2)="; ",MID(AC464&amp;IF(B464="","; Missing Order Date","")&amp;IF(C464="","; Missing Ship Date","")&amp;IF(P464&lt;0,"; Invalid Discount (Negative)","")&amp;IF(P464&gt;0.5,"; Invalid Discount (Too High)","")&amp;IF(Z464&lt;0,"; Invalid Shipping Record (Ship Before Order)","")&amp;IF(ABS(Q464-W464)&gt;1,"; Sales Mismatch","")&amp;IF(ABS(S464-X464)&gt;1,"; Profit Mismatch","")&amp;IF(COUNTIF($A$2:$A$913,A464)&gt;1,"; Duplicate Order ID Conflict",""),3,500),AC464&amp;IF(B464="","; Missing Order Date","")&amp;IF(C464="","; Missing Ship Date","")&amp;IF(P464&lt;0,"; Invalid Discount (Negative)","")&amp;IF(P464&gt;0.5,"; Invalid Discount (Too High)","")&amp;IF(Z464&lt;0,"; Invalid Shipping Record (Ship Before Order)","")&amp;IF(ABS(Q464-W464)&gt;1,"; Sales Mismatch","")&amp;IF(ABS(S464-X464)&gt;1,"; Profit Mismatch","")&amp;IF(COUNTIF($A$2:$A$913,A464)&gt;1,"; Duplicate Order ID Conflict",""))</f>
        <v/>
      </c>
      <c r="AE464" s="10" t="str">
        <f aca="false">IF(OR(ISNUMBER(SEARCH("Invalid Discount",AD464)),ISNUMBER(SEARCH("Invalid Shipping Record",AD464)),ISNUMBER(SEARCH("Sales Mismatch",AD464)),ISNUMBER(SEARCH("Profit Mismatch",AD464)),ISNUMBER(SEARCH("Duplicate Order ID Conflict",AD464)),ISNUMBER(SEARCH("Missing Order Date",AD464)),ISNUMBER(SEARCH("Missing Ship Date",AD464))),"Invalid",IF(AD464&lt;&gt;"","Warning","Clean"))</f>
        <v>Clean</v>
      </c>
    </row>
    <row r="465" customFormat="false" ht="15" hidden="false" customHeight="true" outlineLevel="0" collapsed="false">
      <c r="A465" s="3" t="s">
        <v>1411</v>
      </c>
      <c r="B465" s="4" t="n">
        <v>45695</v>
      </c>
      <c r="C465" s="4" t="n">
        <v>45696</v>
      </c>
      <c r="D465" s="3" t="s">
        <v>1412</v>
      </c>
      <c r="E465" s="3" t="str">
        <f aca="false">PROPER(TRIM(SUBSTITUTE(Raw_Text_Fields!B466,CHAR(160)," ")))</f>
        <v>Arjun Bose</v>
      </c>
      <c r="F465" s="3" t="str">
        <f aca="false">PROPER(TRIM(SUBSTITUTE(Raw_Text_Fields!C466,CHAR(160)," ")))</f>
        <v>Corporate</v>
      </c>
      <c r="G465" s="3" t="str">
        <f aca="false">PROPER(TRIM(SUBSTITUTE(Raw_Text_Fields!D466,CHAR(160)," ")))</f>
        <v>West</v>
      </c>
      <c r="H465" s="3" t="str">
        <f aca="false">PROPER(TRIM(SUBSTITUTE(Raw_Text_Fields!E466,CHAR(160)," ")))</f>
        <v>Madhya Pradesh</v>
      </c>
      <c r="I465" s="3" t="str">
        <f aca="false">PROPER(TRIM(SUBSTITUTE(Raw_Text_Fields!F466,CHAR(160)," ")))</f>
        <v>Indore</v>
      </c>
      <c r="J465" s="3" t="str">
        <f aca="false">PROPER(TRIM(SUBSTITUTE(Raw_Text_Fields!G466,CHAR(160)," ")))</f>
        <v>Technology</v>
      </c>
      <c r="K465" s="3" t="str">
        <f aca="false">PROPER(TRIM(SUBSTITUTE(Raw_Text_Fields!H466,CHAR(160)," ")))</f>
        <v>Phones</v>
      </c>
      <c r="L465" s="3" t="s">
        <v>1413</v>
      </c>
      <c r="M465" s="3" t="str">
        <f aca="false">PROPER(TRIM(SUBSTITUTE(Raw_Text_Fields!I466,CHAR(160)," ")))</f>
        <v>Standard Class</v>
      </c>
      <c r="N465" s="3" t="n">
        <v>4</v>
      </c>
      <c r="O465" s="5" t="n">
        <v>889.5</v>
      </c>
      <c r="P465" s="6" t="n">
        <v>0.2</v>
      </c>
      <c r="Q465" s="5" t="n">
        <v>2846.4</v>
      </c>
      <c r="R465" s="5" t="n">
        <v>2132.37</v>
      </c>
      <c r="S465" s="5" t="n">
        <v>714.03</v>
      </c>
      <c r="T465" s="3" t="str">
        <f aca="false">PROPER(TRIM(SUBSTITUTE(Raw_Text_Fields!J466,CHAR(160)," ")))</f>
        <v>Paid</v>
      </c>
      <c r="U465" s="3" t="str">
        <f aca="false">PROPER(TRIM(SUBSTITUTE(Raw_Text_Fields!K466,CHAR(160)," ")))</f>
        <v>Completed</v>
      </c>
      <c r="V465" s="7" t="n">
        <f aca="false">IF(OR(P465&lt;0,P465&gt;0.5),0,P465)</f>
        <v>0.2</v>
      </c>
      <c r="W465" s="8" t="n">
        <f aca="false">N465*O465*(1-V465)</f>
        <v>2846.4</v>
      </c>
      <c r="X465" s="8" t="n">
        <f aca="false">W465-R465</f>
        <v>714.03</v>
      </c>
      <c r="Y465" s="7" t="n">
        <f aca="false">IFERROR(X465/W465,0)</f>
        <v>0.25085370994941</v>
      </c>
      <c r="Z465" s="9" t="n">
        <f aca="false">C465-B465</f>
        <v>1</v>
      </c>
      <c r="AA465" s="1" t="str">
        <f aca="false">IF(B465="","",TEXT(B465,"mmm"))</f>
        <v>Feb</v>
      </c>
      <c r="AB465" s="9" t="n">
        <f aca="false">IF(B465="","",YEAR(B465))</f>
        <v>2025</v>
      </c>
      <c r="AC465" s="3"/>
      <c r="AD465" s="3" t="str">
        <f aca="false">IF(LEFT(AC465&amp;IF(B465="","; Missing Order Date","")&amp;IF(C465="","; Missing Ship Date","")&amp;IF(P465&lt;0,"; Invalid Discount (Negative)","")&amp;IF(P465&gt;0.5,"; Invalid Discount (Too High)","")&amp;IF(Z465&lt;0,"; Invalid Shipping Record (Ship Before Order)","")&amp;IF(ABS(Q465-W465)&gt;1,"; Sales Mismatch","")&amp;IF(ABS(S465-X465)&gt;1,"; Profit Mismatch","")&amp;IF(COUNTIF($A$2:$A$913,A465)&gt;1,"; Duplicate Order ID Conflict",""),2)="; ",MID(AC465&amp;IF(B465="","; Missing Order Date","")&amp;IF(C465="","; Missing Ship Date","")&amp;IF(P465&lt;0,"; Invalid Discount (Negative)","")&amp;IF(P465&gt;0.5,"; Invalid Discount (Too High)","")&amp;IF(Z465&lt;0,"; Invalid Shipping Record (Ship Before Order)","")&amp;IF(ABS(Q465-W465)&gt;1,"; Sales Mismatch","")&amp;IF(ABS(S465-X465)&gt;1,"; Profit Mismatch","")&amp;IF(COUNTIF($A$2:$A$913,A465)&gt;1,"; Duplicate Order ID Conflict",""),3,500),AC465&amp;IF(B465="","; Missing Order Date","")&amp;IF(C465="","; Missing Ship Date","")&amp;IF(P465&lt;0,"; Invalid Discount (Negative)","")&amp;IF(P465&gt;0.5,"; Invalid Discount (Too High)","")&amp;IF(Z465&lt;0,"; Invalid Shipping Record (Ship Before Order)","")&amp;IF(ABS(Q465-W465)&gt;1,"; Sales Mismatch","")&amp;IF(ABS(S465-X465)&gt;1,"; Profit Mismatch","")&amp;IF(COUNTIF($A$2:$A$913,A465)&gt;1,"; Duplicate Order ID Conflict",""))</f>
        <v/>
      </c>
      <c r="AE465" s="10" t="str">
        <f aca="false">IF(OR(ISNUMBER(SEARCH("Invalid Discount",AD465)),ISNUMBER(SEARCH("Invalid Shipping Record",AD465)),ISNUMBER(SEARCH("Sales Mismatch",AD465)),ISNUMBER(SEARCH("Profit Mismatch",AD465)),ISNUMBER(SEARCH("Duplicate Order ID Conflict",AD465)),ISNUMBER(SEARCH("Missing Order Date",AD465)),ISNUMBER(SEARCH("Missing Ship Date",AD465))),"Invalid",IF(AD465&lt;&gt;"","Warning","Clean"))</f>
        <v>Clean</v>
      </c>
    </row>
    <row r="466" customFormat="false" ht="15" hidden="false" customHeight="true" outlineLevel="0" collapsed="false">
      <c r="A466" s="3" t="s">
        <v>1414</v>
      </c>
      <c r="B466" s="4" t="n">
        <v>45727</v>
      </c>
      <c r="C466" s="4" t="n">
        <v>45731</v>
      </c>
      <c r="D466" s="3" t="s">
        <v>1415</v>
      </c>
      <c r="E466" s="3" t="str">
        <f aca="false">PROPER(TRIM(SUBSTITUTE(Raw_Text_Fields!B467,CHAR(160)," ")))</f>
        <v>Arjun Bose</v>
      </c>
      <c r="F466" s="3" t="str">
        <f aca="false">PROPER(TRIM(SUBSTITUTE(Raw_Text_Fields!C467,CHAR(160)," ")))</f>
        <v>Corporate</v>
      </c>
      <c r="G466" s="3" t="str">
        <f aca="false">PROPER(TRIM(SUBSTITUTE(Raw_Text_Fields!D467,CHAR(160)," ")))</f>
        <v>East</v>
      </c>
      <c r="H466" s="3" t="str">
        <f aca="false">PROPER(TRIM(SUBSTITUTE(Raw_Text_Fields!E467,CHAR(160)," ")))</f>
        <v>Bihar</v>
      </c>
      <c r="I466" s="3" t="str">
        <f aca="false">PROPER(TRIM(SUBSTITUTE(Raw_Text_Fields!F467,CHAR(160)," ")))</f>
        <v>Patna</v>
      </c>
      <c r="J466" s="3" t="str">
        <f aca="false">PROPER(TRIM(SUBSTITUTE(Raw_Text_Fields!G467,CHAR(160)," ")))</f>
        <v>Office Supplies</v>
      </c>
      <c r="K466" s="3" t="str">
        <f aca="false">PROPER(TRIM(SUBSTITUTE(Raw_Text_Fields!H467,CHAR(160)," ")))</f>
        <v>Paper</v>
      </c>
      <c r="L466" s="3" t="s">
        <v>1416</v>
      </c>
      <c r="M466" s="3" t="str">
        <f aca="false">PROPER(TRIM(SUBSTITUTE(Raw_Text_Fields!I467,CHAR(160)," ")))</f>
        <v>Same Day</v>
      </c>
      <c r="N466" s="3" t="n">
        <v>3</v>
      </c>
      <c r="O466" s="5" t="n">
        <v>3625.08</v>
      </c>
      <c r="P466" s="6" t="n">
        <v>0.05</v>
      </c>
      <c r="Q466" s="5" t="n">
        <v>10331.48</v>
      </c>
      <c r="R466" s="5" t="n">
        <v>7131.91</v>
      </c>
      <c r="S466" s="5" t="n">
        <v>3199.57</v>
      </c>
      <c r="T466" s="3" t="str">
        <f aca="false">PROPER(TRIM(SUBSTITUTE(Raw_Text_Fields!J467,CHAR(160)," ")))</f>
        <v>Pending</v>
      </c>
      <c r="U466" s="3" t="str">
        <f aca="false">PROPER(TRIM(SUBSTITUTE(Raw_Text_Fields!K467,CHAR(160)," ")))</f>
        <v>Cancelled</v>
      </c>
      <c r="V466" s="7" t="n">
        <f aca="false">IF(OR(P466&lt;0,P466&gt;0.5),0,P466)</f>
        <v>0.05</v>
      </c>
      <c r="W466" s="8" t="n">
        <f aca="false">N466*O466*(1-V466)</f>
        <v>10331.478</v>
      </c>
      <c r="X466" s="8" t="n">
        <f aca="false">W466-R466</f>
        <v>3199.568</v>
      </c>
      <c r="Y466" s="7" t="n">
        <f aca="false">IFERROR(X466/W466,0)</f>
        <v>0.309691217461819</v>
      </c>
      <c r="Z466" s="9" t="n">
        <f aca="false">C466-B466</f>
        <v>4</v>
      </c>
      <c r="AA466" s="1" t="str">
        <f aca="false">IF(B466="","",TEXT(B466,"mmm"))</f>
        <v>Mar</v>
      </c>
      <c r="AB466" s="9" t="n">
        <f aca="false">IF(B466="","",YEAR(B466))</f>
        <v>2025</v>
      </c>
      <c r="AC466" s="3"/>
      <c r="AD466" s="3" t="str">
        <f aca="false">IF(LEFT(AC466&amp;IF(B466="","; Missing Order Date","")&amp;IF(C466="","; Missing Ship Date","")&amp;IF(P466&lt;0,"; Invalid Discount (Negative)","")&amp;IF(P466&gt;0.5,"; Invalid Discount (Too High)","")&amp;IF(Z466&lt;0,"; Invalid Shipping Record (Ship Before Order)","")&amp;IF(ABS(Q466-W466)&gt;1,"; Sales Mismatch","")&amp;IF(ABS(S466-X466)&gt;1,"; Profit Mismatch","")&amp;IF(COUNTIF($A$2:$A$913,A466)&gt;1,"; Duplicate Order ID Conflict",""),2)="; ",MID(AC466&amp;IF(B466="","; Missing Order Date","")&amp;IF(C466="","; Missing Ship Date","")&amp;IF(P466&lt;0,"; Invalid Discount (Negative)","")&amp;IF(P466&gt;0.5,"; Invalid Discount (Too High)","")&amp;IF(Z466&lt;0,"; Invalid Shipping Record (Ship Before Order)","")&amp;IF(ABS(Q466-W466)&gt;1,"; Sales Mismatch","")&amp;IF(ABS(S466-X466)&gt;1,"; Profit Mismatch","")&amp;IF(COUNTIF($A$2:$A$913,A466)&gt;1,"; Duplicate Order ID Conflict",""),3,500),AC466&amp;IF(B466="","; Missing Order Date","")&amp;IF(C466="","; Missing Ship Date","")&amp;IF(P466&lt;0,"; Invalid Discount (Negative)","")&amp;IF(P466&gt;0.5,"; Invalid Discount (Too High)","")&amp;IF(Z466&lt;0,"; Invalid Shipping Record (Ship Before Order)","")&amp;IF(ABS(Q466-W466)&gt;1,"; Sales Mismatch","")&amp;IF(ABS(S466-X466)&gt;1,"; Profit Mismatch","")&amp;IF(COUNTIF($A$2:$A$913,A466)&gt;1,"; Duplicate Order ID Conflict",""))</f>
        <v/>
      </c>
      <c r="AE466" s="10" t="str">
        <f aca="false">IF(OR(ISNUMBER(SEARCH("Invalid Discount",AD466)),ISNUMBER(SEARCH("Invalid Shipping Record",AD466)),ISNUMBER(SEARCH("Sales Mismatch",AD466)),ISNUMBER(SEARCH("Profit Mismatch",AD466)),ISNUMBER(SEARCH("Duplicate Order ID Conflict",AD466)),ISNUMBER(SEARCH("Missing Order Date",AD466)),ISNUMBER(SEARCH("Missing Ship Date",AD466))),"Invalid",IF(AD466&lt;&gt;"","Warning","Clean"))</f>
        <v>Clean</v>
      </c>
    </row>
    <row r="467" customFormat="false" ht="15" hidden="false" customHeight="true" outlineLevel="0" collapsed="false">
      <c r="A467" s="3" t="s">
        <v>1417</v>
      </c>
      <c r="B467" s="4" t="n">
        <v>45320</v>
      </c>
      <c r="C467" s="4" t="n">
        <v>45328</v>
      </c>
      <c r="D467" s="3" t="s">
        <v>1418</v>
      </c>
      <c r="E467" s="3" t="str">
        <f aca="false">PROPER(TRIM(SUBSTITUTE(Raw_Text_Fields!B468,CHAR(160)," ")))</f>
        <v>Aarav Sharma</v>
      </c>
      <c r="F467" s="3" t="str">
        <f aca="false">PROPER(TRIM(SUBSTITUTE(Raw_Text_Fields!C468,CHAR(160)," ")))</f>
        <v>Small Business</v>
      </c>
      <c r="G467" s="3" t="str">
        <f aca="false">PROPER(TRIM(SUBSTITUTE(Raw_Text_Fields!D468,CHAR(160)," ")))</f>
        <v>West</v>
      </c>
      <c r="H467" s="3" t="str">
        <f aca="false">PROPER(TRIM(SUBSTITUTE(Raw_Text_Fields!E468,CHAR(160)," ")))</f>
        <v>Madhya Pradesh</v>
      </c>
      <c r="I467" s="3" t="str">
        <f aca="false">PROPER(TRIM(SUBSTITUTE(Raw_Text_Fields!F468,CHAR(160)," ")))</f>
        <v>Indore</v>
      </c>
      <c r="J467" s="3" t="str">
        <f aca="false">PROPER(TRIM(SUBSTITUTE(Raw_Text_Fields!G468,CHAR(160)," ")))</f>
        <v>Office Supplies</v>
      </c>
      <c r="K467" s="3" t="str">
        <f aca="false">PROPER(TRIM(SUBSTITUTE(Raw_Text_Fields!H468,CHAR(160)," ")))</f>
        <v>Labels</v>
      </c>
      <c r="L467" s="3" t="s">
        <v>1419</v>
      </c>
      <c r="M467" s="3" t="str">
        <f aca="false">PROPER(TRIM(SUBSTITUTE(Raw_Text_Fields!I468,CHAR(160)," ")))</f>
        <v>Standard Class</v>
      </c>
      <c r="N467" s="3" t="n">
        <v>2</v>
      </c>
      <c r="O467" s="5" t="n">
        <v>1258.9</v>
      </c>
      <c r="P467" s="6" t="n">
        <v>0</v>
      </c>
      <c r="Q467" s="5" t="n">
        <v>2517.8</v>
      </c>
      <c r="R467" s="5" t="n">
        <v>1478.54</v>
      </c>
      <c r="S467" s="5" t="n">
        <v>1039.26</v>
      </c>
      <c r="T467" s="3" t="str">
        <f aca="false">PROPER(TRIM(SUBSTITUTE(Raw_Text_Fields!J468,CHAR(160)," ")))</f>
        <v>Paid</v>
      </c>
      <c r="U467" s="3" t="str">
        <f aca="false">PROPER(TRIM(SUBSTITUTE(Raw_Text_Fields!K468,CHAR(160)," ")))</f>
        <v>Completed</v>
      </c>
      <c r="V467" s="7" t="n">
        <f aca="false">IF(OR(P467&lt;0,P467&gt;0.5),0,P467)</f>
        <v>0</v>
      </c>
      <c r="W467" s="8" t="n">
        <f aca="false">N467*O467*(1-V467)</f>
        <v>2517.8</v>
      </c>
      <c r="X467" s="8" t="n">
        <f aca="false">W467-R467</f>
        <v>1039.26</v>
      </c>
      <c r="Y467" s="7" t="n">
        <f aca="false">IFERROR(X467/W467,0)</f>
        <v>0.412765112399714</v>
      </c>
      <c r="Z467" s="9" t="n">
        <f aca="false">C467-B467</f>
        <v>8</v>
      </c>
      <c r="AA467" s="1" t="str">
        <f aca="false">IF(B467="","",TEXT(B467,"mmm"))</f>
        <v>Jan</v>
      </c>
      <c r="AB467" s="9" t="n">
        <f aca="false">IF(B467="","",YEAR(B467))</f>
        <v>2024</v>
      </c>
      <c r="AC467" s="3"/>
      <c r="AD467" s="3" t="str">
        <f aca="false">IF(LEFT(AC467&amp;IF(B467="","; Missing Order Date","")&amp;IF(C467="","; Missing Ship Date","")&amp;IF(P467&lt;0,"; Invalid Discount (Negative)","")&amp;IF(P467&gt;0.5,"; Invalid Discount (Too High)","")&amp;IF(Z467&lt;0,"; Invalid Shipping Record (Ship Before Order)","")&amp;IF(ABS(Q467-W467)&gt;1,"; Sales Mismatch","")&amp;IF(ABS(S467-X467)&gt;1,"; Profit Mismatch","")&amp;IF(COUNTIF($A$2:$A$913,A467)&gt;1,"; Duplicate Order ID Conflict",""),2)="; ",MID(AC467&amp;IF(B467="","; Missing Order Date","")&amp;IF(C467="","; Missing Ship Date","")&amp;IF(P467&lt;0,"; Invalid Discount (Negative)","")&amp;IF(P467&gt;0.5,"; Invalid Discount (Too High)","")&amp;IF(Z467&lt;0,"; Invalid Shipping Record (Ship Before Order)","")&amp;IF(ABS(Q467-W467)&gt;1,"; Sales Mismatch","")&amp;IF(ABS(S467-X467)&gt;1,"; Profit Mismatch","")&amp;IF(COUNTIF($A$2:$A$913,A467)&gt;1,"; Duplicate Order ID Conflict",""),3,500),AC467&amp;IF(B467="","; Missing Order Date","")&amp;IF(C467="","; Missing Ship Date","")&amp;IF(P467&lt;0,"; Invalid Discount (Negative)","")&amp;IF(P467&gt;0.5,"; Invalid Discount (Too High)","")&amp;IF(Z467&lt;0,"; Invalid Shipping Record (Ship Before Order)","")&amp;IF(ABS(Q467-W467)&gt;1,"; Sales Mismatch","")&amp;IF(ABS(S467-X467)&gt;1,"; Profit Mismatch","")&amp;IF(COUNTIF($A$2:$A$913,A467)&gt;1,"; Duplicate Order ID Conflict",""))</f>
        <v/>
      </c>
      <c r="AE467" s="10" t="str">
        <f aca="false">IF(OR(ISNUMBER(SEARCH("Invalid Discount",AD467)),ISNUMBER(SEARCH("Invalid Shipping Record",AD467)),ISNUMBER(SEARCH("Sales Mismatch",AD467)),ISNUMBER(SEARCH("Profit Mismatch",AD467)),ISNUMBER(SEARCH("Duplicate Order ID Conflict",AD467)),ISNUMBER(SEARCH("Missing Order Date",AD467)),ISNUMBER(SEARCH("Missing Ship Date",AD467))),"Invalid",IF(AD467&lt;&gt;"","Warning","Clean"))</f>
        <v>Clean</v>
      </c>
    </row>
    <row r="468" customFormat="false" ht="15" hidden="false" customHeight="true" outlineLevel="0" collapsed="false">
      <c r="A468" s="3" t="s">
        <v>1420</v>
      </c>
      <c r="B468" s="4" t="n">
        <v>45295</v>
      </c>
      <c r="C468" s="4" t="n">
        <v>45299</v>
      </c>
      <c r="D468" s="3" t="s">
        <v>1421</v>
      </c>
      <c r="E468" s="3" t="str">
        <f aca="false">PROPER(TRIM(SUBSTITUTE(Raw_Text_Fields!B469,CHAR(160)," ")))</f>
        <v>Mira Das</v>
      </c>
      <c r="F468" s="3" t="str">
        <f aca="false">PROPER(TRIM(SUBSTITUTE(Raw_Text_Fields!C469,CHAR(160)," ")))</f>
        <v>Small Business</v>
      </c>
      <c r="G468" s="3" t="str">
        <f aca="false">PROPER(TRIM(SUBSTITUTE(Raw_Text_Fields!D469,CHAR(160)," ")))</f>
        <v>East</v>
      </c>
      <c r="H468" s="3" t="str">
        <f aca="false">PROPER(TRIM(SUBSTITUTE(Raw_Text_Fields!E469,CHAR(160)," ")))</f>
        <v>Bihar</v>
      </c>
      <c r="I468" s="3" t="str">
        <f aca="false">PROPER(TRIM(SUBSTITUTE(Raw_Text_Fields!F469,CHAR(160)," ")))</f>
        <v>Patna</v>
      </c>
      <c r="J468" s="3" t="str">
        <f aca="false">PROPER(TRIM(SUBSTITUTE(Raw_Text_Fields!G469,CHAR(160)," ")))</f>
        <v>Technology</v>
      </c>
      <c r="K468" s="3" t="str">
        <f aca="false">PROPER(TRIM(SUBSTITUTE(Raw_Text_Fields!H469,CHAR(160)," ")))</f>
        <v>Accessories</v>
      </c>
      <c r="L468" s="3" t="s">
        <v>1422</v>
      </c>
      <c r="M468" s="3" t="str">
        <f aca="false">PROPER(TRIM(SUBSTITUTE(Raw_Text_Fields!I469,CHAR(160)," ")))</f>
        <v>Same Day</v>
      </c>
      <c r="N468" s="3" t="n">
        <v>9</v>
      </c>
      <c r="O468" s="5" t="n">
        <v>1591.96</v>
      </c>
      <c r="P468" s="6" t="n">
        <v>0.2</v>
      </c>
      <c r="Q468" s="5" t="n">
        <v>11462.11</v>
      </c>
      <c r="R468" s="5" t="n">
        <v>7105.48</v>
      </c>
      <c r="S468" s="5" t="n">
        <v>4356.63</v>
      </c>
      <c r="T468" s="3" t="str">
        <f aca="false">PROPER(TRIM(SUBSTITUTE(Raw_Text_Fields!J469,CHAR(160)," ")))</f>
        <v>Paid</v>
      </c>
      <c r="U468" s="3" t="str">
        <f aca="false">PROPER(TRIM(SUBSTITUTE(Raw_Text_Fields!K469,CHAR(160)," ")))</f>
        <v>Completed</v>
      </c>
      <c r="V468" s="7" t="n">
        <f aca="false">IF(OR(P468&lt;0,P468&gt;0.5),0,P468)</f>
        <v>0.2</v>
      </c>
      <c r="W468" s="8" t="n">
        <f aca="false">N468*O468*(1-V468)</f>
        <v>11462.112</v>
      </c>
      <c r="X468" s="8" t="n">
        <f aca="false">W468-R468</f>
        <v>4356.632</v>
      </c>
      <c r="Y468" s="7" t="n">
        <f aca="false">IFERROR(X468/W468,0)</f>
        <v>0.380089812418514</v>
      </c>
      <c r="Z468" s="9" t="n">
        <f aca="false">C468-B468</f>
        <v>4</v>
      </c>
      <c r="AA468" s="1" t="str">
        <f aca="false">IF(B468="","",TEXT(B468,"mmm"))</f>
        <v>Jan</v>
      </c>
      <c r="AB468" s="9" t="n">
        <f aca="false">IF(B468="","",YEAR(B468))</f>
        <v>2024</v>
      </c>
      <c r="AC468" s="3"/>
      <c r="AD468" s="3" t="str">
        <f aca="false">IF(LEFT(AC468&amp;IF(B468="","; Missing Order Date","")&amp;IF(C468="","; Missing Ship Date","")&amp;IF(P468&lt;0,"; Invalid Discount (Negative)","")&amp;IF(P468&gt;0.5,"; Invalid Discount (Too High)","")&amp;IF(Z468&lt;0,"; Invalid Shipping Record (Ship Before Order)","")&amp;IF(ABS(Q468-W468)&gt;1,"; Sales Mismatch","")&amp;IF(ABS(S468-X468)&gt;1,"; Profit Mismatch","")&amp;IF(COUNTIF($A$2:$A$913,A468)&gt;1,"; Duplicate Order ID Conflict",""),2)="; ",MID(AC468&amp;IF(B468="","; Missing Order Date","")&amp;IF(C468="","; Missing Ship Date","")&amp;IF(P468&lt;0,"; Invalid Discount (Negative)","")&amp;IF(P468&gt;0.5,"; Invalid Discount (Too High)","")&amp;IF(Z468&lt;0,"; Invalid Shipping Record (Ship Before Order)","")&amp;IF(ABS(Q468-W468)&gt;1,"; Sales Mismatch","")&amp;IF(ABS(S468-X468)&gt;1,"; Profit Mismatch","")&amp;IF(COUNTIF($A$2:$A$913,A468)&gt;1,"; Duplicate Order ID Conflict",""),3,500),AC468&amp;IF(B468="","; Missing Order Date","")&amp;IF(C468="","; Missing Ship Date","")&amp;IF(P468&lt;0,"; Invalid Discount (Negative)","")&amp;IF(P468&gt;0.5,"; Invalid Discount (Too High)","")&amp;IF(Z468&lt;0,"; Invalid Shipping Record (Ship Before Order)","")&amp;IF(ABS(Q468-W468)&gt;1,"; Sales Mismatch","")&amp;IF(ABS(S468-X468)&gt;1,"; Profit Mismatch","")&amp;IF(COUNTIF($A$2:$A$913,A468)&gt;1,"; Duplicate Order ID Conflict",""))</f>
        <v/>
      </c>
      <c r="AE468" s="10" t="str">
        <f aca="false">IF(OR(ISNUMBER(SEARCH("Invalid Discount",AD468)),ISNUMBER(SEARCH("Invalid Shipping Record",AD468)),ISNUMBER(SEARCH("Sales Mismatch",AD468)),ISNUMBER(SEARCH("Profit Mismatch",AD468)),ISNUMBER(SEARCH("Duplicate Order ID Conflict",AD468)),ISNUMBER(SEARCH("Missing Order Date",AD468)),ISNUMBER(SEARCH("Missing Ship Date",AD468))),"Invalid",IF(AD468&lt;&gt;"","Warning","Clean"))</f>
        <v>Clean</v>
      </c>
    </row>
    <row r="469" customFormat="false" ht="15" hidden="false" customHeight="true" outlineLevel="0" collapsed="false">
      <c r="A469" s="3" t="s">
        <v>1423</v>
      </c>
      <c r="B469" s="4" t="n">
        <v>45524</v>
      </c>
      <c r="C469" s="4" t="n">
        <v>45525</v>
      </c>
      <c r="D469" s="3" t="s">
        <v>1424</v>
      </c>
      <c r="E469" s="3" t="str">
        <f aca="false">PROPER(TRIM(SUBSTITUTE(Raw_Text_Fields!B470,CHAR(160)," ")))</f>
        <v>Aditi Sen</v>
      </c>
      <c r="F469" s="3" t="str">
        <f aca="false">PROPER(TRIM(SUBSTITUTE(Raw_Text_Fields!C470,CHAR(160)," ")))</f>
        <v>Corporate</v>
      </c>
      <c r="G469" s="3" t="str">
        <f aca="false">PROPER(TRIM(SUBSTITUTE(Raw_Text_Fields!D470,CHAR(160)," ")))</f>
        <v>East</v>
      </c>
      <c r="H469" s="3" t="str">
        <f aca="false">PROPER(TRIM(SUBSTITUTE(Raw_Text_Fields!E470,CHAR(160)," ")))</f>
        <v>Odisha</v>
      </c>
      <c r="I469" s="3" t="str">
        <f aca="false">PROPER(TRIM(SUBSTITUTE(Raw_Text_Fields!F470,CHAR(160)," ")))</f>
        <v>Bhubaneswar</v>
      </c>
      <c r="J469" s="3" t="str">
        <f aca="false">PROPER(TRIM(SUBSTITUTE(Raw_Text_Fields!G470,CHAR(160)," ")))</f>
        <v>Technology</v>
      </c>
      <c r="K469" s="3" t="str">
        <f aca="false">PROPER(TRIM(SUBSTITUTE(Raw_Text_Fields!H470,CHAR(160)," ")))</f>
        <v>Copiers</v>
      </c>
      <c r="L469" s="3" t="s">
        <v>1425</v>
      </c>
      <c r="M469" s="3" t="str">
        <f aca="false">PROPER(TRIM(SUBSTITUTE(Raw_Text_Fields!I470,CHAR(160)," ")))</f>
        <v>First Class</v>
      </c>
      <c r="N469" s="3" t="n">
        <v>5</v>
      </c>
      <c r="O469" s="5" t="n">
        <v>4288.33</v>
      </c>
      <c r="P469" s="6" t="n">
        <v>0.1</v>
      </c>
      <c r="Q469" s="5" t="n">
        <v>19297.49</v>
      </c>
      <c r="R469" s="5" t="n">
        <v>15451.66</v>
      </c>
      <c r="S469" s="5" t="n">
        <v>3845.83</v>
      </c>
      <c r="T469" s="3" t="str">
        <f aca="false">PROPER(TRIM(SUBSTITUTE(Raw_Text_Fields!J470,CHAR(160)," ")))</f>
        <v>Refunded</v>
      </c>
      <c r="U469" s="3" t="str">
        <f aca="false">PROPER(TRIM(SUBSTITUTE(Raw_Text_Fields!K470,CHAR(160)," ")))</f>
        <v>Cancelled</v>
      </c>
      <c r="V469" s="7" t="n">
        <f aca="false">IF(OR(P469&lt;0,P469&gt;0.5),0,P469)</f>
        <v>0.1</v>
      </c>
      <c r="W469" s="8" t="n">
        <f aca="false">N469*O469*(1-V469)</f>
        <v>19297.485</v>
      </c>
      <c r="X469" s="8" t="n">
        <f aca="false">W469-R469</f>
        <v>3845.825</v>
      </c>
      <c r="Y469" s="7" t="n">
        <f aca="false">IFERROR(X469/W469,0)</f>
        <v>0.199291513894168</v>
      </c>
      <c r="Z469" s="9" t="n">
        <f aca="false">C469-B469</f>
        <v>1</v>
      </c>
      <c r="AA469" s="1" t="str">
        <f aca="false">IF(B469="","",TEXT(B469,"mmm"))</f>
        <v>Aug</v>
      </c>
      <c r="AB469" s="9" t="n">
        <f aca="false">IF(B469="","",YEAR(B469))</f>
        <v>2024</v>
      </c>
      <c r="AC469" s="3"/>
      <c r="AD469" s="3" t="str">
        <f aca="false">IF(LEFT(AC469&amp;IF(B469="","; Missing Order Date","")&amp;IF(C469="","; Missing Ship Date","")&amp;IF(P469&lt;0,"; Invalid Discount (Negative)","")&amp;IF(P469&gt;0.5,"; Invalid Discount (Too High)","")&amp;IF(Z469&lt;0,"; Invalid Shipping Record (Ship Before Order)","")&amp;IF(ABS(Q469-W469)&gt;1,"; Sales Mismatch","")&amp;IF(ABS(S469-X469)&gt;1,"; Profit Mismatch","")&amp;IF(COUNTIF($A$2:$A$913,A469)&gt;1,"; Duplicate Order ID Conflict",""),2)="; ",MID(AC469&amp;IF(B469="","; Missing Order Date","")&amp;IF(C469="","; Missing Ship Date","")&amp;IF(P469&lt;0,"; Invalid Discount (Negative)","")&amp;IF(P469&gt;0.5,"; Invalid Discount (Too High)","")&amp;IF(Z469&lt;0,"; Invalid Shipping Record (Ship Before Order)","")&amp;IF(ABS(Q469-W469)&gt;1,"; Sales Mismatch","")&amp;IF(ABS(S469-X469)&gt;1,"; Profit Mismatch","")&amp;IF(COUNTIF($A$2:$A$913,A469)&gt;1,"; Duplicate Order ID Conflict",""),3,500),AC469&amp;IF(B469="","; Missing Order Date","")&amp;IF(C469="","; Missing Ship Date","")&amp;IF(P469&lt;0,"; Invalid Discount (Negative)","")&amp;IF(P469&gt;0.5,"; Invalid Discount (Too High)","")&amp;IF(Z469&lt;0,"; Invalid Shipping Record (Ship Before Order)","")&amp;IF(ABS(Q469-W469)&gt;1,"; Sales Mismatch","")&amp;IF(ABS(S469-X469)&gt;1,"; Profit Mismatch","")&amp;IF(COUNTIF($A$2:$A$913,A469)&gt;1,"; Duplicate Order ID Conflict",""))</f>
        <v/>
      </c>
      <c r="AE469" s="10" t="str">
        <f aca="false">IF(OR(ISNUMBER(SEARCH("Invalid Discount",AD469)),ISNUMBER(SEARCH("Invalid Shipping Record",AD469)),ISNUMBER(SEARCH("Sales Mismatch",AD469)),ISNUMBER(SEARCH("Profit Mismatch",AD469)),ISNUMBER(SEARCH("Duplicate Order ID Conflict",AD469)),ISNUMBER(SEARCH("Missing Order Date",AD469)),ISNUMBER(SEARCH("Missing Ship Date",AD469))),"Invalid",IF(AD469&lt;&gt;"","Warning","Clean"))</f>
        <v>Clean</v>
      </c>
    </row>
    <row r="470" customFormat="false" ht="15" hidden="false" customHeight="true" outlineLevel="0" collapsed="false">
      <c r="A470" s="3" t="s">
        <v>1426</v>
      </c>
      <c r="B470" s="4" t="n">
        <v>45666</v>
      </c>
      <c r="C470" s="4" t="n">
        <v>45664</v>
      </c>
      <c r="D470" s="3" t="s">
        <v>1427</v>
      </c>
      <c r="E470" s="3" t="str">
        <f aca="false">PROPER(TRIM(SUBSTITUTE(Raw_Text_Fields!B471,CHAR(160)," ")))</f>
        <v>Aarav Sharma</v>
      </c>
      <c r="F470" s="3" t="str">
        <f aca="false">PROPER(TRIM(SUBSTITUTE(Raw_Text_Fields!C471,CHAR(160)," ")))</f>
        <v>Home Office</v>
      </c>
      <c r="G470" s="3" t="str">
        <f aca="false">PROPER(TRIM(SUBSTITUTE(Raw_Text_Fields!D471,CHAR(160)," ")))</f>
        <v>East</v>
      </c>
      <c r="H470" s="3" t="str">
        <f aca="false">PROPER(TRIM(SUBSTITUTE(Raw_Text_Fields!E471,CHAR(160)," ")))</f>
        <v>West Bengal</v>
      </c>
      <c r="I470" s="3" t="str">
        <f aca="false">PROPER(TRIM(SUBSTITUTE(Raw_Text_Fields!F471,CHAR(160)," ")))</f>
        <v>Kolkata</v>
      </c>
      <c r="J470" s="3" t="str">
        <f aca="false">PROPER(TRIM(SUBSTITUTE(Raw_Text_Fields!G471,CHAR(160)," ")))</f>
        <v>Office Supplies</v>
      </c>
      <c r="K470" s="3" t="str">
        <f aca="false">PROPER(TRIM(SUBSTITUTE(Raw_Text_Fields!H471,CHAR(160)," ")))</f>
        <v>Binders</v>
      </c>
      <c r="L470" s="3" t="s">
        <v>1428</v>
      </c>
      <c r="M470" s="3" t="str">
        <f aca="false">PROPER(TRIM(SUBSTITUTE(Raw_Text_Fields!I471,CHAR(160)," ")))</f>
        <v>Second Class</v>
      </c>
      <c r="N470" s="3" t="n">
        <v>3</v>
      </c>
      <c r="O470" s="5" t="n">
        <v>2188.33</v>
      </c>
      <c r="P470" s="6" t="n">
        <v>0</v>
      </c>
      <c r="Q470" s="5" t="n">
        <v>6564.99</v>
      </c>
      <c r="R470" s="5" t="n">
        <v>5407.24</v>
      </c>
      <c r="S470" s="5" t="n">
        <v>1157.75</v>
      </c>
      <c r="T470" s="3" t="str">
        <f aca="false">PROPER(TRIM(SUBSTITUTE(Raw_Text_Fields!J471,CHAR(160)," ")))</f>
        <v>Paid</v>
      </c>
      <c r="U470" s="3" t="str">
        <f aca="false">PROPER(TRIM(SUBSTITUTE(Raw_Text_Fields!K471,CHAR(160)," ")))</f>
        <v>Completed</v>
      </c>
      <c r="V470" s="7" t="n">
        <f aca="false">IF(OR(P470&lt;0,P470&gt;0.5),0,P470)</f>
        <v>0</v>
      </c>
      <c r="W470" s="8" t="n">
        <f aca="false">N470*O470*(1-V470)</f>
        <v>6564.99</v>
      </c>
      <c r="X470" s="8" t="n">
        <f aca="false">W470-R470</f>
        <v>1157.75</v>
      </c>
      <c r="Y470" s="7" t="n">
        <f aca="false">IFERROR(X470/W470,0)</f>
        <v>0.176352134580555</v>
      </c>
      <c r="Z470" s="9" t="n">
        <f aca="false">C470-B470</f>
        <v>-2</v>
      </c>
      <c r="AA470" s="1" t="str">
        <f aca="false">IF(B470="","",TEXT(B470,"mmm"))</f>
        <v>Jan</v>
      </c>
      <c r="AB470" s="9" t="n">
        <f aca="false">IF(B470="","",YEAR(B470))</f>
        <v>2025</v>
      </c>
      <c r="AC470" s="3"/>
      <c r="AD470" s="3" t="str">
        <f aca="false">IF(LEFT(AC470&amp;IF(B470="","; Missing Order Date","")&amp;IF(C470="","; Missing Ship Date","")&amp;IF(P470&lt;0,"; Invalid Discount (Negative)","")&amp;IF(P470&gt;0.5,"; Invalid Discount (Too High)","")&amp;IF(Z470&lt;0,"; Invalid Shipping Record (Ship Before Order)","")&amp;IF(ABS(Q470-W470)&gt;1,"; Sales Mismatch","")&amp;IF(ABS(S470-X470)&gt;1,"; Profit Mismatch","")&amp;IF(COUNTIF($A$2:$A$913,A470)&gt;1,"; Duplicate Order ID Conflict",""),2)="; ",MID(AC470&amp;IF(B470="","; Missing Order Date","")&amp;IF(C470="","; Missing Ship Date","")&amp;IF(P470&lt;0,"; Invalid Discount (Negative)","")&amp;IF(P470&gt;0.5,"; Invalid Discount (Too High)","")&amp;IF(Z470&lt;0,"; Invalid Shipping Record (Ship Before Order)","")&amp;IF(ABS(Q470-W470)&gt;1,"; Sales Mismatch","")&amp;IF(ABS(S470-X470)&gt;1,"; Profit Mismatch","")&amp;IF(COUNTIF($A$2:$A$913,A470)&gt;1,"; Duplicate Order ID Conflict",""),3,500),AC470&amp;IF(B470="","; Missing Order Date","")&amp;IF(C470="","; Missing Ship Date","")&amp;IF(P470&lt;0,"; Invalid Discount (Negative)","")&amp;IF(P470&gt;0.5,"; Invalid Discount (Too High)","")&amp;IF(Z470&lt;0,"; Invalid Shipping Record (Ship Before Order)","")&amp;IF(ABS(Q470-W470)&gt;1,"; Sales Mismatch","")&amp;IF(ABS(S470-X470)&gt;1,"; Profit Mismatch","")&amp;IF(COUNTIF($A$2:$A$913,A470)&gt;1,"; Duplicate Order ID Conflict",""))</f>
        <v>Invalid Shipping Record (Ship Before Order)</v>
      </c>
      <c r="AE470" s="10" t="str">
        <f aca="false">IF(OR(ISNUMBER(SEARCH("Invalid Discount",AD470)),ISNUMBER(SEARCH("Invalid Shipping Record",AD470)),ISNUMBER(SEARCH("Sales Mismatch",AD470)),ISNUMBER(SEARCH("Profit Mismatch",AD470)),ISNUMBER(SEARCH("Duplicate Order ID Conflict",AD470)),ISNUMBER(SEARCH("Missing Order Date",AD470)),ISNUMBER(SEARCH("Missing Ship Date",AD470))),"Invalid",IF(AD470&lt;&gt;"","Warning","Clean"))</f>
        <v>Invalid</v>
      </c>
    </row>
    <row r="471" customFormat="false" ht="15" hidden="false" customHeight="true" outlineLevel="0" collapsed="false">
      <c r="A471" s="3" t="s">
        <v>1429</v>
      </c>
      <c r="B471" s="4" t="n">
        <v>45310</v>
      </c>
      <c r="C471" s="4" t="n">
        <v>45316</v>
      </c>
      <c r="D471" s="3" t="s">
        <v>1430</v>
      </c>
      <c r="E471" s="3" t="str">
        <f aca="false">PROPER(TRIM(SUBSTITUTE(Raw_Text_Fields!B472,CHAR(160)," ")))</f>
        <v>Aditi Sen</v>
      </c>
      <c r="F471" s="3" t="str">
        <f aca="false">PROPER(TRIM(SUBSTITUTE(Raw_Text_Fields!C472,CHAR(160)," ")))</f>
        <v>Corporate</v>
      </c>
      <c r="G471" s="3" t="str">
        <f aca="false">PROPER(TRIM(SUBSTITUTE(Raw_Text_Fields!D472,CHAR(160)," ")))</f>
        <v>West</v>
      </c>
      <c r="H471" s="3" t="str">
        <f aca="false">PROPER(TRIM(SUBSTITUTE(Raw_Text_Fields!E472,CHAR(160)," ")))</f>
        <v>Goa</v>
      </c>
      <c r="I471" s="3" t="str">
        <f aca="false">PROPER(TRIM(SUBSTITUTE(Raw_Text_Fields!F472,CHAR(160)," ")))</f>
        <v>Panaji</v>
      </c>
      <c r="J471" s="3" t="str">
        <f aca="false">PROPER(TRIM(SUBSTITUTE(Raw_Text_Fields!G472,CHAR(160)," ")))</f>
        <v>Technology</v>
      </c>
      <c r="K471" s="3" t="str">
        <f aca="false">PROPER(TRIM(SUBSTITUTE(Raw_Text_Fields!H472,CHAR(160)," ")))</f>
        <v>Copiers</v>
      </c>
      <c r="L471" s="3" t="s">
        <v>1431</v>
      </c>
      <c r="M471" s="3" t="str">
        <f aca="false">PROPER(TRIM(SUBSTITUTE(Raw_Text_Fields!I472,CHAR(160)," ")))</f>
        <v>First Class</v>
      </c>
      <c r="N471" s="3" t="n">
        <v>3</v>
      </c>
      <c r="O471" s="5" t="n">
        <v>1041.66</v>
      </c>
      <c r="P471" s="6" t="n">
        <v>0.1</v>
      </c>
      <c r="Q471" s="5" t="n">
        <v>2812.48</v>
      </c>
      <c r="R471" s="5" t="n">
        <v>2282.12</v>
      </c>
      <c r="S471" s="5" t="n">
        <v>530.36</v>
      </c>
      <c r="T471" s="3" t="str">
        <f aca="false">PROPER(TRIM(SUBSTITUTE(Raw_Text_Fields!J472,CHAR(160)," ")))</f>
        <v>Paid</v>
      </c>
      <c r="U471" s="3" t="str">
        <f aca="false">PROPER(TRIM(SUBSTITUTE(Raw_Text_Fields!K472,CHAR(160)," ")))</f>
        <v>Completed</v>
      </c>
      <c r="V471" s="7" t="n">
        <f aca="false">IF(OR(P471&lt;0,P471&gt;0.5),0,P471)</f>
        <v>0.1</v>
      </c>
      <c r="W471" s="8" t="n">
        <f aca="false">N471*O471*(1-V471)</f>
        <v>2812.482</v>
      </c>
      <c r="X471" s="8" t="n">
        <f aca="false">W471-R471</f>
        <v>530.362000000001</v>
      </c>
      <c r="Y471" s="7" t="n">
        <f aca="false">IFERROR(X471/W471,0)</f>
        <v>0.188574362431475</v>
      </c>
      <c r="Z471" s="9" t="n">
        <f aca="false">C471-B471</f>
        <v>6</v>
      </c>
      <c r="AA471" s="1" t="str">
        <f aca="false">IF(B471="","",TEXT(B471,"mmm"))</f>
        <v>Jan</v>
      </c>
      <c r="AB471" s="9" t="n">
        <f aca="false">IF(B471="","",YEAR(B471))</f>
        <v>2024</v>
      </c>
      <c r="AC471" s="3"/>
      <c r="AD471" s="3" t="str">
        <f aca="false">IF(LEFT(AC471&amp;IF(B471="","; Missing Order Date","")&amp;IF(C471="","; Missing Ship Date","")&amp;IF(P471&lt;0,"; Invalid Discount (Negative)","")&amp;IF(P471&gt;0.5,"; Invalid Discount (Too High)","")&amp;IF(Z471&lt;0,"; Invalid Shipping Record (Ship Before Order)","")&amp;IF(ABS(Q471-W471)&gt;1,"; Sales Mismatch","")&amp;IF(ABS(S471-X471)&gt;1,"; Profit Mismatch","")&amp;IF(COUNTIF($A$2:$A$913,A471)&gt;1,"; Duplicate Order ID Conflict",""),2)="; ",MID(AC471&amp;IF(B471="","; Missing Order Date","")&amp;IF(C471="","; Missing Ship Date","")&amp;IF(P471&lt;0,"; Invalid Discount (Negative)","")&amp;IF(P471&gt;0.5,"; Invalid Discount (Too High)","")&amp;IF(Z471&lt;0,"; Invalid Shipping Record (Ship Before Order)","")&amp;IF(ABS(Q471-W471)&gt;1,"; Sales Mismatch","")&amp;IF(ABS(S471-X471)&gt;1,"; Profit Mismatch","")&amp;IF(COUNTIF($A$2:$A$913,A471)&gt;1,"; Duplicate Order ID Conflict",""),3,500),AC471&amp;IF(B471="","; Missing Order Date","")&amp;IF(C471="","; Missing Ship Date","")&amp;IF(P471&lt;0,"; Invalid Discount (Negative)","")&amp;IF(P471&gt;0.5,"; Invalid Discount (Too High)","")&amp;IF(Z471&lt;0,"; Invalid Shipping Record (Ship Before Order)","")&amp;IF(ABS(Q471-W471)&gt;1,"; Sales Mismatch","")&amp;IF(ABS(S471-X471)&gt;1,"; Profit Mismatch","")&amp;IF(COUNTIF($A$2:$A$913,A471)&gt;1,"; Duplicate Order ID Conflict",""))</f>
        <v/>
      </c>
      <c r="AE471" s="10" t="str">
        <f aca="false">IF(OR(ISNUMBER(SEARCH("Invalid Discount",AD471)),ISNUMBER(SEARCH("Invalid Shipping Record",AD471)),ISNUMBER(SEARCH("Sales Mismatch",AD471)),ISNUMBER(SEARCH("Profit Mismatch",AD471)),ISNUMBER(SEARCH("Duplicate Order ID Conflict",AD471)),ISNUMBER(SEARCH("Missing Order Date",AD471)),ISNUMBER(SEARCH("Missing Ship Date",AD471))),"Invalid",IF(AD471&lt;&gt;"","Warning","Clean"))</f>
        <v>Clean</v>
      </c>
    </row>
    <row r="472" customFormat="false" ht="15" hidden="false" customHeight="true" outlineLevel="0" collapsed="false">
      <c r="A472" s="3" t="s">
        <v>1432</v>
      </c>
      <c r="B472" s="4" t="n">
        <v>45501</v>
      </c>
      <c r="C472" s="4" t="n">
        <v>45504</v>
      </c>
      <c r="D472" s="3" t="s">
        <v>1433</v>
      </c>
      <c r="E472" s="3" t="str">
        <f aca="false">PROPER(TRIM(SUBSTITUTE(Raw_Text_Fields!B473,CHAR(160)," ")))</f>
        <v>Aditi Sen</v>
      </c>
      <c r="F472" s="3" t="str">
        <f aca="false">PROPER(TRIM(SUBSTITUTE(Raw_Text_Fields!C473,CHAR(160)," ")))</f>
        <v>Consumer</v>
      </c>
      <c r="G472" s="3" t="str">
        <f aca="false">PROPER(TRIM(SUBSTITUTE(Raw_Text_Fields!D473,CHAR(160)," ")))</f>
        <v>North</v>
      </c>
      <c r="H472" s="3" t="str">
        <f aca="false">PROPER(TRIM(SUBSTITUTE(Raw_Text_Fields!E473,CHAR(160)," ")))</f>
        <v>Rajasthan</v>
      </c>
      <c r="I472" s="3" t="str">
        <f aca="false">PROPER(TRIM(SUBSTITUTE(Raw_Text_Fields!F473,CHAR(160)," ")))</f>
        <v>Jaipur</v>
      </c>
      <c r="J472" s="3" t="str">
        <f aca="false">PROPER(TRIM(SUBSTITUTE(Raw_Text_Fields!G473,CHAR(160)," ")))</f>
        <v>Furniture</v>
      </c>
      <c r="K472" s="3" t="str">
        <f aca="false">PROPER(TRIM(SUBSTITUTE(Raw_Text_Fields!H473,CHAR(160)," ")))</f>
        <v>Tables</v>
      </c>
      <c r="L472" s="3" t="s">
        <v>1434</v>
      </c>
      <c r="M472" s="3" t="str">
        <f aca="false">PROPER(TRIM(SUBSTITUTE(Raw_Text_Fields!I473,CHAR(160)," ")))</f>
        <v>Same Day</v>
      </c>
      <c r="N472" s="3" t="n">
        <v>2</v>
      </c>
      <c r="O472" s="5" t="n">
        <v>4424.78</v>
      </c>
      <c r="P472" s="6" t="n">
        <v>0.2</v>
      </c>
      <c r="Q472" s="5" t="n">
        <v>7079.65</v>
      </c>
      <c r="R472" s="5" t="n">
        <v>4465.91</v>
      </c>
      <c r="S472" s="5" t="n">
        <v>2613.74</v>
      </c>
      <c r="T472" s="3" t="str">
        <f aca="false">PROPER(TRIM(SUBSTITUTE(Raw_Text_Fields!J473,CHAR(160)," ")))</f>
        <v>Paid</v>
      </c>
      <c r="U472" s="3" t="str">
        <f aca="false">PROPER(TRIM(SUBSTITUTE(Raw_Text_Fields!K473,CHAR(160)," ")))</f>
        <v>Completed</v>
      </c>
      <c r="V472" s="7" t="n">
        <f aca="false">IF(OR(P472&lt;0,P472&gt;0.5),0,P472)</f>
        <v>0.2</v>
      </c>
      <c r="W472" s="8" t="n">
        <f aca="false">N472*O472*(1-V472)</f>
        <v>7079.648</v>
      </c>
      <c r="X472" s="8" t="n">
        <f aca="false">W472-R472</f>
        <v>2613.738</v>
      </c>
      <c r="Y472" s="7" t="n">
        <f aca="false">IFERROR(X472/W472,0)</f>
        <v>0.369190389126691</v>
      </c>
      <c r="Z472" s="9" t="n">
        <f aca="false">C472-B472</f>
        <v>3</v>
      </c>
      <c r="AA472" s="1" t="str">
        <f aca="false">IF(B472="","",TEXT(B472,"mmm"))</f>
        <v>Jul</v>
      </c>
      <c r="AB472" s="9" t="n">
        <f aca="false">IF(B472="","",YEAR(B472))</f>
        <v>2024</v>
      </c>
      <c r="AC472" s="3"/>
      <c r="AD472" s="3" t="str">
        <f aca="false">IF(LEFT(AC472&amp;IF(B472="","; Missing Order Date","")&amp;IF(C472="","; Missing Ship Date","")&amp;IF(P472&lt;0,"; Invalid Discount (Negative)","")&amp;IF(P472&gt;0.5,"; Invalid Discount (Too High)","")&amp;IF(Z472&lt;0,"; Invalid Shipping Record (Ship Before Order)","")&amp;IF(ABS(Q472-W472)&gt;1,"; Sales Mismatch","")&amp;IF(ABS(S472-X472)&gt;1,"; Profit Mismatch","")&amp;IF(COUNTIF($A$2:$A$913,A472)&gt;1,"; Duplicate Order ID Conflict",""),2)="; ",MID(AC472&amp;IF(B472="","; Missing Order Date","")&amp;IF(C472="","; Missing Ship Date","")&amp;IF(P472&lt;0,"; Invalid Discount (Negative)","")&amp;IF(P472&gt;0.5,"; Invalid Discount (Too High)","")&amp;IF(Z472&lt;0,"; Invalid Shipping Record (Ship Before Order)","")&amp;IF(ABS(Q472-W472)&gt;1,"; Sales Mismatch","")&amp;IF(ABS(S472-X472)&gt;1,"; Profit Mismatch","")&amp;IF(COUNTIF($A$2:$A$913,A472)&gt;1,"; Duplicate Order ID Conflict",""),3,500),AC472&amp;IF(B472="","; Missing Order Date","")&amp;IF(C472="","; Missing Ship Date","")&amp;IF(P472&lt;0,"; Invalid Discount (Negative)","")&amp;IF(P472&gt;0.5,"; Invalid Discount (Too High)","")&amp;IF(Z472&lt;0,"; Invalid Shipping Record (Ship Before Order)","")&amp;IF(ABS(Q472-W472)&gt;1,"; Sales Mismatch","")&amp;IF(ABS(S472-X472)&gt;1,"; Profit Mismatch","")&amp;IF(COUNTIF($A$2:$A$913,A472)&gt;1,"; Duplicate Order ID Conflict",""))</f>
        <v/>
      </c>
      <c r="AE472" s="10" t="str">
        <f aca="false">IF(OR(ISNUMBER(SEARCH("Invalid Discount",AD472)),ISNUMBER(SEARCH("Invalid Shipping Record",AD472)),ISNUMBER(SEARCH("Sales Mismatch",AD472)),ISNUMBER(SEARCH("Profit Mismatch",AD472)),ISNUMBER(SEARCH("Duplicate Order ID Conflict",AD472)),ISNUMBER(SEARCH("Missing Order Date",AD472)),ISNUMBER(SEARCH("Missing Ship Date",AD472))),"Invalid",IF(AD472&lt;&gt;"","Warning","Clean"))</f>
        <v>Clean</v>
      </c>
    </row>
    <row r="473" customFormat="false" ht="15" hidden="false" customHeight="true" outlineLevel="0" collapsed="false">
      <c r="A473" s="3" t="s">
        <v>1435</v>
      </c>
      <c r="B473" s="4" t="n">
        <v>45333</v>
      </c>
      <c r="C473" s="4" t="n">
        <v>45337</v>
      </c>
      <c r="D473" s="3" t="s">
        <v>1436</v>
      </c>
      <c r="E473" s="3" t="str">
        <f aca="false">PROPER(TRIM(SUBSTITUTE(Raw_Text_Fields!B474,CHAR(160)," ")))</f>
        <v>Kabir Singh</v>
      </c>
      <c r="F473" s="3" t="str">
        <f aca="false">PROPER(TRIM(SUBSTITUTE(Raw_Text_Fields!C474,CHAR(160)," ")))</f>
        <v>Consumer</v>
      </c>
      <c r="G473" s="3" t="str">
        <f aca="false">PROPER(TRIM(SUBSTITUTE(Raw_Text_Fields!D474,CHAR(160)," ")))</f>
        <v>South</v>
      </c>
      <c r="H473" s="3" t="str">
        <f aca="false">PROPER(TRIM(SUBSTITUTE(Raw_Text_Fields!E474,CHAR(160)," ")))</f>
        <v>Telangana</v>
      </c>
      <c r="I473" s="3" t="str">
        <f aca="false">PROPER(TRIM(SUBSTITUTE(Raw_Text_Fields!F474,CHAR(160)," ")))</f>
        <v>Hyderabad</v>
      </c>
      <c r="J473" s="3" t="str">
        <f aca="false">PROPER(TRIM(SUBSTITUTE(Raw_Text_Fields!G474,CHAR(160)," ")))</f>
        <v>Office Supplies</v>
      </c>
      <c r="K473" s="3" t="str">
        <f aca="false">PROPER(TRIM(SUBSTITUTE(Raw_Text_Fields!H474,CHAR(160)," ")))</f>
        <v>Binders</v>
      </c>
      <c r="L473" s="3" t="s">
        <v>1437</v>
      </c>
      <c r="M473" s="3" t="str">
        <f aca="false">PROPER(TRIM(SUBSTITUTE(Raw_Text_Fields!I474,CHAR(160)," ")))</f>
        <v>Standard Class</v>
      </c>
      <c r="N473" s="3" t="n">
        <v>3</v>
      </c>
      <c r="O473" s="5" t="n">
        <v>3019.14</v>
      </c>
      <c r="P473" s="6" t="n">
        <v>0.25</v>
      </c>
      <c r="Q473" s="5" t="n">
        <v>6793.07</v>
      </c>
      <c r="R473" s="5" t="n">
        <v>4985.22</v>
      </c>
      <c r="S473" s="5" t="n">
        <v>1807.85</v>
      </c>
      <c r="T473" s="3" t="str">
        <f aca="false">PROPER(TRIM(SUBSTITUTE(Raw_Text_Fields!J474,CHAR(160)," ")))</f>
        <v>Paid</v>
      </c>
      <c r="U473" s="3" t="str">
        <f aca="false">PROPER(TRIM(SUBSTITUTE(Raw_Text_Fields!K474,CHAR(160)," ")))</f>
        <v>Completed</v>
      </c>
      <c r="V473" s="7" t="n">
        <f aca="false">IF(OR(P473&lt;0,P473&gt;0.5),0,P473)</f>
        <v>0.25</v>
      </c>
      <c r="W473" s="8" t="n">
        <f aca="false">N473*O473*(1-V473)</f>
        <v>6793.065</v>
      </c>
      <c r="X473" s="8" t="n">
        <f aca="false">W473-R473</f>
        <v>1807.845</v>
      </c>
      <c r="Y473" s="7" t="n">
        <f aca="false">IFERROR(X473/W473,0)</f>
        <v>0.266130973279367</v>
      </c>
      <c r="Z473" s="9" t="n">
        <f aca="false">C473-B473</f>
        <v>4</v>
      </c>
      <c r="AA473" s="1" t="str">
        <f aca="false">IF(B473="","",TEXT(B473,"mmm"))</f>
        <v>Feb</v>
      </c>
      <c r="AB473" s="9" t="n">
        <f aca="false">IF(B473="","",YEAR(B473))</f>
        <v>2024</v>
      </c>
      <c r="AC473" s="3"/>
      <c r="AD473" s="3" t="str">
        <f aca="false">IF(LEFT(AC473&amp;IF(B473="","; Missing Order Date","")&amp;IF(C473="","; Missing Ship Date","")&amp;IF(P473&lt;0,"; Invalid Discount (Negative)","")&amp;IF(P473&gt;0.5,"; Invalid Discount (Too High)","")&amp;IF(Z473&lt;0,"; Invalid Shipping Record (Ship Before Order)","")&amp;IF(ABS(Q473-W473)&gt;1,"; Sales Mismatch","")&amp;IF(ABS(S473-X473)&gt;1,"; Profit Mismatch","")&amp;IF(COUNTIF($A$2:$A$913,A473)&gt;1,"; Duplicate Order ID Conflict",""),2)="; ",MID(AC473&amp;IF(B473="","; Missing Order Date","")&amp;IF(C473="","; Missing Ship Date","")&amp;IF(P473&lt;0,"; Invalid Discount (Negative)","")&amp;IF(P473&gt;0.5,"; Invalid Discount (Too High)","")&amp;IF(Z473&lt;0,"; Invalid Shipping Record (Ship Before Order)","")&amp;IF(ABS(Q473-W473)&gt;1,"; Sales Mismatch","")&amp;IF(ABS(S473-X473)&gt;1,"; Profit Mismatch","")&amp;IF(COUNTIF($A$2:$A$913,A473)&gt;1,"; Duplicate Order ID Conflict",""),3,500),AC473&amp;IF(B473="","; Missing Order Date","")&amp;IF(C473="","; Missing Ship Date","")&amp;IF(P473&lt;0,"; Invalid Discount (Negative)","")&amp;IF(P473&gt;0.5,"; Invalid Discount (Too High)","")&amp;IF(Z473&lt;0,"; Invalid Shipping Record (Ship Before Order)","")&amp;IF(ABS(Q473-W473)&gt;1,"; Sales Mismatch","")&amp;IF(ABS(S473-X473)&gt;1,"; Profit Mismatch","")&amp;IF(COUNTIF($A$2:$A$913,A473)&gt;1,"; Duplicate Order ID Conflict",""))</f>
        <v/>
      </c>
      <c r="AE473" s="10" t="str">
        <f aca="false">IF(OR(ISNUMBER(SEARCH("Invalid Discount",AD473)),ISNUMBER(SEARCH("Invalid Shipping Record",AD473)),ISNUMBER(SEARCH("Sales Mismatch",AD473)),ISNUMBER(SEARCH("Profit Mismatch",AD473)),ISNUMBER(SEARCH("Duplicate Order ID Conflict",AD473)),ISNUMBER(SEARCH("Missing Order Date",AD473)),ISNUMBER(SEARCH("Missing Ship Date",AD473))),"Invalid",IF(AD473&lt;&gt;"","Warning","Clean"))</f>
        <v>Clean</v>
      </c>
    </row>
    <row r="474" customFormat="false" ht="15" hidden="false" customHeight="true" outlineLevel="0" collapsed="false">
      <c r="A474" s="3" t="s">
        <v>1438</v>
      </c>
      <c r="B474" s="4" t="n">
        <v>45353</v>
      </c>
      <c r="C474" s="4" t="n">
        <v>45358</v>
      </c>
      <c r="D474" s="3" t="s">
        <v>1439</v>
      </c>
      <c r="E474" s="3" t="str">
        <f aca="false">PROPER(TRIM(SUBSTITUTE(Raw_Text_Fields!B475,CHAR(160)," ")))</f>
        <v>Rohan Mehta</v>
      </c>
      <c r="F474" s="3" t="str">
        <f aca="false">PROPER(TRIM(SUBSTITUTE(Raw_Text_Fields!C475,CHAR(160)," ")))</f>
        <v>Corporate</v>
      </c>
      <c r="G474" s="3" t="str">
        <f aca="false">PROPER(TRIM(SUBSTITUTE(Raw_Text_Fields!D475,CHAR(160)," ")))</f>
        <v>East</v>
      </c>
      <c r="H474" s="3" t="str">
        <f aca="false">PROPER(TRIM(SUBSTITUTE(Raw_Text_Fields!E475,CHAR(160)," ")))</f>
        <v>Odisha</v>
      </c>
      <c r="I474" s="3" t="str">
        <f aca="false">PROPER(TRIM(SUBSTITUTE(Raw_Text_Fields!F475,CHAR(160)," ")))</f>
        <v>Bhubaneswar</v>
      </c>
      <c r="J474" s="3" t="str">
        <f aca="false">PROPER(TRIM(SUBSTITUTE(Raw_Text_Fields!G475,CHAR(160)," ")))</f>
        <v>Office Supplies</v>
      </c>
      <c r="K474" s="3" t="str">
        <f aca="false">PROPER(TRIM(SUBSTITUTE(Raw_Text_Fields!H475,CHAR(160)," ")))</f>
        <v>Storage</v>
      </c>
      <c r="L474" s="3" t="s">
        <v>1440</v>
      </c>
      <c r="M474" s="3" t="str">
        <f aca="false">PROPER(TRIM(SUBSTITUTE(Raw_Text_Fields!I475,CHAR(160)," ")))</f>
        <v>Standard Class</v>
      </c>
      <c r="N474" s="3" t="n">
        <v>7</v>
      </c>
      <c r="O474" s="5" t="n">
        <v>263.46</v>
      </c>
      <c r="P474" s="6" t="n">
        <v>0</v>
      </c>
      <c r="Q474" s="5" t="n">
        <v>1844.22</v>
      </c>
      <c r="R474" s="5" t="n">
        <v>1094.21</v>
      </c>
      <c r="S474" s="5" t="n">
        <v>750.01</v>
      </c>
      <c r="T474" s="3" t="str">
        <f aca="false">PROPER(TRIM(SUBSTITUTE(Raw_Text_Fields!J475,CHAR(160)," ")))</f>
        <v>Paid</v>
      </c>
      <c r="U474" s="3" t="str">
        <f aca="false">PROPER(TRIM(SUBSTITUTE(Raw_Text_Fields!K475,CHAR(160)," ")))</f>
        <v>Completed</v>
      </c>
      <c r="V474" s="7" t="n">
        <f aca="false">IF(OR(P474&lt;0,P474&gt;0.5),0,P474)</f>
        <v>0</v>
      </c>
      <c r="W474" s="8" t="n">
        <f aca="false">N474*O474*(1-V474)</f>
        <v>1844.22</v>
      </c>
      <c r="X474" s="8" t="n">
        <f aca="false">W474-R474</f>
        <v>750.01</v>
      </c>
      <c r="Y474" s="7" t="n">
        <f aca="false">IFERROR(X474/W474,0)</f>
        <v>0.40668141544935</v>
      </c>
      <c r="Z474" s="9" t="n">
        <f aca="false">C474-B474</f>
        <v>5</v>
      </c>
      <c r="AA474" s="1" t="str">
        <f aca="false">IF(B474="","",TEXT(B474,"mmm"))</f>
        <v>Mar</v>
      </c>
      <c r="AB474" s="9" t="n">
        <f aca="false">IF(B474="","",YEAR(B474))</f>
        <v>2024</v>
      </c>
      <c r="AC474" s="3"/>
      <c r="AD474" s="3" t="str">
        <f aca="false">IF(LEFT(AC474&amp;IF(B474="","; Missing Order Date","")&amp;IF(C474="","; Missing Ship Date","")&amp;IF(P474&lt;0,"; Invalid Discount (Negative)","")&amp;IF(P474&gt;0.5,"; Invalid Discount (Too High)","")&amp;IF(Z474&lt;0,"; Invalid Shipping Record (Ship Before Order)","")&amp;IF(ABS(Q474-W474)&gt;1,"; Sales Mismatch","")&amp;IF(ABS(S474-X474)&gt;1,"; Profit Mismatch","")&amp;IF(COUNTIF($A$2:$A$913,A474)&gt;1,"; Duplicate Order ID Conflict",""),2)="; ",MID(AC474&amp;IF(B474="","; Missing Order Date","")&amp;IF(C474="","; Missing Ship Date","")&amp;IF(P474&lt;0,"; Invalid Discount (Negative)","")&amp;IF(P474&gt;0.5,"; Invalid Discount (Too High)","")&amp;IF(Z474&lt;0,"; Invalid Shipping Record (Ship Before Order)","")&amp;IF(ABS(Q474-W474)&gt;1,"; Sales Mismatch","")&amp;IF(ABS(S474-X474)&gt;1,"; Profit Mismatch","")&amp;IF(COUNTIF($A$2:$A$913,A474)&gt;1,"; Duplicate Order ID Conflict",""),3,500),AC474&amp;IF(B474="","; Missing Order Date","")&amp;IF(C474="","; Missing Ship Date","")&amp;IF(P474&lt;0,"; Invalid Discount (Negative)","")&amp;IF(P474&gt;0.5,"; Invalid Discount (Too High)","")&amp;IF(Z474&lt;0,"; Invalid Shipping Record (Ship Before Order)","")&amp;IF(ABS(Q474-W474)&gt;1,"; Sales Mismatch","")&amp;IF(ABS(S474-X474)&gt;1,"; Profit Mismatch","")&amp;IF(COUNTIF($A$2:$A$913,A474)&gt;1,"; Duplicate Order ID Conflict",""))</f>
        <v/>
      </c>
      <c r="AE474" s="10" t="str">
        <f aca="false">IF(OR(ISNUMBER(SEARCH("Invalid Discount",AD474)),ISNUMBER(SEARCH("Invalid Shipping Record",AD474)),ISNUMBER(SEARCH("Sales Mismatch",AD474)),ISNUMBER(SEARCH("Profit Mismatch",AD474)),ISNUMBER(SEARCH("Duplicate Order ID Conflict",AD474)),ISNUMBER(SEARCH("Missing Order Date",AD474)),ISNUMBER(SEARCH("Missing Ship Date",AD474))),"Invalid",IF(AD474&lt;&gt;"","Warning","Clean"))</f>
        <v>Clean</v>
      </c>
    </row>
    <row r="475" customFormat="false" ht="15" hidden="false" customHeight="true" outlineLevel="0" collapsed="false">
      <c r="A475" s="3" t="s">
        <v>1441</v>
      </c>
      <c r="B475" s="4" t="n">
        <v>45609</v>
      </c>
      <c r="C475" s="4" t="n">
        <v>45609</v>
      </c>
      <c r="D475" s="3" t="s">
        <v>1442</v>
      </c>
      <c r="E475" s="3" t="str">
        <f aca="false">PROPER(TRIM(SUBSTITUTE(Raw_Text_Fields!B476,CHAR(160)," ")))</f>
        <v>Priya Menon</v>
      </c>
      <c r="F475" s="3" t="str">
        <f aca="false">PROPER(TRIM(SUBSTITUTE(Raw_Text_Fields!C476,CHAR(160)," ")))</f>
        <v>Consumer</v>
      </c>
      <c r="G475" s="3" t="str">
        <f aca="false">PROPER(TRIM(SUBSTITUTE(Raw_Text_Fields!D476,CHAR(160)," ")))</f>
        <v>West</v>
      </c>
      <c r="H475" s="3" t="str">
        <f aca="false">PROPER(TRIM(SUBSTITUTE(Raw_Text_Fields!E476,CHAR(160)," ")))</f>
        <v>Goa</v>
      </c>
      <c r="I475" s="3" t="str">
        <f aca="false">PROPER(TRIM(SUBSTITUTE(Raw_Text_Fields!F476,CHAR(160)," ")))</f>
        <v>Panaji</v>
      </c>
      <c r="J475" s="3" t="str">
        <f aca="false">PROPER(TRIM(SUBSTITUTE(Raw_Text_Fields!G476,CHAR(160)," ")))</f>
        <v>Technology</v>
      </c>
      <c r="K475" s="3" t="str">
        <f aca="false">PROPER(TRIM(SUBSTITUTE(Raw_Text_Fields!H476,CHAR(160)," ")))</f>
        <v>Copiers</v>
      </c>
      <c r="L475" s="3" t="s">
        <v>1443</v>
      </c>
      <c r="M475" s="3" t="str">
        <f aca="false">PROPER(TRIM(SUBSTITUTE(Raw_Text_Fields!I476,CHAR(160)," ")))</f>
        <v>Standard Class</v>
      </c>
      <c r="N475" s="3" t="n">
        <v>6</v>
      </c>
      <c r="O475" s="5" t="n">
        <v>191.45</v>
      </c>
      <c r="P475" s="6" t="n">
        <v>0.2</v>
      </c>
      <c r="Q475" s="5" t="n">
        <v>918.96</v>
      </c>
      <c r="R475" s="5" t="n">
        <v>554.18</v>
      </c>
      <c r="S475" s="5" t="n">
        <v>364.78</v>
      </c>
      <c r="T475" s="3" t="str">
        <f aca="false">PROPER(TRIM(SUBSTITUTE(Raw_Text_Fields!J476,CHAR(160)," ")))</f>
        <v>Paid</v>
      </c>
      <c r="U475" s="3" t="str">
        <f aca="false">PROPER(TRIM(SUBSTITUTE(Raw_Text_Fields!K476,CHAR(160)," ")))</f>
        <v>Completed</v>
      </c>
      <c r="V475" s="7" t="n">
        <f aca="false">IF(OR(P475&lt;0,P475&gt;0.5),0,P475)</f>
        <v>0.2</v>
      </c>
      <c r="W475" s="8" t="n">
        <f aca="false">N475*O475*(1-V475)</f>
        <v>918.96</v>
      </c>
      <c r="X475" s="8" t="n">
        <f aca="false">W475-R475</f>
        <v>364.78</v>
      </c>
      <c r="Y475" s="7" t="n">
        <f aca="false">IFERROR(X475/W475,0)</f>
        <v>0.396948724645251</v>
      </c>
      <c r="Z475" s="9" t="n">
        <f aca="false">C475-B475</f>
        <v>0</v>
      </c>
      <c r="AA475" s="1" t="str">
        <f aca="false">IF(B475="","",TEXT(B475,"mmm"))</f>
        <v>Nov</v>
      </c>
      <c r="AB475" s="9" t="n">
        <f aca="false">IF(B475="","",YEAR(B475))</f>
        <v>2024</v>
      </c>
      <c r="AC475" s="3"/>
      <c r="AD475" s="3" t="str">
        <f aca="false">IF(LEFT(AC475&amp;IF(B475="","; Missing Order Date","")&amp;IF(C475="","; Missing Ship Date","")&amp;IF(P475&lt;0,"; Invalid Discount (Negative)","")&amp;IF(P475&gt;0.5,"; Invalid Discount (Too High)","")&amp;IF(Z475&lt;0,"; Invalid Shipping Record (Ship Before Order)","")&amp;IF(ABS(Q475-W475)&gt;1,"; Sales Mismatch","")&amp;IF(ABS(S475-X475)&gt;1,"; Profit Mismatch","")&amp;IF(COUNTIF($A$2:$A$913,A475)&gt;1,"; Duplicate Order ID Conflict",""),2)="; ",MID(AC475&amp;IF(B475="","; Missing Order Date","")&amp;IF(C475="","; Missing Ship Date","")&amp;IF(P475&lt;0,"; Invalid Discount (Negative)","")&amp;IF(P475&gt;0.5,"; Invalid Discount (Too High)","")&amp;IF(Z475&lt;0,"; Invalid Shipping Record (Ship Before Order)","")&amp;IF(ABS(Q475-W475)&gt;1,"; Sales Mismatch","")&amp;IF(ABS(S475-X475)&gt;1,"; Profit Mismatch","")&amp;IF(COUNTIF($A$2:$A$913,A475)&gt;1,"; Duplicate Order ID Conflict",""),3,500),AC475&amp;IF(B475="","; Missing Order Date","")&amp;IF(C475="","; Missing Ship Date","")&amp;IF(P475&lt;0,"; Invalid Discount (Negative)","")&amp;IF(P475&gt;0.5,"; Invalid Discount (Too High)","")&amp;IF(Z475&lt;0,"; Invalid Shipping Record (Ship Before Order)","")&amp;IF(ABS(Q475-W475)&gt;1,"; Sales Mismatch","")&amp;IF(ABS(S475-X475)&gt;1,"; Profit Mismatch","")&amp;IF(COUNTIF($A$2:$A$913,A475)&gt;1,"; Duplicate Order ID Conflict",""))</f>
        <v/>
      </c>
      <c r="AE475" s="10" t="str">
        <f aca="false">IF(OR(ISNUMBER(SEARCH("Invalid Discount",AD475)),ISNUMBER(SEARCH("Invalid Shipping Record",AD475)),ISNUMBER(SEARCH("Sales Mismatch",AD475)),ISNUMBER(SEARCH("Profit Mismatch",AD475)),ISNUMBER(SEARCH("Duplicate Order ID Conflict",AD475)),ISNUMBER(SEARCH("Missing Order Date",AD475)),ISNUMBER(SEARCH("Missing Ship Date",AD475))),"Invalid",IF(AD475&lt;&gt;"","Warning","Clean"))</f>
        <v>Clean</v>
      </c>
    </row>
    <row r="476" customFormat="false" ht="15" hidden="false" customHeight="true" outlineLevel="0" collapsed="false">
      <c r="A476" s="3" t="s">
        <v>1444</v>
      </c>
      <c r="B476" s="4" t="n">
        <v>45446</v>
      </c>
      <c r="C476" s="4" t="n">
        <v>45453</v>
      </c>
      <c r="D476" s="3" t="s">
        <v>1445</v>
      </c>
      <c r="E476" s="3" t="str">
        <f aca="false">PROPER(TRIM(SUBSTITUTE(Raw_Text_Fields!B477,CHAR(160)," ")))</f>
        <v>Diya Patel</v>
      </c>
      <c r="F476" s="3" t="str">
        <f aca="false">PROPER(TRIM(SUBSTITUTE(Raw_Text_Fields!C477,CHAR(160)," ")))</f>
        <v>Corporate</v>
      </c>
      <c r="G476" s="3" t="str">
        <f aca="false">PROPER(TRIM(SUBSTITUTE(Raw_Text_Fields!D477,CHAR(160)," ")))</f>
        <v>North</v>
      </c>
      <c r="H476" s="3" t="str">
        <f aca="false">PROPER(TRIM(SUBSTITUTE(Raw_Text_Fields!E477,CHAR(160)," ")))</f>
        <v>Punjab</v>
      </c>
      <c r="I476" s="3" t="str">
        <f aca="false">PROPER(TRIM(SUBSTITUTE(Raw_Text_Fields!F477,CHAR(160)," ")))</f>
        <v>Ludhiana</v>
      </c>
      <c r="J476" s="3" t="str">
        <f aca="false">PROPER(TRIM(SUBSTITUTE(Raw_Text_Fields!G477,CHAR(160)," ")))</f>
        <v>Furniture</v>
      </c>
      <c r="K476" s="3" t="str">
        <f aca="false">PROPER(TRIM(SUBSTITUTE(Raw_Text_Fields!H477,CHAR(160)," ")))</f>
        <v>Furnishings</v>
      </c>
      <c r="L476" s="3" t="s">
        <v>1446</v>
      </c>
      <c r="M476" s="3" t="str">
        <f aca="false">PROPER(TRIM(SUBSTITUTE(Raw_Text_Fields!I477,CHAR(160)," ")))</f>
        <v>Standard Class</v>
      </c>
      <c r="N476" s="3" t="n">
        <v>3</v>
      </c>
      <c r="O476" s="5" t="n">
        <v>1633.57</v>
      </c>
      <c r="P476" s="6" t="n">
        <v>0</v>
      </c>
      <c r="Q476" s="5" t="n">
        <v>4900.71</v>
      </c>
      <c r="R476" s="5" t="n">
        <v>2713.9</v>
      </c>
      <c r="S476" s="5" t="n">
        <v>2186.81</v>
      </c>
      <c r="T476" s="3" t="str">
        <f aca="false">PROPER(TRIM(SUBSTITUTE(Raw_Text_Fields!J477,CHAR(160)," ")))</f>
        <v>Paid</v>
      </c>
      <c r="U476" s="3" t="str">
        <f aca="false">PROPER(TRIM(SUBSTITUTE(Raw_Text_Fields!K477,CHAR(160)," ")))</f>
        <v>Completed</v>
      </c>
      <c r="V476" s="7" t="n">
        <f aca="false">IF(OR(P476&lt;0,P476&gt;0.5),0,P476)</f>
        <v>0</v>
      </c>
      <c r="W476" s="8" t="n">
        <f aca="false">N476*O476*(1-V476)</f>
        <v>4900.71</v>
      </c>
      <c r="X476" s="8" t="n">
        <f aca="false">W476-R476</f>
        <v>2186.81</v>
      </c>
      <c r="Y476" s="7" t="n">
        <f aca="false">IFERROR(X476/W476,0)</f>
        <v>0.446223098285759</v>
      </c>
      <c r="Z476" s="9" t="n">
        <f aca="false">C476-B476</f>
        <v>7</v>
      </c>
      <c r="AA476" s="1" t="str">
        <f aca="false">IF(B476="","",TEXT(B476,"mmm"))</f>
        <v>Jun</v>
      </c>
      <c r="AB476" s="9" t="n">
        <f aca="false">IF(B476="","",YEAR(B476))</f>
        <v>2024</v>
      </c>
      <c r="AC476" s="3"/>
      <c r="AD476" s="3" t="str">
        <f aca="false">IF(LEFT(AC476&amp;IF(B476="","; Missing Order Date","")&amp;IF(C476="","; Missing Ship Date","")&amp;IF(P476&lt;0,"; Invalid Discount (Negative)","")&amp;IF(P476&gt;0.5,"; Invalid Discount (Too High)","")&amp;IF(Z476&lt;0,"; Invalid Shipping Record (Ship Before Order)","")&amp;IF(ABS(Q476-W476)&gt;1,"; Sales Mismatch","")&amp;IF(ABS(S476-X476)&gt;1,"; Profit Mismatch","")&amp;IF(COUNTIF($A$2:$A$913,A476)&gt;1,"; Duplicate Order ID Conflict",""),2)="; ",MID(AC476&amp;IF(B476="","; Missing Order Date","")&amp;IF(C476="","; Missing Ship Date","")&amp;IF(P476&lt;0,"; Invalid Discount (Negative)","")&amp;IF(P476&gt;0.5,"; Invalid Discount (Too High)","")&amp;IF(Z476&lt;0,"; Invalid Shipping Record (Ship Before Order)","")&amp;IF(ABS(Q476-W476)&gt;1,"; Sales Mismatch","")&amp;IF(ABS(S476-X476)&gt;1,"; Profit Mismatch","")&amp;IF(COUNTIF($A$2:$A$913,A476)&gt;1,"; Duplicate Order ID Conflict",""),3,500),AC476&amp;IF(B476="","; Missing Order Date","")&amp;IF(C476="","; Missing Ship Date","")&amp;IF(P476&lt;0,"; Invalid Discount (Negative)","")&amp;IF(P476&gt;0.5,"; Invalid Discount (Too High)","")&amp;IF(Z476&lt;0,"; Invalid Shipping Record (Ship Before Order)","")&amp;IF(ABS(Q476-W476)&gt;1,"; Sales Mismatch","")&amp;IF(ABS(S476-X476)&gt;1,"; Profit Mismatch","")&amp;IF(COUNTIF($A$2:$A$913,A476)&gt;1,"; Duplicate Order ID Conflict",""))</f>
        <v/>
      </c>
      <c r="AE476" s="10" t="str">
        <f aca="false">IF(OR(ISNUMBER(SEARCH("Invalid Discount",AD476)),ISNUMBER(SEARCH("Invalid Shipping Record",AD476)),ISNUMBER(SEARCH("Sales Mismatch",AD476)),ISNUMBER(SEARCH("Profit Mismatch",AD476)),ISNUMBER(SEARCH("Duplicate Order ID Conflict",AD476)),ISNUMBER(SEARCH("Missing Order Date",AD476)),ISNUMBER(SEARCH("Missing Ship Date",AD476))),"Invalid",IF(AD476&lt;&gt;"","Warning","Clean"))</f>
        <v>Clean</v>
      </c>
    </row>
    <row r="477" customFormat="false" ht="15" hidden="false" customHeight="true" outlineLevel="0" collapsed="false">
      <c r="A477" s="3" t="s">
        <v>1447</v>
      </c>
      <c r="B477" s="4" t="n">
        <v>45717</v>
      </c>
      <c r="C477" s="4" t="n">
        <v>45724</v>
      </c>
      <c r="D477" s="3" t="s">
        <v>1448</v>
      </c>
      <c r="E477" s="3" t="str">
        <f aca="false">PROPER(TRIM(SUBSTITUTE(Raw_Text_Fields!B478,CHAR(160)," ")))</f>
        <v>Vikram Iyer</v>
      </c>
      <c r="F477" s="3" t="str">
        <f aca="false">PROPER(TRIM(SUBSTITUTE(Raw_Text_Fields!C478,CHAR(160)," ")))</f>
        <v>Consumer</v>
      </c>
      <c r="G477" s="3" t="str">
        <f aca="false">PROPER(TRIM(SUBSTITUTE(Raw_Text_Fields!D478,CHAR(160)," ")))</f>
        <v>East</v>
      </c>
      <c r="H477" s="3" t="str">
        <f aca="false">PROPER(TRIM(SUBSTITUTE(Raw_Text_Fields!E478,CHAR(160)," ")))</f>
        <v>West Bengal</v>
      </c>
      <c r="I477" s="3" t="str">
        <f aca="false">PROPER(TRIM(SUBSTITUTE(Raw_Text_Fields!F478,CHAR(160)," ")))</f>
        <v>Kolkata</v>
      </c>
      <c r="J477" s="3" t="str">
        <f aca="false">PROPER(TRIM(SUBSTITUTE(Raw_Text_Fields!G478,CHAR(160)," ")))</f>
        <v>Furniture</v>
      </c>
      <c r="K477" s="3" t="str">
        <f aca="false">PROPER(TRIM(SUBSTITUTE(Raw_Text_Fields!H478,CHAR(160)," ")))</f>
        <v>Chairs</v>
      </c>
      <c r="L477" s="3" t="s">
        <v>1449</v>
      </c>
      <c r="M477" s="3" t="str">
        <f aca="false">PROPER(TRIM(SUBSTITUTE(Raw_Text_Fields!I478,CHAR(160)," ")))</f>
        <v>Same Day</v>
      </c>
      <c r="N477" s="3" t="n">
        <v>8</v>
      </c>
      <c r="O477" s="5" t="n">
        <v>3378.82</v>
      </c>
      <c r="P477" s="6" t="n">
        <v>0.25</v>
      </c>
      <c r="Q477" s="5" t="n">
        <v>20272.92</v>
      </c>
      <c r="R477" s="5" t="n">
        <v>15873.38</v>
      </c>
      <c r="S477" s="5" t="n">
        <v>4399.54</v>
      </c>
      <c r="T477" s="3" t="str">
        <f aca="false">PROPER(TRIM(SUBSTITUTE(Raw_Text_Fields!J478,CHAR(160)," ")))</f>
        <v>Pending</v>
      </c>
      <c r="U477" s="3" t="str">
        <f aca="false">PROPER(TRIM(SUBSTITUTE(Raw_Text_Fields!K478,CHAR(160)," ")))</f>
        <v>Returned</v>
      </c>
      <c r="V477" s="7" t="n">
        <f aca="false">IF(OR(P477&lt;0,P477&gt;0.5),0,P477)</f>
        <v>0.25</v>
      </c>
      <c r="W477" s="8" t="n">
        <f aca="false">N477*O477*(1-V477)</f>
        <v>20272.92</v>
      </c>
      <c r="X477" s="8" t="n">
        <f aca="false">W477-R477</f>
        <v>4399.54</v>
      </c>
      <c r="Y477" s="7" t="n">
        <f aca="false">IFERROR(X477/W477,0)</f>
        <v>0.217015605053441</v>
      </c>
      <c r="Z477" s="9" t="n">
        <f aca="false">C477-B477</f>
        <v>7</v>
      </c>
      <c r="AA477" s="1" t="str">
        <f aca="false">IF(B477="","",TEXT(B477,"mmm"))</f>
        <v>Mar</v>
      </c>
      <c r="AB477" s="9" t="n">
        <f aca="false">IF(B477="","",YEAR(B477))</f>
        <v>2025</v>
      </c>
      <c r="AC477" s="3"/>
      <c r="AD477" s="3" t="str">
        <f aca="false">IF(LEFT(AC477&amp;IF(B477="","; Missing Order Date","")&amp;IF(C477="","; Missing Ship Date","")&amp;IF(P477&lt;0,"; Invalid Discount (Negative)","")&amp;IF(P477&gt;0.5,"; Invalid Discount (Too High)","")&amp;IF(Z477&lt;0,"; Invalid Shipping Record (Ship Before Order)","")&amp;IF(ABS(Q477-W477)&gt;1,"; Sales Mismatch","")&amp;IF(ABS(S477-X477)&gt;1,"; Profit Mismatch","")&amp;IF(COUNTIF($A$2:$A$913,A477)&gt;1,"; Duplicate Order ID Conflict",""),2)="; ",MID(AC477&amp;IF(B477="","; Missing Order Date","")&amp;IF(C477="","; Missing Ship Date","")&amp;IF(P477&lt;0,"; Invalid Discount (Negative)","")&amp;IF(P477&gt;0.5,"; Invalid Discount (Too High)","")&amp;IF(Z477&lt;0,"; Invalid Shipping Record (Ship Before Order)","")&amp;IF(ABS(Q477-W477)&gt;1,"; Sales Mismatch","")&amp;IF(ABS(S477-X477)&gt;1,"; Profit Mismatch","")&amp;IF(COUNTIF($A$2:$A$913,A477)&gt;1,"; Duplicate Order ID Conflict",""),3,500),AC477&amp;IF(B477="","; Missing Order Date","")&amp;IF(C477="","; Missing Ship Date","")&amp;IF(P477&lt;0,"; Invalid Discount (Negative)","")&amp;IF(P477&gt;0.5,"; Invalid Discount (Too High)","")&amp;IF(Z477&lt;0,"; Invalid Shipping Record (Ship Before Order)","")&amp;IF(ABS(Q477-W477)&gt;1,"; Sales Mismatch","")&amp;IF(ABS(S477-X477)&gt;1,"; Profit Mismatch","")&amp;IF(COUNTIF($A$2:$A$913,A477)&gt;1,"; Duplicate Order ID Conflict",""))</f>
        <v/>
      </c>
      <c r="AE477" s="10" t="str">
        <f aca="false">IF(OR(ISNUMBER(SEARCH("Invalid Discount",AD477)),ISNUMBER(SEARCH("Invalid Shipping Record",AD477)),ISNUMBER(SEARCH("Sales Mismatch",AD477)),ISNUMBER(SEARCH("Profit Mismatch",AD477)),ISNUMBER(SEARCH("Duplicate Order ID Conflict",AD477)),ISNUMBER(SEARCH("Missing Order Date",AD477)),ISNUMBER(SEARCH("Missing Ship Date",AD477))),"Invalid",IF(AD477&lt;&gt;"","Warning","Clean"))</f>
        <v>Clean</v>
      </c>
    </row>
    <row r="478" customFormat="false" ht="15" hidden="false" customHeight="true" outlineLevel="0" collapsed="false">
      <c r="A478" s="3" t="s">
        <v>1450</v>
      </c>
      <c r="B478" s="4" t="n">
        <v>45419</v>
      </c>
      <c r="C478" s="4" t="n">
        <v>45426</v>
      </c>
      <c r="D478" s="3" t="s">
        <v>1451</v>
      </c>
      <c r="E478" s="3" t="str">
        <f aca="false">PROPER(TRIM(SUBSTITUTE(Raw_Text_Fields!B479,CHAR(160)," ")))</f>
        <v>Sneha Kapoor</v>
      </c>
      <c r="F478" s="3" t="str">
        <f aca="false">PROPER(TRIM(SUBSTITUTE(Raw_Text_Fields!C479,CHAR(160)," ")))</f>
        <v>Small Business</v>
      </c>
      <c r="G478" s="3" t="str">
        <f aca="false">PROPER(TRIM(SUBSTITUTE(Raw_Text_Fields!D479,CHAR(160)," ")))</f>
        <v>North</v>
      </c>
      <c r="H478" s="3" t="str">
        <f aca="false">PROPER(TRIM(SUBSTITUTE(Raw_Text_Fields!E479,CHAR(160)," ")))</f>
        <v>Rajasthan</v>
      </c>
      <c r="I478" s="3" t="str">
        <f aca="false">PROPER(TRIM(SUBSTITUTE(Raw_Text_Fields!F479,CHAR(160)," ")))</f>
        <v>Jaipur</v>
      </c>
      <c r="J478" s="3" t="str">
        <f aca="false">PROPER(TRIM(SUBSTITUTE(Raw_Text_Fields!G479,CHAR(160)," ")))</f>
        <v>Office Supplies</v>
      </c>
      <c r="K478" s="3" t="str">
        <f aca="false">PROPER(TRIM(SUBSTITUTE(Raw_Text_Fields!H479,CHAR(160)," ")))</f>
        <v>Storage</v>
      </c>
      <c r="L478" s="3" t="s">
        <v>1452</v>
      </c>
      <c r="M478" s="3" t="str">
        <f aca="false">PROPER(TRIM(SUBSTITUTE(Raw_Text_Fields!I479,CHAR(160)," ")))</f>
        <v>First Class</v>
      </c>
      <c r="N478" s="3" t="n">
        <v>3</v>
      </c>
      <c r="O478" s="5" t="n">
        <v>383.58</v>
      </c>
      <c r="P478" s="6" t="n">
        <v>0.1</v>
      </c>
      <c r="Q478" s="5" t="n">
        <v>1035.67</v>
      </c>
      <c r="R478" s="5" t="n">
        <v>595.42</v>
      </c>
      <c r="S478" s="5" t="n">
        <v>440.25</v>
      </c>
      <c r="T478" s="3" t="str">
        <f aca="false">PROPER(TRIM(SUBSTITUTE(Raw_Text_Fields!J479,CHAR(160)," ")))</f>
        <v>Paid</v>
      </c>
      <c r="U478" s="3" t="str">
        <f aca="false">PROPER(TRIM(SUBSTITUTE(Raw_Text_Fields!K479,CHAR(160)," ")))</f>
        <v>Completed</v>
      </c>
      <c r="V478" s="7" t="n">
        <f aca="false">IF(OR(P478&lt;0,P478&gt;0.5),0,P478)</f>
        <v>0.1</v>
      </c>
      <c r="W478" s="8" t="n">
        <f aca="false">N478*O478*(1-V478)</f>
        <v>1035.666</v>
      </c>
      <c r="X478" s="8" t="n">
        <f aca="false">W478-R478</f>
        <v>440.246</v>
      </c>
      <c r="Y478" s="7" t="n">
        <f aca="false">IFERROR(X478/W478,0)</f>
        <v>0.425084921200464</v>
      </c>
      <c r="Z478" s="9" t="n">
        <f aca="false">C478-B478</f>
        <v>7</v>
      </c>
      <c r="AA478" s="1" t="str">
        <f aca="false">IF(B478="","",TEXT(B478,"mmm"))</f>
        <v>May</v>
      </c>
      <c r="AB478" s="9" t="n">
        <f aca="false">IF(B478="","",YEAR(B478))</f>
        <v>2024</v>
      </c>
      <c r="AC478" s="3"/>
      <c r="AD478" s="3" t="str">
        <f aca="false">IF(LEFT(AC478&amp;IF(B478="","; Missing Order Date","")&amp;IF(C478="","; Missing Ship Date","")&amp;IF(P478&lt;0,"; Invalid Discount (Negative)","")&amp;IF(P478&gt;0.5,"; Invalid Discount (Too High)","")&amp;IF(Z478&lt;0,"; Invalid Shipping Record (Ship Before Order)","")&amp;IF(ABS(Q478-W478)&gt;1,"; Sales Mismatch","")&amp;IF(ABS(S478-X478)&gt;1,"; Profit Mismatch","")&amp;IF(COUNTIF($A$2:$A$913,A478)&gt;1,"; Duplicate Order ID Conflict",""),2)="; ",MID(AC478&amp;IF(B478="","; Missing Order Date","")&amp;IF(C478="","; Missing Ship Date","")&amp;IF(P478&lt;0,"; Invalid Discount (Negative)","")&amp;IF(P478&gt;0.5,"; Invalid Discount (Too High)","")&amp;IF(Z478&lt;0,"; Invalid Shipping Record (Ship Before Order)","")&amp;IF(ABS(Q478-W478)&gt;1,"; Sales Mismatch","")&amp;IF(ABS(S478-X478)&gt;1,"; Profit Mismatch","")&amp;IF(COUNTIF($A$2:$A$913,A478)&gt;1,"; Duplicate Order ID Conflict",""),3,500),AC478&amp;IF(B478="","; Missing Order Date","")&amp;IF(C478="","; Missing Ship Date","")&amp;IF(P478&lt;0,"; Invalid Discount (Negative)","")&amp;IF(P478&gt;0.5,"; Invalid Discount (Too High)","")&amp;IF(Z478&lt;0,"; Invalid Shipping Record (Ship Before Order)","")&amp;IF(ABS(Q478-W478)&gt;1,"; Sales Mismatch","")&amp;IF(ABS(S478-X478)&gt;1,"; Profit Mismatch","")&amp;IF(COUNTIF($A$2:$A$913,A478)&gt;1,"; Duplicate Order ID Conflict",""))</f>
        <v/>
      </c>
      <c r="AE478" s="10" t="str">
        <f aca="false">IF(OR(ISNUMBER(SEARCH("Invalid Discount",AD478)),ISNUMBER(SEARCH("Invalid Shipping Record",AD478)),ISNUMBER(SEARCH("Sales Mismatch",AD478)),ISNUMBER(SEARCH("Profit Mismatch",AD478)),ISNUMBER(SEARCH("Duplicate Order ID Conflict",AD478)),ISNUMBER(SEARCH("Missing Order Date",AD478)),ISNUMBER(SEARCH("Missing Ship Date",AD478))),"Invalid",IF(AD478&lt;&gt;"","Warning","Clean"))</f>
        <v>Clean</v>
      </c>
    </row>
    <row r="479" customFormat="false" ht="15" hidden="false" customHeight="true" outlineLevel="0" collapsed="false">
      <c r="A479" s="3" t="s">
        <v>1453</v>
      </c>
      <c r="B479" s="4" t="n">
        <v>45892</v>
      </c>
      <c r="C479" s="4" t="n">
        <v>45897</v>
      </c>
      <c r="D479" s="3" t="s">
        <v>1454</v>
      </c>
      <c r="E479" s="3" t="str">
        <f aca="false">PROPER(TRIM(SUBSTITUTE(Raw_Text_Fields!B480,CHAR(160)," ")))</f>
        <v>Vikram Iyer</v>
      </c>
      <c r="F479" s="3" t="str">
        <f aca="false">PROPER(TRIM(SUBSTITUTE(Raw_Text_Fields!C480,CHAR(160)," ")))</f>
        <v>Corporate</v>
      </c>
      <c r="G479" s="3" t="str">
        <f aca="false">PROPER(TRIM(SUBSTITUTE(Raw_Text_Fields!D480,CHAR(160)," ")))</f>
        <v>West</v>
      </c>
      <c r="H479" s="3" t="str">
        <f aca="false">PROPER(TRIM(SUBSTITUTE(Raw_Text_Fields!E480,CHAR(160)," ")))</f>
        <v>Gujarat</v>
      </c>
      <c r="I479" s="3" t="str">
        <f aca="false">PROPER(TRIM(SUBSTITUTE(Raw_Text_Fields!F480,CHAR(160)," ")))</f>
        <v>Ahmedabad</v>
      </c>
      <c r="J479" s="3" t="str">
        <f aca="false">PROPER(TRIM(SUBSTITUTE(Raw_Text_Fields!G480,CHAR(160)," ")))</f>
        <v>Furniture</v>
      </c>
      <c r="K479" s="3" t="str">
        <f aca="false">PROPER(TRIM(SUBSTITUTE(Raw_Text_Fields!H480,CHAR(160)," ")))</f>
        <v>Chairs</v>
      </c>
      <c r="L479" s="3" t="s">
        <v>1455</v>
      </c>
      <c r="M479" s="3" t="str">
        <f aca="false">PROPER(TRIM(SUBSTITUTE(Raw_Text_Fields!I480,CHAR(160)," ")))</f>
        <v>Standard Class</v>
      </c>
      <c r="N479" s="3" t="n">
        <v>6</v>
      </c>
      <c r="O479" s="5" t="n">
        <v>2193.23</v>
      </c>
      <c r="P479" s="6" t="n">
        <v>0.1</v>
      </c>
      <c r="Q479" s="5" t="n">
        <v>11843.44</v>
      </c>
      <c r="R479" s="5" t="n">
        <v>9356.88</v>
      </c>
      <c r="S479" s="5" t="n">
        <v>2486.56</v>
      </c>
      <c r="T479" s="3" t="str">
        <f aca="false">PROPER(TRIM(SUBSTITUTE(Raw_Text_Fields!J480,CHAR(160)," ")))</f>
        <v>Paid</v>
      </c>
      <c r="U479" s="3" t="str">
        <f aca="false">PROPER(TRIM(SUBSTITUTE(Raw_Text_Fields!K480,CHAR(160)," ")))</f>
        <v>Cancelled</v>
      </c>
      <c r="V479" s="7" t="n">
        <f aca="false">IF(OR(P479&lt;0,P479&gt;0.5),0,P479)</f>
        <v>0.1</v>
      </c>
      <c r="W479" s="8" t="n">
        <f aca="false">N479*O479*(1-V479)</f>
        <v>11843.442</v>
      </c>
      <c r="X479" s="8" t="n">
        <f aca="false">W479-R479</f>
        <v>2486.562</v>
      </c>
      <c r="Y479" s="7" t="n">
        <f aca="false">IFERROR(X479/W479,0)</f>
        <v>0.20995264721185</v>
      </c>
      <c r="Z479" s="9" t="n">
        <f aca="false">C479-B479</f>
        <v>5</v>
      </c>
      <c r="AA479" s="1" t="str">
        <f aca="false">IF(B479="","",TEXT(B479,"mmm"))</f>
        <v>Aug</v>
      </c>
      <c r="AB479" s="9" t="n">
        <f aca="false">IF(B479="","",YEAR(B479))</f>
        <v>2025</v>
      </c>
      <c r="AC479" s="3"/>
      <c r="AD479" s="3" t="str">
        <f aca="false">IF(LEFT(AC479&amp;IF(B479="","; Missing Order Date","")&amp;IF(C479="","; Missing Ship Date","")&amp;IF(P479&lt;0,"; Invalid Discount (Negative)","")&amp;IF(P479&gt;0.5,"; Invalid Discount (Too High)","")&amp;IF(Z479&lt;0,"; Invalid Shipping Record (Ship Before Order)","")&amp;IF(ABS(Q479-W479)&gt;1,"; Sales Mismatch","")&amp;IF(ABS(S479-X479)&gt;1,"; Profit Mismatch","")&amp;IF(COUNTIF($A$2:$A$913,A479)&gt;1,"; Duplicate Order ID Conflict",""),2)="; ",MID(AC479&amp;IF(B479="","; Missing Order Date","")&amp;IF(C479="","; Missing Ship Date","")&amp;IF(P479&lt;0,"; Invalid Discount (Negative)","")&amp;IF(P479&gt;0.5,"; Invalid Discount (Too High)","")&amp;IF(Z479&lt;0,"; Invalid Shipping Record (Ship Before Order)","")&amp;IF(ABS(Q479-W479)&gt;1,"; Sales Mismatch","")&amp;IF(ABS(S479-X479)&gt;1,"; Profit Mismatch","")&amp;IF(COUNTIF($A$2:$A$913,A479)&gt;1,"; Duplicate Order ID Conflict",""),3,500),AC479&amp;IF(B479="","; Missing Order Date","")&amp;IF(C479="","; Missing Ship Date","")&amp;IF(P479&lt;0,"; Invalid Discount (Negative)","")&amp;IF(P479&gt;0.5,"; Invalid Discount (Too High)","")&amp;IF(Z479&lt;0,"; Invalid Shipping Record (Ship Before Order)","")&amp;IF(ABS(Q479-W479)&gt;1,"; Sales Mismatch","")&amp;IF(ABS(S479-X479)&gt;1,"; Profit Mismatch","")&amp;IF(COUNTIF($A$2:$A$913,A479)&gt;1,"; Duplicate Order ID Conflict",""))</f>
        <v/>
      </c>
      <c r="AE479" s="10" t="str">
        <f aca="false">IF(OR(ISNUMBER(SEARCH("Invalid Discount",AD479)),ISNUMBER(SEARCH("Invalid Shipping Record",AD479)),ISNUMBER(SEARCH("Sales Mismatch",AD479)),ISNUMBER(SEARCH("Profit Mismatch",AD479)),ISNUMBER(SEARCH("Duplicate Order ID Conflict",AD479)),ISNUMBER(SEARCH("Missing Order Date",AD479)),ISNUMBER(SEARCH("Missing Ship Date",AD479))),"Invalid",IF(AD479&lt;&gt;"","Warning","Clean"))</f>
        <v>Clean</v>
      </c>
    </row>
    <row r="480" customFormat="false" ht="15" hidden="false" customHeight="true" outlineLevel="0" collapsed="false">
      <c r="A480" s="3" t="s">
        <v>1456</v>
      </c>
      <c r="B480" s="4" t="n">
        <v>45452</v>
      </c>
      <c r="C480" s="4" t="n">
        <v>45456</v>
      </c>
      <c r="D480" s="3" t="s">
        <v>1457</v>
      </c>
      <c r="E480" s="3" t="str">
        <f aca="false">PROPER(TRIM(SUBSTITUTE(Raw_Text_Fields!B481,CHAR(160)," ")))</f>
        <v>Mira Das</v>
      </c>
      <c r="F480" s="3" t="str">
        <f aca="false">PROPER(TRIM(SUBSTITUTE(Raw_Text_Fields!C481,CHAR(160)," ")))</f>
        <v>Home Office</v>
      </c>
      <c r="G480" s="3" t="str">
        <f aca="false">PROPER(TRIM(SUBSTITUTE(Raw_Text_Fields!D481,CHAR(160)," ")))</f>
        <v>Unknown</v>
      </c>
      <c r="H480" s="3" t="str">
        <f aca="false">PROPER(TRIM(SUBSTITUTE(Raw_Text_Fields!E481,CHAR(160)," ")))</f>
        <v>Uttar Pradesh</v>
      </c>
      <c r="I480" s="3" t="str">
        <f aca="false">PROPER(TRIM(SUBSTITUTE(Raw_Text_Fields!F481,CHAR(160)," ")))</f>
        <v>Noida</v>
      </c>
      <c r="J480" s="3" t="str">
        <f aca="false">PROPER(TRIM(SUBSTITUTE(Raw_Text_Fields!G481,CHAR(160)," ")))</f>
        <v>Technology</v>
      </c>
      <c r="K480" s="3" t="str">
        <f aca="false">PROPER(TRIM(SUBSTITUTE(Raw_Text_Fields!H481,CHAR(160)," ")))</f>
        <v>Machines</v>
      </c>
      <c r="L480" s="3" t="s">
        <v>1458</v>
      </c>
      <c r="M480" s="3" t="str">
        <f aca="false">PROPER(TRIM(SUBSTITUTE(Raw_Text_Fields!I481,CHAR(160)," ")))</f>
        <v>Same Day</v>
      </c>
      <c r="N480" s="3" t="n">
        <v>7</v>
      </c>
      <c r="O480" s="5" t="n">
        <v>4079.71</v>
      </c>
      <c r="P480" s="6" t="n">
        <v>0.1</v>
      </c>
      <c r="Q480" s="5" t="n">
        <v>25702.17</v>
      </c>
      <c r="R480" s="5" t="n">
        <v>14571.48</v>
      </c>
      <c r="S480" s="5" t="n">
        <v>11130.69</v>
      </c>
      <c r="T480" s="3" t="str">
        <f aca="false">PROPER(TRIM(SUBSTITUTE(Raw_Text_Fields!J481,CHAR(160)," ")))</f>
        <v>Refunded</v>
      </c>
      <c r="U480" s="3" t="str">
        <f aca="false">PROPER(TRIM(SUBSTITUTE(Raw_Text_Fields!K481,CHAR(160)," ")))</f>
        <v>Returned</v>
      </c>
      <c r="V480" s="7" t="n">
        <f aca="false">IF(OR(P480&lt;0,P480&gt;0.5),0,P480)</f>
        <v>0.1</v>
      </c>
      <c r="W480" s="8" t="n">
        <f aca="false">N480*O480*(1-V480)</f>
        <v>25702.173</v>
      </c>
      <c r="X480" s="8" t="n">
        <f aca="false">W480-R480</f>
        <v>11130.693</v>
      </c>
      <c r="Y480" s="7" t="n">
        <f aca="false">IFERROR(X480/W480,0)</f>
        <v>0.433064278261609</v>
      </c>
      <c r="Z480" s="9" t="n">
        <f aca="false">C480-B480</f>
        <v>4</v>
      </c>
      <c r="AA480" s="1" t="str">
        <f aca="false">IF(B480="","",TEXT(B480,"mmm"))</f>
        <v>Jun</v>
      </c>
      <c r="AB480" s="9" t="n">
        <f aca="false">IF(B480="","",YEAR(B480))</f>
        <v>2024</v>
      </c>
      <c r="AC480" s="3" t="s">
        <v>372</v>
      </c>
      <c r="AD480" s="3" t="str">
        <f aca="false">IF(LEFT(AC480&amp;IF(B480="","; Missing Order Date","")&amp;IF(C480="","; Missing Ship Date","")&amp;IF(P480&lt;0,"; Invalid Discount (Negative)","")&amp;IF(P480&gt;0.5,"; Invalid Discount (Too High)","")&amp;IF(Z480&lt;0,"; Invalid Shipping Record (Ship Before Order)","")&amp;IF(ABS(Q480-W480)&gt;1,"; Sales Mismatch","")&amp;IF(ABS(S480-X480)&gt;1,"; Profit Mismatch","")&amp;IF(COUNTIF($A$2:$A$913,A480)&gt;1,"; Duplicate Order ID Conflict",""),2)="; ",MID(AC480&amp;IF(B480="","; Missing Order Date","")&amp;IF(C480="","; Missing Ship Date","")&amp;IF(P480&lt;0,"; Invalid Discount (Negative)","")&amp;IF(P480&gt;0.5,"; Invalid Discount (Too High)","")&amp;IF(Z480&lt;0,"; Invalid Shipping Record (Ship Before Order)","")&amp;IF(ABS(Q480-W480)&gt;1,"; Sales Mismatch","")&amp;IF(ABS(S480-X480)&gt;1,"; Profit Mismatch","")&amp;IF(COUNTIF($A$2:$A$913,A480)&gt;1,"; Duplicate Order ID Conflict",""),3,500),AC480&amp;IF(B480="","; Missing Order Date","")&amp;IF(C480="","; Missing Ship Date","")&amp;IF(P480&lt;0,"; Invalid Discount (Negative)","")&amp;IF(P480&gt;0.5,"; Invalid Discount (Too High)","")&amp;IF(Z480&lt;0,"; Invalid Shipping Record (Ship Before Order)","")&amp;IF(ABS(Q480-W480)&gt;1,"; Sales Mismatch","")&amp;IF(ABS(S480-X480)&gt;1,"; Profit Mismatch","")&amp;IF(COUNTIF($A$2:$A$913,A480)&gt;1,"; Duplicate Order ID Conflict",""))</f>
        <v>Missing Region (filled Unknown)</v>
      </c>
      <c r="AE480" s="10" t="str">
        <f aca="false">IF(OR(ISNUMBER(SEARCH("Invalid Discount",AD480)),ISNUMBER(SEARCH("Invalid Shipping Record",AD480)),ISNUMBER(SEARCH("Sales Mismatch",AD480)),ISNUMBER(SEARCH("Profit Mismatch",AD480)),ISNUMBER(SEARCH("Duplicate Order ID Conflict",AD480)),ISNUMBER(SEARCH("Missing Order Date",AD480)),ISNUMBER(SEARCH("Missing Ship Date",AD480))),"Invalid",IF(AD480&lt;&gt;"","Warning","Clean"))</f>
        <v>Warning</v>
      </c>
    </row>
    <row r="481" customFormat="false" ht="15" hidden="false" customHeight="true" outlineLevel="0" collapsed="false">
      <c r="A481" s="3" t="s">
        <v>1459</v>
      </c>
      <c r="B481" s="4" t="n">
        <v>45345</v>
      </c>
      <c r="C481" s="4" t="n">
        <v>45342</v>
      </c>
      <c r="D481" s="3" t="s">
        <v>1460</v>
      </c>
      <c r="E481" s="3" t="str">
        <f aca="false">PROPER(TRIM(SUBSTITUTE(Raw_Text_Fields!B482,CHAR(160)," ")))</f>
        <v>Arjun Bose</v>
      </c>
      <c r="F481" s="3" t="str">
        <f aca="false">PROPER(TRIM(SUBSTITUTE(Raw_Text_Fields!C482,CHAR(160)," ")))</f>
        <v>Corporate</v>
      </c>
      <c r="G481" s="3" t="str">
        <f aca="false">PROPER(TRIM(SUBSTITUTE(Raw_Text_Fields!D482,CHAR(160)," ")))</f>
        <v>East</v>
      </c>
      <c r="H481" s="3" t="str">
        <f aca="false">PROPER(TRIM(SUBSTITUTE(Raw_Text_Fields!E482,CHAR(160)," ")))</f>
        <v>Odisha</v>
      </c>
      <c r="I481" s="3" t="str">
        <f aca="false">PROPER(TRIM(SUBSTITUTE(Raw_Text_Fields!F482,CHAR(160)," ")))</f>
        <v>Bhubaneswar</v>
      </c>
      <c r="J481" s="3" t="str">
        <f aca="false">PROPER(TRIM(SUBSTITUTE(Raw_Text_Fields!G482,CHAR(160)," ")))</f>
        <v>Furniture</v>
      </c>
      <c r="K481" s="3" t="str">
        <f aca="false">PROPER(TRIM(SUBSTITUTE(Raw_Text_Fields!H482,CHAR(160)," ")))</f>
        <v>Chairs</v>
      </c>
      <c r="L481" s="3" t="s">
        <v>1461</v>
      </c>
      <c r="M481" s="3" t="str">
        <f aca="false">PROPER(TRIM(SUBSTITUTE(Raw_Text_Fields!I482,CHAR(160)," ")))</f>
        <v>Second Class</v>
      </c>
      <c r="N481" s="3" t="n">
        <v>1</v>
      </c>
      <c r="O481" s="5" t="n">
        <v>2202.55</v>
      </c>
      <c r="P481" s="6" t="n">
        <v>0</v>
      </c>
      <c r="Q481" s="5" t="n">
        <v>1651.91</v>
      </c>
      <c r="R481" s="5" t="n">
        <v>1034.57</v>
      </c>
      <c r="S481" s="5" t="n">
        <v>617.34</v>
      </c>
      <c r="T481" s="3" t="str">
        <f aca="false">PROPER(TRIM(SUBSTITUTE(Raw_Text_Fields!J482,CHAR(160)," ")))</f>
        <v>Paid</v>
      </c>
      <c r="U481" s="3" t="str">
        <f aca="false">PROPER(TRIM(SUBSTITUTE(Raw_Text_Fields!K482,CHAR(160)," ")))</f>
        <v>Completed</v>
      </c>
      <c r="V481" s="7" t="n">
        <f aca="false">IF(OR(P481&lt;0,P481&gt;0.5),0,P481)</f>
        <v>0</v>
      </c>
      <c r="W481" s="8" t="n">
        <f aca="false">N481*O481*(1-V481)</f>
        <v>2202.55</v>
      </c>
      <c r="X481" s="8" t="n">
        <f aca="false">W481-R481</f>
        <v>1167.98</v>
      </c>
      <c r="Y481" s="7" t="n">
        <f aca="false">IFERROR(X481/W481,0)</f>
        <v>0.53028535107035</v>
      </c>
      <c r="Z481" s="9" t="n">
        <f aca="false">C481-B481</f>
        <v>-3</v>
      </c>
      <c r="AA481" s="1" t="str">
        <f aca="false">IF(B481="","",TEXT(B481,"mmm"))</f>
        <v>Feb</v>
      </c>
      <c r="AB481" s="9" t="n">
        <f aca="false">IF(B481="","",YEAR(B481))</f>
        <v>2024</v>
      </c>
      <c r="AC481" s="3" t="s">
        <v>130</v>
      </c>
      <c r="AD481" s="3" t="str">
        <f aca="false">IF(LEFT(AC481&amp;IF(B481="","; Missing Order Date","")&amp;IF(C481="","; Missing Ship Date","")&amp;IF(P481&lt;0,"; Invalid Discount (Negative)","")&amp;IF(P481&gt;0.5,"; Invalid Discount (Too High)","")&amp;IF(Z481&lt;0,"; Invalid Shipping Record (Ship Before Order)","")&amp;IF(ABS(Q481-W481)&gt;1,"; Sales Mismatch","")&amp;IF(ABS(S481-X481)&gt;1,"; Profit Mismatch","")&amp;IF(COUNTIF($A$2:$A$913,A481)&gt;1,"; Duplicate Order ID Conflict",""),2)="; ",MID(AC481&amp;IF(B481="","; Missing Order Date","")&amp;IF(C481="","; Missing Ship Date","")&amp;IF(P481&lt;0,"; Invalid Discount (Negative)","")&amp;IF(P481&gt;0.5,"; Invalid Discount (Too High)","")&amp;IF(Z481&lt;0,"; Invalid Shipping Record (Ship Before Order)","")&amp;IF(ABS(Q481-W481)&gt;1,"; Sales Mismatch","")&amp;IF(ABS(S481-X481)&gt;1,"; Profit Mismatch","")&amp;IF(COUNTIF($A$2:$A$913,A481)&gt;1,"; Duplicate Order ID Conflict",""),3,500),AC481&amp;IF(B481="","; Missing Order Date","")&amp;IF(C481="","; Missing Ship Date","")&amp;IF(P481&lt;0,"; Invalid Discount (Negative)","")&amp;IF(P481&gt;0.5,"; Invalid Discount (Too High)","")&amp;IF(Z481&lt;0,"; Invalid Shipping Record (Ship Before Order)","")&amp;IF(ABS(Q481-W481)&gt;1,"; Sales Mismatch","")&amp;IF(ABS(S481-X481)&gt;1,"; Profit Mismatch","")&amp;IF(COUNTIF($A$2:$A$913,A481)&gt;1,"; Duplicate Order ID Conflict",""))</f>
        <v>Missing Discount (defaulted 0); Invalid Shipping Record (Ship Before Order); Sales Mismatch; Profit Mismatch</v>
      </c>
      <c r="AE481" s="10" t="str">
        <f aca="false">IF(OR(ISNUMBER(SEARCH("Invalid Discount",AD481)),ISNUMBER(SEARCH("Invalid Shipping Record",AD481)),ISNUMBER(SEARCH("Sales Mismatch",AD481)),ISNUMBER(SEARCH("Profit Mismatch",AD481)),ISNUMBER(SEARCH("Duplicate Order ID Conflict",AD481)),ISNUMBER(SEARCH("Missing Order Date",AD481)),ISNUMBER(SEARCH("Missing Ship Date",AD481))),"Invalid",IF(AD481&lt;&gt;"","Warning","Clean"))</f>
        <v>Invalid</v>
      </c>
    </row>
    <row r="482" customFormat="false" ht="15" hidden="false" customHeight="true" outlineLevel="0" collapsed="false">
      <c r="A482" s="3" t="s">
        <v>1462</v>
      </c>
      <c r="B482" s="4" t="n">
        <v>45662</v>
      </c>
      <c r="C482" s="4" t="n">
        <v>45666</v>
      </c>
      <c r="D482" s="3" t="s">
        <v>1463</v>
      </c>
      <c r="E482" s="3" t="str">
        <f aca="false">PROPER(TRIM(SUBSTITUTE(Raw_Text_Fields!B483,CHAR(160)," ")))</f>
        <v>Neha Gupta</v>
      </c>
      <c r="F482" s="3" t="str">
        <f aca="false">PROPER(TRIM(SUBSTITUTE(Raw_Text_Fields!C483,CHAR(160)," ")))</f>
        <v>Small Business</v>
      </c>
      <c r="G482" s="3" t="str">
        <f aca="false">PROPER(TRIM(SUBSTITUTE(Raw_Text_Fields!D483,CHAR(160)," ")))</f>
        <v>South</v>
      </c>
      <c r="H482" s="3" t="str">
        <f aca="false">PROPER(TRIM(SUBSTITUTE(Raw_Text_Fields!E483,CHAR(160)," ")))</f>
        <v>Tamil Nadu</v>
      </c>
      <c r="I482" s="3" t="str">
        <f aca="false">PROPER(TRIM(SUBSTITUTE(Raw_Text_Fields!F483,CHAR(160)," ")))</f>
        <v>Chennai</v>
      </c>
      <c r="J482" s="3" t="str">
        <f aca="false">PROPER(TRIM(SUBSTITUTE(Raw_Text_Fields!G483,CHAR(160)," ")))</f>
        <v>Office Supplies</v>
      </c>
      <c r="K482" s="3" t="str">
        <f aca="false">PROPER(TRIM(SUBSTITUTE(Raw_Text_Fields!H483,CHAR(160)," ")))</f>
        <v>Storage</v>
      </c>
      <c r="L482" s="3" t="s">
        <v>1464</v>
      </c>
      <c r="M482" s="3" t="str">
        <f aca="false">PROPER(TRIM(SUBSTITUTE(Raw_Text_Fields!I483,CHAR(160)," ")))</f>
        <v>Unknown</v>
      </c>
      <c r="N482" s="3" t="n">
        <v>5</v>
      </c>
      <c r="O482" s="5" t="n">
        <v>905.16</v>
      </c>
      <c r="P482" s="6" t="n">
        <v>0</v>
      </c>
      <c r="Q482" s="5" t="n">
        <v>4525.8</v>
      </c>
      <c r="R482" s="5" t="n">
        <v>2714.51</v>
      </c>
      <c r="S482" s="5" t="n">
        <v>1811.29</v>
      </c>
      <c r="T482" s="3" t="str">
        <f aca="false">PROPER(TRIM(SUBSTITUTE(Raw_Text_Fields!J483,CHAR(160)," ")))</f>
        <v>Paid</v>
      </c>
      <c r="U482" s="3" t="str">
        <f aca="false">PROPER(TRIM(SUBSTITUTE(Raw_Text_Fields!K483,CHAR(160)," ")))</f>
        <v>Completed</v>
      </c>
      <c r="V482" s="7" t="n">
        <f aca="false">IF(OR(P482&lt;0,P482&gt;0.5),0,P482)</f>
        <v>0</v>
      </c>
      <c r="W482" s="8" t="n">
        <f aca="false">N482*O482*(1-V482)</f>
        <v>4525.8</v>
      </c>
      <c r="X482" s="8" t="n">
        <f aca="false">W482-R482</f>
        <v>1811.29</v>
      </c>
      <c r="Y482" s="7" t="n">
        <f aca="false">IFERROR(X482/W482,0)</f>
        <v>0.400214326748862</v>
      </c>
      <c r="Z482" s="9" t="n">
        <f aca="false">C482-B482</f>
        <v>4</v>
      </c>
      <c r="AA482" s="1" t="str">
        <f aca="false">IF(B482="","",TEXT(B482,"mmm"))</f>
        <v>Jan</v>
      </c>
      <c r="AB482" s="9" t="n">
        <f aca="false">IF(B482="","",YEAR(B482))</f>
        <v>2025</v>
      </c>
      <c r="AC482" s="3" t="s">
        <v>137</v>
      </c>
      <c r="AD482" s="3" t="str">
        <f aca="false">IF(LEFT(AC482&amp;IF(B482="","; Missing Order Date","")&amp;IF(C482="","; Missing Ship Date","")&amp;IF(P482&lt;0,"; Invalid Discount (Negative)","")&amp;IF(P482&gt;0.5,"; Invalid Discount (Too High)","")&amp;IF(Z482&lt;0,"; Invalid Shipping Record (Ship Before Order)","")&amp;IF(ABS(Q482-W482)&gt;1,"; Sales Mismatch","")&amp;IF(ABS(S482-X482)&gt;1,"; Profit Mismatch","")&amp;IF(COUNTIF($A$2:$A$913,A482)&gt;1,"; Duplicate Order ID Conflict",""),2)="; ",MID(AC482&amp;IF(B482="","; Missing Order Date","")&amp;IF(C482="","; Missing Ship Date","")&amp;IF(P482&lt;0,"; Invalid Discount (Negative)","")&amp;IF(P482&gt;0.5,"; Invalid Discount (Too High)","")&amp;IF(Z482&lt;0,"; Invalid Shipping Record (Ship Before Order)","")&amp;IF(ABS(Q482-W482)&gt;1,"; Sales Mismatch","")&amp;IF(ABS(S482-X482)&gt;1,"; Profit Mismatch","")&amp;IF(COUNTIF($A$2:$A$913,A482)&gt;1,"; Duplicate Order ID Conflict",""),3,500),AC482&amp;IF(B482="","; Missing Order Date","")&amp;IF(C482="","; Missing Ship Date","")&amp;IF(P482&lt;0,"; Invalid Discount (Negative)","")&amp;IF(P482&gt;0.5,"; Invalid Discount (Too High)","")&amp;IF(Z482&lt;0,"; Invalid Shipping Record (Ship Before Order)","")&amp;IF(ABS(Q482-W482)&gt;1,"; Sales Mismatch","")&amp;IF(ABS(S482-X482)&gt;1,"; Profit Mismatch","")&amp;IF(COUNTIF($A$2:$A$913,A482)&gt;1,"; Duplicate Order ID Conflict",""))</f>
        <v>Missing Ship Mode (filled Unknown)</v>
      </c>
      <c r="AE482" s="10" t="str">
        <f aca="false">IF(OR(ISNUMBER(SEARCH("Invalid Discount",AD482)),ISNUMBER(SEARCH("Invalid Shipping Record",AD482)),ISNUMBER(SEARCH("Sales Mismatch",AD482)),ISNUMBER(SEARCH("Profit Mismatch",AD482)),ISNUMBER(SEARCH("Duplicate Order ID Conflict",AD482)),ISNUMBER(SEARCH("Missing Order Date",AD482)),ISNUMBER(SEARCH("Missing Ship Date",AD482))),"Invalid",IF(AD482&lt;&gt;"","Warning","Clean"))</f>
        <v>Warning</v>
      </c>
    </row>
    <row r="483" customFormat="false" ht="15" hidden="false" customHeight="true" outlineLevel="0" collapsed="false">
      <c r="A483" s="3" t="s">
        <v>1465</v>
      </c>
      <c r="B483" s="4" t="n">
        <v>45813</v>
      </c>
      <c r="C483" s="4" t="n">
        <v>45821</v>
      </c>
      <c r="D483" s="3" t="s">
        <v>1466</v>
      </c>
      <c r="E483" s="3" t="str">
        <f aca="false">PROPER(TRIM(SUBSTITUTE(Raw_Text_Fields!B484,CHAR(160)," ")))</f>
        <v>Isha Nair</v>
      </c>
      <c r="F483" s="3" t="str">
        <f aca="false">PROPER(TRIM(SUBSTITUTE(Raw_Text_Fields!C484,CHAR(160)," ")))</f>
        <v>Consumer</v>
      </c>
      <c r="G483" s="3" t="str">
        <f aca="false">PROPER(TRIM(SUBSTITUTE(Raw_Text_Fields!D484,CHAR(160)," ")))</f>
        <v>North</v>
      </c>
      <c r="H483" s="3" t="str">
        <f aca="false">PROPER(TRIM(SUBSTITUTE(Raw_Text_Fields!E484,CHAR(160)," ")))</f>
        <v>Uttar Pradesh</v>
      </c>
      <c r="I483" s="3" t="str">
        <f aca="false">PROPER(TRIM(SUBSTITUTE(Raw_Text_Fields!F484,CHAR(160)," ")))</f>
        <v>Noida</v>
      </c>
      <c r="J483" s="3" t="str">
        <f aca="false">PROPER(TRIM(SUBSTITUTE(Raw_Text_Fields!G484,CHAR(160)," ")))</f>
        <v>Technology</v>
      </c>
      <c r="K483" s="3" t="str">
        <f aca="false">PROPER(TRIM(SUBSTITUTE(Raw_Text_Fields!H484,CHAR(160)," ")))</f>
        <v>Machines</v>
      </c>
      <c r="L483" s="3" t="s">
        <v>1467</v>
      </c>
      <c r="M483" s="3" t="str">
        <f aca="false">PROPER(TRIM(SUBSTITUTE(Raw_Text_Fields!I484,CHAR(160)," ")))</f>
        <v>Same Day</v>
      </c>
      <c r="N483" s="3" t="n">
        <v>4</v>
      </c>
      <c r="O483" s="5" t="n">
        <v>2793.88</v>
      </c>
      <c r="P483" s="6" t="n">
        <v>0.85</v>
      </c>
      <c r="Q483" s="5" t="n">
        <v>10616.74</v>
      </c>
      <c r="R483" s="5" t="n">
        <v>6353.59</v>
      </c>
      <c r="S483" s="5" t="n">
        <v>4263.15</v>
      </c>
      <c r="T483" s="3" t="str">
        <f aca="false">PROPER(TRIM(SUBSTITUTE(Raw_Text_Fields!J484,CHAR(160)," ")))</f>
        <v>Paid</v>
      </c>
      <c r="U483" s="3" t="str">
        <f aca="false">PROPER(TRIM(SUBSTITUTE(Raw_Text_Fields!K484,CHAR(160)," ")))</f>
        <v>Completed</v>
      </c>
      <c r="V483" s="7" t="n">
        <f aca="false">IF(OR(P483&lt;0,P483&gt;0.5),0,P483)</f>
        <v>0</v>
      </c>
      <c r="W483" s="8" t="n">
        <f aca="false">N483*O483*(1-V483)</f>
        <v>11175.52</v>
      </c>
      <c r="X483" s="8" t="n">
        <f aca="false">W483-R483</f>
        <v>4821.93</v>
      </c>
      <c r="Y483" s="7" t="n">
        <f aca="false">IFERROR(X483/W483,0)</f>
        <v>0.431472539980243</v>
      </c>
      <c r="Z483" s="9" t="n">
        <f aca="false">C483-B483</f>
        <v>8</v>
      </c>
      <c r="AA483" s="1" t="str">
        <f aca="false">IF(B483="","",TEXT(B483,"mmm"))</f>
        <v>Jun</v>
      </c>
      <c r="AB483" s="9" t="n">
        <f aca="false">IF(B483="","",YEAR(B483))</f>
        <v>2025</v>
      </c>
      <c r="AC483" s="3"/>
      <c r="AD483" s="3" t="str">
        <f aca="false">IF(LEFT(AC483&amp;IF(B483="","; Missing Order Date","")&amp;IF(C483="","; Missing Ship Date","")&amp;IF(P483&lt;0,"; Invalid Discount (Negative)","")&amp;IF(P483&gt;0.5,"; Invalid Discount (Too High)","")&amp;IF(Z483&lt;0,"; Invalid Shipping Record (Ship Before Order)","")&amp;IF(ABS(Q483-W483)&gt;1,"; Sales Mismatch","")&amp;IF(ABS(S483-X483)&gt;1,"; Profit Mismatch","")&amp;IF(COUNTIF($A$2:$A$913,A483)&gt;1,"; Duplicate Order ID Conflict",""),2)="; ",MID(AC483&amp;IF(B483="","; Missing Order Date","")&amp;IF(C483="","; Missing Ship Date","")&amp;IF(P483&lt;0,"; Invalid Discount (Negative)","")&amp;IF(P483&gt;0.5,"; Invalid Discount (Too High)","")&amp;IF(Z483&lt;0,"; Invalid Shipping Record (Ship Before Order)","")&amp;IF(ABS(Q483-W483)&gt;1,"; Sales Mismatch","")&amp;IF(ABS(S483-X483)&gt;1,"; Profit Mismatch","")&amp;IF(COUNTIF($A$2:$A$913,A483)&gt;1,"; Duplicate Order ID Conflict",""),3,500),AC483&amp;IF(B483="","; Missing Order Date","")&amp;IF(C483="","; Missing Ship Date","")&amp;IF(P483&lt;0,"; Invalid Discount (Negative)","")&amp;IF(P483&gt;0.5,"; Invalid Discount (Too High)","")&amp;IF(Z483&lt;0,"; Invalid Shipping Record (Ship Before Order)","")&amp;IF(ABS(Q483-W483)&gt;1,"; Sales Mismatch","")&amp;IF(ABS(S483-X483)&gt;1,"; Profit Mismatch","")&amp;IF(COUNTIF($A$2:$A$913,A483)&gt;1,"; Duplicate Order ID Conflict",""))</f>
        <v>Invalid Discount (Too High); Sales Mismatch; Profit Mismatch</v>
      </c>
      <c r="AE483" s="10" t="str">
        <f aca="false">IF(OR(ISNUMBER(SEARCH("Invalid Discount",AD483)),ISNUMBER(SEARCH("Invalid Shipping Record",AD483)),ISNUMBER(SEARCH("Sales Mismatch",AD483)),ISNUMBER(SEARCH("Profit Mismatch",AD483)),ISNUMBER(SEARCH("Duplicate Order ID Conflict",AD483)),ISNUMBER(SEARCH("Missing Order Date",AD483)),ISNUMBER(SEARCH("Missing Ship Date",AD483))),"Invalid",IF(AD483&lt;&gt;"","Warning","Clean"))</f>
        <v>Invalid</v>
      </c>
    </row>
    <row r="484" customFormat="false" ht="15" hidden="false" customHeight="true" outlineLevel="0" collapsed="false">
      <c r="A484" s="3" t="s">
        <v>1468</v>
      </c>
      <c r="B484" s="4" t="n">
        <v>45495</v>
      </c>
      <c r="C484" s="4" t="n">
        <v>45495</v>
      </c>
      <c r="D484" s="3" t="s">
        <v>1469</v>
      </c>
      <c r="E484" s="3" t="str">
        <f aca="false">PROPER(TRIM(SUBSTITUTE(Raw_Text_Fields!B485,CHAR(160)," ")))</f>
        <v>Priya Menon</v>
      </c>
      <c r="F484" s="3" t="str">
        <f aca="false">PROPER(TRIM(SUBSTITUTE(Raw_Text_Fields!C485,CHAR(160)," ")))</f>
        <v>Consumer</v>
      </c>
      <c r="G484" s="3" t="str">
        <f aca="false">PROPER(TRIM(SUBSTITUTE(Raw_Text_Fields!D485,CHAR(160)," ")))</f>
        <v>South</v>
      </c>
      <c r="H484" s="3" t="str">
        <f aca="false">PROPER(TRIM(SUBSTITUTE(Raw_Text_Fields!E485,CHAR(160)," ")))</f>
        <v>Karnataka</v>
      </c>
      <c r="I484" s="3" t="str">
        <f aca="false">PROPER(TRIM(SUBSTITUTE(Raw_Text_Fields!F485,CHAR(160)," ")))</f>
        <v>Bengaluru</v>
      </c>
      <c r="J484" s="3" t="str">
        <f aca="false">PROPER(TRIM(SUBSTITUTE(Raw_Text_Fields!G485,CHAR(160)," ")))</f>
        <v>Technology</v>
      </c>
      <c r="K484" s="3" t="str">
        <f aca="false">PROPER(TRIM(SUBSTITUTE(Raw_Text_Fields!H485,CHAR(160)," ")))</f>
        <v>Accessories</v>
      </c>
      <c r="L484" s="3" t="s">
        <v>1470</v>
      </c>
      <c r="M484" s="3" t="str">
        <f aca="false">PROPER(TRIM(SUBSTITUTE(Raw_Text_Fields!I485,CHAR(160)," ")))</f>
        <v>Second Class</v>
      </c>
      <c r="N484" s="3" t="n">
        <v>3</v>
      </c>
      <c r="O484" s="5" t="n">
        <v>1286.22</v>
      </c>
      <c r="P484" s="6" t="n">
        <v>0.25</v>
      </c>
      <c r="Q484" s="5" t="n">
        <v>2893.99</v>
      </c>
      <c r="R484" s="5" t="n">
        <v>1856.03</v>
      </c>
      <c r="S484" s="5" t="n">
        <v>1037.96</v>
      </c>
      <c r="T484" s="3" t="str">
        <f aca="false">PROPER(TRIM(SUBSTITUTE(Raw_Text_Fields!J485,CHAR(160)," ")))</f>
        <v>Paid</v>
      </c>
      <c r="U484" s="3" t="str">
        <f aca="false">PROPER(TRIM(SUBSTITUTE(Raw_Text_Fields!K485,CHAR(160)," ")))</f>
        <v>Completed</v>
      </c>
      <c r="V484" s="7" t="n">
        <f aca="false">IF(OR(P484&lt;0,P484&gt;0.5),0,P484)</f>
        <v>0.25</v>
      </c>
      <c r="W484" s="8" t="n">
        <f aca="false">N484*O484*(1-V484)</f>
        <v>2893.995</v>
      </c>
      <c r="X484" s="8" t="n">
        <f aca="false">W484-R484</f>
        <v>1037.965</v>
      </c>
      <c r="Y484" s="7" t="n">
        <f aca="false">IFERROR(X484/W484,0)</f>
        <v>0.358661642470011</v>
      </c>
      <c r="Z484" s="9" t="n">
        <f aca="false">C484-B484</f>
        <v>0</v>
      </c>
      <c r="AA484" s="1" t="str">
        <f aca="false">IF(B484="","",TEXT(B484,"mmm"))</f>
        <v>Jul</v>
      </c>
      <c r="AB484" s="9" t="n">
        <f aca="false">IF(B484="","",YEAR(B484))</f>
        <v>2024</v>
      </c>
      <c r="AC484" s="3"/>
      <c r="AD484" s="3" t="str">
        <f aca="false">IF(LEFT(AC484&amp;IF(B484="","; Missing Order Date","")&amp;IF(C484="","; Missing Ship Date","")&amp;IF(P484&lt;0,"; Invalid Discount (Negative)","")&amp;IF(P484&gt;0.5,"; Invalid Discount (Too High)","")&amp;IF(Z484&lt;0,"; Invalid Shipping Record (Ship Before Order)","")&amp;IF(ABS(Q484-W484)&gt;1,"; Sales Mismatch","")&amp;IF(ABS(S484-X484)&gt;1,"; Profit Mismatch","")&amp;IF(COUNTIF($A$2:$A$913,A484)&gt;1,"; Duplicate Order ID Conflict",""),2)="; ",MID(AC484&amp;IF(B484="","; Missing Order Date","")&amp;IF(C484="","; Missing Ship Date","")&amp;IF(P484&lt;0,"; Invalid Discount (Negative)","")&amp;IF(P484&gt;0.5,"; Invalid Discount (Too High)","")&amp;IF(Z484&lt;0,"; Invalid Shipping Record (Ship Before Order)","")&amp;IF(ABS(Q484-W484)&gt;1,"; Sales Mismatch","")&amp;IF(ABS(S484-X484)&gt;1,"; Profit Mismatch","")&amp;IF(COUNTIF($A$2:$A$913,A484)&gt;1,"; Duplicate Order ID Conflict",""),3,500),AC484&amp;IF(B484="","; Missing Order Date","")&amp;IF(C484="","; Missing Ship Date","")&amp;IF(P484&lt;0,"; Invalid Discount (Negative)","")&amp;IF(P484&gt;0.5,"; Invalid Discount (Too High)","")&amp;IF(Z484&lt;0,"; Invalid Shipping Record (Ship Before Order)","")&amp;IF(ABS(Q484-W484)&gt;1,"; Sales Mismatch","")&amp;IF(ABS(S484-X484)&gt;1,"; Profit Mismatch","")&amp;IF(COUNTIF($A$2:$A$913,A484)&gt;1,"; Duplicate Order ID Conflict",""))</f>
        <v/>
      </c>
      <c r="AE484" s="10" t="str">
        <f aca="false">IF(OR(ISNUMBER(SEARCH("Invalid Discount",AD484)),ISNUMBER(SEARCH("Invalid Shipping Record",AD484)),ISNUMBER(SEARCH("Sales Mismatch",AD484)),ISNUMBER(SEARCH("Profit Mismatch",AD484)),ISNUMBER(SEARCH("Duplicate Order ID Conflict",AD484)),ISNUMBER(SEARCH("Missing Order Date",AD484)),ISNUMBER(SEARCH("Missing Ship Date",AD484))),"Invalid",IF(AD484&lt;&gt;"","Warning","Clean"))</f>
        <v>Clean</v>
      </c>
    </row>
    <row r="485" customFormat="false" ht="15" hidden="false" customHeight="true" outlineLevel="0" collapsed="false">
      <c r="A485" s="3" t="s">
        <v>1471</v>
      </c>
      <c r="B485" s="4" t="n">
        <v>45651</v>
      </c>
      <c r="C485" s="4" t="n">
        <v>45651</v>
      </c>
      <c r="D485" s="3" t="s">
        <v>1472</v>
      </c>
      <c r="E485" s="3" t="str">
        <f aca="false">PROPER(TRIM(SUBSTITUTE(Raw_Text_Fields!B486,CHAR(160)," ")))</f>
        <v>Mira Das</v>
      </c>
      <c r="F485" s="3" t="str">
        <f aca="false">PROPER(TRIM(SUBSTITUTE(Raw_Text_Fields!C486,CHAR(160)," ")))</f>
        <v>Corporate</v>
      </c>
      <c r="G485" s="3" t="str">
        <f aca="false">PROPER(TRIM(SUBSTITUTE(Raw_Text_Fields!D486,CHAR(160)," ")))</f>
        <v>East</v>
      </c>
      <c r="H485" s="3" t="str">
        <f aca="false">PROPER(TRIM(SUBSTITUTE(Raw_Text_Fields!E486,CHAR(160)," ")))</f>
        <v>Bihar</v>
      </c>
      <c r="I485" s="3" t="str">
        <f aca="false">PROPER(TRIM(SUBSTITUTE(Raw_Text_Fields!F486,CHAR(160)," ")))</f>
        <v>Patna</v>
      </c>
      <c r="J485" s="3" t="str">
        <f aca="false">PROPER(TRIM(SUBSTITUTE(Raw_Text_Fields!G486,CHAR(160)," ")))</f>
        <v>Technology</v>
      </c>
      <c r="K485" s="3" t="str">
        <f aca="false">PROPER(TRIM(SUBSTITUTE(Raw_Text_Fields!H486,CHAR(160)," ")))</f>
        <v>Copiers</v>
      </c>
      <c r="L485" s="3" t="s">
        <v>1473</v>
      </c>
      <c r="M485" s="3" t="str">
        <f aca="false">PROPER(TRIM(SUBSTITUTE(Raw_Text_Fields!I486,CHAR(160)," ")))</f>
        <v>Standard Class</v>
      </c>
      <c r="N485" s="3" t="n">
        <v>1</v>
      </c>
      <c r="O485" s="5" t="n">
        <v>829.66</v>
      </c>
      <c r="P485" s="6" t="n">
        <v>0.15</v>
      </c>
      <c r="Q485" s="5" t="n">
        <v>705.21</v>
      </c>
      <c r="R485" s="5" t="n">
        <v>438.32</v>
      </c>
      <c r="S485" s="5" t="n">
        <v>266.89</v>
      </c>
      <c r="T485" s="3" t="str">
        <f aca="false">PROPER(TRIM(SUBSTITUTE(Raw_Text_Fields!J486,CHAR(160)," ")))</f>
        <v>Paid</v>
      </c>
      <c r="U485" s="3" t="str">
        <f aca="false">PROPER(TRIM(SUBSTITUTE(Raw_Text_Fields!K486,CHAR(160)," ")))</f>
        <v>Completed</v>
      </c>
      <c r="V485" s="7" t="n">
        <f aca="false">IF(OR(P485&lt;0,P485&gt;0.5),0,P485)</f>
        <v>0.15</v>
      </c>
      <c r="W485" s="8" t="n">
        <f aca="false">N485*O485*(1-V485)</f>
        <v>705.211</v>
      </c>
      <c r="X485" s="8" t="n">
        <f aca="false">W485-R485</f>
        <v>266.891</v>
      </c>
      <c r="Y485" s="7" t="n">
        <f aca="false">IFERROR(X485/W485,0)</f>
        <v>0.378455526076593</v>
      </c>
      <c r="Z485" s="9" t="n">
        <f aca="false">C485-B485</f>
        <v>0</v>
      </c>
      <c r="AA485" s="1" t="str">
        <f aca="false">IF(B485="","",TEXT(B485,"mmm"))</f>
        <v>Dec</v>
      </c>
      <c r="AB485" s="9" t="n">
        <f aca="false">IF(B485="","",YEAR(B485))</f>
        <v>2024</v>
      </c>
      <c r="AC485" s="3"/>
      <c r="AD485" s="3" t="str">
        <f aca="false">IF(LEFT(AC485&amp;IF(B485="","; Missing Order Date","")&amp;IF(C485="","; Missing Ship Date","")&amp;IF(P485&lt;0,"; Invalid Discount (Negative)","")&amp;IF(P485&gt;0.5,"; Invalid Discount (Too High)","")&amp;IF(Z485&lt;0,"; Invalid Shipping Record (Ship Before Order)","")&amp;IF(ABS(Q485-W485)&gt;1,"; Sales Mismatch","")&amp;IF(ABS(S485-X485)&gt;1,"; Profit Mismatch","")&amp;IF(COUNTIF($A$2:$A$913,A485)&gt;1,"; Duplicate Order ID Conflict",""),2)="; ",MID(AC485&amp;IF(B485="","; Missing Order Date","")&amp;IF(C485="","; Missing Ship Date","")&amp;IF(P485&lt;0,"; Invalid Discount (Negative)","")&amp;IF(P485&gt;0.5,"; Invalid Discount (Too High)","")&amp;IF(Z485&lt;0,"; Invalid Shipping Record (Ship Before Order)","")&amp;IF(ABS(Q485-W485)&gt;1,"; Sales Mismatch","")&amp;IF(ABS(S485-X485)&gt;1,"; Profit Mismatch","")&amp;IF(COUNTIF($A$2:$A$913,A485)&gt;1,"; Duplicate Order ID Conflict",""),3,500),AC485&amp;IF(B485="","; Missing Order Date","")&amp;IF(C485="","; Missing Ship Date","")&amp;IF(P485&lt;0,"; Invalid Discount (Negative)","")&amp;IF(P485&gt;0.5,"; Invalid Discount (Too High)","")&amp;IF(Z485&lt;0,"; Invalid Shipping Record (Ship Before Order)","")&amp;IF(ABS(Q485-W485)&gt;1,"; Sales Mismatch","")&amp;IF(ABS(S485-X485)&gt;1,"; Profit Mismatch","")&amp;IF(COUNTIF($A$2:$A$913,A485)&gt;1,"; Duplicate Order ID Conflict",""))</f>
        <v/>
      </c>
      <c r="AE485" s="10" t="str">
        <f aca="false">IF(OR(ISNUMBER(SEARCH("Invalid Discount",AD485)),ISNUMBER(SEARCH("Invalid Shipping Record",AD485)),ISNUMBER(SEARCH("Sales Mismatch",AD485)),ISNUMBER(SEARCH("Profit Mismatch",AD485)),ISNUMBER(SEARCH("Duplicate Order ID Conflict",AD485)),ISNUMBER(SEARCH("Missing Order Date",AD485)),ISNUMBER(SEARCH("Missing Ship Date",AD485))),"Invalid",IF(AD485&lt;&gt;"","Warning","Clean"))</f>
        <v>Clean</v>
      </c>
    </row>
    <row r="486" customFormat="false" ht="15" hidden="false" customHeight="true" outlineLevel="0" collapsed="false">
      <c r="A486" s="3" t="s">
        <v>1474</v>
      </c>
      <c r="B486" s="4" t="n">
        <v>45654</v>
      </c>
      <c r="C486" s="4" t="n">
        <v>45657</v>
      </c>
      <c r="D486" s="3" t="s">
        <v>1475</v>
      </c>
      <c r="E486" s="3" t="str">
        <f aca="false">PROPER(TRIM(SUBSTITUTE(Raw_Text_Fields!B487,CHAR(160)," ")))</f>
        <v>Mira Das</v>
      </c>
      <c r="F486" s="3" t="str">
        <f aca="false">PROPER(TRIM(SUBSTITUTE(Raw_Text_Fields!C487,CHAR(160)," ")))</f>
        <v>Small Business</v>
      </c>
      <c r="G486" s="3" t="str">
        <f aca="false">PROPER(TRIM(SUBSTITUTE(Raw_Text_Fields!D487,CHAR(160)," ")))</f>
        <v>South</v>
      </c>
      <c r="H486" s="3" t="str">
        <f aca="false">PROPER(TRIM(SUBSTITUTE(Raw_Text_Fields!E487,CHAR(160)," ")))</f>
        <v>Andhra Pradesh</v>
      </c>
      <c r="I486" s="3" t="str">
        <f aca="false">PROPER(TRIM(SUBSTITUTE(Raw_Text_Fields!F487,CHAR(160)," ")))</f>
        <v>Vijayawada</v>
      </c>
      <c r="J486" s="3" t="str">
        <f aca="false">PROPER(TRIM(SUBSTITUTE(Raw_Text_Fields!G487,CHAR(160)," ")))</f>
        <v>Furniture</v>
      </c>
      <c r="K486" s="3" t="str">
        <f aca="false">PROPER(TRIM(SUBSTITUTE(Raw_Text_Fields!H487,CHAR(160)," ")))</f>
        <v>Furnishings</v>
      </c>
      <c r="L486" s="3" t="s">
        <v>1476</v>
      </c>
      <c r="M486" s="3" t="str">
        <f aca="false">PROPER(TRIM(SUBSTITUTE(Raw_Text_Fields!I487,CHAR(160)," ")))</f>
        <v>First Class</v>
      </c>
      <c r="N486" s="3" t="n">
        <v>6</v>
      </c>
      <c r="O486" s="5" t="n">
        <v>3641.22</v>
      </c>
      <c r="P486" s="6" t="n">
        <v>0.25</v>
      </c>
      <c r="Q486" s="5" t="n">
        <v>16385.49</v>
      </c>
      <c r="R486" s="5" t="n">
        <v>13679.24</v>
      </c>
      <c r="S486" s="5" t="n">
        <v>2706.25</v>
      </c>
      <c r="T486" s="3" t="str">
        <f aca="false">PROPER(TRIM(SUBSTITUTE(Raw_Text_Fields!J487,CHAR(160)," ")))</f>
        <v>Paid</v>
      </c>
      <c r="U486" s="3" t="str">
        <f aca="false">PROPER(TRIM(SUBSTITUTE(Raw_Text_Fields!K487,CHAR(160)," ")))</f>
        <v>Completed</v>
      </c>
      <c r="V486" s="7" t="n">
        <f aca="false">IF(OR(P486&lt;0,P486&gt;0.5),0,P486)</f>
        <v>0.25</v>
      </c>
      <c r="W486" s="8" t="n">
        <f aca="false">N486*O486*(1-V486)</f>
        <v>16385.49</v>
      </c>
      <c r="X486" s="8" t="n">
        <f aca="false">W486-R486</f>
        <v>2706.25</v>
      </c>
      <c r="Y486" s="7" t="n">
        <f aca="false">IFERROR(X486/W486,0)</f>
        <v>0.165161371432896</v>
      </c>
      <c r="Z486" s="9" t="n">
        <f aca="false">C486-B486</f>
        <v>3</v>
      </c>
      <c r="AA486" s="1" t="str">
        <f aca="false">IF(B486="","",TEXT(B486,"mmm"))</f>
        <v>Dec</v>
      </c>
      <c r="AB486" s="9" t="n">
        <f aca="false">IF(B486="","",YEAR(B486))</f>
        <v>2024</v>
      </c>
      <c r="AC486" s="3"/>
      <c r="AD486" s="3" t="str">
        <f aca="false">IF(LEFT(AC486&amp;IF(B486="","; Missing Order Date","")&amp;IF(C486="","; Missing Ship Date","")&amp;IF(P486&lt;0,"; Invalid Discount (Negative)","")&amp;IF(P486&gt;0.5,"; Invalid Discount (Too High)","")&amp;IF(Z486&lt;0,"; Invalid Shipping Record (Ship Before Order)","")&amp;IF(ABS(Q486-W486)&gt;1,"; Sales Mismatch","")&amp;IF(ABS(S486-X486)&gt;1,"; Profit Mismatch","")&amp;IF(COUNTIF($A$2:$A$913,A486)&gt;1,"; Duplicate Order ID Conflict",""),2)="; ",MID(AC486&amp;IF(B486="","; Missing Order Date","")&amp;IF(C486="","; Missing Ship Date","")&amp;IF(P486&lt;0,"; Invalid Discount (Negative)","")&amp;IF(P486&gt;0.5,"; Invalid Discount (Too High)","")&amp;IF(Z486&lt;0,"; Invalid Shipping Record (Ship Before Order)","")&amp;IF(ABS(Q486-W486)&gt;1,"; Sales Mismatch","")&amp;IF(ABS(S486-X486)&gt;1,"; Profit Mismatch","")&amp;IF(COUNTIF($A$2:$A$913,A486)&gt;1,"; Duplicate Order ID Conflict",""),3,500),AC486&amp;IF(B486="","; Missing Order Date","")&amp;IF(C486="","; Missing Ship Date","")&amp;IF(P486&lt;0,"; Invalid Discount (Negative)","")&amp;IF(P486&gt;0.5,"; Invalid Discount (Too High)","")&amp;IF(Z486&lt;0,"; Invalid Shipping Record (Ship Before Order)","")&amp;IF(ABS(Q486-W486)&gt;1,"; Sales Mismatch","")&amp;IF(ABS(S486-X486)&gt;1,"; Profit Mismatch","")&amp;IF(COUNTIF($A$2:$A$913,A486)&gt;1,"; Duplicate Order ID Conflict",""))</f>
        <v/>
      </c>
      <c r="AE486" s="10" t="str">
        <f aca="false">IF(OR(ISNUMBER(SEARCH("Invalid Discount",AD486)),ISNUMBER(SEARCH("Invalid Shipping Record",AD486)),ISNUMBER(SEARCH("Sales Mismatch",AD486)),ISNUMBER(SEARCH("Profit Mismatch",AD486)),ISNUMBER(SEARCH("Duplicate Order ID Conflict",AD486)),ISNUMBER(SEARCH("Missing Order Date",AD486)),ISNUMBER(SEARCH("Missing Ship Date",AD486))),"Invalid",IF(AD486&lt;&gt;"","Warning","Clean"))</f>
        <v>Clean</v>
      </c>
    </row>
    <row r="487" customFormat="false" ht="15" hidden="false" customHeight="true" outlineLevel="0" collapsed="false">
      <c r="A487" s="3" t="s">
        <v>1477</v>
      </c>
      <c r="B487" s="4" t="n">
        <v>45679</v>
      </c>
      <c r="C487" s="4" t="n">
        <v>45680</v>
      </c>
      <c r="D487" s="3" t="s">
        <v>1478</v>
      </c>
      <c r="E487" s="3" t="str">
        <f aca="false">PROPER(TRIM(SUBSTITUTE(Raw_Text_Fields!B488,CHAR(160)," ")))</f>
        <v>Rahul Verma</v>
      </c>
      <c r="F487" s="3" t="str">
        <f aca="false">PROPER(TRIM(SUBSTITUTE(Raw_Text_Fields!C488,CHAR(160)," ")))</f>
        <v>Corporate</v>
      </c>
      <c r="G487" s="3" t="str">
        <f aca="false">PROPER(TRIM(SUBSTITUTE(Raw_Text_Fields!D488,CHAR(160)," ")))</f>
        <v>West</v>
      </c>
      <c r="H487" s="3" t="str">
        <f aca="false">PROPER(TRIM(SUBSTITUTE(Raw_Text_Fields!E488,CHAR(160)," ")))</f>
        <v>Goa</v>
      </c>
      <c r="I487" s="3" t="str">
        <f aca="false">PROPER(TRIM(SUBSTITUTE(Raw_Text_Fields!F488,CHAR(160)," ")))</f>
        <v>Panaji</v>
      </c>
      <c r="J487" s="3" t="str">
        <f aca="false">PROPER(TRIM(SUBSTITUTE(Raw_Text_Fields!G488,CHAR(160)," ")))</f>
        <v>Furniture</v>
      </c>
      <c r="K487" s="3" t="str">
        <f aca="false">PROPER(TRIM(SUBSTITUTE(Raw_Text_Fields!H488,CHAR(160)," ")))</f>
        <v>Bookcases</v>
      </c>
      <c r="L487" s="3" t="s">
        <v>1479</v>
      </c>
      <c r="M487" s="3" t="str">
        <f aca="false">PROPER(TRIM(SUBSTITUTE(Raw_Text_Fields!I488,CHAR(160)," ")))</f>
        <v>Standard Class</v>
      </c>
      <c r="N487" s="3" t="n">
        <v>4</v>
      </c>
      <c r="O487" s="5" t="n">
        <v>2555.19</v>
      </c>
      <c r="P487" s="6" t="n">
        <v>0.25</v>
      </c>
      <c r="Q487" s="5" t="n">
        <v>7665.57</v>
      </c>
      <c r="R487" s="5" t="n">
        <v>5595.6</v>
      </c>
      <c r="S487" s="5" t="n">
        <v>2069.97</v>
      </c>
      <c r="T487" s="3" t="str">
        <f aca="false">PROPER(TRIM(SUBSTITUTE(Raw_Text_Fields!J488,CHAR(160)," ")))</f>
        <v>Paid</v>
      </c>
      <c r="U487" s="3" t="str">
        <f aca="false">PROPER(TRIM(SUBSTITUTE(Raw_Text_Fields!K488,CHAR(160)," ")))</f>
        <v>Completed</v>
      </c>
      <c r="V487" s="7" t="n">
        <f aca="false">IF(OR(P487&lt;0,P487&gt;0.5),0,P487)</f>
        <v>0.25</v>
      </c>
      <c r="W487" s="8" t="n">
        <f aca="false">N487*O487*(1-V487)</f>
        <v>7665.57</v>
      </c>
      <c r="X487" s="8" t="n">
        <f aca="false">W487-R487</f>
        <v>2069.97</v>
      </c>
      <c r="Y487" s="7" t="n">
        <f aca="false">IFERROR(X487/W487,0)</f>
        <v>0.270034713661215</v>
      </c>
      <c r="Z487" s="9" t="n">
        <f aca="false">C487-B487</f>
        <v>1</v>
      </c>
      <c r="AA487" s="1" t="str">
        <f aca="false">IF(B487="","",TEXT(B487,"mmm"))</f>
        <v>Jan</v>
      </c>
      <c r="AB487" s="9" t="n">
        <f aca="false">IF(B487="","",YEAR(B487))</f>
        <v>2025</v>
      </c>
      <c r="AC487" s="3"/>
      <c r="AD487" s="3" t="str">
        <f aca="false">IF(LEFT(AC487&amp;IF(B487="","; Missing Order Date","")&amp;IF(C487="","; Missing Ship Date","")&amp;IF(P487&lt;0,"; Invalid Discount (Negative)","")&amp;IF(P487&gt;0.5,"; Invalid Discount (Too High)","")&amp;IF(Z487&lt;0,"; Invalid Shipping Record (Ship Before Order)","")&amp;IF(ABS(Q487-W487)&gt;1,"; Sales Mismatch","")&amp;IF(ABS(S487-X487)&gt;1,"; Profit Mismatch","")&amp;IF(COUNTIF($A$2:$A$913,A487)&gt;1,"; Duplicate Order ID Conflict",""),2)="; ",MID(AC487&amp;IF(B487="","; Missing Order Date","")&amp;IF(C487="","; Missing Ship Date","")&amp;IF(P487&lt;0,"; Invalid Discount (Negative)","")&amp;IF(P487&gt;0.5,"; Invalid Discount (Too High)","")&amp;IF(Z487&lt;0,"; Invalid Shipping Record (Ship Before Order)","")&amp;IF(ABS(Q487-W487)&gt;1,"; Sales Mismatch","")&amp;IF(ABS(S487-X487)&gt;1,"; Profit Mismatch","")&amp;IF(COUNTIF($A$2:$A$913,A487)&gt;1,"; Duplicate Order ID Conflict",""),3,500),AC487&amp;IF(B487="","; Missing Order Date","")&amp;IF(C487="","; Missing Ship Date","")&amp;IF(P487&lt;0,"; Invalid Discount (Negative)","")&amp;IF(P487&gt;0.5,"; Invalid Discount (Too High)","")&amp;IF(Z487&lt;0,"; Invalid Shipping Record (Ship Before Order)","")&amp;IF(ABS(Q487-W487)&gt;1,"; Sales Mismatch","")&amp;IF(ABS(S487-X487)&gt;1,"; Profit Mismatch","")&amp;IF(COUNTIF($A$2:$A$913,A487)&gt;1,"; Duplicate Order ID Conflict",""))</f>
        <v/>
      </c>
      <c r="AE487" s="10" t="str">
        <f aca="false">IF(OR(ISNUMBER(SEARCH("Invalid Discount",AD487)),ISNUMBER(SEARCH("Invalid Shipping Record",AD487)),ISNUMBER(SEARCH("Sales Mismatch",AD487)),ISNUMBER(SEARCH("Profit Mismatch",AD487)),ISNUMBER(SEARCH("Duplicate Order ID Conflict",AD487)),ISNUMBER(SEARCH("Missing Order Date",AD487)),ISNUMBER(SEARCH("Missing Ship Date",AD487))),"Invalid",IF(AD487&lt;&gt;"","Warning","Clean"))</f>
        <v>Clean</v>
      </c>
    </row>
    <row r="488" customFormat="false" ht="15" hidden="false" customHeight="true" outlineLevel="0" collapsed="false">
      <c r="A488" s="3" t="s">
        <v>1480</v>
      </c>
      <c r="B488" s="4" t="n">
        <v>45830</v>
      </c>
      <c r="C488" s="4" t="n">
        <v>45834</v>
      </c>
      <c r="D488" s="3" t="s">
        <v>1481</v>
      </c>
      <c r="E488" s="3" t="str">
        <f aca="false">PROPER(TRIM(SUBSTITUTE(Raw_Text_Fields!B489,CHAR(160)," ")))</f>
        <v>Rahul Verma</v>
      </c>
      <c r="F488" s="3" t="str">
        <f aca="false">PROPER(TRIM(SUBSTITUTE(Raw_Text_Fields!C489,CHAR(160)," ")))</f>
        <v>Corporate</v>
      </c>
      <c r="G488" s="3" t="str">
        <f aca="false">PROPER(TRIM(SUBSTITUTE(Raw_Text_Fields!D489,CHAR(160)," ")))</f>
        <v>West</v>
      </c>
      <c r="H488" s="3" t="str">
        <f aca="false">PROPER(TRIM(SUBSTITUTE(Raw_Text_Fields!E489,CHAR(160)," ")))</f>
        <v>Goa</v>
      </c>
      <c r="I488" s="3" t="str">
        <f aca="false">PROPER(TRIM(SUBSTITUTE(Raw_Text_Fields!F489,CHAR(160)," ")))</f>
        <v>Panaji</v>
      </c>
      <c r="J488" s="3" t="str">
        <f aca="false">PROPER(TRIM(SUBSTITUTE(Raw_Text_Fields!G489,CHAR(160)," ")))</f>
        <v>Furniture</v>
      </c>
      <c r="K488" s="3" t="str">
        <f aca="false">PROPER(TRIM(SUBSTITUTE(Raw_Text_Fields!H489,CHAR(160)," ")))</f>
        <v>Tables</v>
      </c>
      <c r="L488" s="3" t="s">
        <v>1482</v>
      </c>
      <c r="M488" s="3" t="str">
        <f aca="false">PROPER(TRIM(SUBSTITUTE(Raw_Text_Fields!I489,CHAR(160)," ")))</f>
        <v>Standard Class</v>
      </c>
      <c r="N488" s="3" t="n">
        <v>3</v>
      </c>
      <c r="O488" s="5" t="n">
        <v>1946.18</v>
      </c>
      <c r="P488" s="6" t="n">
        <v>0.2</v>
      </c>
      <c r="Q488" s="5" t="n">
        <v>4670.83</v>
      </c>
      <c r="R488" s="5" t="n">
        <v>3166.49</v>
      </c>
      <c r="S488" s="5" t="n">
        <v>1504.34</v>
      </c>
      <c r="T488" s="3" t="str">
        <f aca="false">PROPER(TRIM(SUBSTITUTE(Raw_Text_Fields!J489,CHAR(160)," ")))</f>
        <v>Paid</v>
      </c>
      <c r="U488" s="3" t="str">
        <f aca="false">PROPER(TRIM(SUBSTITUTE(Raw_Text_Fields!K489,CHAR(160)," ")))</f>
        <v>Completed</v>
      </c>
      <c r="V488" s="7" t="n">
        <f aca="false">IF(OR(P488&lt;0,P488&gt;0.5),0,P488)</f>
        <v>0.2</v>
      </c>
      <c r="W488" s="8" t="n">
        <f aca="false">N488*O488*(1-V488)</f>
        <v>4670.832</v>
      </c>
      <c r="X488" s="8" t="n">
        <f aca="false">W488-R488</f>
        <v>1504.342</v>
      </c>
      <c r="Y488" s="7" t="n">
        <f aca="false">IFERROR(X488/W488,0)</f>
        <v>0.322071528156012</v>
      </c>
      <c r="Z488" s="9" t="n">
        <f aca="false">C488-B488</f>
        <v>4</v>
      </c>
      <c r="AA488" s="1" t="str">
        <f aca="false">IF(B488="","",TEXT(B488,"mmm"))</f>
        <v>Jun</v>
      </c>
      <c r="AB488" s="9" t="n">
        <f aca="false">IF(B488="","",YEAR(B488))</f>
        <v>2025</v>
      </c>
      <c r="AC488" s="3"/>
      <c r="AD488" s="3" t="str">
        <f aca="false">IF(LEFT(AC488&amp;IF(B488="","; Missing Order Date","")&amp;IF(C488="","; Missing Ship Date","")&amp;IF(P488&lt;0,"; Invalid Discount (Negative)","")&amp;IF(P488&gt;0.5,"; Invalid Discount (Too High)","")&amp;IF(Z488&lt;0,"; Invalid Shipping Record (Ship Before Order)","")&amp;IF(ABS(Q488-W488)&gt;1,"; Sales Mismatch","")&amp;IF(ABS(S488-X488)&gt;1,"; Profit Mismatch","")&amp;IF(COUNTIF($A$2:$A$913,A488)&gt;1,"; Duplicate Order ID Conflict",""),2)="; ",MID(AC488&amp;IF(B488="","; Missing Order Date","")&amp;IF(C488="","; Missing Ship Date","")&amp;IF(P488&lt;0,"; Invalid Discount (Negative)","")&amp;IF(P488&gt;0.5,"; Invalid Discount (Too High)","")&amp;IF(Z488&lt;0,"; Invalid Shipping Record (Ship Before Order)","")&amp;IF(ABS(Q488-W488)&gt;1,"; Sales Mismatch","")&amp;IF(ABS(S488-X488)&gt;1,"; Profit Mismatch","")&amp;IF(COUNTIF($A$2:$A$913,A488)&gt;1,"; Duplicate Order ID Conflict",""),3,500),AC488&amp;IF(B488="","; Missing Order Date","")&amp;IF(C488="","; Missing Ship Date","")&amp;IF(P488&lt;0,"; Invalid Discount (Negative)","")&amp;IF(P488&gt;0.5,"; Invalid Discount (Too High)","")&amp;IF(Z488&lt;0,"; Invalid Shipping Record (Ship Before Order)","")&amp;IF(ABS(Q488-W488)&gt;1,"; Sales Mismatch","")&amp;IF(ABS(S488-X488)&gt;1,"; Profit Mismatch","")&amp;IF(COUNTIF($A$2:$A$913,A488)&gt;1,"; Duplicate Order ID Conflict",""))</f>
        <v/>
      </c>
      <c r="AE488" s="10" t="str">
        <f aca="false">IF(OR(ISNUMBER(SEARCH("Invalid Discount",AD488)),ISNUMBER(SEARCH("Invalid Shipping Record",AD488)),ISNUMBER(SEARCH("Sales Mismatch",AD488)),ISNUMBER(SEARCH("Profit Mismatch",AD488)),ISNUMBER(SEARCH("Duplicate Order ID Conflict",AD488)),ISNUMBER(SEARCH("Missing Order Date",AD488)),ISNUMBER(SEARCH("Missing Ship Date",AD488))),"Invalid",IF(AD488&lt;&gt;"","Warning","Clean"))</f>
        <v>Clean</v>
      </c>
    </row>
    <row r="489" customFormat="false" ht="15" hidden="false" customHeight="true" outlineLevel="0" collapsed="false">
      <c r="A489" s="3" t="s">
        <v>1483</v>
      </c>
      <c r="B489" s="4" t="n">
        <v>45818</v>
      </c>
      <c r="C489" s="4" t="n">
        <v>45825</v>
      </c>
      <c r="D489" s="3" t="s">
        <v>1484</v>
      </c>
      <c r="E489" s="3" t="str">
        <f aca="false">PROPER(TRIM(SUBSTITUTE(Raw_Text_Fields!B490,CHAR(160)," ")))</f>
        <v>Rahul Verma</v>
      </c>
      <c r="F489" s="3" t="str">
        <f aca="false">PROPER(TRIM(SUBSTITUTE(Raw_Text_Fields!C490,CHAR(160)," ")))</f>
        <v>Corporate</v>
      </c>
      <c r="G489" s="3" t="str">
        <f aca="false">PROPER(TRIM(SUBSTITUTE(Raw_Text_Fields!D490,CHAR(160)," ")))</f>
        <v>South</v>
      </c>
      <c r="H489" s="3" t="str">
        <f aca="false">PROPER(TRIM(SUBSTITUTE(Raw_Text_Fields!E490,CHAR(160)," ")))</f>
        <v>Telangana</v>
      </c>
      <c r="I489" s="3" t="str">
        <f aca="false">PROPER(TRIM(SUBSTITUTE(Raw_Text_Fields!F490,CHAR(160)," ")))</f>
        <v>Hyderabad</v>
      </c>
      <c r="J489" s="3" t="str">
        <f aca="false">PROPER(TRIM(SUBSTITUTE(Raw_Text_Fields!G490,CHAR(160)," ")))</f>
        <v>Furniture</v>
      </c>
      <c r="K489" s="3" t="str">
        <f aca="false">PROPER(TRIM(SUBSTITUTE(Raw_Text_Fields!H490,CHAR(160)," ")))</f>
        <v>Furnishings</v>
      </c>
      <c r="L489" s="3" t="s">
        <v>1485</v>
      </c>
      <c r="M489" s="3" t="str">
        <f aca="false">PROPER(TRIM(SUBSTITUTE(Raw_Text_Fields!I490,CHAR(160)," ")))</f>
        <v>Standard Class</v>
      </c>
      <c r="N489" s="3" t="n">
        <v>5</v>
      </c>
      <c r="O489" s="5" t="n">
        <v>1231.1</v>
      </c>
      <c r="P489" s="6" t="n">
        <v>0</v>
      </c>
      <c r="Q489" s="5" t="n">
        <v>6155.5</v>
      </c>
      <c r="R489" s="5" t="n">
        <v>4282.09</v>
      </c>
      <c r="S489" s="5" t="n">
        <v>1873.41</v>
      </c>
      <c r="T489" s="3" t="str">
        <f aca="false">PROPER(TRIM(SUBSTITUTE(Raw_Text_Fields!J490,CHAR(160)," ")))</f>
        <v>Refunded</v>
      </c>
      <c r="U489" s="3" t="str">
        <f aca="false">PROPER(TRIM(SUBSTITUTE(Raw_Text_Fields!K490,CHAR(160)," ")))</f>
        <v>Returned</v>
      </c>
      <c r="V489" s="7" t="n">
        <f aca="false">IF(OR(P489&lt;0,P489&gt;0.5),0,P489)</f>
        <v>0</v>
      </c>
      <c r="W489" s="8" t="n">
        <f aca="false">N489*O489*(1-V489)</f>
        <v>6155.5</v>
      </c>
      <c r="X489" s="8" t="n">
        <f aca="false">W489-R489</f>
        <v>1873.41</v>
      </c>
      <c r="Y489" s="7" t="n">
        <f aca="false">IFERROR(X489/W489,0)</f>
        <v>0.304347331654618</v>
      </c>
      <c r="Z489" s="9" t="n">
        <f aca="false">C489-B489</f>
        <v>7</v>
      </c>
      <c r="AA489" s="1" t="str">
        <f aca="false">IF(B489="","",TEXT(B489,"mmm"))</f>
        <v>Jun</v>
      </c>
      <c r="AB489" s="9" t="n">
        <f aca="false">IF(B489="","",YEAR(B489))</f>
        <v>2025</v>
      </c>
      <c r="AC489" s="3"/>
      <c r="AD489" s="3" t="str">
        <f aca="false">IF(LEFT(AC489&amp;IF(B489="","; Missing Order Date","")&amp;IF(C489="","; Missing Ship Date","")&amp;IF(P489&lt;0,"; Invalid Discount (Negative)","")&amp;IF(P489&gt;0.5,"; Invalid Discount (Too High)","")&amp;IF(Z489&lt;0,"; Invalid Shipping Record (Ship Before Order)","")&amp;IF(ABS(Q489-W489)&gt;1,"; Sales Mismatch","")&amp;IF(ABS(S489-X489)&gt;1,"; Profit Mismatch","")&amp;IF(COUNTIF($A$2:$A$913,A489)&gt;1,"; Duplicate Order ID Conflict",""),2)="; ",MID(AC489&amp;IF(B489="","; Missing Order Date","")&amp;IF(C489="","; Missing Ship Date","")&amp;IF(P489&lt;0,"; Invalid Discount (Negative)","")&amp;IF(P489&gt;0.5,"; Invalid Discount (Too High)","")&amp;IF(Z489&lt;0,"; Invalid Shipping Record (Ship Before Order)","")&amp;IF(ABS(Q489-W489)&gt;1,"; Sales Mismatch","")&amp;IF(ABS(S489-X489)&gt;1,"; Profit Mismatch","")&amp;IF(COUNTIF($A$2:$A$913,A489)&gt;1,"; Duplicate Order ID Conflict",""),3,500),AC489&amp;IF(B489="","; Missing Order Date","")&amp;IF(C489="","; Missing Ship Date","")&amp;IF(P489&lt;0,"; Invalid Discount (Negative)","")&amp;IF(P489&gt;0.5,"; Invalid Discount (Too High)","")&amp;IF(Z489&lt;0,"; Invalid Shipping Record (Ship Before Order)","")&amp;IF(ABS(Q489-W489)&gt;1,"; Sales Mismatch","")&amp;IF(ABS(S489-X489)&gt;1,"; Profit Mismatch","")&amp;IF(COUNTIF($A$2:$A$913,A489)&gt;1,"; Duplicate Order ID Conflict",""))</f>
        <v/>
      </c>
      <c r="AE489" s="10" t="str">
        <f aca="false">IF(OR(ISNUMBER(SEARCH("Invalid Discount",AD489)),ISNUMBER(SEARCH("Invalid Shipping Record",AD489)),ISNUMBER(SEARCH("Sales Mismatch",AD489)),ISNUMBER(SEARCH("Profit Mismatch",AD489)),ISNUMBER(SEARCH("Duplicate Order ID Conflict",AD489)),ISNUMBER(SEARCH("Missing Order Date",AD489)),ISNUMBER(SEARCH("Missing Ship Date",AD489))),"Invalid",IF(AD489&lt;&gt;"","Warning","Clean"))</f>
        <v>Clean</v>
      </c>
    </row>
    <row r="490" customFormat="false" ht="15" hidden="false" customHeight="true" outlineLevel="0" collapsed="false">
      <c r="A490" s="3" t="s">
        <v>1486</v>
      </c>
      <c r="B490" s="4" t="n">
        <v>45579</v>
      </c>
      <c r="C490" s="4" t="n">
        <v>45585</v>
      </c>
      <c r="D490" s="3" t="s">
        <v>1487</v>
      </c>
      <c r="E490" s="3" t="str">
        <f aca="false">PROPER(TRIM(SUBSTITUTE(Raw_Text_Fields!B491,CHAR(160)," ")))</f>
        <v>Aditi Sen</v>
      </c>
      <c r="F490" s="3" t="str">
        <f aca="false">PROPER(TRIM(SUBSTITUTE(Raw_Text_Fields!C491,CHAR(160)," ")))</f>
        <v>Small Business</v>
      </c>
      <c r="G490" s="3" t="str">
        <f aca="false">PROPER(TRIM(SUBSTITUTE(Raw_Text_Fields!D491,CHAR(160)," ")))</f>
        <v>North</v>
      </c>
      <c r="H490" s="3" t="str">
        <f aca="false">PROPER(TRIM(SUBSTITUTE(Raw_Text_Fields!E491,CHAR(160)," ")))</f>
        <v>Rajasthan</v>
      </c>
      <c r="I490" s="3" t="str">
        <f aca="false">PROPER(TRIM(SUBSTITUTE(Raw_Text_Fields!F491,CHAR(160)," ")))</f>
        <v>Jaipur</v>
      </c>
      <c r="J490" s="3" t="str">
        <f aca="false">PROPER(TRIM(SUBSTITUTE(Raw_Text_Fields!G491,CHAR(160)," ")))</f>
        <v>Furniture</v>
      </c>
      <c r="K490" s="3" t="str">
        <f aca="false">PROPER(TRIM(SUBSTITUTE(Raw_Text_Fields!H491,CHAR(160)," ")))</f>
        <v>Tables</v>
      </c>
      <c r="L490" s="3" t="s">
        <v>1488</v>
      </c>
      <c r="M490" s="3" t="str">
        <f aca="false">PROPER(TRIM(SUBSTITUTE(Raw_Text_Fields!I491,CHAR(160)," ")))</f>
        <v>Same Day</v>
      </c>
      <c r="N490" s="3" t="n">
        <v>7</v>
      </c>
      <c r="O490" s="5" t="n">
        <v>1547.6</v>
      </c>
      <c r="P490" s="6" t="n">
        <v>0.2</v>
      </c>
      <c r="Q490" s="5" t="n">
        <v>8666.56</v>
      </c>
      <c r="R490" s="5" t="n">
        <v>5967.44</v>
      </c>
      <c r="S490" s="5" t="n">
        <v>2699.12</v>
      </c>
      <c r="T490" s="3" t="str">
        <f aca="false">PROPER(TRIM(SUBSTITUTE(Raw_Text_Fields!J491,CHAR(160)," ")))</f>
        <v>Paid</v>
      </c>
      <c r="U490" s="3" t="str">
        <f aca="false">PROPER(TRIM(SUBSTITUTE(Raw_Text_Fields!K491,CHAR(160)," ")))</f>
        <v>Completed</v>
      </c>
      <c r="V490" s="7" t="n">
        <f aca="false">IF(OR(P490&lt;0,P490&gt;0.5),0,P490)</f>
        <v>0.2</v>
      </c>
      <c r="W490" s="8" t="n">
        <f aca="false">N490*O490*(1-V490)</f>
        <v>8666.56</v>
      </c>
      <c r="X490" s="8" t="n">
        <f aca="false">W490-R490</f>
        <v>2699.12</v>
      </c>
      <c r="Y490" s="7" t="n">
        <f aca="false">IFERROR(X490/W490,0)</f>
        <v>0.311440756193922</v>
      </c>
      <c r="Z490" s="9" t="n">
        <f aca="false">C490-B490</f>
        <v>6</v>
      </c>
      <c r="AA490" s="1" t="str">
        <f aca="false">IF(B490="","",TEXT(B490,"mmm"))</f>
        <v>Oct</v>
      </c>
      <c r="AB490" s="9" t="n">
        <f aca="false">IF(B490="","",YEAR(B490))</f>
        <v>2024</v>
      </c>
      <c r="AC490" s="3"/>
      <c r="AD490" s="3" t="str">
        <f aca="false">IF(LEFT(AC490&amp;IF(B490="","; Missing Order Date","")&amp;IF(C490="","; Missing Ship Date","")&amp;IF(P490&lt;0,"; Invalid Discount (Negative)","")&amp;IF(P490&gt;0.5,"; Invalid Discount (Too High)","")&amp;IF(Z490&lt;0,"; Invalid Shipping Record (Ship Before Order)","")&amp;IF(ABS(Q490-W490)&gt;1,"; Sales Mismatch","")&amp;IF(ABS(S490-X490)&gt;1,"; Profit Mismatch","")&amp;IF(COUNTIF($A$2:$A$913,A490)&gt;1,"; Duplicate Order ID Conflict",""),2)="; ",MID(AC490&amp;IF(B490="","; Missing Order Date","")&amp;IF(C490="","; Missing Ship Date","")&amp;IF(P490&lt;0,"; Invalid Discount (Negative)","")&amp;IF(P490&gt;0.5,"; Invalid Discount (Too High)","")&amp;IF(Z490&lt;0,"; Invalid Shipping Record (Ship Before Order)","")&amp;IF(ABS(Q490-W490)&gt;1,"; Sales Mismatch","")&amp;IF(ABS(S490-X490)&gt;1,"; Profit Mismatch","")&amp;IF(COUNTIF($A$2:$A$913,A490)&gt;1,"; Duplicate Order ID Conflict",""),3,500),AC490&amp;IF(B490="","; Missing Order Date","")&amp;IF(C490="","; Missing Ship Date","")&amp;IF(P490&lt;0,"; Invalid Discount (Negative)","")&amp;IF(P490&gt;0.5,"; Invalid Discount (Too High)","")&amp;IF(Z490&lt;0,"; Invalid Shipping Record (Ship Before Order)","")&amp;IF(ABS(Q490-W490)&gt;1,"; Sales Mismatch","")&amp;IF(ABS(S490-X490)&gt;1,"; Profit Mismatch","")&amp;IF(COUNTIF($A$2:$A$913,A490)&gt;1,"; Duplicate Order ID Conflict",""))</f>
        <v/>
      </c>
      <c r="AE490" s="10" t="str">
        <f aca="false">IF(OR(ISNUMBER(SEARCH("Invalid Discount",AD490)),ISNUMBER(SEARCH("Invalid Shipping Record",AD490)),ISNUMBER(SEARCH("Sales Mismatch",AD490)),ISNUMBER(SEARCH("Profit Mismatch",AD490)),ISNUMBER(SEARCH("Duplicate Order ID Conflict",AD490)),ISNUMBER(SEARCH("Missing Order Date",AD490)),ISNUMBER(SEARCH("Missing Ship Date",AD490))),"Invalid",IF(AD490&lt;&gt;"","Warning","Clean"))</f>
        <v>Clean</v>
      </c>
    </row>
    <row r="491" customFormat="false" ht="15" hidden="false" customHeight="true" outlineLevel="0" collapsed="false">
      <c r="A491" s="3" t="s">
        <v>1489</v>
      </c>
      <c r="B491" s="4" t="n">
        <v>45329</v>
      </c>
      <c r="C491" s="4" t="n">
        <v>45334</v>
      </c>
      <c r="D491" s="3" t="s">
        <v>1490</v>
      </c>
      <c r="E491" s="3" t="str">
        <f aca="false">PROPER(TRIM(SUBSTITUTE(Raw_Text_Fields!B492,CHAR(160)," ")))</f>
        <v>Arjun Bose</v>
      </c>
      <c r="F491" s="3" t="str">
        <f aca="false">PROPER(TRIM(SUBSTITUTE(Raw_Text_Fields!C492,CHAR(160)," ")))</f>
        <v>Home Office</v>
      </c>
      <c r="G491" s="3" t="str">
        <f aca="false">PROPER(TRIM(SUBSTITUTE(Raw_Text_Fields!D492,CHAR(160)," ")))</f>
        <v>East</v>
      </c>
      <c r="H491" s="3" t="str">
        <f aca="false">PROPER(TRIM(SUBSTITUTE(Raw_Text_Fields!E492,CHAR(160)," ")))</f>
        <v>West Bengal</v>
      </c>
      <c r="I491" s="3" t="str">
        <f aca="false">PROPER(TRIM(SUBSTITUTE(Raw_Text_Fields!F492,CHAR(160)," ")))</f>
        <v>Kolkata</v>
      </c>
      <c r="J491" s="3" t="str">
        <f aca="false">PROPER(TRIM(SUBSTITUTE(Raw_Text_Fields!G492,CHAR(160)," ")))</f>
        <v>Technology</v>
      </c>
      <c r="K491" s="3" t="str">
        <f aca="false">PROPER(TRIM(SUBSTITUTE(Raw_Text_Fields!H492,CHAR(160)," ")))</f>
        <v>Accessories</v>
      </c>
      <c r="L491" s="3" t="s">
        <v>1491</v>
      </c>
      <c r="M491" s="3" t="str">
        <f aca="false">PROPER(TRIM(SUBSTITUTE(Raw_Text_Fields!I492,CHAR(160)," ")))</f>
        <v>Second Class</v>
      </c>
      <c r="N491" s="3" t="n">
        <v>1</v>
      </c>
      <c r="O491" s="5" t="n">
        <v>452.19</v>
      </c>
      <c r="P491" s="6" t="n">
        <v>0.2</v>
      </c>
      <c r="Q491" s="5" t="n">
        <v>361.75</v>
      </c>
      <c r="R491" s="5" t="n">
        <v>262.53</v>
      </c>
      <c r="S491" s="5" t="n">
        <v>99.22</v>
      </c>
      <c r="T491" s="3" t="str">
        <f aca="false">PROPER(TRIM(SUBSTITUTE(Raw_Text_Fields!J492,CHAR(160)," ")))</f>
        <v>Paid</v>
      </c>
      <c r="U491" s="3" t="str">
        <f aca="false">PROPER(TRIM(SUBSTITUTE(Raw_Text_Fields!K492,CHAR(160)," ")))</f>
        <v>Completed</v>
      </c>
      <c r="V491" s="7" t="n">
        <f aca="false">IF(OR(P491&lt;0,P491&gt;0.5),0,P491)</f>
        <v>0.2</v>
      </c>
      <c r="W491" s="8" t="n">
        <f aca="false">N491*O491*(1-V491)</f>
        <v>361.752</v>
      </c>
      <c r="X491" s="8" t="n">
        <f aca="false">W491-R491</f>
        <v>99.222</v>
      </c>
      <c r="Y491" s="7" t="n">
        <f aca="false">IFERROR(X491/W491,0)</f>
        <v>0.27428182843495</v>
      </c>
      <c r="Z491" s="9" t="n">
        <f aca="false">C491-B491</f>
        <v>5</v>
      </c>
      <c r="AA491" s="1" t="str">
        <f aca="false">IF(B491="","",TEXT(B491,"mmm"))</f>
        <v>Feb</v>
      </c>
      <c r="AB491" s="9" t="n">
        <f aca="false">IF(B491="","",YEAR(B491))</f>
        <v>2024</v>
      </c>
      <c r="AC491" s="3"/>
      <c r="AD491" s="3" t="str">
        <f aca="false">IF(LEFT(AC491&amp;IF(B491="","; Missing Order Date","")&amp;IF(C491="","; Missing Ship Date","")&amp;IF(P491&lt;0,"; Invalid Discount (Negative)","")&amp;IF(P491&gt;0.5,"; Invalid Discount (Too High)","")&amp;IF(Z491&lt;0,"; Invalid Shipping Record (Ship Before Order)","")&amp;IF(ABS(Q491-W491)&gt;1,"; Sales Mismatch","")&amp;IF(ABS(S491-X491)&gt;1,"; Profit Mismatch","")&amp;IF(COUNTIF($A$2:$A$913,A491)&gt;1,"; Duplicate Order ID Conflict",""),2)="; ",MID(AC491&amp;IF(B491="","; Missing Order Date","")&amp;IF(C491="","; Missing Ship Date","")&amp;IF(P491&lt;0,"; Invalid Discount (Negative)","")&amp;IF(P491&gt;0.5,"; Invalid Discount (Too High)","")&amp;IF(Z491&lt;0,"; Invalid Shipping Record (Ship Before Order)","")&amp;IF(ABS(Q491-W491)&gt;1,"; Sales Mismatch","")&amp;IF(ABS(S491-X491)&gt;1,"; Profit Mismatch","")&amp;IF(COUNTIF($A$2:$A$913,A491)&gt;1,"; Duplicate Order ID Conflict",""),3,500),AC491&amp;IF(B491="","; Missing Order Date","")&amp;IF(C491="","; Missing Ship Date","")&amp;IF(P491&lt;0,"; Invalid Discount (Negative)","")&amp;IF(P491&gt;0.5,"; Invalid Discount (Too High)","")&amp;IF(Z491&lt;0,"; Invalid Shipping Record (Ship Before Order)","")&amp;IF(ABS(Q491-W491)&gt;1,"; Sales Mismatch","")&amp;IF(ABS(S491-X491)&gt;1,"; Profit Mismatch","")&amp;IF(COUNTIF($A$2:$A$913,A491)&gt;1,"; Duplicate Order ID Conflict",""))</f>
        <v/>
      </c>
      <c r="AE491" s="10" t="str">
        <f aca="false">IF(OR(ISNUMBER(SEARCH("Invalid Discount",AD491)),ISNUMBER(SEARCH("Invalid Shipping Record",AD491)),ISNUMBER(SEARCH("Sales Mismatch",AD491)),ISNUMBER(SEARCH("Profit Mismatch",AD491)),ISNUMBER(SEARCH("Duplicate Order ID Conflict",AD491)),ISNUMBER(SEARCH("Missing Order Date",AD491)),ISNUMBER(SEARCH("Missing Ship Date",AD491))),"Invalid",IF(AD491&lt;&gt;"","Warning","Clean"))</f>
        <v>Clean</v>
      </c>
    </row>
    <row r="492" customFormat="false" ht="15" hidden="false" customHeight="true" outlineLevel="0" collapsed="false">
      <c r="A492" s="3" t="s">
        <v>1492</v>
      </c>
      <c r="B492" s="4" t="n">
        <v>45551</v>
      </c>
      <c r="C492" s="4" t="n">
        <v>45554</v>
      </c>
      <c r="D492" s="3" t="s">
        <v>1493</v>
      </c>
      <c r="E492" s="3" t="str">
        <f aca="false">PROPER(TRIM(SUBSTITUTE(Raw_Text_Fields!B493,CHAR(160)," ")))</f>
        <v>Aditi Sen</v>
      </c>
      <c r="F492" s="3" t="str">
        <f aca="false">PROPER(TRIM(SUBSTITUTE(Raw_Text_Fields!C493,CHAR(160)," ")))</f>
        <v>Consumer</v>
      </c>
      <c r="G492" s="3" t="str">
        <f aca="false">PROPER(TRIM(SUBSTITUTE(Raw_Text_Fields!D493,CHAR(160)," ")))</f>
        <v>West</v>
      </c>
      <c r="H492" s="3" t="str">
        <f aca="false">PROPER(TRIM(SUBSTITUTE(Raw_Text_Fields!E493,CHAR(160)," ")))</f>
        <v>Rajasthan</v>
      </c>
      <c r="I492" s="3" t="str">
        <f aca="false">PROPER(TRIM(SUBSTITUTE(Raw_Text_Fields!F493,CHAR(160)," ")))</f>
        <v>Udaipur</v>
      </c>
      <c r="J492" s="3" t="str">
        <f aca="false">PROPER(TRIM(SUBSTITUTE(Raw_Text_Fields!G493,CHAR(160)," ")))</f>
        <v>Office Supplies</v>
      </c>
      <c r="K492" s="3" t="str">
        <f aca="false">PROPER(TRIM(SUBSTITUTE(Raw_Text_Fields!H493,CHAR(160)," ")))</f>
        <v>Binders</v>
      </c>
      <c r="L492" s="3" t="s">
        <v>1494</v>
      </c>
      <c r="M492" s="3" t="str">
        <f aca="false">PROPER(TRIM(SUBSTITUTE(Raw_Text_Fields!I493,CHAR(160)," ")))</f>
        <v>First Class</v>
      </c>
      <c r="N492" s="3" t="n">
        <v>7</v>
      </c>
      <c r="O492" s="5" t="n">
        <v>406.42</v>
      </c>
      <c r="P492" s="6" t="n">
        <v>0.15</v>
      </c>
      <c r="Q492" s="5" t="n">
        <v>2418.2</v>
      </c>
      <c r="R492" s="5" t="n">
        <v>1613.82</v>
      </c>
      <c r="S492" s="5" t="n">
        <v>804.38</v>
      </c>
      <c r="T492" s="3" t="str">
        <f aca="false">PROPER(TRIM(SUBSTITUTE(Raw_Text_Fields!J493,CHAR(160)," ")))</f>
        <v>Paid</v>
      </c>
      <c r="U492" s="3" t="str">
        <f aca="false">PROPER(TRIM(SUBSTITUTE(Raw_Text_Fields!K493,CHAR(160)," ")))</f>
        <v>Completed</v>
      </c>
      <c r="V492" s="7" t="n">
        <f aca="false">IF(OR(P492&lt;0,P492&gt;0.5),0,P492)</f>
        <v>0.15</v>
      </c>
      <c r="W492" s="8" t="n">
        <f aca="false">N492*O492*(1-V492)</f>
        <v>2418.199</v>
      </c>
      <c r="X492" s="8" t="n">
        <f aca="false">W492-R492</f>
        <v>804.379</v>
      </c>
      <c r="Y492" s="7" t="n">
        <f aca="false">IFERROR(X492/W492,0)</f>
        <v>0.332635568867575</v>
      </c>
      <c r="Z492" s="9" t="n">
        <f aca="false">C492-B492</f>
        <v>3</v>
      </c>
      <c r="AA492" s="1" t="str">
        <f aca="false">IF(B492="","",TEXT(B492,"mmm"))</f>
        <v>Sep</v>
      </c>
      <c r="AB492" s="9" t="n">
        <f aca="false">IF(B492="","",YEAR(B492))</f>
        <v>2024</v>
      </c>
      <c r="AC492" s="3"/>
      <c r="AD492" s="3" t="str">
        <f aca="false">IF(LEFT(AC492&amp;IF(B492="","; Missing Order Date","")&amp;IF(C492="","; Missing Ship Date","")&amp;IF(P492&lt;0,"; Invalid Discount (Negative)","")&amp;IF(P492&gt;0.5,"; Invalid Discount (Too High)","")&amp;IF(Z492&lt;0,"; Invalid Shipping Record (Ship Before Order)","")&amp;IF(ABS(Q492-W492)&gt;1,"; Sales Mismatch","")&amp;IF(ABS(S492-X492)&gt;1,"; Profit Mismatch","")&amp;IF(COUNTIF($A$2:$A$913,A492)&gt;1,"; Duplicate Order ID Conflict",""),2)="; ",MID(AC492&amp;IF(B492="","; Missing Order Date","")&amp;IF(C492="","; Missing Ship Date","")&amp;IF(P492&lt;0,"; Invalid Discount (Negative)","")&amp;IF(P492&gt;0.5,"; Invalid Discount (Too High)","")&amp;IF(Z492&lt;0,"; Invalid Shipping Record (Ship Before Order)","")&amp;IF(ABS(Q492-W492)&gt;1,"; Sales Mismatch","")&amp;IF(ABS(S492-X492)&gt;1,"; Profit Mismatch","")&amp;IF(COUNTIF($A$2:$A$913,A492)&gt;1,"; Duplicate Order ID Conflict",""),3,500),AC492&amp;IF(B492="","; Missing Order Date","")&amp;IF(C492="","; Missing Ship Date","")&amp;IF(P492&lt;0,"; Invalid Discount (Negative)","")&amp;IF(P492&gt;0.5,"; Invalid Discount (Too High)","")&amp;IF(Z492&lt;0,"; Invalid Shipping Record (Ship Before Order)","")&amp;IF(ABS(Q492-W492)&gt;1,"; Sales Mismatch","")&amp;IF(ABS(S492-X492)&gt;1,"; Profit Mismatch","")&amp;IF(COUNTIF($A$2:$A$913,A492)&gt;1,"; Duplicate Order ID Conflict",""))</f>
        <v/>
      </c>
      <c r="AE492" s="10" t="str">
        <f aca="false">IF(OR(ISNUMBER(SEARCH("Invalid Discount",AD492)),ISNUMBER(SEARCH("Invalid Shipping Record",AD492)),ISNUMBER(SEARCH("Sales Mismatch",AD492)),ISNUMBER(SEARCH("Profit Mismatch",AD492)),ISNUMBER(SEARCH("Duplicate Order ID Conflict",AD492)),ISNUMBER(SEARCH("Missing Order Date",AD492)),ISNUMBER(SEARCH("Missing Ship Date",AD492))),"Invalid",IF(AD492&lt;&gt;"","Warning","Clean"))</f>
        <v>Clean</v>
      </c>
    </row>
    <row r="493" customFormat="false" ht="15" hidden="false" customHeight="true" outlineLevel="0" collapsed="false">
      <c r="A493" s="3" t="s">
        <v>1495</v>
      </c>
      <c r="B493" s="4" t="n">
        <v>45776</v>
      </c>
      <c r="C493" s="4" t="n">
        <v>45777</v>
      </c>
      <c r="D493" s="3" t="s">
        <v>1496</v>
      </c>
      <c r="E493" s="3" t="str">
        <f aca="false">PROPER(TRIM(SUBSTITUTE(Raw_Text_Fields!B494,CHAR(160)," ")))</f>
        <v>Mira Das</v>
      </c>
      <c r="F493" s="3" t="str">
        <f aca="false">PROPER(TRIM(SUBSTITUTE(Raw_Text_Fields!C494,CHAR(160)," ")))</f>
        <v>Corporate</v>
      </c>
      <c r="G493" s="3" t="str">
        <f aca="false">PROPER(TRIM(SUBSTITUTE(Raw_Text_Fields!D494,CHAR(160)," ")))</f>
        <v>South</v>
      </c>
      <c r="H493" s="3" t="str">
        <f aca="false">PROPER(TRIM(SUBSTITUTE(Raw_Text_Fields!E494,CHAR(160)," ")))</f>
        <v>Kerala</v>
      </c>
      <c r="I493" s="3" t="str">
        <f aca="false">PROPER(TRIM(SUBSTITUTE(Raw_Text_Fields!F494,CHAR(160)," ")))</f>
        <v>Kochi</v>
      </c>
      <c r="J493" s="3" t="str">
        <f aca="false">PROPER(TRIM(SUBSTITUTE(Raw_Text_Fields!G494,CHAR(160)," ")))</f>
        <v>Technology</v>
      </c>
      <c r="K493" s="3" t="str">
        <f aca="false">PROPER(TRIM(SUBSTITUTE(Raw_Text_Fields!H494,CHAR(160)," ")))</f>
        <v>Accessories</v>
      </c>
      <c r="L493" s="3" t="s">
        <v>1497</v>
      </c>
      <c r="M493" s="3" t="str">
        <f aca="false">PROPER(TRIM(SUBSTITUTE(Raw_Text_Fields!I494,CHAR(160)," ")))</f>
        <v>Standard Class</v>
      </c>
      <c r="N493" s="3" t="n">
        <v>4</v>
      </c>
      <c r="O493" s="5" t="n">
        <v>606.58</v>
      </c>
      <c r="P493" s="6" t="n">
        <v>0.2</v>
      </c>
      <c r="Q493" s="5" t="n">
        <v>1941.06</v>
      </c>
      <c r="R493" s="5" t="n">
        <v>1207.42</v>
      </c>
      <c r="S493" s="5" t="n">
        <v>733.64</v>
      </c>
      <c r="T493" s="3" t="str">
        <f aca="false">PROPER(TRIM(SUBSTITUTE(Raw_Text_Fields!J494,CHAR(160)," ")))</f>
        <v>Paid</v>
      </c>
      <c r="U493" s="3" t="str">
        <f aca="false">PROPER(TRIM(SUBSTITUTE(Raw_Text_Fields!K494,CHAR(160)," ")))</f>
        <v>Completed</v>
      </c>
      <c r="V493" s="7" t="n">
        <f aca="false">IF(OR(P493&lt;0,P493&gt;0.5),0,P493)</f>
        <v>0.2</v>
      </c>
      <c r="W493" s="8" t="n">
        <f aca="false">N493*O493*(1-V493)</f>
        <v>1941.056</v>
      </c>
      <c r="X493" s="8" t="n">
        <f aca="false">W493-R493</f>
        <v>733.636</v>
      </c>
      <c r="Y493" s="7" t="n">
        <f aca="false">IFERROR(X493/W493,0)</f>
        <v>0.377957153219691</v>
      </c>
      <c r="Z493" s="9" t="n">
        <f aca="false">C493-B493</f>
        <v>1</v>
      </c>
      <c r="AA493" s="1" t="str">
        <f aca="false">IF(B493="","",TEXT(B493,"mmm"))</f>
        <v>Apr</v>
      </c>
      <c r="AB493" s="9" t="n">
        <f aca="false">IF(B493="","",YEAR(B493))</f>
        <v>2025</v>
      </c>
      <c r="AC493" s="3"/>
      <c r="AD493" s="3" t="str">
        <f aca="false">IF(LEFT(AC493&amp;IF(B493="","; Missing Order Date","")&amp;IF(C493="","; Missing Ship Date","")&amp;IF(P493&lt;0,"; Invalid Discount (Negative)","")&amp;IF(P493&gt;0.5,"; Invalid Discount (Too High)","")&amp;IF(Z493&lt;0,"; Invalid Shipping Record (Ship Before Order)","")&amp;IF(ABS(Q493-W493)&gt;1,"; Sales Mismatch","")&amp;IF(ABS(S493-X493)&gt;1,"; Profit Mismatch","")&amp;IF(COUNTIF($A$2:$A$913,A493)&gt;1,"; Duplicate Order ID Conflict",""),2)="; ",MID(AC493&amp;IF(B493="","; Missing Order Date","")&amp;IF(C493="","; Missing Ship Date","")&amp;IF(P493&lt;0,"; Invalid Discount (Negative)","")&amp;IF(P493&gt;0.5,"; Invalid Discount (Too High)","")&amp;IF(Z493&lt;0,"; Invalid Shipping Record (Ship Before Order)","")&amp;IF(ABS(Q493-W493)&gt;1,"; Sales Mismatch","")&amp;IF(ABS(S493-X493)&gt;1,"; Profit Mismatch","")&amp;IF(COUNTIF($A$2:$A$913,A493)&gt;1,"; Duplicate Order ID Conflict",""),3,500),AC493&amp;IF(B493="","; Missing Order Date","")&amp;IF(C493="","; Missing Ship Date","")&amp;IF(P493&lt;0,"; Invalid Discount (Negative)","")&amp;IF(P493&gt;0.5,"; Invalid Discount (Too High)","")&amp;IF(Z493&lt;0,"; Invalid Shipping Record (Ship Before Order)","")&amp;IF(ABS(Q493-W493)&gt;1,"; Sales Mismatch","")&amp;IF(ABS(S493-X493)&gt;1,"; Profit Mismatch","")&amp;IF(COUNTIF($A$2:$A$913,A493)&gt;1,"; Duplicate Order ID Conflict",""))</f>
        <v/>
      </c>
      <c r="AE493" s="10" t="str">
        <f aca="false">IF(OR(ISNUMBER(SEARCH("Invalid Discount",AD493)),ISNUMBER(SEARCH("Invalid Shipping Record",AD493)),ISNUMBER(SEARCH("Sales Mismatch",AD493)),ISNUMBER(SEARCH("Profit Mismatch",AD493)),ISNUMBER(SEARCH("Duplicate Order ID Conflict",AD493)),ISNUMBER(SEARCH("Missing Order Date",AD493)),ISNUMBER(SEARCH("Missing Ship Date",AD493))),"Invalid",IF(AD493&lt;&gt;"","Warning","Clean"))</f>
        <v>Clean</v>
      </c>
    </row>
    <row r="494" customFormat="false" ht="15" hidden="false" customHeight="true" outlineLevel="0" collapsed="false">
      <c r="A494" s="3" t="s">
        <v>1498</v>
      </c>
      <c r="B494" s="4" t="n">
        <v>45836</v>
      </c>
      <c r="C494" s="4" t="n">
        <v>45840</v>
      </c>
      <c r="D494" s="3" t="s">
        <v>1499</v>
      </c>
      <c r="E494" s="3" t="str">
        <f aca="false">PROPER(TRIM(SUBSTITUTE(Raw_Text_Fields!B495,CHAR(160)," ")))</f>
        <v>Ananya Rao</v>
      </c>
      <c r="F494" s="3" t="str">
        <f aca="false">PROPER(TRIM(SUBSTITUTE(Raw_Text_Fields!C495,CHAR(160)," ")))</f>
        <v>Corporate</v>
      </c>
      <c r="G494" s="3" t="str">
        <f aca="false">PROPER(TRIM(SUBSTITUTE(Raw_Text_Fields!D495,CHAR(160)," ")))</f>
        <v>South</v>
      </c>
      <c r="H494" s="3" t="str">
        <f aca="false">PROPER(TRIM(SUBSTITUTE(Raw_Text_Fields!E495,CHAR(160)," ")))</f>
        <v>Andhra Pradesh</v>
      </c>
      <c r="I494" s="3" t="str">
        <f aca="false">PROPER(TRIM(SUBSTITUTE(Raw_Text_Fields!F495,CHAR(160)," ")))</f>
        <v>Vijayawada</v>
      </c>
      <c r="J494" s="3" t="str">
        <f aca="false">PROPER(TRIM(SUBSTITUTE(Raw_Text_Fields!G495,CHAR(160)," ")))</f>
        <v>Office Supplies</v>
      </c>
      <c r="K494" s="3" t="str">
        <f aca="false">PROPER(TRIM(SUBSTITUTE(Raw_Text_Fields!H495,CHAR(160)," ")))</f>
        <v>Storage</v>
      </c>
      <c r="L494" s="3" t="s">
        <v>1500</v>
      </c>
      <c r="M494" s="3" t="str">
        <f aca="false">PROPER(TRIM(SUBSTITUTE(Raw_Text_Fields!I495,CHAR(160)," ")))</f>
        <v>Second Class</v>
      </c>
      <c r="N494" s="3" t="n">
        <v>2</v>
      </c>
      <c r="O494" s="5" t="n">
        <v>2725.44</v>
      </c>
      <c r="P494" s="6" t="n">
        <v>0.25</v>
      </c>
      <c r="Q494" s="5" t="n">
        <v>4088.16</v>
      </c>
      <c r="R494" s="5" t="n">
        <v>3205.68</v>
      </c>
      <c r="S494" s="5" t="n">
        <v>882.48</v>
      </c>
      <c r="T494" s="3" t="str">
        <f aca="false">PROPER(TRIM(SUBSTITUTE(Raw_Text_Fields!J495,CHAR(160)," ")))</f>
        <v>Paid</v>
      </c>
      <c r="U494" s="3" t="str">
        <f aca="false">PROPER(TRIM(SUBSTITUTE(Raw_Text_Fields!K495,CHAR(160)," ")))</f>
        <v>Completed</v>
      </c>
      <c r="V494" s="7" t="n">
        <f aca="false">IF(OR(P494&lt;0,P494&gt;0.5),0,P494)</f>
        <v>0.25</v>
      </c>
      <c r="W494" s="8" t="n">
        <f aca="false">N494*O494*(1-V494)</f>
        <v>4088.16</v>
      </c>
      <c r="X494" s="8" t="n">
        <f aca="false">W494-R494</f>
        <v>882.48</v>
      </c>
      <c r="Y494" s="7" t="n">
        <f aca="false">IFERROR(X494/W494,0)</f>
        <v>0.215862392861336</v>
      </c>
      <c r="Z494" s="9" t="n">
        <f aca="false">C494-B494</f>
        <v>4</v>
      </c>
      <c r="AA494" s="1" t="str">
        <f aca="false">IF(B494="","",TEXT(B494,"mmm"))</f>
        <v>Jun</v>
      </c>
      <c r="AB494" s="9" t="n">
        <f aca="false">IF(B494="","",YEAR(B494))</f>
        <v>2025</v>
      </c>
      <c r="AC494" s="3"/>
      <c r="AD494" s="3" t="str">
        <f aca="false">IF(LEFT(AC494&amp;IF(B494="","; Missing Order Date","")&amp;IF(C494="","; Missing Ship Date","")&amp;IF(P494&lt;0,"; Invalid Discount (Negative)","")&amp;IF(P494&gt;0.5,"; Invalid Discount (Too High)","")&amp;IF(Z494&lt;0,"; Invalid Shipping Record (Ship Before Order)","")&amp;IF(ABS(Q494-W494)&gt;1,"; Sales Mismatch","")&amp;IF(ABS(S494-X494)&gt;1,"; Profit Mismatch","")&amp;IF(COUNTIF($A$2:$A$913,A494)&gt;1,"; Duplicate Order ID Conflict",""),2)="; ",MID(AC494&amp;IF(B494="","; Missing Order Date","")&amp;IF(C494="","; Missing Ship Date","")&amp;IF(P494&lt;0,"; Invalid Discount (Negative)","")&amp;IF(P494&gt;0.5,"; Invalid Discount (Too High)","")&amp;IF(Z494&lt;0,"; Invalid Shipping Record (Ship Before Order)","")&amp;IF(ABS(Q494-W494)&gt;1,"; Sales Mismatch","")&amp;IF(ABS(S494-X494)&gt;1,"; Profit Mismatch","")&amp;IF(COUNTIF($A$2:$A$913,A494)&gt;1,"; Duplicate Order ID Conflict",""),3,500),AC494&amp;IF(B494="","; Missing Order Date","")&amp;IF(C494="","; Missing Ship Date","")&amp;IF(P494&lt;0,"; Invalid Discount (Negative)","")&amp;IF(P494&gt;0.5,"; Invalid Discount (Too High)","")&amp;IF(Z494&lt;0,"; Invalid Shipping Record (Ship Before Order)","")&amp;IF(ABS(Q494-W494)&gt;1,"; Sales Mismatch","")&amp;IF(ABS(S494-X494)&gt;1,"; Profit Mismatch","")&amp;IF(COUNTIF($A$2:$A$913,A494)&gt;1,"; Duplicate Order ID Conflict",""))</f>
        <v/>
      </c>
      <c r="AE494" s="10" t="str">
        <f aca="false">IF(OR(ISNUMBER(SEARCH("Invalid Discount",AD494)),ISNUMBER(SEARCH("Invalid Shipping Record",AD494)),ISNUMBER(SEARCH("Sales Mismatch",AD494)),ISNUMBER(SEARCH("Profit Mismatch",AD494)),ISNUMBER(SEARCH("Duplicate Order ID Conflict",AD494)),ISNUMBER(SEARCH("Missing Order Date",AD494)),ISNUMBER(SEARCH("Missing Ship Date",AD494))),"Invalid",IF(AD494&lt;&gt;"","Warning","Clean"))</f>
        <v>Clean</v>
      </c>
    </row>
    <row r="495" customFormat="false" ht="15" hidden="false" customHeight="true" outlineLevel="0" collapsed="false">
      <c r="A495" s="3" t="s">
        <v>1501</v>
      </c>
      <c r="B495" s="4" t="n">
        <v>45701</v>
      </c>
      <c r="C495" s="4" t="n">
        <v>45701</v>
      </c>
      <c r="D495" s="3" t="s">
        <v>1502</v>
      </c>
      <c r="E495" s="3" t="str">
        <f aca="false">PROPER(TRIM(SUBSTITUTE(Raw_Text_Fields!B496,CHAR(160)," ")))</f>
        <v>Kabir Singh</v>
      </c>
      <c r="F495" s="3" t="str">
        <f aca="false">PROPER(TRIM(SUBSTITUTE(Raw_Text_Fields!C496,CHAR(160)," ")))</f>
        <v>Corporate</v>
      </c>
      <c r="G495" s="3" t="str">
        <f aca="false">PROPER(TRIM(SUBSTITUTE(Raw_Text_Fields!D496,CHAR(160)," ")))</f>
        <v>East</v>
      </c>
      <c r="H495" s="3" t="str">
        <f aca="false">PROPER(TRIM(SUBSTITUTE(Raw_Text_Fields!E496,CHAR(160)," ")))</f>
        <v>Odisha</v>
      </c>
      <c r="I495" s="3" t="str">
        <f aca="false">PROPER(TRIM(SUBSTITUTE(Raw_Text_Fields!F496,CHAR(160)," ")))</f>
        <v>Bhubaneswar</v>
      </c>
      <c r="J495" s="3" t="str">
        <f aca="false">PROPER(TRIM(SUBSTITUTE(Raw_Text_Fields!G496,CHAR(160)," ")))</f>
        <v>Office Supplies</v>
      </c>
      <c r="K495" s="3" t="str">
        <f aca="false">PROPER(TRIM(SUBSTITUTE(Raw_Text_Fields!H496,CHAR(160)," ")))</f>
        <v>Paper</v>
      </c>
      <c r="L495" s="3" t="s">
        <v>1503</v>
      </c>
      <c r="M495" s="3" t="str">
        <f aca="false">PROPER(TRIM(SUBSTITUTE(Raw_Text_Fields!I496,CHAR(160)," ")))</f>
        <v>Second Class</v>
      </c>
      <c r="N495" s="3" t="n">
        <v>7</v>
      </c>
      <c r="O495" s="5" t="n">
        <v>2296.7</v>
      </c>
      <c r="P495" s="6" t="n">
        <v>0.05</v>
      </c>
      <c r="Q495" s="5" t="n">
        <v>15273.05</v>
      </c>
      <c r="R495" s="5" t="n">
        <v>11088.76</v>
      </c>
      <c r="S495" s="5" t="n">
        <v>4184.29</v>
      </c>
      <c r="T495" s="3" t="str">
        <f aca="false">PROPER(TRIM(SUBSTITUTE(Raw_Text_Fields!J496,CHAR(160)," ")))</f>
        <v>Paid</v>
      </c>
      <c r="U495" s="3" t="str">
        <f aca="false">PROPER(TRIM(SUBSTITUTE(Raw_Text_Fields!K496,CHAR(160)," ")))</f>
        <v>Completed</v>
      </c>
      <c r="V495" s="7" t="n">
        <f aca="false">IF(OR(P495&lt;0,P495&gt;0.5),0,P495)</f>
        <v>0.05</v>
      </c>
      <c r="W495" s="8" t="n">
        <f aca="false">N495*O495*(1-V495)</f>
        <v>15273.055</v>
      </c>
      <c r="X495" s="8" t="n">
        <f aca="false">W495-R495</f>
        <v>4184.295</v>
      </c>
      <c r="Y495" s="7" t="n">
        <f aca="false">IFERROR(X495/W495,0)</f>
        <v>0.273965817578736</v>
      </c>
      <c r="Z495" s="9" t="n">
        <f aca="false">C495-B495</f>
        <v>0</v>
      </c>
      <c r="AA495" s="1" t="str">
        <f aca="false">IF(B495="","",TEXT(B495,"mmm"))</f>
        <v>Feb</v>
      </c>
      <c r="AB495" s="9" t="n">
        <f aca="false">IF(B495="","",YEAR(B495))</f>
        <v>2025</v>
      </c>
      <c r="AC495" s="3"/>
      <c r="AD495" s="3" t="str">
        <f aca="false">IF(LEFT(AC495&amp;IF(B495="","; Missing Order Date","")&amp;IF(C495="","; Missing Ship Date","")&amp;IF(P495&lt;0,"; Invalid Discount (Negative)","")&amp;IF(P495&gt;0.5,"; Invalid Discount (Too High)","")&amp;IF(Z495&lt;0,"; Invalid Shipping Record (Ship Before Order)","")&amp;IF(ABS(Q495-W495)&gt;1,"; Sales Mismatch","")&amp;IF(ABS(S495-X495)&gt;1,"; Profit Mismatch","")&amp;IF(COUNTIF($A$2:$A$913,A495)&gt;1,"; Duplicate Order ID Conflict",""),2)="; ",MID(AC495&amp;IF(B495="","; Missing Order Date","")&amp;IF(C495="","; Missing Ship Date","")&amp;IF(P495&lt;0,"; Invalid Discount (Negative)","")&amp;IF(P495&gt;0.5,"; Invalid Discount (Too High)","")&amp;IF(Z495&lt;0,"; Invalid Shipping Record (Ship Before Order)","")&amp;IF(ABS(Q495-W495)&gt;1,"; Sales Mismatch","")&amp;IF(ABS(S495-X495)&gt;1,"; Profit Mismatch","")&amp;IF(COUNTIF($A$2:$A$913,A495)&gt;1,"; Duplicate Order ID Conflict",""),3,500),AC495&amp;IF(B495="","; Missing Order Date","")&amp;IF(C495="","; Missing Ship Date","")&amp;IF(P495&lt;0,"; Invalid Discount (Negative)","")&amp;IF(P495&gt;0.5,"; Invalid Discount (Too High)","")&amp;IF(Z495&lt;0,"; Invalid Shipping Record (Ship Before Order)","")&amp;IF(ABS(Q495-W495)&gt;1,"; Sales Mismatch","")&amp;IF(ABS(S495-X495)&gt;1,"; Profit Mismatch","")&amp;IF(COUNTIF($A$2:$A$913,A495)&gt;1,"; Duplicate Order ID Conflict",""))</f>
        <v/>
      </c>
      <c r="AE495" s="10" t="str">
        <f aca="false">IF(OR(ISNUMBER(SEARCH("Invalid Discount",AD495)),ISNUMBER(SEARCH("Invalid Shipping Record",AD495)),ISNUMBER(SEARCH("Sales Mismatch",AD495)),ISNUMBER(SEARCH("Profit Mismatch",AD495)),ISNUMBER(SEARCH("Duplicate Order ID Conflict",AD495)),ISNUMBER(SEARCH("Missing Order Date",AD495)),ISNUMBER(SEARCH("Missing Ship Date",AD495))),"Invalid",IF(AD495&lt;&gt;"","Warning","Clean"))</f>
        <v>Clean</v>
      </c>
    </row>
    <row r="496" customFormat="false" ht="15" hidden="false" customHeight="true" outlineLevel="0" collapsed="false">
      <c r="A496" s="3" t="s">
        <v>1504</v>
      </c>
      <c r="B496" s="4" t="n">
        <v>45610</v>
      </c>
      <c r="C496" s="4" t="n">
        <v>45618</v>
      </c>
      <c r="D496" s="3" t="s">
        <v>1505</v>
      </c>
      <c r="E496" s="3" t="str">
        <f aca="false">PROPER(TRIM(SUBSTITUTE(Raw_Text_Fields!B497,CHAR(160)," ")))</f>
        <v>Isha Nair</v>
      </c>
      <c r="F496" s="3" t="str">
        <f aca="false">PROPER(TRIM(SUBSTITUTE(Raw_Text_Fields!C497,CHAR(160)," ")))</f>
        <v>Consumer</v>
      </c>
      <c r="G496" s="3" t="str">
        <f aca="false">PROPER(TRIM(SUBSTITUTE(Raw_Text_Fields!D497,CHAR(160)," ")))</f>
        <v>West</v>
      </c>
      <c r="H496" s="3" t="str">
        <f aca="false">PROPER(TRIM(SUBSTITUTE(Raw_Text_Fields!E497,CHAR(160)," ")))</f>
        <v>Madhya Pradesh</v>
      </c>
      <c r="I496" s="3" t="str">
        <f aca="false">PROPER(TRIM(SUBSTITUTE(Raw_Text_Fields!F497,CHAR(160)," ")))</f>
        <v>Indore</v>
      </c>
      <c r="J496" s="3" t="str">
        <f aca="false">PROPER(TRIM(SUBSTITUTE(Raw_Text_Fields!G497,CHAR(160)," ")))</f>
        <v>Technology</v>
      </c>
      <c r="K496" s="3" t="str">
        <f aca="false">PROPER(TRIM(SUBSTITUTE(Raw_Text_Fields!H497,CHAR(160)," ")))</f>
        <v>Phones</v>
      </c>
      <c r="L496" s="3" t="s">
        <v>1506</v>
      </c>
      <c r="M496" s="3" t="str">
        <f aca="false">PROPER(TRIM(SUBSTITUTE(Raw_Text_Fields!I497,CHAR(160)," ")))</f>
        <v>Standard Class</v>
      </c>
      <c r="N496" s="3" t="n">
        <v>3</v>
      </c>
      <c r="O496" s="5" t="n">
        <v>671.68</v>
      </c>
      <c r="P496" s="6" t="n">
        <v>-0.13</v>
      </c>
      <c r="Q496" s="5" t="n">
        <v>1712.78</v>
      </c>
      <c r="R496" s="5" t="n">
        <v>1569.38</v>
      </c>
      <c r="S496" s="5" t="n">
        <v>360.66</v>
      </c>
      <c r="T496" s="3" t="str">
        <f aca="false">PROPER(TRIM(SUBSTITUTE(Raw_Text_Fields!J497,CHAR(160)," ")))</f>
        <v>Failed</v>
      </c>
      <c r="U496" s="3" t="str">
        <f aca="false">PROPER(TRIM(SUBSTITUTE(Raw_Text_Fields!K497,CHAR(160)," ")))</f>
        <v>Cancelled</v>
      </c>
      <c r="V496" s="7" t="n">
        <f aca="false">IF(OR(P496&lt;0,P496&gt;0.5),0,P496)</f>
        <v>0</v>
      </c>
      <c r="W496" s="8" t="n">
        <f aca="false">N496*O496*(1-V496)</f>
        <v>2015.04</v>
      </c>
      <c r="X496" s="8" t="n">
        <f aca="false">W496-R496</f>
        <v>445.66</v>
      </c>
      <c r="Y496" s="7" t="n">
        <f aca="false">IFERROR(X496/W496,0)</f>
        <v>0.221166825472447</v>
      </c>
      <c r="Z496" s="9" t="n">
        <f aca="false">C496-B496</f>
        <v>8</v>
      </c>
      <c r="AA496" s="1" t="str">
        <f aca="false">IF(B496="","",TEXT(B496,"mmm"))</f>
        <v>Nov</v>
      </c>
      <c r="AB496" s="9" t="n">
        <f aca="false">IF(B496="","",YEAR(B496))</f>
        <v>2024</v>
      </c>
      <c r="AC496" s="3"/>
      <c r="AD496" s="3" t="str">
        <f aca="false">IF(LEFT(AC496&amp;IF(B496="","; Missing Order Date","")&amp;IF(C496="","; Missing Ship Date","")&amp;IF(P496&lt;0,"; Invalid Discount (Negative)","")&amp;IF(P496&gt;0.5,"; Invalid Discount (Too High)","")&amp;IF(Z496&lt;0,"; Invalid Shipping Record (Ship Before Order)","")&amp;IF(ABS(Q496-W496)&gt;1,"; Sales Mismatch","")&amp;IF(ABS(S496-X496)&gt;1,"; Profit Mismatch","")&amp;IF(COUNTIF($A$2:$A$913,A496)&gt;1,"; Duplicate Order ID Conflict",""),2)="; ",MID(AC496&amp;IF(B496="","; Missing Order Date","")&amp;IF(C496="","; Missing Ship Date","")&amp;IF(P496&lt;0,"; Invalid Discount (Negative)","")&amp;IF(P496&gt;0.5,"; Invalid Discount (Too High)","")&amp;IF(Z496&lt;0,"; Invalid Shipping Record (Ship Before Order)","")&amp;IF(ABS(Q496-W496)&gt;1,"; Sales Mismatch","")&amp;IF(ABS(S496-X496)&gt;1,"; Profit Mismatch","")&amp;IF(COUNTIF($A$2:$A$913,A496)&gt;1,"; Duplicate Order ID Conflict",""),3,500),AC496&amp;IF(B496="","; Missing Order Date","")&amp;IF(C496="","; Missing Ship Date","")&amp;IF(P496&lt;0,"; Invalid Discount (Negative)","")&amp;IF(P496&gt;0.5,"; Invalid Discount (Too High)","")&amp;IF(Z496&lt;0,"; Invalid Shipping Record (Ship Before Order)","")&amp;IF(ABS(Q496-W496)&gt;1,"; Sales Mismatch","")&amp;IF(ABS(S496-X496)&gt;1,"; Profit Mismatch","")&amp;IF(COUNTIF($A$2:$A$913,A496)&gt;1,"; Duplicate Order ID Conflict",""))</f>
        <v>Invalid Discount (Negative); Sales Mismatch; Profit Mismatch</v>
      </c>
      <c r="AE496" s="10" t="str">
        <f aca="false">IF(OR(ISNUMBER(SEARCH("Invalid Discount",AD496)),ISNUMBER(SEARCH("Invalid Shipping Record",AD496)),ISNUMBER(SEARCH("Sales Mismatch",AD496)),ISNUMBER(SEARCH("Profit Mismatch",AD496)),ISNUMBER(SEARCH("Duplicate Order ID Conflict",AD496)),ISNUMBER(SEARCH("Missing Order Date",AD496)),ISNUMBER(SEARCH("Missing Ship Date",AD496))),"Invalid",IF(AD496&lt;&gt;"","Warning","Clean"))</f>
        <v>Invalid</v>
      </c>
    </row>
    <row r="497" customFormat="false" ht="15" hidden="false" customHeight="true" outlineLevel="0" collapsed="false">
      <c r="A497" s="3" t="s">
        <v>1507</v>
      </c>
      <c r="B497" s="4" t="n">
        <v>45421</v>
      </c>
      <c r="C497" s="4" t="n">
        <v>45427</v>
      </c>
      <c r="D497" s="3" t="s">
        <v>1508</v>
      </c>
      <c r="E497" s="3" t="str">
        <f aca="false">PROPER(TRIM(SUBSTITUTE(Raw_Text_Fields!B498,CHAR(160)," ")))</f>
        <v>Mira Das</v>
      </c>
      <c r="F497" s="3" t="str">
        <f aca="false">PROPER(TRIM(SUBSTITUTE(Raw_Text_Fields!C498,CHAR(160)," ")))</f>
        <v>Small Business</v>
      </c>
      <c r="G497" s="3" t="str">
        <f aca="false">PROPER(TRIM(SUBSTITUTE(Raw_Text_Fields!D498,CHAR(160)," ")))</f>
        <v>East</v>
      </c>
      <c r="H497" s="3" t="str">
        <f aca="false">PROPER(TRIM(SUBSTITUTE(Raw_Text_Fields!E498,CHAR(160)," ")))</f>
        <v>Assam</v>
      </c>
      <c r="I497" s="3" t="str">
        <f aca="false">PROPER(TRIM(SUBSTITUTE(Raw_Text_Fields!F498,CHAR(160)," ")))</f>
        <v>Guwahati</v>
      </c>
      <c r="J497" s="3" t="str">
        <f aca="false">PROPER(TRIM(SUBSTITUTE(Raw_Text_Fields!G498,CHAR(160)," ")))</f>
        <v>Technology</v>
      </c>
      <c r="K497" s="3" t="str">
        <f aca="false">PROPER(TRIM(SUBSTITUTE(Raw_Text_Fields!H498,CHAR(160)," ")))</f>
        <v>Phones</v>
      </c>
      <c r="L497" s="3" t="s">
        <v>1509</v>
      </c>
      <c r="M497" s="3" t="str">
        <f aca="false">PROPER(TRIM(SUBSTITUTE(Raw_Text_Fields!I498,CHAR(160)," ")))</f>
        <v>Second Class</v>
      </c>
      <c r="N497" s="3" t="n">
        <v>4</v>
      </c>
      <c r="O497" s="5" t="n">
        <v>995.98</v>
      </c>
      <c r="P497" s="6" t="n">
        <v>0.05</v>
      </c>
      <c r="Q497" s="5" t="n">
        <v>3784.72</v>
      </c>
      <c r="R497" s="5" t="n">
        <v>2419.24</v>
      </c>
      <c r="S497" s="5" t="n">
        <v>1365.48</v>
      </c>
      <c r="T497" s="3" t="str">
        <f aca="false">PROPER(TRIM(SUBSTITUTE(Raw_Text_Fields!J498,CHAR(160)," ")))</f>
        <v>Refunded</v>
      </c>
      <c r="U497" s="3" t="str">
        <f aca="false">PROPER(TRIM(SUBSTITUTE(Raw_Text_Fields!K498,CHAR(160)," ")))</f>
        <v>Returned</v>
      </c>
      <c r="V497" s="7" t="n">
        <f aca="false">IF(OR(P497&lt;0,P497&gt;0.5),0,P497)</f>
        <v>0.05</v>
      </c>
      <c r="W497" s="8" t="n">
        <f aca="false">N497*O497*(1-V497)</f>
        <v>3784.724</v>
      </c>
      <c r="X497" s="8" t="n">
        <f aca="false">W497-R497</f>
        <v>1365.484</v>
      </c>
      <c r="Y497" s="7" t="n">
        <f aca="false">IFERROR(X497/W497,0)</f>
        <v>0.360788263556339</v>
      </c>
      <c r="Z497" s="9" t="n">
        <f aca="false">C497-B497</f>
        <v>6</v>
      </c>
      <c r="AA497" s="1" t="str">
        <f aca="false">IF(B497="","",TEXT(B497,"mmm"))</f>
        <v>May</v>
      </c>
      <c r="AB497" s="9" t="n">
        <f aca="false">IF(B497="","",YEAR(B497))</f>
        <v>2024</v>
      </c>
      <c r="AC497" s="3"/>
      <c r="AD497" s="3" t="str">
        <f aca="false">IF(LEFT(AC497&amp;IF(B497="","; Missing Order Date","")&amp;IF(C497="","; Missing Ship Date","")&amp;IF(P497&lt;0,"; Invalid Discount (Negative)","")&amp;IF(P497&gt;0.5,"; Invalid Discount (Too High)","")&amp;IF(Z497&lt;0,"; Invalid Shipping Record (Ship Before Order)","")&amp;IF(ABS(Q497-W497)&gt;1,"; Sales Mismatch","")&amp;IF(ABS(S497-X497)&gt;1,"; Profit Mismatch","")&amp;IF(COUNTIF($A$2:$A$913,A497)&gt;1,"; Duplicate Order ID Conflict",""),2)="; ",MID(AC497&amp;IF(B497="","; Missing Order Date","")&amp;IF(C497="","; Missing Ship Date","")&amp;IF(P497&lt;0,"; Invalid Discount (Negative)","")&amp;IF(P497&gt;0.5,"; Invalid Discount (Too High)","")&amp;IF(Z497&lt;0,"; Invalid Shipping Record (Ship Before Order)","")&amp;IF(ABS(Q497-W497)&gt;1,"; Sales Mismatch","")&amp;IF(ABS(S497-X497)&gt;1,"; Profit Mismatch","")&amp;IF(COUNTIF($A$2:$A$913,A497)&gt;1,"; Duplicate Order ID Conflict",""),3,500),AC497&amp;IF(B497="","; Missing Order Date","")&amp;IF(C497="","; Missing Ship Date","")&amp;IF(P497&lt;0,"; Invalid Discount (Negative)","")&amp;IF(P497&gt;0.5,"; Invalid Discount (Too High)","")&amp;IF(Z497&lt;0,"; Invalid Shipping Record (Ship Before Order)","")&amp;IF(ABS(Q497-W497)&gt;1,"; Sales Mismatch","")&amp;IF(ABS(S497-X497)&gt;1,"; Profit Mismatch","")&amp;IF(COUNTIF($A$2:$A$913,A497)&gt;1,"; Duplicate Order ID Conflict",""))</f>
        <v/>
      </c>
      <c r="AE497" s="10" t="str">
        <f aca="false">IF(OR(ISNUMBER(SEARCH("Invalid Discount",AD497)),ISNUMBER(SEARCH("Invalid Shipping Record",AD497)),ISNUMBER(SEARCH("Sales Mismatch",AD497)),ISNUMBER(SEARCH("Profit Mismatch",AD497)),ISNUMBER(SEARCH("Duplicate Order ID Conflict",AD497)),ISNUMBER(SEARCH("Missing Order Date",AD497)),ISNUMBER(SEARCH("Missing Ship Date",AD497))),"Invalid",IF(AD497&lt;&gt;"","Warning","Clean"))</f>
        <v>Clean</v>
      </c>
    </row>
    <row r="498" customFormat="false" ht="15" hidden="false" customHeight="true" outlineLevel="0" collapsed="false">
      <c r="A498" s="3" t="s">
        <v>1510</v>
      </c>
      <c r="B498" s="4" t="n">
        <v>45842</v>
      </c>
      <c r="C498" s="4" t="n">
        <v>45844</v>
      </c>
      <c r="D498" s="3" t="s">
        <v>1511</v>
      </c>
      <c r="E498" s="3" t="str">
        <f aca="false">PROPER(TRIM(SUBSTITUTE(Raw_Text_Fields!B499,CHAR(160)," ")))</f>
        <v>Kabir Singh</v>
      </c>
      <c r="F498" s="3" t="str">
        <f aca="false">PROPER(TRIM(SUBSTITUTE(Raw_Text_Fields!C499,CHAR(160)," ")))</f>
        <v>Small Business</v>
      </c>
      <c r="G498" s="3" t="str">
        <f aca="false">PROPER(TRIM(SUBSTITUTE(Raw_Text_Fields!D499,CHAR(160)," ")))</f>
        <v>East</v>
      </c>
      <c r="H498" s="3" t="str">
        <f aca="false">PROPER(TRIM(SUBSTITUTE(Raw_Text_Fields!E499,CHAR(160)," ")))</f>
        <v>Jharkhand</v>
      </c>
      <c r="I498" s="3" t="str">
        <f aca="false">PROPER(TRIM(SUBSTITUTE(Raw_Text_Fields!F499,CHAR(160)," ")))</f>
        <v>Ranchi</v>
      </c>
      <c r="J498" s="3" t="str">
        <f aca="false">PROPER(TRIM(SUBSTITUTE(Raw_Text_Fields!G499,CHAR(160)," ")))</f>
        <v>Furniture</v>
      </c>
      <c r="K498" s="3" t="str">
        <f aca="false">PROPER(TRIM(SUBSTITUTE(Raw_Text_Fields!H499,CHAR(160)," ")))</f>
        <v>Chairs</v>
      </c>
      <c r="L498" s="3" t="s">
        <v>1512</v>
      </c>
      <c r="M498" s="3" t="str">
        <f aca="false">PROPER(TRIM(SUBSTITUTE(Raw_Text_Fields!I499,CHAR(160)," ")))</f>
        <v>Second Class</v>
      </c>
      <c r="N498" s="3" t="n">
        <v>2</v>
      </c>
      <c r="O498" s="5" t="n">
        <v>3686.42</v>
      </c>
      <c r="P498" s="6" t="n">
        <v>0.1</v>
      </c>
      <c r="Q498" s="5" t="n">
        <v>6635.56</v>
      </c>
      <c r="R498" s="5" t="n">
        <v>3652.91</v>
      </c>
      <c r="S498" s="5" t="n">
        <v>2982.65</v>
      </c>
      <c r="T498" s="3" t="str">
        <f aca="false">PROPER(TRIM(SUBSTITUTE(Raw_Text_Fields!J499,CHAR(160)," ")))</f>
        <v>Paid</v>
      </c>
      <c r="U498" s="3" t="str">
        <f aca="false">PROPER(TRIM(SUBSTITUTE(Raw_Text_Fields!K499,CHAR(160)," ")))</f>
        <v>Completed</v>
      </c>
      <c r="V498" s="7" t="n">
        <f aca="false">IF(OR(P498&lt;0,P498&gt;0.5),0,P498)</f>
        <v>0.1</v>
      </c>
      <c r="W498" s="8" t="n">
        <f aca="false">N498*O498*(1-V498)</f>
        <v>6635.556</v>
      </c>
      <c r="X498" s="8" t="n">
        <f aca="false">W498-R498</f>
        <v>2982.646</v>
      </c>
      <c r="Y498" s="7" t="n">
        <f aca="false">IFERROR(X498/W498,0)</f>
        <v>0.449494511085431</v>
      </c>
      <c r="Z498" s="9" t="n">
        <f aca="false">C498-B498</f>
        <v>2</v>
      </c>
      <c r="AA498" s="1" t="str">
        <f aca="false">IF(B498="","",TEXT(B498,"mmm"))</f>
        <v>Jul</v>
      </c>
      <c r="AB498" s="9" t="n">
        <f aca="false">IF(B498="","",YEAR(B498))</f>
        <v>2025</v>
      </c>
      <c r="AC498" s="3"/>
      <c r="AD498" s="3" t="str">
        <f aca="false">IF(LEFT(AC498&amp;IF(B498="","; Missing Order Date","")&amp;IF(C498="","; Missing Ship Date","")&amp;IF(P498&lt;0,"; Invalid Discount (Negative)","")&amp;IF(P498&gt;0.5,"; Invalid Discount (Too High)","")&amp;IF(Z498&lt;0,"; Invalid Shipping Record (Ship Before Order)","")&amp;IF(ABS(Q498-W498)&gt;1,"; Sales Mismatch","")&amp;IF(ABS(S498-X498)&gt;1,"; Profit Mismatch","")&amp;IF(COUNTIF($A$2:$A$913,A498)&gt;1,"; Duplicate Order ID Conflict",""),2)="; ",MID(AC498&amp;IF(B498="","; Missing Order Date","")&amp;IF(C498="","; Missing Ship Date","")&amp;IF(P498&lt;0,"; Invalid Discount (Negative)","")&amp;IF(P498&gt;0.5,"; Invalid Discount (Too High)","")&amp;IF(Z498&lt;0,"; Invalid Shipping Record (Ship Before Order)","")&amp;IF(ABS(Q498-W498)&gt;1,"; Sales Mismatch","")&amp;IF(ABS(S498-X498)&gt;1,"; Profit Mismatch","")&amp;IF(COUNTIF($A$2:$A$913,A498)&gt;1,"; Duplicate Order ID Conflict",""),3,500),AC498&amp;IF(B498="","; Missing Order Date","")&amp;IF(C498="","; Missing Ship Date","")&amp;IF(P498&lt;0,"; Invalid Discount (Negative)","")&amp;IF(P498&gt;0.5,"; Invalid Discount (Too High)","")&amp;IF(Z498&lt;0,"; Invalid Shipping Record (Ship Before Order)","")&amp;IF(ABS(Q498-W498)&gt;1,"; Sales Mismatch","")&amp;IF(ABS(S498-X498)&gt;1,"; Profit Mismatch","")&amp;IF(COUNTIF($A$2:$A$913,A498)&gt;1,"; Duplicate Order ID Conflict",""))</f>
        <v/>
      </c>
      <c r="AE498" s="10" t="str">
        <f aca="false">IF(OR(ISNUMBER(SEARCH("Invalid Discount",AD498)),ISNUMBER(SEARCH("Invalid Shipping Record",AD498)),ISNUMBER(SEARCH("Sales Mismatch",AD498)),ISNUMBER(SEARCH("Profit Mismatch",AD498)),ISNUMBER(SEARCH("Duplicate Order ID Conflict",AD498)),ISNUMBER(SEARCH("Missing Order Date",AD498)),ISNUMBER(SEARCH("Missing Ship Date",AD498))),"Invalid",IF(AD498&lt;&gt;"","Warning","Clean"))</f>
        <v>Clean</v>
      </c>
    </row>
    <row r="499" customFormat="false" ht="15" hidden="false" customHeight="true" outlineLevel="0" collapsed="false">
      <c r="A499" s="3" t="s">
        <v>1513</v>
      </c>
      <c r="B499" s="4" t="n">
        <v>45533</v>
      </c>
      <c r="C499" s="4" t="n">
        <v>45533</v>
      </c>
      <c r="D499" s="3" t="s">
        <v>1514</v>
      </c>
      <c r="E499" s="3" t="str">
        <f aca="false">PROPER(TRIM(SUBSTITUTE(Raw_Text_Fields!B500,CHAR(160)," ")))</f>
        <v>Sneha Kapoor</v>
      </c>
      <c r="F499" s="3" t="str">
        <f aca="false">PROPER(TRIM(SUBSTITUTE(Raw_Text_Fields!C500,CHAR(160)," ")))</f>
        <v>Small Business</v>
      </c>
      <c r="G499" s="3" t="str">
        <f aca="false">PROPER(TRIM(SUBSTITUTE(Raw_Text_Fields!D500,CHAR(160)," ")))</f>
        <v>North</v>
      </c>
      <c r="H499" s="3" t="str">
        <f aca="false">PROPER(TRIM(SUBSTITUTE(Raw_Text_Fields!E500,CHAR(160)," ")))</f>
        <v>Uttar Pradesh</v>
      </c>
      <c r="I499" s="3" t="str">
        <f aca="false">PROPER(TRIM(SUBSTITUTE(Raw_Text_Fields!F500,CHAR(160)," ")))</f>
        <v>Noida</v>
      </c>
      <c r="J499" s="3" t="str">
        <f aca="false">PROPER(TRIM(SUBSTITUTE(Raw_Text_Fields!G500,CHAR(160)," ")))</f>
        <v>Technology</v>
      </c>
      <c r="K499" s="3" t="str">
        <f aca="false">PROPER(TRIM(SUBSTITUTE(Raw_Text_Fields!H500,CHAR(160)," ")))</f>
        <v>Accessories</v>
      </c>
      <c r="L499" s="3" t="s">
        <v>1515</v>
      </c>
      <c r="M499" s="3" t="str">
        <f aca="false">PROPER(TRIM(SUBSTITUTE(Raw_Text_Fields!I500,CHAR(160)," ")))</f>
        <v>Second Class</v>
      </c>
      <c r="N499" s="3" t="n">
        <v>1</v>
      </c>
      <c r="O499" s="5" t="n">
        <v>3106.88</v>
      </c>
      <c r="P499" s="6" t="n">
        <v>0.2</v>
      </c>
      <c r="Q499" s="5" t="n">
        <v>2485.5</v>
      </c>
      <c r="R499" s="5" t="n">
        <v>2028.43</v>
      </c>
      <c r="S499" s="5" t="n">
        <v>457.07</v>
      </c>
      <c r="T499" s="3" t="str">
        <f aca="false">PROPER(TRIM(SUBSTITUTE(Raw_Text_Fields!J500,CHAR(160)," ")))</f>
        <v>Paid</v>
      </c>
      <c r="U499" s="3" t="str">
        <f aca="false">PROPER(TRIM(SUBSTITUTE(Raw_Text_Fields!K500,CHAR(160)," ")))</f>
        <v>Cancelled</v>
      </c>
      <c r="V499" s="7" t="n">
        <f aca="false">IF(OR(P499&lt;0,P499&gt;0.5),0,P499)</f>
        <v>0.2</v>
      </c>
      <c r="W499" s="8" t="n">
        <f aca="false">N499*O499*(1-V499)</f>
        <v>2485.504</v>
      </c>
      <c r="X499" s="8" t="n">
        <f aca="false">W499-R499</f>
        <v>457.074</v>
      </c>
      <c r="Y499" s="7" t="n">
        <f aca="false">IFERROR(X499/W499,0)</f>
        <v>0.183895901998146</v>
      </c>
      <c r="Z499" s="9" t="n">
        <f aca="false">C499-B499</f>
        <v>0</v>
      </c>
      <c r="AA499" s="1" t="str">
        <f aca="false">IF(B499="","",TEXT(B499,"mmm"))</f>
        <v>Aug</v>
      </c>
      <c r="AB499" s="9" t="n">
        <f aca="false">IF(B499="","",YEAR(B499))</f>
        <v>2024</v>
      </c>
      <c r="AC499" s="3"/>
      <c r="AD499" s="3" t="str">
        <f aca="false">IF(LEFT(AC499&amp;IF(B499="","; Missing Order Date","")&amp;IF(C499="","; Missing Ship Date","")&amp;IF(P499&lt;0,"; Invalid Discount (Negative)","")&amp;IF(P499&gt;0.5,"; Invalid Discount (Too High)","")&amp;IF(Z499&lt;0,"; Invalid Shipping Record (Ship Before Order)","")&amp;IF(ABS(Q499-W499)&gt;1,"; Sales Mismatch","")&amp;IF(ABS(S499-X499)&gt;1,"; Profit Mismatch","")&amp;IF(COUNTIF($A$2:$A$913,A499)&gt;1,"; Duplicate Order ID Conflict",""),2)="; ",MID(AC499&amp;IF(B499="","; Missing Order Date","")&amp;IF(C499="","; Missing Ship Date","")&amp;IF(P499&lt;0,"; Invalid Discount (Negative)","")&amp;IF(P499&gt;0.5,"; Invalid Discount (Too High)","")&amp;IF(Z499&lt;0,"; Invalid Shipping Record (Ship Before Order)","")&amp;IF(ABS(Q499-W499)&gt;1,"; Sales Mismatch","")&amp;IF(ABS(S499-X499)&gt;1,"; Profit Mismatch","")&amp;IF(COUNTIF($A$2:$A$913,A499)&gt;1,"; Duplicate Order ID Conflict",""),3,500),AC499&amp;IF(B499="","; Missing Order Date","")&amp;IF(C499="","; Missing Ship Date","")&amp;IF(P499&lt;0,"; Invalid Discount (Negative)","")&amp;IF(P499&gt;0.5,"; Invalid Discount (Too High)","")&amp;IF(Z499&lt;0,"; Invalid Shipping Record (Ship Before Order)","")&amp;IF(ABS(Q499-W499)&gt;1,"; Sales Mismatch","")&amp;IF(ABS(S499-X499)&gt;1,"; Profit Mismatch","")&amp;IF(COUNTIF($A$2:$A$913,A499)&gt;1,"; Duplicate Order ID Conflict",""))</f>
        <v/>
      </c>
      <c r="AE499" s="10" t="str">
        <f aca="false">IF(OR(ISNUMBER(SEARCH("Invalid Discount",AD499)),ISNUMBER(SEARCH("Invalid Shipping Record",AD499)),ISNUMBER(SEARCH("Sales Mismatch",AD499)),ISNUMBER(SEARCH("Profit Mismatch",AD499)),ISNUMBER(SEARCH("Duplicate Order ID Conflict",AD499)),ISNUMBER(SEARCH("Missing Order Date",AD499)),ISNUMBER(SEARCH("Missing Ship Date",AD499))),"Invalid",IF(AD499&lt;&gt;"","Warning","Clean"))</f>
        <v>Clean</v>
      </c>
    </row>
    <row r="500" customFormat="false" ht="15" hidden="false" customHeight="true" outlineLevel="0" collapsed="false">
      <c r="A500" s="3" t="s">
        <v>1516</v>
      </c>
      <c r="B500" s="4" t="n">
        <v>45907</v>
      </c>
      <c r="C500" s="4" t="n">
        <v>45910</v>
      </c>
      <c r="D500" s="3" t="s">
        <v>1517</v>
      </c>
      <c r="E500" s="3" t="str">
        <f aca="false">PROPER(TRIM(SUBSTITUTE(Raw_Text_Fields!B501,CHAR(160)," ")))</f>
        <v>Karan Malhotra</v>
      </c>
      <c r="F500" s="3" t="str">
        <f aca="false">PROPER(TRIM(SUBSTITUTE(Raw_Text_Fields!C501,CHAR(160)," ")))</f>
        <v>Consumer</v>
      </c>
      <c r="G500" s="3" t="str">
        <f aca="false">PROPER(TRIM(SUBSTITUTE(Raw_Text_Fields!D501,CHAR(160)," ")))</f>
        <v>North</v>
      </c>
      <c r="H500" s="3" t="str">
        <f aca="false">PROPER(TRIM(SUBSTITUTE(Raw_Text_Fields!E501,CHAR(160)," ")))</f>
        <v>Punjab</v>
      </c>
      <c r="I500" s="3" t="str">
        <f aca="false">PROPER(TRIM(SUBSTITUTE(Raw_Text_Fields!F501,CHAR(160)," ")))</f>
        <v>Ludhiana</v>
      </c>
      <c r="J500" s="3" t="str">
        <f aca="false">PROPER(TRIM(SUBSTITUTE(Raw_Text_Fields!G501,CHAR(160)," ")))</f>
        <v>Furniture</v>
      </c>
      <c r="K500" s="3" t="str">
        <f aca="false">PROPER(TRIM(SUBSTITUTE(Raw_Text_Fields!H501,CHAR(160)," ")))</f>
        <v>Chairs</v>
      </c>
      <c r="L500" s="3" t="s">
        <v>1518</v>
      </c>
      <c r="M500" s="3" t="str">
        <f aca="false">PROPER(TRIM(SUBSTITUTE(Raw_Text_Fields!I501,CHAR(160)," ")))</f>
        <v>Same Day</v>
      </c>
      <c r="N500" s="3" t="n">
        <v>2</v>
      </c>
      <c r="O500" s="5" t="n">
        <v>447.55</v>
      </c>
      <c r="P500" s="6" t="n">
        <v>0.05</v>
      </c>
      <c r="Q500" s="5" t="n">
        <v>850.35</v>
      </c>
      <c r="R500" s="5" t="n">
        <v>600.98</v>
      </c>
      <c r="S500" s="5" t="n">
        <v>249.37</v>
      </c>
      <c r="T500" s="3" t="str">
        <f aca="false">PROPER(TRIM(SUBSTITUTE(Raw_Text_Fields!J501,CHAR(160)," ")))</f>
        <v>Refunded</v>
      </c>
      <c r="U500" s="3" t="str">
        <f aca="false">PROPER(TRIM(SUBSTITUTE(Raw_Text_Fields!K501,CHAR(160)," ")))</f>
        <v>Cancelled</v>
      </c>
      <c r="V500" s="7" t="n">
        <f aca="false">IF(OR(P500&lt;0,P500&gt;0.5),0,P500)</f>
        <v>0.05</v>
      </c>
      <c r="W500" s="8" t="n">
        <f aca="false">N500*O500*(1-V500)</f>
        <v>850.345</v>
      </c>
      <c r="X500" s="8" t="n">
        <f aca="false">W500-R500</f>
        <v>249.365</v>
      </c>
      <c r="Y500" s="7" t="n">
        <f aca="false">IFERROR(X500/W500,0)</f>
        <v>0.293251562601062</v>
      </c>
      <c r="Z500" s="9" t="n">
        <f aca="false">C500-B500</f>
        <v>3</v>
      </c>
      <c r="AA500" s="1" t="str">
        <f aca="false">IF(B500="","",TEXT(B500,"mmm"))</f>
        <v>Sep</v>
      </c>
      <c r="AB500" s="9" t="n">
        <f aca="false">IF(B500="","",YEAR(B500))</f>
        <v>2025</v>
      </c>
      <c r="AC500" s="3"/>
      <c r="AD500" s="3" t="str">
        <f aca="false">IF(LEFT(AC500&amp;IF(B500="","; Missing Order Date","")&amp;IF(C500="","; Missing Ship Date","")&amp;IF(P500&lt;0,"; Invalid Discount (Negative)","")&amp;IF(P500&gt;0.5,"; Invalid Discount (Too High)","")&amp;IF(Z500&lt;0,"; Invalid Shipping Record (Ship Before Order)","")&amp;IF(ABS(Q500-W500)&gt;1,"; Sales Mismatch","")&amp;IF(ABS(S500-X500)&gt;1,"; Profit Mismatch","")&amp;IF(COUNTIF($A$2:$A$913,A500)&gt;1,"; Duplicate Order ID Conflict",""),2)="; ",MID(AC500&amp;IF(B500="","; Missing Order Date","")&amp;IF(C500="","; Missing Ship Date","")&amp;IF(P500&lt;0,"; Invalid Discount (Negative)","")&amp;IF(P500&gt;0.5,"; Invalid Discount (Too High)","")&amp;IF(Z500&lt;0,"; Invalid Shipping Record (Ship Before Order)","")&amp;IF(ABS(Q500-W500)&gt;1,"; Sales Mismatch","")&amp;IF(ABS(S500-X500)&gt;1,"; Profit Mismatch","")&amp;IF(COUNTIF($A$2:$A$913,A500)&gt;1,"; Duplicate Order ID Conflict",""),3,500),AC500&amp;IF(B500="","; Missing Order Date","")&amp;IF(C500="","; Missing Ship Date","")&amp;IF(P500&lt;0,"; Invalid Discount (Negative)","")&amp;IF(P500&gt;0.5,"; Invalid Discount (Too High)","")&amp;IF(Z500&lt;0,"; Invalid Shipping Record (Ship Before Order)","")&amp;IF(ABS(Q500-W500)&gt;1,"; Sales Mismatch","")&amp;IF(ABS(S500-X500)&gt;1,"; Profit Mismatch","")&amp;IF(COUNTIF($A$2:$A$913,A500)&gt;1,"; Duplicate Order ID Conflict",""))</f>
        <v/>
      </c>
      <c r="AE500" s="10" t="str">
        <f aca="false">IF(OR(ISNUMBER(SEARCH("Invalid Discount",AD500)),ISNUMBER(SEARCH("Invalid Shipping Record",AD500)),ISNUMBER(SEARCH("Sales Mismatch",AD500)),ISNUMBER(SEARCH("Profit Mismatch",AD500)),ISNUMBER(SEARCH("Duplicate Order ID Conflict",AD500)),ISNUMBER(SEARCH("Missing Order Date",AD500)),ISNUMBER(SEARCH("Missing Ship Date",AD500))),"Invalid",IF(AD500&lt;&gt;"","Warning","Clean"))</f>
        <v>Clean</v>
      </c>
    </row>
    <row r="501" customFormat="false" ht="15" hidden="false" customHeight="true" outlineLevel="0" collapsed="false">
      <c r="A501" s="3" t="s">
        <v>1519</v>
      </c>
      <c r="B501" s="4" t="n">
        <v>45648</v>
      </c>
      <c r="C501" s="4" t="n">
        <v>45652</v>
      </c>
      <c r="D501" s="3" t="s">
        <v>1520</v>
      </c>
      <c r="E501" s="3" t="str">
        <f aca="false">PROPER(TRIM(SUBSTITUTE(Raw_Text_Fields!B502,CHAR(160)," ")))</f>
        <v>Rahul Verma</v>
      </c>
      <c r="F501" s="3" t="str">
        <f aca="false">PROPER(TRIM(SUBSTITUTE(Raw_Text_Fields!C502,CHAR(160)," ")))</f>
        <v>Home Office</v>
      </c>
      <c r="G501" s="3" t="str">
        <f aca="false">PROPER(TRIM(SUBSTITUTE(Raw_Text_Fields!D502,CHAR(160)," ")))</f>
        <v>North</v>
      </c>
      <c r="H501" s="3" t="str">
        <f aca="false">PROPER(TRIM(SUBSTITUTE(Raw_Text_Fields!E502,CHAR(160)," ")))</f>
        <v>Uttar Pradesh</v>
      </c>
      <c r="I501" s="3" t="str">
        <f aca="false">PROPER(TRIM(SUBSTITUTE(Raw_Text_Fields!F502,CHAR(160)," ")))</f>
        <v>Noida</v>
      </c>
      <c r="J501" s="3" t="str">
        <f aca="false">PROPER(TRIM(SUBSTITUTE(Raw_Text_Fields!G502,CHAR(160)," ")))</f>
        <v>Furniture</v>
      </c>
      <c r="K501" s="3" t="str">
        <f aca="false">PROPER(TRIM(SUBSTITUTE(Raw_Text_Fields!H502,CHAR(160)," ")))</f>
        <v>Chairs</v>
      </c>
      <c r="L501" s="3" t="s">
        <v>1521</v>
      </c>
      <c r="M501" s="3" t="str">
        <f aca="false">PROPER(TRIM(SUBSTITUTE(Raw_Text_Fields!I502,CHAR(160)," ")))</f>
        <v>Standard Class</v>
      </c>
      <c r="N501" s="3" t="n">
        <v>9</v>
      </c>
      <c r="O501" s="5" t="n">
        <v>1110.87</v>
      </c>
      <c r="P501" s="6" t="n">
        <v>0</v>
      </c>
      <c r="Q501" s="5" t="n">
        <v>7498.37</v>
      </c>
      <c r="R501" s="5" t="n">
        <v>6059.07</v>
      </c>
      <c r="S501" s="5" t="n">
        <v>1439.3</v>
      </c>
      <c r="T501" s="3" t="str">
        <f aca="false">PROPER(TRIM(SUBSTITUTE(Raw_Text_Fields!J502,CHAR(160)," ")))</f>
        <v>Paid</v>
      </c>
      <c r="U501" s="3" t="str">
        <f aca="false">PROPER(TRIM(SUBSTITUTE(Raw_Text_Fields!K502,CHAR(160)," ")))</f>
        <v>Cancelled</v>
      </c>
      <c r="V501" s="7" t="n">
        <f aca="false">IF(OR(P501&lt;0,P501&gt;0.5),0,P501)</f>
        <v>0</v>
      </c>
      <c r="W501" s="8" t="n">
        <f aca="false">N501*O501*(1-V501)</f>
        <v>9997.83</v>
      </c>
      <c r="X501" s="8" t="n">
        <f aca="false">W501-R501</f>
        <v>3938.76</v>
      </c>
      <c r="Y501" s="7" t="n">
        <f aca="false">IFERROR(X501/W501,0)</f>
        <v>0.393961489643253</v>
      </c>
      <c r="Z501" s="9" t="n">
        <f aca="false">C501-B501</f>
        <v>4</v>
      </c>
      <c r="AA501" s="1" t="str">
        <f aca="false">IF(B501="","",TEXT(B501,"mmm"))</f>
        <v>Dec</v>
      </c>
      <c r="AB501" s="9" t="n">
        <f aca="false">IF(B501="","",YEAR(B501))</f>
        <v>2024</v>
      </c>
      <c r="AC501" s="3" t="s">
        <v>130</v>
      </c>
      <c r="AD501" s="3" t="str">
        <f aca="false">IF(LEFT(AC501&amp;IF(B501="","; Missing Order Date","")&amp;IF(C501="","; Missing Ship Date","")&amp;IF(P501&lt;0,"; Invalid Discount (Negative)","")&amp;IF(P501&gt;0.5,"; Invalid Discount (Too High)","")&amp;IF(Z501&lt;0,"; Invalid Shipping Record (Ship Before Order)","")&amp;IF(ABS(Q501-W501)&gt;1,"; Sales Mismatch","")&amp;IF(ABS(S501-X501)&gt;1,"; Profit Mismatch","")&amp;IF(COUNTIF($A$2:$A$913,A501)&gt;1,"; Duplicate Order ID Conflict",""),2)="; ",MID(AC501&amp;IF(B501="","; Missing Order Date","")&amp;IF(C501="","; Missing Ship Date","")&amp;IF(P501&lt;0,"; Invalid Discount (Negative)","")&amp;IF(P501&gt;0.5,"; Invalid Discount (Too High)","")&amp;IF(Z501&lt;0,"; Invalid Shipping Record (Ship Before Order)","")&amp;IF(ABS(Q501-W501)&gt;1,"; Sales Mismatch","")&amp;IF(ABS(S501-X501)&gt;1,"; Profit Mismatch","")&amp;IF(COUNTIF($A$2:$A$913,A501)&gt;1,"; Duplicate Order ID Conflict",""),3,500),AC501&amp;IF(B501="","; Missing Order Date","")&amp;IF(C501="","; Missing Ship Date","")&amp;IF(P501&lt;0,"; Invalid Discount (Negative)","")&amp;IF(P501&gt;0.5,"; Invalid Discount (Too High)","")&amp;IF(Z501&lt;0,"; Invalid Shipping Record (Ship Before Order)","")&amp;IF(ABS(Q501-W501)&gt;1,"; Sales Mismatch","")&amp;IF(ABS(S501-X501)&gt;1,"; Profit Mismatch","")&amp;IF(COUNTIF($A$2:$A$913,A501)&gt;1,"; Duplicate Order ID Conflict",""))</f>
        <v>Missing Discount (defaulted 0); Sales Mismatch; Profit Mismatch</v>
      </c>
      <c r="AE501" s="10" t="str">
        <f aca="false">IF(OR(ISNUMBER(SEARCH("Invalid Discount",AD501)),ISNUMBER(SEARCH("Invalid Shipping Record",AD501)),ISNUMBER(SEARCH("Sales Mismatch",AD501)),ISNUMBER(SEARCH("Profit Mismatch",AD501)),ISNUMBER(SEARCH("Duplicate Order ID Conflict",AD501)),ISNUMBER(SEARCH("Missing Order Date",AD501)),ISNUMBER(SEARCH("Missing Ship Date",AD501))),"Invalid",IF(AD501&lt;&gt;"","Warning","Clean"))</f>
        <v>Invalid</v>
      </c>
    </row>
    <row r="502" customFormat="false" ht="15" hidden="false" customHeight="true" outlineLevel="0" collapsed="false">
      <c r="A502" s="3" t="s">
        <v>1522</v>
      </c>
      <c r="B502" s="4" t="n">
        <v>45429</v>
      </c>
      <c r="C502" s="4" t="n">
        <v>45434</v>
      </c>
      <c r="D502" s="3" t="s">
        <v>1523</v>
      </c>
      <c r="E502" s="3" t="str">
        <f aca="false">PROPER(TRIM(SUBSTITUTE(Raw_Text_Fields!B503,CHAR(160)," ")))</f>
        <v>Sneha Kapoor</v>
      </c>
      <c r="F502" s="3" t="str">
        <f aca="false">PROPER(TRIM(SUBSTITUTE(Raw_Text_Fields!C503,CHAR(160)," ")))</f>
        <v>Consumer</v>
      </c>
      <c r="G502" s="3" t="str">
        <f aca="false">PROPER(TRIM(SUBSTITUTE(Raw_Text_Fields!D503,CHAR(160)," ")))</f>
        <v>South</v>
      </c>
      <c r="H502" s="3" t="str">
        <f aca="false">PROPER(TRIM(SUBSTITUTE(Raw_Text_Fields!E503,CHAR(160)," ")))</f>
        <v>Kerala</v>
      </c>
      <c r="I502" s="3" t="str">
        <f aca="false">PROPER(TRIM(SUBSTITUTE(Raw_Text_Fields!F503,CHAR(160)," ")))</f>
        <v>Kochi</v>
      </c>
      <c r="J502" s="3" t="str">
        <f aca="false">PROPER(TRIM(SUBSTITUTE(Raw_Text_Fields!G503,CHAR(160)," ")))</f>
        <v>Technology</v>
      </c>
      <c r="K502" s="3" t="str">
        <f aca="false">PROPER(TRIM(SUBSTITUTE(Raw_Text_Fields!H503,CHAR(160)," ")))</f>
        <v>Phones</v>
      </c>
      <c r="L502" s="3" t="s">
        <v>1524</v>
      </c>
      <c r="M502" s="3" t="str">
        <f aca="false">PROPER(TRIM(SUBSTITUTE(Raw_Text_Fields!I503,CHAR(160)," ")))</f>
        <v>Same Day</v>
      </c>
      <c r="N502" s="3" t="n">
        <v>9</v>
      </c>
      <c r="O502" s="5" t="n">
        <v>3795.99</v>
      </c>
      <c r="P502" s="6" t="n">
        <v>0.85</v>
      </c>
      <c r="Q502" s="5" t="n">
        <v>34163.91</v>
      </c>
      <c r="R502" s="5" t="n">
        <v>28577.15</v>
      </c>
      <c r="S502" s="5" t="n">
        <v>5586.76</v>
      </c>
      <c r="T502" s="3" t="str">
        <f aca="false">PROPER(TRIM(SUBSTITUTE(Raw_Text_Fields!J503,CHAR(160)," ")))</f>
        <v>Paid</v>
      </c>
      <c r="U502" s="3" t="str">
        <f aca="false">PROPER(TRIM(SUBSTITUTE(Raw_Text_Fields!K503,CHAR(160)," ")))</f>
        <v>Completed</v>
      </c>
      <c r="V502" s="7" t="n">
        <f aca="false">IF(OR(P502&lt;0,P502&gt;0.5),0,P502)</f>
        <v>0</v>
      </c>
      <c r="W502" s="8" t="n">
        <f aca="false">N502*O502*(1-V502)</f>
        <v>34163.91</v>
      </c>
      <c r="X502" s="8" t="n">
        <f aca="false">W502-R502</f>
        <v>5586.76</v>
      </c>
      <c r="Y502" s="7" t="n">
        <f aca="false">IFERROR(X502/W502,0)</f>
        <v>0.16352812075667</v>
      </c>
      <c r="Z502" s="9" t="n">
        <f aca="false">C502-B502</f>
        <v>5</v>
      </c>
      <c r="AA502" s="1" t="str">
        <f aca="false">IF(B502="","",TEXT(B502,"mmm"))</f>
        <v>May</v>
      </c>
      <c r="AB502" s="9" t="n">
        <f aca="false">IF(B502="","",YEAR(B502))</f>
        <v>2024</v>
      </c>
      <c r="AC502" s="3"/>
      <c r="AD502" s="3" t="str">
        <f aca="false">IF(LEFT(AC502&amp;IF(B502="","; Missing Order Date","")&amp;IF(C502="","; Missing Ship Date","")&amp;IF(P502&lt;0,"; Invalid Discount (Negative)","")&amp;IF(P502&gt;0.5,"; Invalid Discount (Too High)","")&amp;IF(Z502&lt;0,"; Invalid Shipping Record (Ship Before Order)","")&amp;IF(ABS(Q502-W502)&gt;1,"; Sales Mismatch","")&amp;IF(ABS(S502-X502)&gt;1,"; Profit Mismatch","")&amp;IF(COUNTIF($A$2:$A$913,A502)&gt;1,"; Duplicate Order ID Conflict",""),2)="; ",MID(AC502&amp;IF(B502="","; Missing Order Date","")&amp;IF(C502="","; Missing Ship Date","")&amp;IF(P502&lt;0,"; Invalid Discount (Negative)","")&amp;IF(P502&gt;0.5,"; Invalid Discount (Too High)","")&amp;IF(Z502&lt;0,"; Invalid Shipping Record (Ship Before Order)","")&amp;IF(ABS(Q502-W502)&gt;1,"; Sales Mismatch","")&amp;IF(ABS(S502-X502)&gt;1,"; Profit Mismatch","")&amp;IF(COUNTIF($A$2:$A$913,A502)&gt;1,"; Duplicate Order ID Conflict",""),3,500),AC502&amp;IF(B502="","; Missing Order Date","")&amp;IF(C502="","; Missing Ship Date","")&amp;IF(P502&lt;0,"; Invalid Discount (Negative)","")&amp;IF(P502&gt;0.5,"; Invalid Discount (Too High)","")&amp;IF(Z502&lt;0,"; Invalid Shipping Record (Ship Before Order)","")&amp;IF(ABS(Q502-W502)&gt;1,"; Sales Mismatch","")&amp;IF(ABS(S502-X502)&gt;1,"; Profit Mismatch","")&amp;IF(COUNTIF($A$2:$A$913,A502)&gt;1,"; Duplicate Order ID Conflict",""))</f>
        <v>Invalid Discount (Too High)</v>
      </c>
      <c r="AE502" s="10" t="str">
        <f aca="false">IF(OR(ISNUMBER(SEARCH("Invalid Discount",AD502)),ISNUMBER(SEARCH("Invalid Shipping Record",AD502)),ISNUMBER(SEARCH("Sales Mismatch",AD502)),ISNUMBER(SEARCH("Profit Mismatch",AD502)),ISNUMBER(SEARCH("Duplicate Order ID Conflict",AD502)),ISNUMBER(SEARCH("Missing Order Date",AD502)),ISNUMBER(SEARCH("Missing Ship Date",AD502))),"Invalid",IF(AD502&lt;&gt;"","Warning","Clean"))</f>
        <v>Invalid</v>
      </c>
    </row>
    <row r="503" customFormat="false" ht="15" hidden="false" customHeight="true" outlineLevel="0" collapsed="false">
      <c r="A503" s="3" t="s">
        <v>1525</v>
      </c>
      <c r="B503" s="4" t="n">
        <v>45515</v>
      </c>
      <c r="C503" s="4" t="n">
        <v>45521</v>
      </c>
      <c r="D503" s="3" t="s">
        <v>730</v>
      </c>
      <c r="E503" s="3" t="str">
        <f aca="false">PROPER(TRIM(SUBSTITUTE(Raw_Text_Fields!B504,CHAR(160)," ")))</f>
        <v>Neha Gupta</v>
      </c>
      <c r="F503" s="3" t="str">
        <f aca="false">PROPER(TRIM(SUBSTITUTE(Raw_Text_Fields!C504,CHAR(160)," ")))</f>
        <v>Consumer</v>
      </c>
      <c r="G503" s="3" t="str">
        <f aca="false">PROPER(TRIM(SUBSTITUTE(Raw_Text_Fields!D504,CHAR(160)," ")))</f>
        <v>East</v>
      </c>
      <c r="H503" s="3" t="str">
        <f aca="false">PROPER(TRIM(SUBSTITUTE(Raw_Text_Fields!E504,CHAR(160)," ")))</f>
        <v>Jharkhand</v>
      </c>
      <c r="I503" s="3" t="str">
        <f aca="false">PROPER(TRIM(SUBSTITUTE(Raw_Text_Fields!F504,CHAR(160)," ")))</f>
        <v>Ranchi</v>
      </c>
      <c r="J503" s="3" t="str">
        <f aca="false">PROPER(TRIM(SUBSTITUTE(Raw_Text_Fields!G504,CHAR(160)," ")))</f>
        <v>Office Supplies</v>
      </c>
      <c r="K503" s="3" t="str">
        <f aca="false">PROPER(TRIM(SUBSTITUTE(Raw_Text_Fields!H504,CHAR(160)," ")))</f>
        <v>Art</v>
      </c>
      <c r="L503" s="3" t="s">
        <v>1526</v>
      </c>
      <c r="M503" s="3" t="str">
        <f aca="false">PROPER(TRIM(SUBSTITUTE(Raw_Text_Fields!I504,CHAR(160)," ")))</f>
        <v>Second Class</v>
      </c>
      <c r="N503" s="3" t="n">
        <v>6</v>
      </c>
      <c r="O503" s="5" t="n">
        <v>3497.54</v>
      </c>
      <c r="P503" s="6" t="n">
        <v>0.15</v>
      </c>
      <c r="Q503" s="5" t="n">
        <v>17837.45</v>
      </c>
      <c r="R503" s="5" t="n">
        <v>13627.02</v>
      </c>
      <c r="S503" s="5" t="n">
        <v>4210.43</v>
      </c>
      <c r="T503" s="3" t="str">
        <f aca="false">PROPER(TRIM(SUBSTITUTE(Raw_Text_Fields!J504,CHAR(160)," ")))</f>
        <v>Paid</v>
      </c>
      <c r="U503" s="3" t="str">
        <f aca="false">PROPER(TRIM(SUBSTITUTE(Raw_Text_Fields!K504,CHAR(160)," ")))</f>
        <v>Completed</v>
      </c>
      <c r="V503" s="7" t="n">
        <f aca="false">IF(OR(P503&lt;0,P503&gt;0.5),0,P503)</f>
        <v>0.15</v>
      </c>
      <c r="W503" s="8" t="n">
        <f aca="false">N503*O503*(1-V503)</f>
        <v>17837.454</v>
      </c>
      <c r="X503" s="8" t="n">
        <f aca="false">W503-R503</f>
        <v>4210.434</v>
      </c>
      <c r="Y503" s="7" t="n">
        <f aca="false">IFERROR(X503/W503,0)</f>
        <v>0.236044561067964</v>
      </c>
      <c r="Z503" s="9" t="n">
        <f aca="false">C503-B503</f>
        <v>6</v>
      </c>
      <c r="AA503" s="1" t="str">
        <f aca="false">IF(B503="","",TEXT(B503,"mmm"))</f>
        <v>Aug</v>
      </c>
      <c r="AB503" s="9" t="n">
        <f aca="false">IF(B503="","",YEAR(B503))</f>
        <v>2024</v>
      </c>
      <c r="AC503" s="3"/>
      <c r="AD503" s="3" t="str">
        <f aca="false">IF(LEFT(AC503&amp;IF(B503="","; Missing Order Date","")&amp;IF(C503="","; Missing Ship Date","")&amp;IF(P503&lt;0,"; Invalid Discount (Negative)","")&amp;IF(P503&gt;0.5,"; Invalid Discount (Too High)","")&amp;IF(Z503&lt;0,"; Invalid Shipping Record (Ship Before Order)","")&amp;IF(ABS(Q503-W503)&gt;1,"; Sales Mismatch","")&amp;IF(ABS(S503-X503)&gt;1,"; Profit Mismatch","")&amp;IF(COUNTIF($A$2:$A$913,A503)&gt;1,"; Duplicate Order ID Conflict",""),2)="; ",MID(AC503&amp;IF(B503="","; Missing Order Date","")&amp;IF(C503="","; Missing Ship Date","")&amp;IF(P503&lt;0,"; Invalid Discount (Negative)","")&amp;IF(P503&gt;0.5,"; Invalid Discount (Too High)","")&amp;IF(Z503&lt;0,"; Invalid Shipping Record (Ship Before Order)","")&amp;IF(ABS(Q503-W503)&gt;1,"; Sales Mismatch","")&amp;IF(ABS(S503-X503)&gt;1,"; Profit Mismatch","")&amp;IF(COUNTIF($A$2:$A$913,A503)&gt;1,"; Duplicate Order ID Conflict",""),3,500),AC503&amp;IF(B503="","; Missing Order Date","")&amp;IF(C503="","; Missing Ship Date","")&amp;IF(P503&lt;0,"; Invalid Discount (Negative)","")&amp;IF(P503&gt;0.5,"; Invalid Discount (Too High)","")&amp;IF(Z503&lt;0,"; Invalid Shipping Record (Ship Before Order)","")&amp;IF(ABS(Q503-W503)&gt;1,"; Sales Mismatch","")&amp;IF(ABS(S503-X503)&gt;1,"; Profit Mismatch","")&amp;IF(COUNTIF($A$2:$A$913,A503)&gt;1,"; Duplicate Order ID Conflict",""))</f>
        <v/>
      </c>
      <c r="AE503" s="10" t="str">
        <f aca="false">IF(OR(ISNUMBER(SEARCH("Invalid Discount",AD503)),ISNUMBER(SEARCH("Invalid Shipping Record",AD503)),ISNUMBER(SEARCH("Sales Mismatch",AD503)),ISNUMBER(SEARCH("Profit Mismatch",AD503)),ISNUMBER(SEARCH("Duplicate Order ID Conflict",AD503)),ISNUMBER(SEARCH("Missing Order Date",AD503)),ISNUMBER(SEARCH("Missing Ship Date",AD503))),"Invalid",IF(AD503&lt;&gt;"","Warning","Clean"))</f>
        <v>Clean</v>
      </c>
    </row>
    <row r="504" customFormat="false" ht="15" hidden="false" customHeight="true" outlineLevel="0" collapsed="false">
      <c r="A504" s="3" t="s">
        <v>1527</v>
      </c>
      <c r="B504" s="4" t="n">
        <v>45383</v>
      </c>
      <c r="C504" s="4" t="n">
        <v>45391</v>
      </c>
      <c r="D504" s="3" t="s">
        <v>1528</v>
      </c>
      <c r="E504" s="3" t="str">
        <f aca="false">PROPER(TRIM(SUBSTITUTE(Raw_Text_Fields!B505,CHAR(160)," ")))</f>
        <v>Priya Menon</v>
      </c>
      <c r="F504" s="3" t="str">
        <f aca="false">PROPER(TRIM(SUBSTITUTE(Raw_Text_Fields!C505,CHAR(160)," ")))</f>
        <v>Small Business</v>
      </c>
      <c r="G504" s="3" t="str">
        <f aca="false">PROPER(TRIM(SUBSTITUTE(Raw_Text_Fields!D505,CHAR(160)," ")))</f>
        <v>East</v>
      </c>
      <c r="H504" s="3" t="str">
        <f aca="false">PROPER(TRIM(SUBSTITUTE(Raw_Text_Fields!E505,CHAR(160)," ")))</f>
        <v>Odisha</v>
      </c>
      <c r="I504" s="3" t="str">
        <f aca="false">PROPER(TRIM(SUBSTITUTE(Raw_Text_Fields!F505,CHAR(160)," ")))</f>
        <v>Bhubaneswar</v>
      </c>
      <c r="J504" s="3" t="str">
        <f aca="false">PROPER(TRIM(SUBSTITUTE(Raw_Text_Fields!G505,CHAR(160)," ")))</f>
        <v>Technology</v>
      </c>
      <c r="K504" s="3" t="str">
        <f aca="false">PROPER(TRIM(SUBSTITUTE(Raw_Text_Fields!H505,CHAR(160)," ")))</f>
        <v>Copiers</v>
      </c>
      <c r="L504" s="3" t="s">
        <v>1529</v>
      </c>
      <c r="M504" s="3" t="str">
        <f aca="false">PROPER(TRIM(SUBSTITUTE(Raw_Text_Fields!I505,CHAR(160)," ")))</f>
        <v>Second Class</v>
      </c>
      <c r="N504" s="3" t="n">
        <v>6</v>
      </c>
      <c r="O504" s="5" t="n">
        <v>826.93</v>
      </c>
      <c r="P504" s="6" t="n">
        <v>0.1</v>
      </c>
      <c r="Q504" s="5" t="n">
        <v>4465.42</v>
      </c>
      <c r="R504" s="5" t="n">
        <v>3377.1</v>
      </c>
      <c r="S504" s="5" t="n">
        <v>1088.32</v>
      </c>
      <c r="T504" s="3" t="str">
        <f aca="false">PROPER(TRIM(SUBSTITUTE(Raw_Text_Fields!J505,CHAR(160)," ")))</f>
        <v>Paid</v>
      </c>
      <c r="U504" s="3" t="str">
        <f aca="false">PROPER(TRIM(SUBSTITUTE(Raw_Text_Fields!K505,CHAR(160)," ")))</f>
        <v>Completed</v>
      </c>
      <c r="V504" s="7" t="n">
        <f aca="false">IF(OR(P504&lt;0,P504&gt;0.5),0,P504)</f>
        <v>0.1</v>
      </c>
      <c r="W504" s="8" t="n">
        <f aca="false">N504*O504*(1-V504)</f>
        <v>4465.422</v>
      </c>
      <c r="X504" s="8" t="n">
        <f aca="false">W504-R504</f>
        <v>1088.322</v>
      </c>
      <c r="Y504" s="7" t="n">
        <f aca="false">IFERROR(X504/W504,0)</f>
        <v>0.243722093902883</v>
      </c>
      <c r="Z504" s="9" t="n">
        <f aca="false">C504-B504</f>
        <v>8</v>
      </c>
      <c r="AA504" s="1" t="str">
        <f aca="false">IF(B504="","",TEXT(B504,"mmm"))</f>
        <v>Apr</v>
      </c>
      <c r="AB504" s="9" t="n">
        <f aca="false">IF(B504="","",YEAR(B504))</f>
        <v>2024</v>
      </c>
      <c r="AC504" s="3"/>
      <c r="AD504" s="3" t="str">
        <f aca="false">IF(LEFT(AC504&amp;IF(B504="","; Missing Order Date","")&amp;IF(C504="","; Missing Ship Date","")&amp;IF(P504&lt;0,"; Invalid Discount (Negative)","")&amp;IF(P504&gt;0.5,"; Invalid Discount (Too High)","")&amp;IF(Z504&lt;0,"; Invalid Shipping Record (Ship Before Order)","")&amp;IF(ABS(Q504-W504)&gt;1,"; Sales Mismatch","")&amp;IF(ABS(S504-X504)&gt;1,"; Profit Mismatch","")&amp;IF(COUNTIF($A$2:$A$913,A504)&gt;1,"; Duplicate Order ID Conflict",""),2)="; ",MID(AC504&amp;IF(B504="","; Missing Order Date","")&amp;IF(C504="","; Missing Ship Date","")&amp;IF(P504&lt;0,"; Invalid Discount (Negative)","")&amp;IF(P504&gt;0.5,"; Invalid Discount (Too High)","")&amp;IF(Z504&lt;0,"; Invalid Shipping Record (Ship Before Order)","")&amp;IF(ABS(Q504-W504)&gt;1,"; Sales Mismatch","")&amp;IF(ABS(S504-X504)&gt;1,"; Profit Mismatch","")&amp;IF(COUNTIF($A$2:$A$913,A504)&gt;1,"; Duplicate Order ID Conflict",""),3,500),AC504&amp;IF(B504="","; Missing Order Date","")&amp;IF(C504="","; Missing Ship Date","")&amp;IF(P504&lt;0,"; Invalid Discount (Negative)","")&amp;IF(P504&gt;0.5,"; Invalid Discount (Too High)","")&amp;IF(Z504&lt;0,"; Invalid Shipping Record (Ship Before Order)","")&amp;IF(ABS(Q504-W504)&gt;1,"; Sales Mismatch","")&amp;IF(ABS(S504-X504)&gt;1,"; Profit Mismatch","")&amp;IF(COUNTIF($A$2:$A$913,A504)&gt;1,"; Duplicate Order ID Conflict",""))</f>
        <v/>
      </c>
      <c r="AE504" s="10" t="str">
        <f aca="false">IF(OR(ISNUMBER(SEARCH("Invalid Discount",AD504)),ISNUMBER(SEARCH("Invalid Shipping Record",AD504)),ISNUMBER(SEARCH("Sales Mismatch",AD504)),ISNUMBER(SEARCH("Profit Mismatch",AD504)),ISNUMBER(SEARCH("Duplicate Order ID Conflict",AD504)),ISNUMBER(SEARCH("Missing Order Date",AD504)),ISNUMBER(SEARCH("Missing Ship Date",AD504))),"Invalid",IF(AD504&lt;&gt;"","Warning","Clean"))</f>
        <v>Clean</v>
      </c>
    </row>
    <row r="505" customFormat="false" ht="15" hidden="false" customHeight="true" outlineLevel="0" collapsed="false">
      <c r="A505" s="3" t="s">
        <v>1530</v>
      </c>
      <c r="B505" s="4" t="n">
        <v>45563</v>
      </c>
      <c r="C505" s="4" t="n">
        <v>45570</v>
      </c>
      <c r="D505" s="3" t="s">
        <v>1531</v>
      </c>
      <c r="E505" s="3" t="str">
        <f aca="false">PROPER(TRIM(SUBSTITUTE(Raw_Text_Fields!B506,CHAR(160)," ")))</f>
        <v>Aarav Sharma</v>
      </c>
      <c r="F505" s="3" t="str">
        <f aca="false">PROPER(TRIM(SUBSTITUTE(Raw_Text_Fields!C506,CHAR(160)," ")))</f>
        <v>Consumer</v>
      </c>
      <c r="G505" s="3" t="str">
        <f aca="false">PROPER(TRIM(SUBSTITUTE(Raw_Text_Fields!D506,CHAR(160)," ")))</f>
        <v>South</v>
      </c>
      <c r="H505" s="3" t="str">
        <f aca="false">PROPER(TRIM(SUBSTITUTE(Raw_Text_Fields!E506,CHAR(160)," ")))</f>
        <v>Tamil Nadu</v>
      </c>
      <c r="I505" s="3" t="str">
        <f aca="false">PROPER(TRIM(SUBSTITUTE(Raw_Text_Fields!F506,CHAR(160)," ")))</f>
        <v>Chennai</v>
      </c>
      <c r="J505" s="3" t="str">
        <f aca="false">PROPER(TRIM(SUBSTITUTE(Raw_Text_Fields!G506,CHAR(160)," ")))</f>
        <v>Technology</v>
      </c>
      <c r="K505" s="3" t="str">
        <f aca="false">PROPER(TRIM(SUBSTITUTE(Raw_Text_Fields!H506,CHAR(160)," ")))</f>
        <v>Phones</v>
      </c>
      <c r="L505" s="3" t="s">
        <v>1532</v>
      </c>
      <c r="M505" s="3" t="str">
        <f aca="false">PROPER(TRIM(SUBSTITUTE(Raw_Text_Fields!I506,CHAR(160)," ")))</f>
        <v>Standard Class</v>
      </c>
      <c r="N505" s="3" t="n">
        <v>7</v>
      </c>
      <c r="O505" s="5" t="n">
        <v>1681.6</v>
      </c>
      <c r="P505" s="6" t="n">
        <v>0.1</v>
      </c>
      <c r="Q505" s="5" t="n">
        <v>10594.08</v>
      </c>
      <c r="R505" s="5" t="n">
        <v>7160.31</v>
      </c>
      <c r="S505" s="5" t="n">
        <v>3433.77</v>
      </c>
      <c r="T505" s="3" t="str">
        <f aca="false">PROPER(TRIM(SUBSTITUTE(Raw_Text_Fields!J506,CHAR(160)," ")))</f>
        <v>Paid</v>
      </c>
      <c r="U505" s="3" t="str">
        <f aca="false">PROPER(TRIM(SUBSTITUTE(Raw_Text_Fields!K506,CHAR(160)," ")))</f>
        <v>Completed</v>
      </c>
      <c r="V505" s="7" t="n">
        <f aca="false">IF(OR(P505&lt;0,P505&gt;0.5),0,P505)</f>
        <v>0.1</v>
      </c>
      <c r="W505" s="8" t="n">
        <f aca="false">N505*O505*(1-V505)</f>
        <v>10594.08</v>
      </c>
      <c r="X505" s="8" t="n">
        <f aca="false">W505-R505</f>
        <v>3433.77</v>
      </c>
      <c r="Y505" s="7" t="n">
        <f aca="false">IFERROR(X505/W505,0)</f>
        <v>0.324121584885143</v>
      </c>
      <c r="Z505" s="9" t="n">
        <f aca="false">C505-B505</f>
        <v>7</v>
      </c>
      <c r="AA505" s="1" t="str">
        <f aca="false">IF(B505="","",TEXT(B505,"mmm"))</f>
        <v>Sep</v>
      </c>
      <c r="AB505" s="9" t="n">
        <f aca="false">IF(B505="","",YEAR(B505))</f>
        <v>2024</v>
      </c>
      <c r="AC505" s="3"/>
      <c r="AD505" s="3" t="str">
        <f aca="false">IF(LEFT(AC505&amp;IF(B505="","; Missing Order Date","")&amp;IF(C505="","; Missing Ship Date","")&amp;IF(P505&lt;0,"; Invalid Discount (Negative)","")&amp;IF(P505&gt;0.5,"; Invalid Discount (Too High)","")&amp;IF(Z505&lt;0,"; Invalid Shipping Record (Ship Before Order)","")&amp;IF(ABS(Q505-W505)&gt;1,"; Sales Mismatch","")&amp;IF(ABS(S505-X505)&gt;1,"; Profit Mismatch","")&amp;IF(COUNTIF($A$2:$A$913,A505)&gt;1,"; Duplicate Order ID Conflict",""),2)="; ",MID(AC505&amp;IF(B505="","; Missing Order Date","")&amp;IF(C505="","; Missing Ship Date","")&amp;IF(P505&lt;0,"; Invalid Discount (Negative)","")&amp;IF(P505&gt;0.5,"; Invalid Discount (Too High)","")&amp;IF(Z505&lt;0,"; Invalid Shipping Record (Ship Before Order)","")&amp;IF(ABS(Q505-W505)&gt;1,"; Sales Mismatch","")&amp;IF(ABS(S505-X505)&gt;1,"; Profit Mismatch","")&amp;IF(COUNTIF($A$2:$A$913,A505)&gt;1,"; Duplicate Order ID Conflict",""),3,500),AC505&amp;IF(B505="","; Missing Order Date","")&amp;IF(C505="","; Missing Ship Date","")&amp;IF(P505&lt;0,"; Invalid Discount (Negative)","")&amp;IF(P505&gt;0.5,"; Invalid Discount (Too High)","")&amp;IF(Z505&lt;0,"; Invalid Shipping Record (Ship Before Order)","")&amp;IF(ABS(Q505-W505)&gt;1,"; Sales Mismatch","")&amp;IF(ABS(S505-X505)&gt;1,"; Profit Mismatch","")&amp;IF(COUNTIF($A$2:$A$913,A505)&gt;1,"; Duplicate Order ID Conflict",""))</f>
        <v/>
      </c>
      <c r="AE505" s="10" t="str">
        <f aca="false">IF(OR(ISNUMBER(SEARCH("Invalid Discount",AD505)),ISNUMBER(SEARCH("Invalid Shipping Record",AD505)),ISNUMBER(SEARCH("Sales Mismatch",AD505)),ISNUMBER(SEARCH("Profit Mismatch",AD505)),ISNUMBER(SEARCH("Duplicate Order ID Conflict",AD505)),ISNUMBER(SEARCH("Missing Order Date",AD505)),ISNUMBER(SEARCH("Missing Ship Date",AD505))),"Invalid",IF(AD505&lt;&gt;"","Warning","Clean"))</f>
        <v>Clean</v>
      </c>
    </row>
    <row r="506" customFormat="false" ht="15" hidden="false" customHeight="true" outlineLevel="0" collapsed="false">
      <c r="A506" s="3" t="s">
        <v>1533</v>
      </c>
      <c r="B506" s="4" t="n">
        <v>45700</v>
      </c>
      <c r="C506" s="4" t="n">
        <v>45705</v>
      </c>
      <c r="D506" s="3" t="s">
        <v>1534</v>
      </c>
      <c r="E506" s="3" t="str">
        <f aca="false">PROPER(TRIM(SUBSTITUTE(Raw_Text_Fields!B507,CHAR(160)," ")))</f>
        <v>Arjun Bose</v>
      </c>
      <c r="F506" s="3" t="str">
        <f aca="false">PROPER(TRIM(SUBSTITUTE(Raw_Text_Fields!C507,CHAR(160)," ")))</f>
        <v>Corporate</v>
      </c>
      <c r="G506" s="3" t="str">
        <f aca="false">PROPER(TRIM(SUBSTITUTE(Raw_Text_Fields!D507,CHAR(160)," ")))</f>
        <v>West</v>
      </c>
      <c r="H506" s="3" t="str">
        <f aca="false">PROPER(TRIM(SUBSTITUTE(Raw_Text_Fields!E507,CHAR(160)," ")))</f>
        <v>Gujarat</v>
      </c>
      <c r="I506" s="3" t="str">
        <f aca="false">PROPER(TRIM(SUBSTITUTE(Raw_Text_Fields!F507,CHAR(160)," ")))</f>
        <v>Ahmedabad</v>
      </c>
      <c r="J506" s="3" t="str">
        <f aca="false">PROPER(TRIM(SUBSTITUTE(Raw_Text_Fields!G507,CHAR(160)," ")))</f>
        <v>Office Supplies</v>
      </c>
      <c r="K506" s="3" t="str">
        <f aca="false">PROPER(TRIM(SUBSTITUTE(Raw_Text_Fields!H507,CHAR(160)," ")))</f>
        <v>Art</v>
      </c>
      <c r="L506" s="3" t="s">
        <v>1535</v>
      </c>
      <c r="M506" s="3" t="str">
        <f aca="false">PROPER(TRIM(SUBSTITUTE(Raw_Text_Fields!I507,CHAR(160)," ")))</f>
        <v>Standard Class</v>
      </c>
      <c r="N506" s="3" t="n">
        <v>4</v>
      </c>
      <c r="O506" s="5" t="n">
        <v>4328.12</v>
      </c>
      <c r="P506" s="6" t="n">
        <v>0</v>
      </c>
      <c r="Q506" s="5" t="n">
        <v>17312.48</v>
      </c>
      <c r="R506" s="5" t="n">
        <v>14424.22</v>
      </c>
      <c r="S506" s="5" t="n">
        <v>2888.26</v>
      </c>
      <c r="T506" s="3" t="str">
        <f aca="false">PROPER(TRIM(SUBSTITUTE(Raw_Text_Fields!J507,CHAR(160)," ")))</f>
        <v>Paid</v>
      </c>
      <c r="U506" s="3" t="str">
        <f aca="false">PROPER(TRIM(SUBSTITUTE(Raw_Text_Fields!K507,CHAR(160)," ")))</f>
        <v>Completed</v>
      </c>
      <c r="V506" s="7" t="n">
        <f aca="false">IF(OR(P506&lt;0,P506&gt;0.5),0,P506)</f>
        <v>0</v>
      </c>
      <c r="W506" s="8" t="n">
        <f aca="false">N506*O506*(1-V506)</f>
        <v>17312.48</v>
      </c>
      <c r="X506" s="8" t="n">
        <f aca="false">W506-R506</f>
        <v>2888.26</v>
      </c>
      <c r="Y506" s="7" t="n">
        <f aca="false">IFERROR(X506/W506,0)</f>
        <v>0.166831095256139</v>
      </c>
      <c r="Z506" s="9" t="n">
        <f aca="false">C506-B506</f>
        <v>5</v>
      </c>
      <c r="AA506" s="1" t="str">
        <f aca="false">IF(B506="","",TEXT(B506,"mmm"))</f>
        <v>Feb</v>
      </c>
      <c r="AB506" s="9" t="n">
        <f aca="false">IF(B506="","",YEAR(B506))</f>
        <v>2025</v>
      </c>
      <c r="AC506" s="3"/>
      <c r="AD506" s="3" t="str">
        <f aca="false">IF(LEFT(AC506&amp;IF(B506="","; Missing Order Date","")&amp;IF(C506="","; Missing Ship Date","")&amp;IF(P506&lt;0,"; Invalid Discount (Negative)","")&amp;IF(P506&gt;0.5,"; Invalid Discount (Too High)","")&amp;IF(Z506&lt;0,"; Invalid Shipping Record (Ship Before Order)","")&amp;IF(ABS(Q506-W506)&gt;1,"; Sales Mismatch","")&amp;IF(ABS(S506-X506)&gt;1,"; Profit Mismatch","")&amp;IF(COUNTIF($A$2:$A$913,A506)&gt;1,"; Duplicate Order ID Conflict",""),2)="; ",MID(AC506&amp;IF(B506="","; Missing Order Date","")&amp;IF(C506="","; Missing Ship Date","")&amp;IF(P506&lt;0,"; Invalid Discount (Negative)","")&amp;IF(P506&gt;0.5,"; Invalid Discount (Too High)","")&amp;IF(Z506&lt;0,"; Invalid Shipping Record (Ship Before Order)","")&amp;IF(ABS(Q506-W506)&gt;1,"; Sales Mismatch","")&amp;IF(ABS(S506-X506)&gt;1,"; Profit Mismatch","")&amp;IF(COUNTIF($A$2:$A$913,A506)&gt;1,"; Duplicate Order ID Conflict",""),3,500),AC506&amp;IF(B506="","; Missing Order Date","")&amp;IF(C506="","; Missing Ship Date","")&amp;IF(P506&lt;0,"; Invalid Discount (Negative)","")&amp;IF(P506&gt;0.5,"; Invalid Discount (Too High)","")&amp;IF(Z506&lt;0,"; Invalid Shipping Record (Ship Before Order)","")&amp;IF(ABS(Q506-W506)&gt;1,"; Sales Mismatch","")&amp;IF(ABS(S506-X506)&gt;1,"; Profit Mismatch","")&amp;IF(COUNTIF($A$2:$A$913,A506)&gt;1,"; Duplicate Order ID Conflict",""))</f>
        <v/>
      </c>
      <c r="AE506" s="10" t="str">
        <f aca="false">IF(OR(ISNUMBER(SEARCH("Invalid Discount",AD506)),ISNUMBER(SEARCH("Invalid Shipping Record",AD506)),ISNUMBER(SEARCH("Sales Mismatch",AD506)),ISNUMBER(SEARCH("Profit Mismatch",AD506)),ISNUMBER(SEARCH("Duplicate Order ID Conflict",AD506)),ISNUMBER(SEARCH("Missing Order Date",AD506)),ISNUMBER(SEARCH("Missing Ship Date",AD506))),"Invalid",IF(AD506&lt;&gt;"","Warning","Clean"))</f>
        <v>Clean</v>
      </c>
    </row>
    <row r="507" customFormat="false" ht="15" hidden="false" customHeight="true" outlineLevel="0" collapsed="false">
      <c r="A507" s="3" t="s">
        <v>1536</v>
      </c>
      <c r="B507" s="4" t="n">
        <v>45605</v>
      </c>
      <c r="C507" s="4" t="n">
        <v>45610</v>
      </c>
      <c r="D507" s="3" t="s">
        <v>1537</v>
      </c>
      <c r="E507" s="3" t="str">
        <f aca="false">PROPER(TRIM(SUBSTITUTE(Raw_Text_Fields!B508,CHAR(160)," ")))</f>
        <v>Neha Gupta</v>
      </c>
      <c r="F507" s="3" t="str">
        <f aca="false">PROPER(TRIM(SUBSTITUTE(Raw_Text_Fields!C508,CHAR(160)," ")))</f>
        <v>Corporate</v>
      </c>
      <c r="G507" s="3" t="str">
        <f aca="false">PROPER(TRIM(SUBSTITUTE(Raw_Text_Fields!D508,CHAR(160)," ")))</f>
        <v>West</v>
      </c>
      <c r="H507" s="3" t="str">
        <f aca="false">PROPER(TRIM(SUBSTITUTE(Raw_Text_Fields!E508,CHAR(160)," ")))</f>
        <v>Madhya Pradesh</v>
      </c>
      <c r="I507" s="3" t="str">
        <f aca="false">PROPER(TRIM(SUBSTITUTE(Raw_Text_Fields!F508,CHAR(160)," ")))</f>
        <v>Indore</v>
      </c>
      <c r="J507" s="3" t="str">
        <f aca="false">PROPER(TRIM(SUBSTITUTE(Raw_Text_Fields!G508,CHAR(160)," ")))</f>
        <v>Office Supplies</v>
      </c>
      <c r="K507" s="3" t="str">
        <f aca="false">PROPER(TRIM(SUBSTITUTE(Raw_Text_Fields!H508,CHAR(160)," ")))</f>
        <v>Art</v>
      </c>
      <c r="L507" s="3" t="s">
        <v>1538</v>
      </c>
      <c r="M507" s="3" t="str">
        <f aca="false">PROPER(TRIM(SUBSTITUTE(Raw_Text_Fields!I508,CHAR(160)," ")))</f>
        <v>First Class</v>
      </c>
      <c r="N507" s="3" t="n">
        <v>9</v>
      </c>
      <c r="O507" s="5" t="n">
        <v>2438.29</v>
      </c>
      <c r="P507" s="6" t="n">
        <v>0.2</v>
      </c>
      <c r="Q507" s="5" t="n">
        <v>17555.69</v>
      </c>
      <c r="R507" s="5" t="n">
        <v>13293.2</v>
      </c>
      <c r="S507" s="5" t="n">
        <v>4262.49</v>
      </c>
      <c r="T507" s="3" t="str">
        <f aca="false">PROPER(TRIM(SUBSTITUTE(Raw_Text_Fields!J508,CHAR(160)," ")))</f>
        <v>Paid</v>
      </c>
      <c r="U507" s="3" t="str">
        <f aca="false">PROPER(TRIM(SUBSTITUTE(Raw_Text_Fields!K508,CHAR(160)," ")))</f>
        <v>Cancelled</v>
      </c>
      <c r="V507" s="7" t="n">
        <f aca="false">IF(OR(P507&lt;0,P507&gt;0.5),0,P507)</f>
        <v>0.2</v>
      </c>
      <c r="W507" s="8" t="n">
        <f aca="false">N507*O507*(1-V507)</f>
        <v>17555.688</v>
      </c>
      <c r="X507" s="8" t="n">
        <f aca="false">W507-R507</f>
        <v>4262.488</v>
      </c>
      <c r="Y507" s="7" t="n">
        <f aca="false">IFERROR(X507/W507,0)</f>
        <v>0.242798117624328</v>
      </c>
      <c r="Z507" s="9" t="n">
        <f aca="false">C507-B507</f>
        <v>5</v>
      </c>
      <c r="AA507" s="1" t="str">
        <f aca="false">IF(B507="","",TEXT(B507,"mmm"))</f>
        <v>Nov</v>
      </c>
      <c r="AB507" s="9" t="n">
        <f aca="false">IF(B507="","",YEAR(B507))</f>
        <v>2024</v>
      </c>
      <c r="AC507" s="3"/>
      <c r="AD507" s="3" t="str">
        <f aca="false">IF(LEFT(AC507&amp;IF(B507="","; Missing Order Date","")&amp;IF(C507="","; Missing Ship Date","")&amp;IF(P507&lt;0,"; Invalid Discount (Negative)","")&amp;IF(P507&gt;0.5,"; Invalid Discount (Too High)","")&amp;IF(Z507&lt;0,"; Invalid Shipping Record (Ship Before Order)","")&amp;IF(ABS(Q507-W507)&gt;1,"; Sales Mismatch","")&amp;IF(ABS(S507-X507)&gt;1,"; Profit Mismatch","")&amp;IF(COUNTIF($A$2:$A$913,A507)&gt;1,"; Duplicate Order ID Conflict",""),2)="; ",MID(AC507&amp;IF(B507="","; Missing Order Date","")&amp;IF(C507="","; Missing Ship Date","")&amp;IF(P507&lt;0,"; Invalid Discount (Negative)","")&amp;IF(P507&gt;0.5,"; Invalid Discount (Too High)","")&amp;IF(Z507&lt;0,"; Invalid Shipping Record (Ship Before Order)","")&amp;IF(ABS(Q507-W507)&gt;1,"; Sales Mismatch","")&amp;IF(ABS(S507-X507)&gt;1,"; Profit Mismatch","")&amp;IF(COUNTIF($A$2:$A$913,A507)&gt;1,"; Duplicate Order ID Conflict",""),3,500),AC507&amp;IF(B507="","; Missing Order Date","")&amp;IF(C507="","; Missing Ship Date","")&amp;IF(P507&lt;0,"; Invalid Discount (Negative)","")&amp;IF(P507&gt;0.5,"; Invalid Discount (Too High)","")&amp;IF(Z507&lt;0,"; Invalid Shipping Record (Ship Before Order)","")&amp;IF(ABS(Q507-W507)&gt;1,"; Sales Mismatch","")&amp;IF(ABS(S507-X507)&gt;1,"; Profit Mismatch","")&amp;IF(COUNTIF($A$2:$A$913,A507)&gt;1,"; Duplicate Order ID Conflict",""))</f>
        <v/>
      </c>
      <c r="AE507" s="10" t="str">
        <f aca="false">IF(OR(ISNUMBER(SEARCH("Invalid Discount",AD507)),ISNUMBER(SEARCH("Invalid Shipping Record",AD507)),ISNUMBER(SEARCH("Sales Mismatch",AD507)),ISNUMBER(SEARCH("Profit Mismatch",AD507)),ISNUMBER(SEARCH("Duplicate Order ID Conflict",AD507)),ISNUMBER(SEARCH("Missing Order Date",AD507)),ISNUMBER(SEARCH("Missing Ship Date",AD507))),"Invalid",IF(AD507&lt;&gt;"","Warning","Clean"))</f>
        <v>Clean</v>
      </c>
    </row>
    <row r="508" customFormat="false" ht="15" hidden="false" customHeight="true" outlineLevel="0" collapsed="false">
      <c r="A508" s="3" t="s">
        <v>1539</v>
      </c>
      <c r="B508" s="4" t="n">
        <v>45641</v>
      </c>
      <c r="C508" s="4" t="n">
        <v>45641</v>
      </c>
      <c r="D508" s="3" t="s">
        <v>1540</v>
      </c>
      <c r="E508" s="3" t="str">
        <f aca="false">PROPER(TRIM(SUBSTITUTE(Raw_Text_Fields!B509,CHAR(160)," ")))</f>
        <v>Aarav Sharma</v>
      </c>
      <c r="F508" s="3" t="str">
        <f aca="false">PROPER(TRIM(SUBSTITUTE(Raw_Text_Fields!C509,CHAR(160)," ")))</f>
        <v>Small Business</v>
      </c>
      <c r="G508" s="3" t="str">
        <f aca="false">PROPER(TRIM(SUBSTITUTE(Raw_Text_Fields!D509,CHAR(160)," ")))</f>
        <v>North</v>
      </c>
      <c r="H508" s="3" t="str">
        <f aca="false">PROPER(TRIM(SUBSTITUTE(Raw_Text_Fields!E509,CHAR(160)," ")))</f>
        <v>Punjab</v>
      </c>
      <c r="I508" s="3" t="str">
        <f aca="false">PROPER(TRIM(SUBSTITUTE(Raw_Text_Fields!F509,CHAR(160)," ")))</f>
        <v>Ludhiana</v>
      </c>
      <c r="J508" s="3" t="str">
        <f aca="false">PROPER(TRIM(SUBSTITUTE(Raw_Text_Fields!G509,CHAR(160)," ")))</f>
        <v>Furniture</v>
      </c>
      <c r="K508" s="3" t="str">
        <f aca="false">PROPER(TRIM(SUBSTITUTE(Raw_Text_Fields!H509,CHAR(160)," ")))</f>
        <v>Furnishings</v>
      </c>
      <c r="L508" s="3" t="s">
        <v>1541</v>
      </c>
      <c r="M508" s="3" t="str">
        <f aca="false">PROPER(TRIM(SUBSTITUTE(Raw_Text_Fields!I509,CHAR(160)," ")))</f>
        <v>First Class</v>
      </c>
      <c r="N508" s="3" t="n">
        <v>2</v>
      </c>
      <c r="O508" s="5" t="n">
        <v>669.8</v>
      </c>
      <c r="P508" s="6" t="n">
        <v>0.1</v>
      </c>
      <c r="Q508" s="5" t="n">
        <v>1205.64</v>
      </c>
      <c r="R508" s="5" t="n">
        <v>842.07</v>
      </c>
      <c r="S508" s="5" t="n">
        <v>363.57</v>
      </c>
      <c r="T508" s="3" t="str">
        <f aca="false">PROPER(TRIM(SUBSTITUTE(Raw_Text_Fields!J509,CHAR(160)," ")))</f>
        <v>Refunded</v>
      </c>
      <c r="U508" s="3" t="str">
        <f aca="false">PROPER(TRIM(SUBSTITUTE(Raw_Text_Fields!K509,CHAR(160)," ")))</f>
        <v>Returned</v>
      </c>
      <c r="V508" s="7" t="n">
        <f aca="false">IF(OR(P508&lt;0,P508&gt;0.5),0,P508)</f>
        <v>0.1</v>
      </c>
      <c r="W508" s="8" t="n">
        <f aca="false">N508*O508*(1-V508)</f>
        <v>1205.64</v>
      </c>
      <c r="X508" s="8" t="n">
        <f aca="false">W508-R508</f>
        <v>363.57</v>
      </c>
      <c r="Y508" s="7" t="n">
        <f aca="false">IFERROR(X508/W508,0)</f>
        <v>0.301557678909127</v>
      </c>
      <c r="Z508" s="9" t="n">
        <f aca="false">C508-B508</f>
        <v>0</v>
      </c>
      <c r="AA508" s="1" t="str">
        <f aca="false">IF(B508="","",TEXT(B508,"mmm"))</f>
        <v>Dec</v>
      </c>
      <c r="AB508" s="9" t="n">
        <f aca="false">IF(B508="","",YEAR(B508))</f>
        <v>2024</v>
      </c>
      <c r="AC508" s="3"/>
      <c r="AD508" s="3" t="str">
        <f aca="false">IF(LEFT(AC508&amp;IF(B508="","; Missing Order Date","")&amp;IF(C508="","; Missing Ship Date","")&amp;IF(P508&lt;0,"; Invalid Discount (Negative)","")&amp;IF(P508&gt;0.5,"; Invalid Discount (Too High)","")&amp;IF(Z508&lt;0,"; Invalid Shipping Record (Ship Before Order)","")&amp;IF(ABS(Q508-W508)&gt;1,"; Sales Mismatch","")&amp;IF(ABS(S508-X508)&gt;1,"; Profit Mismatch","")&amp;IF(COUNTIF($A$2:$A$913,A508)&gt;1,"; Duplicate Order ID Conflict",""),2)="; ",MID(AC508&amp;IF(B508="","; Missing Order Date","")&amp;IF(C508="","; Missing Ship Date","")&amp;IF(P508&lt;0,"; Invalid Discount (Negative)","")&amp;IF(P508&gt;0.5,"; Invalid Discount (Too High)","")&amp;IF(Z508&lt;0,"; Invalid Shipping Record (Ship Before Order)","")&amp;IF(ABS(Q508-W508)&gt;1,"; Sales Mismatch","")&amp;IF(ABS(S508-X508)&gt;1,"; Profit Mismatch","")&amp;IF(COUNTIF($A$2:$A$913,A508)&gt;1,"; Duplicate Order ID Conflict",""),3,500),AC508&amp;IF(B508="","; Missing Order Date","")&amp;IF(C508="","; Missing Ship Date","")&amp;IF(P508&lt;0,"; Invalid Discount (Negative)","")&amp;IF(P508&gt;0.5,"; Invalid Discount (Too High)","")&amp;IF(Z508&lt;0,"; Invalid Shipping Record (Ship Before Order)","")&amp;IF(ABS(Q508-W508)&gt;1,"; Sales Mismatch","")&amp;IF(ABS(S508-X508)&gt;1,"; Profit Mismatch","")&amp;IF(COUNTIF($A$2:$A$913,A508)&gt;1,"; Duplicate Order ID Conflict",""))</f>
        <v/>
      </c>
      <c r="AE508" s="10" t="str">
        <f aca="false">IF(OR(ISNUMBER(SEARCH("Invalid Discount",AD508)),ISNUMBER(SEARCH("Invalid Shipping Record",AD508)),ISNUMBER(SEARCH("Sales Mismatch",AD508)),ISNUMBER(SEARCH("Profit Mismatch",AD508)),ISNUMBER(SEARCH("Duplicate Order ID Conflict",AD508)),ISNUMBER(SEARCH("Missing Order Date",AD508)),ISNUMBER(SEARCH("Missing Ship Date",AD508))),"Invalid",IF(AD508&lt;&gt;"","Warning","Clean"))</f>
        <v>Clean</v>
      </c>
    </row>
    <row r="509" customFormat="false" ht="15" hidden="false" customHeight="true" outlineLevel="0" collapsed="false">
      <c r="A509" s="3" t="s">
        <v>1542</v>
      </c>
      <c r="B509" s="4" t="n">
        <v>45762</v>
      </c>
      <c r="C509" s="4" t="n">
        <v>45769</v>
      </c>
      <c r="D509" s="3" t="s">
        <v>1543</v>
      </c>
      <c r="E509" s="3" t="str">
        <f aca="false">PROPER(TRIM(SUBSTITUTE(Raw_Text_Fields!B510,CHAR(160)," ")))</f>
        <v>Isha Nair</v>
      </c>
      <c r="F509" s="3" t="str">
        <f aca="false">PROPER(TRIM(SUBSTITUTE(Raw_Text_Fields!C510,CHAR(160)," ")))</f>
        <v>Small Business</v>
      </c>
      <c r="G509" s="3" t="str">
        <f aca="false">PROPER(TRIM(SUBSTITUTE(Raw_Text_Fields!D510,CHAR(160)," ")))</f>
        <v>North</v>
      </c>
      <c r="H509" s="3" t="str">
        <f aca="false">PROPER(TRIM(SUBSTITUTE(Raw_Text_Fields!E510,CHAR(160)," ")))</f>
        <v>Haryana</v>
      </c>
      <c r="I509" s="3" t="str">
        <f aca="false">PROPER(TRIM(SUBSTITUTE(Raw_Text_Fields!F510,CHAR(160)," ")))</f>
        <v>Gurugram</v>
      </c>
      <c r="J509" s="3" t="str">
        <f aca="false">PROPER(TRIM(SUBSTITUTE(Raw_Text_Fields!G510,CHAR(160)," ")))</f>
        <v>Office Supplies</v>
      </c>
      <c r="K509" s="3" t="str">
        <f aca="false">PROPER(TRIM(SUBSTITUTE(Raw_Text_Fields!H510,CHAR(160)," ")))</f>
        <v>Binders</v>
      </c>
      <c r="L509" s="3" t="s">
        <v>1544</v>
      </c>
      <c r="M509" s="3" t="str">
        <f aca="false">PROPER(TRIM(SUBSTITUTE(Raw_Text_Fields!I510,CHAR(160)," ")))</f>
        <v>Same Day</v>
      </c>
      <c r="N509" s="3" t="n">
        <v>4</v>
      </c>
      <c r="O509" s="5" t="n">
        <v>2990.42</v>
      </c>
      <c r="P509" s="6" t="n">
        <v>0.25</v>
      </c>
      <c r="Q509" s="5" t="n">
        <v>8971.26</v>
      </c>
      <c r="R509" s="5" t="n">
        <v>6814.35</v>
      </c>
      <c r="S509" s="5" t="n">
        <v>2156.91</v>
      </c>
      <c r="T509" s="3" t="str">
        <f aca="false">PROPER(TRIM(SUBSTITUTE(Raw_Text_Fields!J510,CHAR(160)," ")))</f>
        <v>Paid</v>
      </c>
      <c r="U509" s="3" t="str">
        <f aca="false">PROPER(TRIM(SUBSTITUTE(Raw_Text_Fields!K510,CHAR(160)," ")))</f>
        <v>Completed</v>
      </c>
      <c r="V509" s="7" t="n">
        <f aca="false">IF(OR(P509&lt;0,P509&gt;0.5),0,P509)</f>
        <v>0.25</v>
      </c>
      <c r="W509" s="8" t="n">
        <f aca="false">N509*O509*(1-V509)</f>
        <v>8971.26</v>
      </c>
      <c r="X509" s="8" t="n">
        <f aca="false">W509-R509</f>
        <v>2156.91</v>
      </c>
      <c r="Y509" s="7" t="n">
        <f aca="false">IFERROR(X509/W509,0)</f>
        <v>0.240424421987547</v>
      </c>
      <c r="Z509" s="9" t="n">
        <f aca="false">C509-B509</f>
        <v>7</v>
      </c>
      <c r="AA509" s="1" t="str">
        <f aca="false">IF(B509="","",TEXT(B509,"mmm"))</f>
        <v>Apr</v>
      </c>
      <c r="AB509" s="9" t="n">
        <f aca="false">IF(B509="","",YEAR(B509))</f>
        <v>2025</v>
      </c>
      <c r="AC509" s="3"/>
      <c r="AD509" s="3" t="str">
        <f aca="false">IF(LEFT(AC509&amp;IF(B509="","; Missing Order Date","")&amp;IF(C509="","; Missing Ship Date","")&amp;IF(P509&lt;0,"; Invalid Discount (Negative)","")&amp;IF(P509&gt;0.5,"; Invalid Discount (Too High)","")&amp;IF(Z509&lt;0,"; Invalid Shipping Record (Ship Before Order)","")&amp;IF(ABS(Q509-W509)&gt;1,"; Sales Mismatch","")&amp;IF(ABS(S509-X509)&gt;1,"; Profit Mismatch","")&amp;IF(COUNTIF($A$2:$A$913,A509)&gt;1,"; Duplicate Order ID Conflict",""),2)="; ",MID(AC509&amp;IF(B509="","; Missing Order Date","")&amp;IF(C509="","; Missing Ship Date","")&amp;IF(P509&lt;0,"; Invalid Discount (Negative)","")&amp;IF(P509&gt;0.5,"; Invalid Discount (Too High)","")&amp;IF(Z509&lt;0,"; Invalid Shipping Record (Ship Before Order)","")&amp;IF(ABS(Q509-W509)&gt;1,"; Sales Mismatch","")&amp;IF(ABS(S509-X509)&gt;1,"; Profit Mismatch","")&amp;IF(COUNTIF($A$2:$A$913,A509)&gt;1,"; Duplicate Order ID Conflict",""),3,500),AC509&amp;IF(B509="","; Missing Order Date","")&amp;IF(C509="","; Missing Ship Date","")&amp;IF(P509&lt;0,"; Invalid Discount (Negative)","")&amp;IF(P509&gt;0.5,"; Invalid Discount (Too High)","")&amp;IF(Z509&lt;0,"; Invalid Shipping Record (Ship Before Order)","")&amp;IF(ABS(Q509-W509)&gt;1,"; Sales Mismatch","")&amp;IF(ABS(S509-X509)&gt;1,"; Profit Mismatch","")&amp;IF(COUNTIF($A$2:$A$913,A509)&gt;1,"; Duplicate Order ID Conflict",""))</f>
        <v/>
      </c>
      <c r="AE509" s="10" t="str">
        <f aca="false">IF(OR(ISNUMBER(SEARCH("Invalid Discount",AD509)),ISNUMBER(SEARCH("Invalid Shipping Record",AD509)),ISNUMBER(SEARCH("Sales Mismatch",AD509)),ISNUMBER(SEARCH("Profit Mismatch",AD509)),ISNUMBER(SEARCH("Duplicate Order ID Conflict",AD509)),ISNUMBER(SEARCH("Missing Order Date",AD509)),ISNUMBER(SEARCH("Missing Ship Date",AD509))),"Invalid",IF(AD509&lt;&gt;"","Warning","Clean"))</f>
        <v>Clean</v>
      </c>
    </row>
    <row r="510" customFormat="false" ht="15" hidden="false" customHeight="true" outlineLevel="0" collapsed="false">
      <c r="A510" s="3" t="s">
        <v>1545</v>
      </c>
      <c r="B510" s="4" t="n">
        <v>45382</v>
      </c>
      <c r="C510" s="4" t="n">
        <v>45389</v>
      </c>
      <c r="D510" s="3" t="s">
        <v>1546</v>
      </c>
      <c r="E510" s="3" t="str">
        <f aca="false">PROPER(TRIM(SUBSTITUTE(Raw_Text_Fields!B511,CHAR(160)," ")))</f>
        <v>Isha Nair</v>
      </c>
      <c r="F510" s="3" t="str">
        <f aca="false">PROPER(TRIM(SUBSTITUTE(Raw_Text_Fields!C511,CHAR(160)," ")))</f>
        <v>Small Business</v>
      </c>
      <c r="G510" s="3" t="str">
        <f aca="false">PROPER(TRIM(SUBSTITUTE(Raw_Text_Fields!D511,CHAR(160)," ")))</f>
        <v>North</v>
      </c>
      <c r="H510" s="3" t="str">
        <f aca="false">PROPER(TRIM(SUBSTITUTE(Raw_Text_Fields!E511,CHAR(160)," ")))</f>
        <v>Haryana</v>
      </c>
      <c r="I510" s="3" t="str">
        <f aca="false">PROPER(TRIM(SUBSTITUTE(Raw_Text_Fields!F511,CHAR(160)," ")))</f>
        <v>Gurugram</v>
      </c>
      <c r="J510" s="3" t="str">
        <f aca="false">PROPER(TRIM(SUBSTITUTE(Raw_Text_Fields!G511,CHAR(160)," ")))</f>
        <v>Technology</v>
      </c>
      <c r="K510" s="3" t="str">
        <f aca="false">PROPER(TRIM(SUBSTITUTE(Raw_Text_Fields!H511,CHAR(160)," ")))</f>
        <v>Machines</v>
      </c>
      <c r="L510" s="3" t="s">
        <v>1547</v>
      </c>
      <c r="M510" s="3" t="str">
        <f aca="false">PROPER(TRIM(SUBSTITUTE(Raw_Text_Fields!I511,CHAR(160)," ")))</f>
        <v>Second Class</v>
      </c>
      <c r="N510" s="3" t="n">
        <v>4</v>
      </c>
      <c r="O510" s="5" t="n">
        <v>1831</v>
      </c>
      <c r="P510" s="6" t="n">
        <v>0</v>
      </c>
      <c r="Q510" s="5" t="n">
        <v>7324</v>
      </c>
      <c r="R510" s="5" t="n">
        <v>4179.63</v>
      </c>
      <c r="S510" s="5" t="n">
        <v>3144.37</v>
      </c>
      <c r="T510" s="3" t="str">
        <f aca="false">PROPER(TRIM(SUBSTITUTE(Raw_Text_Fields!J511,CHAR(160)," ")))</f>
        <v>Paid</v>
      </c>
      <c r="U510" s="3" t="str">
        <f aca="false">PROPER(TRIM(SUBSTITUTE(Raw_Text_Fields!K511,CHAR(160)," ")))</f>
        <v>Completed</v>
      </c>
      <c r="V510" s="7" t="n">
        <f aca="false">IF(OR(P510&lt;0,P510&gt;0.5),0,P510)</f>
        <v>0</v>
      </c>
      <c r="W510" s="8" t="n">
        <f aca="false">N510*O510*(1-V510)</f>
        <v>7324</v>
      </c>
      <c r="X510" s="8" t="n">
        <f aca="false">W510-R510</f>
        <v>3144.37</v>
      </c>
      <c r="Y510" s="7" t="n">
        <f aca="false">IFERROR(X510/W510,0)</f>
        <v>0.429324139814309</v>
      </c>
      <c r="Z510" s="9" t="n">
        <f aca="false">C510-B510</f>
        <v>7</v>
      </c>
      <c r="AA510" s="1" t="str">
        <f aca="false">IF(B510="","",TEXT(B510,"mmm"))</f>
        <v>Mar</v>
      </c>
      <c r="AB510" s="9" t="n">
        <f aca="false">IF(B510="","",YEAR(B510))</f>
        <v>2024</v>
      </c>
      <c r="AC510" s="3"/>
      <c r="AD510" s="3" t="str">
        <f aca="false">IF(LEFT(AC510&amp;IF(B510="","; Missing Order Date","")&amp;IF(C510="","; Missing Ship Date","")&amp;IF(P510&lt;0,"; Invalid Discount (Negative)","")&amp;IF(P510&gt;0.5,"; Invalid Discount (Too High)","")&amp;IF(Z510&lt;0,"; Invalid Shipping Record (Ship Before Order)","")&amp;IF(ABS(Q510-W510)&gt;1,"; Sales Mismatch","")&amp;IF(ABS(S510-X510)&gt;1,"; Profit Mismatch","")&amp;IF(COUNTIF($A$2:$A$913,A510)&gt;1,"; Duplicate Order ID Conflict",""),2)="; ",MID(AC510&amp;IF(B510="","; Missing Order Date","")&amp;IF(C510="","; Missing Ship Date","")&amp;IF(P510&lt;0,"; Invalid Discount (Negative)","")&amp;IF(P510&gt;0.5,"; Invalid Discount (Too High)","")&amp;IF(Z510&lt;0,"; Invalid Shipping Record (Ship Before Order)","")&amp;IF(ABS(Q510-W510)&gt;1,"; Sales Mismatch","")&amp;IF(ABS(S510-X510)&gt;1,"; Profit Mismatch","")&amp;IF(COUNTIF($A$2:$A$913,A510)&gt;1,"; Duplicate Order ID Conflict",""),3,500),AC510&amp;IF(B510="","; Missing Order Date","")&amp;IF(C510="","; Missing Ship Date","")&amp;IF(P510&lt;0,"; Invalid Discount (Negative)","")&amp;IF(P510&gt;0.5,"; Invalid Discount (Too High)","")&amp;IF(Z510&lt;0,"; Invalid Shipping Record (Ship Before Order)","")&amp;IF(ABS(Q510-W510)&gt;1,"; Sales Mismatch","")&amp;IF(ABS(S510-X510)&gt;1,"; Profit Mismatch","")&amp;IF(COUNTIF($A$2:$A$913,A510)&gt;1,"; Duplicate Order ID Conflict",""))</f>
        <v/>
      </c>
      <c r="AE510" s="10" t="str">
        <f aca="false">IF(OR(ISNUMBER(SEARCH("Invalid Discount",AD510)),ISNUMBER(SEARCH("Invalid Shipping Record",AD510)),ISNUMBER(SEARCH("Sales Mismatch",AD510)),ISNUMBER(SEARCH("Profit Mismatch",AD510)),ISNUMBER(SEARCH("Duplicate Order ID Conflict",AD510)),ISNUMBER(SEARCH("Missing Order Date",AD510)),ISNUMBER(SEARCH("Missing Ship Date",AD510))),"Invalid",IF(AD510&lt;&gt;"","Warning","Clean"))</f>
        <v>Clean</v>
      </c>
    </row>
    <row r="511" customFormat="false" ht="15" hidden="false" customHeight="true" outlineLevel="0" collapsed="false">
      <c r="A511" s="3" t="s">
        <v>1548</v>
      </c>
      <c r="B511" s="4" t="n">
        <v>45789</v>
      </c>
      <c r="C511" s="4" t="n">
        <v>45791</v>
      </c>
      <c r="D511" s="3" t="s">
        <v>1549</v>
      </c>
      <c r="E511" s="3" t="str">
        <f aca="false">PROPER(TRIM(SUBSTITUTE(Raw_Text_Fields!B512,CHAR(160)," ")))</f>
        <v>Neha Gupta</v>
      </c>
      <c r="F511" s="3" t="str">
        <f aca="false">PROPER(TRIM(SUBSTITUTE(Raw_Text_Fields!C512,CHAR(160)," ")))</f>
        <v>Consumer</v>
      </c>
      <c r="G511" s="3" t="str">
        <f aca="false">PROPER(TRIM(SUBSTITUTE(Raw_Text_Fields!D512,CHAR(160)," ")))</f>
        <v>West</v>
      </c>
      <c r="H511" s="3" t="str">
        <f aca="false">PROPER(TRIM(SUBSTITUTE(Raw_Text_Fields!E512,CHAR(160)," ")))</f>
        <v>Gujarat</v>
      </c>
      <c r="I511" s="3" t="str">
        <f aca="false">PROPER(TRIM(SUBSTITUTE(Raw_Text_Fields!F512,CHAR(160)," ")))</f>
        <v>Ahmedabad</v>
      </c>
      <c r="J511" s="3" t="str">
        <f aca="false">PROPER(TRIM(SUBSTITUTE(Raw_Text_Fields!G512,CHAR(160)," ")))</f>
        <v>Technology</v>
      </c>
      <c r="K511" s="3" t="str">
        <f aca="false">PROPER(TRIM(SUBSTITUTE(Raw_Text_Fields!H512,CHAR(160)," ")))</f>
        <v>Machines</v>
      </c>
      <c r="L511" s="3" t="s">
        <v>1550</v>
      </c>
      <c r="M511" s="3" t="str">
        <f aca="false">PROPER(TRIM(SUBSTITUTE(Raw_Text_Fields!I512,CHAR(160)," ")))</f>
        <v>Same Day</v>
      </c>
      <c r="N511" s="3" t="n">
        <v>8</v>
      </c>
      <c r="O511" s="5" t="n">
        <v>3631.44</v>
      </c>
      <c r="P511" s="6" t="n">
        <v>0.2</v>
      </c>
      <c r="Q511" s="5" t="n">
        <v>23241.22</v>
      </c>
      <c r="R511" s="5" t="n">
        <v>17220.9</v>
      </c>
      <c r="S511" s="5" t="n">
        <v>6020.32</v>
      </c>
      <c r="T511" s="3" t="str">
        <f aca="false">PROPER(TRIM(SUBSTITUTE(Raw_Text_Fields!J512,CHAR(160)," ")))</f>
        <v>Paid</v>
      </c>
      <c r="U511" s="3" t="str">
        <f aca="false">PROPER(TRIM(SUBSTITUTE(Raw_Text_Fields!K512,CHAR(160)," ")))</f>
        <v>Completed</v>
      </c>
      <c r="V511" s="7" t="n">
        <f aca="false">IF(OR(P511&lt;0,P511&gt;0.5),0,P511)</f>
        <v>0.2</v>
      </c>
      <c r="W511" s="8" t="n">
        <f aca="false">N511*O511*(1-V511)</f>
        <v>23241.216</v>
      </c>
      <c r="X511" s="8" t="n">
        <f aca="false">W511-R511</f>
        <v>6020.316</v>
      </c>
      <c r="Y511" s="7" t="n">
        <f aca="false">IFERROR(X511/W511,0)</f>
        <v>0.25903618812372</v>
      </c>
      <c r="Z511" s="9" t="n">
        <f aca="false">C511-B511</f>
        <v>2</v>
      </c>
      <c r="AA511" s="1" t="str">
        <f aca="false">IF(B511="","",TEXT(B511,"mmm"))</f>
        <v>May</v>
      </c>
      <c r="AB511" s="9" t="n">
        <f aca="false">IF(B511="","",YEAR(B511))</f>
        <v>2025</v>
      </c>
      <c r="AC511" s="3"/>
      <c r="AD511" s="3" t="str">
        <f aca="false">IF(LEFT(AC511&amp;IF(B511="","; Missing Order Date","")&amp;IF(C511="","; Missing Ship Date","")&amp;IF(P511&lt;0,"; Invalid Discount (Negative)","")&amp;IF(P511&gt;0.5,"; Invalid Discount (Too High)","")&amp;IF(Z511&lt;0,"; Invalid Shipping Record (Ship Before Order)","")&amp;IF(ABS(Q511-W511)&gt;1,"; Sales Mismatch","")&amp;IF(ABS(S511-X511)&gt;1,"; Profit Mismatch","")&amp;IF(COUNTIF($A$2:$A$913,A511)&gt;1,"; Duplicate Order ID Conflict",""),2)="; ",MID(AC511&amp;IF(B511="","; Missing Order Date","")&amp;IF(C511="","; Missing Ship Date","")&amp;IF(P511&lt;0,"; Invalid Discount (Negative)","")&amp;IF(P511&gt;0.5,"; Invalid Discount (Too High)","")&amp;IF(Z511&lt;0,"; Invalid Shipping Record (Ship Before Order)","")&amp;IF(ABS(Q511-W511)&gt;1,"; Sales Mismatch","")&amp;IF(ABS(S511-X511)&gt;1,"; Profit Mismatch","")&amp;IF(COUNTIF($A$2:$A$913,A511)&gt;1,"; Duplicate Order ID Conflict",""),3,500),AC511&amp;IF(B511="","; Missing Order Date","")&amp;IF(C511="","; Missing Ship Date","")&amp;IF(P511&lt;0,"; Invalid Discount (Negative)","")&amp;IF(P511&gt;0.5,"; Invalid Discount (Too High)","")&amp;IF(Z511&lt;0,"; Invalid Shipping Record (Ship Before Order)","")&amp;IF(ABS(Q511-W511)&gt;1,"; Sales Mismatch","")&amp;IF(ABS(S511-X511)&gt;1,"; Profit Mismatch","")&amp;IF(COUNTIF($A$2:$A$913,A511)&gt;1,"; Duplicate Order ID Conflict",""))</f>
        <v/>
      </c>
      <c r="AE511" s="10" t="str">
        <f aca="false">IF(OR(ISNUMBER(SEARCH("Invalid Discount",AD511)),ISNUMBER(SEARCH("Invalid Shipping Record",AD511)),ISNUMBER(SEARCH("Sales Mismatch",AD511)),ISNUMBER(SEARCH("Profit Mismatch",AD511)),ISNUMBER(SEARCH("Duplicate Order ID Conflict",AD511)),ISNUMBER(SEARCH("Missing Order Date",AD511)),ISNUMBER(SEARCH("Missing Ship Date",AD511))),"Invalid",IF(AD511&lt;&gt;"","Warning","Clean"))</f>
        <v>Clean</v>
      </c>
    </row>
    <row r="512" customFormat="false" ht="15" hidden="false" customHeight="true" outlineLevel="0" collapsed="false">
      <c r="A512" s="3" t="s">
        <v>1551</v>
      </c>
      <c r="B512" s="4" t="n">
        <v>45583</v>
      </c>
      <c r="C512" s="4" t="n">
        <v>45586</v>
      </c>
      <c r="D512" s="3" t="s">
        <v>1552</v>
      </c>
      <c r="E512" s="3" t="str">
        <f aca="false">PROPER(TRIM(SUBSTITUTE(Raw_Text_Fields!B513,CHAR(160)," ")))</f>
        <v>Aarav Sharma</v>
      </c>
      <c r="F512" s="3" t="str">
        <f aca="false">PROPER(TRIM(SUBSTITUTE(Raw_Text_Fields!C513,CHAR(160)," ")))</f>
        <v>Consumer</v>
      </c>
      <c r="G512" s="3" t="str">
        <f aca="false">PROPER(TRIM(SUBSTITUTE(Raw_Text_Fields!D513,CHAR(160)," ")))</f>
        <v>South</v>
      </c>
      <c r="H512" s="3" t="str">
        <f aca="false">PROPER(TRIM(SUBSTITUTE(Raw_Text_Fields!E513,CHAR(160)," ")))</f>
        <v>Karnataka</v>
      </c>
      <c r="I512" s="3" t="str">
        <f aca="false">PROPER(TRIM(SUBSTITUTE(Raw_Text_Fields!F513,CHAR(160)," ")))</f>
        <v>Bengaluru</v>
      </c>
      <c r="J512" s="3" t="str">
        <f aca="false">PROPER(TRIM(SUBSTITUTE(Raw_Text_Fields!G513,CHAR(160)," ")))</f>
        <v>Office Supplies</v>
      </c>
      <c r="K512" s="3" t="str">
        <f aca="false">PROPER(TRIM(SUBSTITUTE(Raw_Text_Fields!H513,CHAR(160)," ")))</f>
        <v>Storage</v>
      </c>
      <c r="L512" s="3" t="s">
        <v>1553</v>
      </c>
      <c r="M512" s="3" t="str">
        <f aca="false">PROPER(TRIM(SUBSTITUTE(Raw_Text_Fields!I513,CHAR(160)," ")))</f>
        <v>Second Class</v>
      </c>
      <c r="N512" s="3" t="n">
        <v>2</v>
      </c>
      <c r="O512" s="5" t="n">
        <v>4238.51</v>
      </c>
      <c r="P512" s="6" t="n">
        <v>0</v>
      </c>
      <c r="Q512" s="5" t="n">
        <v>8477.02</v>
      </c>
      <c r="R512" s="5" t="n">
        <v>6884.96</v>
      </c>
      <c r="S512" s="5" t="n">
        <v>1592.06</v>
      </c>
      <c r="T512" s="3" t="str">
        <f aca="false">PROPER(TRIM(SUBSTITUTE(Raw_Text_Fields!J513,CHAR(160)," ")))</f>
        <v>Paid</v>
      </c>
      <c r="U512" s="3" t="str">
        <f aca="false">PROPER(TRIM(SUBSTITUTE(Raw_Text_Fields!K513,CHAR(160)," ")))</f>
        <v>Completed</v>
      </c>
      <c r="V512" s="7" t="n">
        <f aca="false">IF(OR(P512&lt;0,P512&gt;0.5),0,P512)</f>
        <v>0</v>
      </c>
      <c r="W512" s="8" t="n">
        <f aca="false">N512*O512*(1-V512)</f>
        <v>8477.02</v>
      </c>
      <c r="X512" s="8" t="n">
        <f aca="false">W512-R512</f>
        <v>1592.06</v>
      </c>
      <c r="Y512" s="7" t="n">
        <f aca="false">IFERROR(X512/W512,0)</f>
        <v>0.187808923418843</v>
      </c>
      <c r="Z512" s="9" t="n">
        <f aca="false">C512-B512</f>
        <v>3</v>
      </c>
      <c r="AA512" s="1" t="str">
        <f aca="false">IF(B512="","",TEXT(B512,"mmm"))</f>
        <v>Oct</v>
      </c>
      <c r="AB512" s="9" t="n">
        <f aca="false">IF(B512="","",YEAR(B512))</f>
        <v>2024</v>
      </c>
      <c r="AC512" s="3"/>
      <c r="AD512" s="3" t="str">
        <f aca="false">IF(LEFT(AC512&amp;IF(B512="","; Missing Order Date","")&amp;IF(C512="","; Missing Ship Date","")&amp;IF(P512&lt;0,"; Invalid Discount (Negative)","")&amp;IF(P512&gt;0.5,"; Invalid Discount (Too High)","")&amp;IF(Z512&lt;0,"; Invalid Shipping Record (Ship Before Order)","")&amp;IF(ABS(Q512-W512)&gt;1,"; Sales Mismatch","")&amp;IF(ABS(S512-X512)&gt;1,"; Profit Mismatch","")&amp;IF(COUNTIF($A$2:$A$913,A512)&gt;1,"; Duplicate Order ID Conflict",""),2)="; ",MID(AC512&amp;IF(B512="","; Missing Order Date","")&amp;IF(C512="","; Missing Ship Date","")&amp;IF(P512&lt;0,"; Invalid Discount (Negative)","")&amp;IF(P512&gt;0.5,"; Invalid Discount (Too High)","")&amp;IF(Z512&lt;0,"; Invalid Shipping Record (Ship Before Order)","")&amp;IF(ABS(Q512-W512)&gt;1,"; Sales Mismatch","")&amp;IF(ABS(S512-X512)&gt;1,"; Profit Mismatch","")&amp;IF(COUNTIF($A$2:$A$913,A512)&gt;1,"; Duplicate Order ID Conflict",""),3,500),AC512&amp;IF(B512="","; Missing Order Date","")&amp;IF(C512="","; Missing Ship Date","")&amp;IF(P512&lt;0,"; Invalid Discount (Negative)","")&amp;IF(P512&gt;0.5,"; Invalid Discount (Too High)","")&amp;IF(Z512&lt;0,"; Invalid Shipping Record (Ship Before Order)","")&amp;IF(ABS(Q512-W512)&gt;1,"; Sales Mismatch","")&amp;IF(ABS(S512-X512)&gt;1,"; Profit Mismatch","")&amp;IF(COUNTIF($A$2:$A$913,A512)&gt;1,"; Duplicate Order ID Conflict",""))</f>
        <v/>
      </c>
      <c r="AE512" s="10" t="str">
        <f aca="false">IF(OR(ISNUMBER(SEARCH("Invalid Discount",AD512)),ISNUMBER(SEARCH("Invalid Shipping Record",AD512)),ISNUMBER(SEARCH("Sales Mismatch",AD512)),ISNUMBER(SEARCH("Profit Mismatch",AD512)),ISNUMBER(SEARCH("Duplicate Order ID Conflict",AD512)),ISNUMBER(SEARCH("Missing Order Date",AD512)),ISNUMBER(SEARCH("Missing Ship Date",AD512))),"Invalid",IF(AD512&lt;&gt;"","Warning","Clean"))</f>
        <v>Clean</v>
      </c>
    </row>
    <row r="513" customFormat="false" ht="15" hidden="false" customHeight="true" outlineLevel="0" collapsed="false">
      <c r="A513" s="3" t="s">
        <v>1554</v>
      </c>
      <c r="B513" s="4" t="n">
        <v>45588</v>
      </c>
      <c r="C513" s="4" t="n">
        <v>45591</v>
      </c>
      <c r="D513" s="3" t="s">
        <v>1555</v>
      </c>
      <c r="E513" s="3" t="str">
        <f aca="false">PROPER(TRIM(SUBSTITUTE(Raw_Text_Fields!B514,CHAR(160)," ")))</f>
        <v>Sneha Kapoor</v>
      </c>
      <c r="F513" s="3" t="str">
        <f aca="false">PROPER(TRIM(SUBSTITUTE(Raw_Text_Fields!C514,CHAR(160)," ")))</f>
        <v>Consumer</v>
      </c>
      <c r="G513" s="3" t="str">
        <f aca="false">PROPER(TRIM(SUBSTITUTE(Raw_Text_Fields!D514,CHAR(160)," ")))</f>
        <v>West</v>
      </c>
      <c r="H513" s="3" t="str">
        <f aca="false">PROPER(TRIM(SUBSTITUTE(Raw_Text_Fields!E514,CHAR(160)," ")))</f>
        <v>Madhya Pradesh</v>
      </c>
      <c r="I513" s="3" t="str">
        <f aca="false">PROPER(TRIM(SUBSTITUTE(Raw_Text_Fields!F514,CHAR(160)," ")))</f>
        <v>Indore</v>
      </c>
      <c r="J513" s="3" t="str">
        <f aca="false">PROPER(TRIM(SUBSTITUTE(Raw_Text_Fields!G514,CHAR(160)," ")))</f>
        <v>Furniture</v>
      </c>
      <c r="K513" s="3" t="str">
        <f aca="false">PROPER(TRIM(SUBSTITUTE(Raw_Text_Fields!H514,CHAR(160)," ")))</f>
        <v>Bookcases</v>
      </c>
      <c r="L513" s="3" t="s">
        <v>1556</v>
      </c>
      <c r="M513" s="3" t="str">
        <f aca="false">PROPER(TRIM(SUBSTITUTE(Raw_Text_Fields!I514,CHAR(160)," ")))</f>
        <v>Standard Class</v>
      </c>
      <c r="N513" s="3" t="n">
        <v>9</v>
      </c>
      <c r="O513" s="5" t="n">
        <v>544.27</v>
      </c>
      <c r="P513" s="6" t="n">
        <v>0.25</v>
      </c>
      <c r="Q513" s="5" t="n">
        <v>3673.82</v>
      </c>
      <c r="R513" s="5" t="n">
        <v>2088.15</v>
      </c>
      <c r="S513" s="5" t="n">
        <v>1585.67</v>
      </c>
      <c r="T513" s="3" t="str">
        <f aca="false">PROPER(TRIM(SUBSTITUTE(Raw_Text_Fields!J514,CHAR(160)," ")))</f>
        <v>Paid</v>
      </c>
      <c r="U513" s="3" t="str">
        <f aca="false">PROPER(TRIM(SUBSTITUTE(Raw_Text_Fields!K514,CHAR(160)," ")))</f>
        <v>Completed</v>
      </c>
      <c r="V513" s="7" t="n">
        <f aca="false">IF(OR(P513&lt;0,P513&gt;0.5),0,P513)</f>
        <v>0.25</v>
      </c>
      <c r="W513" s="8" t="n">
        <f aca="false">N513*O513*(1-V513)</f>
        <v>3673.8225</v>
      </c>
      <c r="X513" s="8" t="n">
        <f aca="false">W513-R513</f>
        <v>1585.6725</v>
      </c>
      <c r="Y513" s="7" t="n">
        <f aca="false">IFERROR(X513/W513,0)</f>
        <v>0.431613802789874</v>
      </c>
      <c r="Z513" s="9" t="n">
        <f aca="false">C513-B513</f>
        <v>3</v>
      </c>
      <c r="AA513" s="1" t="str">
        <f aca="false">IF(B513="","",TEXT(B513,"mmm"))</f>
        <v>Oct</v>
      </c>
      <c r="AB513" s="9" t="n">
        <f aca="false">IF(B513="","",YEAR(B513))</f>
        <v>2024</v>
      </c>
      <c r="AC513" s="3"/>
      <c r="AD513" s="3" t="str">
        <f aca="false">IF(LEFT(AC513&amp;IF(B513="","; Missing Order Date","")&amp;IF(C513="","; Missing Ship Date","")&amp;IF(P513&lt;0,"; Invalid Discount (Negative)","")&amp;IF(P513&gt;0.5,"; Invalid Discount (Too High)","")&amp;IF(Z513&lt;0,"; Invalid Shipping Record (Ship Before Order)","")&amp;IF(ABS(Q513-W513)&gt;1,"; Sales Mismatch","")&amp;IF(ABS(S513-X513)&gt;1,"; Profit Mismatch","")&amp;IF(COUNTIF($A$2:$A$913,A513)&gt;1,"; Duplicate Order ID Conflict",""),2)="; ",MID(AC513&amp;IF(B513="","; Missing Order Date","")&amp;IF(C513="","; Missing Ship Date","")&amp;IF(P513&lt;0,"; Invalid Discount (Negative)","")&amp;IF(P513&gt;0.5,"; Invalid Discount (Too High)","")&amp;IF(Z513&lt;0,"; Invalid Shipping Record (Ship Before Order)","")&amp;IF(ABS(Q513-W513)&gt;1,"; Sales Mismatch","")&amp;IF(ABS(S513-X513)&gt;1,"; Profit Mismatch","")&amp;IF(COUNTIF($A$2:$A$913,A513)&gt;1,"; Duplicate Order ID Conflict",""),3,500),AC513&amp;IF(B513="","; Missing Order Date","")&amp;IF(C513="","; Missing Ship Date","")&amp;IF(P513&lt;0,"; Invalid Discount (Negative)","")&amp;IF(P513&gt;0.5,"; Invalid Discount (Too High)","")&amp;IF(Z513&lt;0,"; Invalid Shipping Record (Ship Before Order)","")&amp;IF(ABS(Q513-W513)&gt;1,"; Sales Mismatch","")&amp;IF(ABS(S513-X513)&gt;1,"; Profit Mismatch","")&amp;IF(COUNTIF($A$2:$A$913,A513)&gt;1,"; Duplicate Order ID Conflict",""))</f>
        <v/>
      </c>
      <c r="AE513" s="10" t="str">
        <f aca="false">IF(OR(ISNUMBER(SEARCH("Invalid Discount",AD513)),ISNUMBER(SEARCH("Invalid Shipping Record",AD513)),ISNUMBER(SEARCH("Sales Mismatch",AD513)),ISNUMBER(SEARCH("Profit Mismatch",AD513)),ISNUMBER(SEARCH("Duplicate Order ID Conflict",AD513)),ISNUMBER(SEARCH("Missing Order Date",AD513)),ISNUMBER(SEARCH("Missing Ship Date",AD513))),"Invalid",IF(AD513&lt;&gt;"","Warning","Clean"))</f>
        <v>Clean</v>
      </c>
    </row>
    <row r="514" customFormat="false" ht="15" hidden="false" customHeight="true" outlineLevel="0" collapsed="false">
      <c r="A514" s="3" t="s">
        <v>1557</v>
      </c>
      <c r="B514" s="4" t="n">
        <v>45718</v>
      </c>
      <c r="C514" s="4" t="n">
        <v>45719</v>
      </c>
      <c r="D514" s="3" t="s">
        <v>1169</v>
      </c>
      <c r="E514" s="3" t="str">
        <f aca="false">PROPER(TRIM(SUBSTITUTE(Raw_Text_Fields!B515,CHAR(160)," ")))</f>
        <v>Isha Nair</v>
      </c>
      <c r="F514" s="3" t="str">
        <f aca="false">PROPER(TRIM(SUBSTITUTE(Raw_Text_Fields!C515,CHAR(160)," ")))</f>
        <v>Corporate</v>
      </c>
      <c r="G514" s="3" t="str">
        <f aca="false">PROPER(TRIM(SUBSTITUTE(Raw_Text_Fields!D515,CHAR(160)," ")))</f>
        <v>South</v>
      </c>
      <c r="H514" s="3" t="str">
        <f aca="false">PROPER(TRIM(SUBSTITUTE(Raw_Text_Fields!E515,CHAR(160)," ")))</f>
        <v>Kerala</v>
      </c>
      <c r="I514" s="3" t="str">
        <f aca="false">PROPER(TRIM(SUBSTITUTE(Raw_Text_Fields!F515,CHAR(160)," ")))</f>
        <v>Kochi</v>
      </c>
      <c r="J514" s="3" t="str">
        <f aca="false">PROPER(TRIM(SUBSTITUTE(Raw_Text_Fields!G515,CHAR(160)," ")))</f>
        <v>Office Supplies</v>
      </c>
      <c r="K514" s="3" t="str">
        <f aca="false">PROPER(TRIM(SUBSTITUTE(Raw_Text_Fields!H515,CHAR(160)," ")))</f>
        <v>Labels</v>
      </c>
      <c r="L514" s="3" t="s">
        <v>1558</v>
      </c>
      <c r="M514" s="3" t="str">
        <f aca="false">PROPER(TRIM(SUBSTITUTE(Raw_Text_Fields!I515,CHAR(160)," ")))</f>
        <v>Second Class</v>
      </c>
      <c r="N514" s="3" t="n">
        <v>2</v>
      </c>
      <c r="O514" s="5" t="n">
        <v>4031.45</v>
      </c>
      <c r="P514" s="6" t="n">
        <v>0.25</v>
      </c>
      <c r="Q514" s="5" t="n">
        <v>6047.17</v>
      </c>
      <c r="R514" s="5" t="n">
        <v>3368.79</v>
      </c>
      <c r="S514" s="5" t="n">
        <v>2678.38</v>
      </c>
      <c r="T514" s="3" t="str">
        <f aca="false">PROPER(TRIM(SUBSTITUTE(Raw_Text_Fields!J515,CHAR(160)," ")))</f>
        <v>Paid</v>
      </c>
      <c r="U514" s="3" t="str">
        <f aca="false">PROPER(TRIM(SUBSTITUTE(Raw_Text_Fields!K515,CHAR(160)," ")))</f>
        <v>Completed</v>
      </c>
      <c r="V514" s="7" t="n">
        <f aca="false">IF(OR(P514&lt;0,P514&gt;0.5),0,P514)</f>
        <v>0.25</v>
      </c>
      <c r="W514" s="8" t="n">
        <f aca="false">N514*O514*(1-V514)</f>
        <v>6047.175</v>
      </c>
      <c r="X514" s="8" t="n">
        <f aca="false">W514-R514</f>
        <v>2678.385</v>
      </c>
      <c r="Y514" s="7" t="n">
        <f aca="false">IFERROR(X514/W514,0)</f>
        <v>0.442915080182068</v>
      </c>
      <c r="Z514" s="9" t="n">
        <f aca="false">C514-B514</f>
        <v>1</v>
      </c>
      <c r="AA514" s="1" t="str">
        <f aca="false">IF(B514="","",TEXT(B514,"mmm"))</f>
        <v>Mar</v>
      </c>
      <c r="AB514" s="9" t="n">
        <f aca="false">IF(B514="","",YEAR(B514))</f>
        <v>2025</v>
      </c>
      <c r="AC514" s="3"/>
      <c r="AD514" s="3" t="str">
        <f aca="false">IF(LEFT(AC514&amp;IF(B514="","; Missing Order Date","")&amp;IF(C514="","; Missing Ship Date","")&amp;IF(P514&lt;0,"; Invalid Discount (Negative)","")&amp;IF(P514&gt;0.5,"; Invalid Discount (Too High)","")&amp;IF(Z514&lt;0,"; Invalid Shipping Record (Ship Before Order)","")&amp;IF(ABS(Q514-W514)&gt;1,"; Sales Mismatch","")&amp;IF(ABS(S514-X514)&gt;1,"; Profit Mismatch","")&amp;IF(COUNTIF($A$2:$A$913,A514)&gt;1,"; Duplicate Order ID Conflict",""),2)="; ",MID(AC514&amp;IF(B514="","; Missing Order Date","")&amp;IF(C514="","; Missing Ship Date","")&amp;IF(P514&lt;0,"; Invalid Discount (Negative)","")&amp;IF(P514&gt;0.5,"; Invalid Discount (Too High)","")&amp;IF(Z514&lt;0,"; Invalid Shipping Record (Ship Before Order)","")&amp;IF(ABS(Q514-W514)&gt;1,"; Sales Mismatch","")&amp;IF(ABS(S514-X514)&gt;1,"; Profit Mismatch","")&amp;IF(COUNTIF($A$2:$A$913,A514)&gt;1,"; Duplicate Order ID Conflict",""),3,500),AC514&amp;IF(B514="","; Missing Order Date","")&amp;IF(C514="","; Missing Ship Date","")&amp;IF(P514&lt;0,"; Invalid Discount (Negative)","")&amp;IF(P514&gt;0.5,"; Invalid Discount (Too High)","")&amp;IF(Z514&lt;0,"; Invalid Shipping Record (Ship Before Order)","")&amp;IF(ABS(Q514-W514)&gt;1,"; Sales Mismatch","")&amp;IF(ABS(S514-X514)&gt;1,"; Profit Mismatch","")&amp;IF(COUNTIF($A$2:$A$913,A514)&gt;1,"; Duplicate Order ID Conflict",""))</f>
        <v/>
      </c>
      <c r="AE514" s="10" t="str">
        <f aca="false">IF(OR(ISNUMBER(SEARCH("Invalid Discount",AD514)),ISNUMBER(SEARCH("Invalid Shipping Record",AD514)),ISNUMBER(SEARCH("Sales Mismatch",AD514)),ISNUMBER(SEARCH("Profit Mismatch",AD514)),ISNUMBER(SEARCH("Duplicate Order ID Conflict",AD514)),ISNUMBER(SEARCH("Missing Order Date",AD514)),ISNUMBER(SEARCH("Missing Ship Date",AD514))),"Invalid",IF(AD514&lt;&gt;"","Warning","Clean"))</f>
        <v>Clean</v>
      </c>
    </row>
    <row r="515" customFormat="false" ht="15" hidden="false" customHeight="true" outlineLevel="0" collapsed="false">
      <c r="A515" s="3" t="s">
        <v>1559</v>
      </c>
      <c r="B515" s="4" t="n">
        <v>45835</v>
      </c>
      <c r="C515" s="4" t="n">
        <v>45840</v>
      </c>
      <c r="D515" s="3" t="s">
        <v>1560</v>
      </c>
      <c r="E515" s="3" t="str">
        <f aca="false">PROPER(TRIM(SUBSTITUTE(Raw_Text_Fields!B516,CHAR(160)," ")))</f>
        <v>Aarav Sharma</v>
      </c>
      <c r="F515" s="3" t="str">
        <f aca="false">PROPER(TRIM(SUBSTITUTE(Raw_Text_Fields!C516,CHAR(160)," ")))</f>
        <v>Corporate</v>
      </c>
      <c r="G515" s="3" t="str">
        <f aca="false">PROPER(TRIM(SUBSTITUTE(Raw_Text_Fields!D516,CHAR(160)," ")))</f>
        <v>South</v>
      </c>
      <c r="H515" s="3" t="str">
        <f aca="false">PROPER(TRIM(SUBSTITUTE(Raw_Text_Fields!E516,CHAR(160)," ")))</f>
        <v>Kerala</v>
      </c>
      <c r="I515" s="3" t="str">
        <f aca="false">PROPER(TRIM(SUBSTITUTE(Raw_Text_Fields!F516,CHAR(160)," ")))</f>
        <v>Kochi</v>
      </c>
      <c r="J515" s="3" t="str">
        <f aca="false">PROPER(TRIM(SUBSTITUTE(Raw_Text_Fields!G516,CHAR(160)," ")))</f>
        <v>Technology</v>
      </c>
      <c r="K515" s="3" t="str">
        <f aca="false">PROPER(TRIM(SUBSTITUTE(Raw_Text_Fields!H516,CHAR(160)," ")))</f>
        <v>Accessories</v>
      </c>
      <c r="L515" s="3" t="s">
        <v>1561</v>
      </c>
      <c r="M515" s="3" t="str">
        <f aca="false">PROPER(TRIM(SUBSTITUTE(Raw_Text_Fields!I516,CHAR(160)," ")))</f>
        <v>First Class</v>
      </c>
      <c r="N515" s="3" t="n">
        <v>6</v>
      </c>
      <c r="O515" s="5" t="n">
        <v>1099.49</v>
      </c>
      <c r="P515" s="6" t="n">
        <v>0.1</v>
      </c>
      <c r="Q515" s="5" t="n">
        <v>6212.38</v>
      </c>
      <c r="R515" s="5" t="n">
        <v>4088.46</v>
      </c>
      <c r="S515" s="5" t="n">
        <v>1848.79</v>
      </c>
      <c r="T515" s="3" t="str">
        <f aca="false">PROPER(TRIM(SUBSTITUTE(Raw_Text_Fields!J516,CHAR(160)," ")))</f>
        <v>Paid</v>
      </c>
      <c r="U515" s="3" t="str">
        <f aca="false">PROPER(TRIM(SUBSTITUTE(Raw_Text_Fields!K516,CHAR(160)," ")))</f>
        <v>Completed</v>
      </c>
      <c r="V515" s="7" t="n">
        <f aca="false">IF(OR(P515&lt;0,P515&gt;0.5),0,P515)</f>
        <v>0.1</v>
      </c>
      <c r="W515" s="8" t="n">
        <f aca="false">N515*O515*(1-V515)</f>
        <v>5937.246</v>
      </c>
      <c r="X515" s="8" t="n">
        <f aca="false">W515-R515</f>
        <v>1848.786</v>
      </c>
      <c r="Y515" s="7" t="n">
        <f aca="false">IFERROR(X515/W515,0)</f>
        <v>0.31138780505305</v>
      </c>
      <c r="Z515" s="9" t="n">
        <f aca="false">C515-B515</f>
        <v>5</v>
      </c>
      <c r="AA515" s="1" t="str">
        <f aca="false">IF(B515="","",TEXT(B515,"mmm"))</f>
        <v>Jun</v>
      </c>
      <c r="AB515" s="9" t="n">
        <f aca="false">IF(B515="","",YEAR(B515))</f>
        <v>2025</v>
      </c>
      <c r="AC515" s="3"/>
      <c r="AD515" s="3" t="str">
        <f aca="false">IF(LEFT(AC515&amp;IF(B515="","; Missing Order Date","")&amp;IF(C515="","; Missing Ship Date","")&amp;IF(P515&lt;0,"; Invalid Discount (Negative)","")&amp;IF(P515&gt;0.5,"; Invalid Discount (Too High)","")&amp;IF(Z515&lt;0,"; Invalid Shipping Record (Ship Before Order)","")&amp;IF(ABS(Q515-W515)&gt;1,"; Sales Mismatch","")&amp;IF(ABS(S515-X515)&gt;1,"; Profit Mismatch","")&amp;IF(COUNTIF($A$2:$A$913,A515)&gt;1,"; Duplicate Order ID Conflict",""),2)="; ",MID(AC515&amp;IF(B515="","; Missing Order Date","")&amp;IF(C515="","; Missing Ship Date","")&amp;IF(P515&lt;0,"; Invalid Discount (Negative)","")&amp;IF(P515&gt;0.5,"; Invalid Discount (Too High)","")&amp;IF(Z515&lt;0,"; Invalid Shipping Record (Ship Before Order)","")&amp;IF(ABS(Q515-W515)&gt;1,"; Sales Mismatch","")&amp;IF(ABS(S515-X515)&gt;1,"; Profit Mismatch","")&amp;IF(COUNTIF($A$2:$A$913,A515)&gt;1,"; Duplicate Order ID Conflict",""),3,500),AC515&amp;IF(B515="","; Missing Order Date","")&amp;IF(C515="","; Missing Ship Date","")&amp;IF(P515&lt;0,"; Invalid Discount (Negative)","")&amp;IF(P515&gt;0.5,"; Invalid Discount (Too High)","")&amp;IF(Z515&lt;0,"; Invalid Shipping Record (Ship Before Order)","")&amp;IF(ABS(Q515-W515)&gt;1,"; Sales Mismatch","")&amp;IF(ABS(S515-X515)&gt;1,"; Profit Mismatch","")&amp;IF(COUNTIF($A$2:$A$913,A515)&gt;1,"; Duplicate Order ID Conflict",""))</f>
        <v>Sales Mismatch</v>
      </c>
      <c r="AE515" s="10" t="str">
        <f aca="false">IF(OR(ISNUMBER(SEARCH("Invalid Discount",AD515)),ISNUMBER(SEARCH("Invalid Shipping Record",AD515)),ISNUMBER(SEARCH("Sales Mismatch",AD515)),ISNUMBER(SEARCH("Profit Mismatch",AD515)),ISNUMBER(SEARCH("Duplicate Order ID Conflict",AD515)),ISNUMBER(SEARCH("Missing Order Date",AD515)),ISNUMBER(SEARCH("Missing Ship Date",AD515))),"Invalid",IF(AD515&lt;&gt;"","Warning","Clean"))</f>
        <v>Invalid</v>
      </c>
    </row>
    <row r="516" customFormat="false" ht="15" hidden="false" customHeight="true" outlineLevel="0" collapsed="false">
      <c r="A516" s="3" t="s">
        <v>1562</v>
      </c>
      <c r="B516" s="4" t="n">
        <v>45614</v>
      </c>
      <c r="C516" s="4" t="n">
        <v>45618</v>
      </c>
      <c r="D516" s="3" t="s">
        <v>1563</v>
      </c>
      <c r="E516" s="3" t="str">
        <f aca="false">PROPER(TRIM(SUBSTITUTE(Raw_Text_Fields!B517,CHAR(160)," ")))</f>
        <v>Karan Malhotra</v>
      </c>
      <c r="F516" s="3" t="str">
        <f aca="false">PROPER(TRIM(SUBSTITUTE(Raw_Text_Fields!C517,CHAR(160)," ")))</f>
        <v>Home Office</v>
      </c>
      <c r="G516" s="3" t="str">
        <f aca="false">PROPER(TRIM(SUBSTITUTE(Raw_Text_Fields!D517,CHAR(160)," ")))</f>
        <v>South</v>
      </c>
      <c r="H516" s="3" t="str">
        <f aca="false">PROPER(TRIM(SUBSTITUTE(Raw_Text_Fields!E517,CHAR(160)," ")))</f>
        <v>Kerala</v>
      </c>
      <c r="I516" s="3" t="str">
        <f aca="false">PROPER(TRIM(SUBSTITUTE(Raw_Text_Fields!F517,CHAR(160)," ")))</f>
        <v>Kochi</v>
      </c>
      <c r="J516" s="3" t="str">
        <f aca="false">PROPER(TRIM(SUBSTITUTE(Raw_Text_Fields!G517,CHAR(160)," ")))</f>
        <v>Technology</v>
      </c>
      <c r="K516" s="3" t="str">
        <f aca="false">PROPER(TRIM(SUBSTITUTE(Raw_Text_Fields!H517,CHAR(160)," ")))</f>
        <v>Accessories</v>
      </c>
      <c r="L516" s="3" t="s">
        <v>1564</v>
      </c>
      <c r="M516" s="3" t="str">
        <f aca="false">PROPER(TRIM(SUBSTITUTE(Raw_Text_Fields!I517,CHAR(160)," ")))</f>
        <v>Standard Class</v>
      </c>
      <c r="N516" s="3" t="n">
        <v>6</v>
      </c>
      <c r="O516" s="5" t="n">
        <v>3872.94</v>
      </c>
      <c r="P516" s="6" t="n">
        <v>0.1</v>
      </c>
      <c r="Q516" s="5" t="n">
        <v>20913.88</v>
      </c>
      <c r="R516" s="5" t="n">
        <v>11684.68</v>
      </c>
      <c r="S516" s="5" t="n">
        <v>9229.2</v>
      </c>
      <c r="T516" s="3" t="str">
        <f aca="false">PROPER(TRIM(SUBSTITUTE(Raw_Text_Fields!J517,CHAR(160)," ")))</f>
        <v>Paid</v>
      </c>
      <c r="U516" s="3" t="str">
        <f aca="false">PROPER(TRIM(SUBSTITUTE(Raw_Text_Fields!K517,CHAR(160)," ")))</f>
        <v>Completed</v>
      </c>
      <c r="V516" s="7" t="n">
        <f aca="false">IF(OR(P516&lt;0,P516&gt;0.5),0,P516)</f>
        <v>0.1</v>
      </c>
      <c r="W516" s="8" t="n">
        <f aca="false">N516*O516*(1-V516)</f>
        <v>20913.876</v>
      </c>
      <c r="X516" s="8" t="n">
        <f aca="false">W516-R516</f>
        <v>9229.196</v>
      </c>
      <c r="Y516" s="7" t="n">
        <f aca="false">IFERROR(X516/W516,0)</f>
        <v>0.441295339037106</v>
      </c>
      <c r="Z516" s="9" t="n">
        <f aca="false">C516-B516</f>
        <v>4</v>
      </c>
      <c r="AA516" s="1" t="str">
        <f aca="false">IF(B516="","",TEXT(B516,"mmm"))</f>
        <v>Nov</v>
      </c>
      <c r="AB516" s="9" t="n">
        <f aca="false">IF(B516="","",YEAR(B516))</f>
        <v>2024</v>
      </c>
      <c r="AC516" s="3"/>
      <c r="AD516" s="3" t="str">
        <f aca="false">IF(LEFT(AC516&amp;IF(B516="","; Missing Order Date","")&amp;IF(C516="","; Missing Ship Date","")&amp;IF(P516&lt;0,"; Invalid Discount (Negative)","")&amp;IF(P516&gt;0.5,"; Invalid Discount (Too High)","")&amp;IF(Z516&lt;0,"; Invalid Shipping Record (Ship Before Order)","")&amp;IF(ABS(Q516-W516)&gt;1,"; Sales Mismatch","")&amp;IF(ABS(S516-X516)&gt;1,"; Profit Mismatch","")&amp;IF(COUNTIF($A$2:$A$913,A516)&gt;1,"; Duplicate Order ID Conflict",""),2)="; ",MID(AC516&amp;IF(B516="","; Missing Order Date","")&amp;IF(C516="","; Missing Ship Date","")&amp;IF(P516&lt;0,"; Invalid Discount (Negative)","")&amp;IF(P516&gt;0.5,"; Invalid Discount (Too High)","")&amp;IF(Z516&lt;0,"; Invalid Shipping Record (Ship Before Order)","")&amp;IF(ABS(Q516-W516)&gt;1,"; Sales Mismatch","")&amp;IF(ABS(S516-X516)&gt;1,"; Profit Mismatch","")&amp;IF(COUNTIF($A$2:$A$913,A516)&gt;1,"; Duplicate Order ID Conflict",""),3,500),AC516&amp;IF(B516="","; Missing Order Date","")&amp;IF(C516="","; Missing Ship Date","")&amp;IF(P516&lt;0,"; Invalid Discount (Negative)","")&amp;IF(P516&gt;0.5,"; Invalid Discount (Too High)","")&amp;IF(Z516&lt;0,"; Invalid Shipping Record (Ship Before Order)","")&amp;IF(ABS(Q516-W516)&gt;1,"; Sales Mismatch","")&amp;IF(ABS(S516-X516)&gt;1,"; Profit Mismatch","")&amp;IF(COUNTIF($A$2:$A$913,A516)&gt;1,"; Duplicate Order ID Conflict",""))</f>
        <v/>
      </c>
      <c r="AE516" s="10" t="str">
        <f aca="false">IF(OR(ISNUMBER(SEARCH("Invalid Discount",AD516)),ISNUMBER(SEARCH("Invalid Shipping Record",AD516)),ISNUMBER(SEARCH("Sales Mismatch",AD516)),ISNUMBER(SEARCH("Profit Mismatch",AD516)),ISNUMBER(SEARCH("Duplicate Order ID Conflict",AD516)),ISNUMBER(SEARCH("Missing Order Date",AD516)),ISNUMBER(SEARCH("Missing Ship Date",AD516))),"Invalid",IF(AD516&lt;&gt;"","Warning","Clean"))</f>
        <v>Clean</v>
      </c>
    </row>
    <row r="517" customFormat="false" ht="15" hidden="false" customHeight="true" outlineLevel="0" collapsed="false">
      <c r="A517" s="3" t="s">
        <v>1565</v>
      </c>
      <c r="B517" s="4" t="n">
        <v>45758</v>
      </c>
      <c r="C517" s="4" t="n">
        <v>45758</v>
      </c>
      <c r="D517" s="3" t="s">
        <v>1566</v>
      </c>
      <c r="E517" s="3" t="str">
        <f aca="false">PROPER(TRIM(SUBSTITUTE(Raw_Text_Fields!B518,CHAR(160)," ")))</f>
        <v>Rahul Verma</v>
      </c>
      <c r="F517" s="3" t="str">
        <f aca="false">PROPER(TRIM(SUBSTITUTE(Raw_Text_Fields!C518,CHAR(160)," ")))</f>
        <v>Corporate</v>
      </c>
      <c r="G517" s="3" t="str">
        <f aca="false">PROPER(TRIM(SUBSTITUTE(Raw_Text_Fields!D518,CHAR(160)," ")))</f>
        <v>North</v>
      </c>
      <c r="H517" s="3" t="str">
        <f aca="false">PROPER(TRIM(SUBSTITUTE(Raw_Text_Fields!E518,CHAR(160)," ")))</f>
        <v>Delhi</v>
      </c>
      <c r="I517" s="3" t="str">
        <f aca="false">PROPER(TRIM(SUBSTITUTE(Raw_Text_Fields!F518,CHAR(160)," ")))</f>
        <v>New Delhi</v>
      </c>
      <c r="J517" s="3" t="str">
        <f aca="false">PROPER(TRIM(SUBSTITUTE(Raw_Text_Fields!G518,CHAR(160)," ")))</f>
        <v>Office Supplies</v>
      </c>
      <c r="K517" s="3" t="str">
        <f aca="false">PROPER(TRIM(SUBSTITUTE(Raw_Text_Fields!H518,CHAR(160)," ")))</f>
        <v>Paper</v>
      </c>
      <c r="L517" s="3" t="s">
        <v>1567</v>
      </c>
      <c r="M517" s="3" t="str">
        <f aca="false">PROPER(TRIM(SUBSTITUTE(Raw_Text_Fields!I518,CHAR(160)," ")))</f>
        <v>Standard Class</v>
      </c>
      <c r="N517" s="3" t="n">
        <v>1</v>
      </c>
      <c r="O517" s="5" t="n">
        <v>4458.49</v>
      </c>
      <c r="P517" s="6" t="n">
        <v>-0.07</v>
      </c>
      <c r="Q517" s="5" t="n">
        <v>3566.79</v>
      </c>
      <c r="R517" s="5" t="n">
        <v>2083.41</v>
      </c>
      <c r="S517" s="5" t="n">
        <v>1483.38</v>
      </c>
      <c r="T517" s="3" t="str">
        <f aca="false">PROPER(TRIM(SUBSTITUTE(Raw_Text_Fields!J518,CHAR(160)," ")))</f>
        <v>Paid</v>
      </c>
      <c r="U517" s="3" t="str">
        <f aca="false">PROPER(TRIM(SUBSTITUTE(Raw_Text_Fields!K518,CHAR(160)," ")))</f>
        <v>Completed</v>
      </c>
      <c r="V517" s="7" t="n">
        <f aca="false">IF(OR(P517&lt;0,P517&gt;0.5),0,P517)</f>
        <v>0</v>
      </c>
      <c r="W517" s="8" t="n">
        <f aca="false">N517*O517*(1-V517)</f>
        <v>4458.49</v>
      </c>
      <c r="X517" s="8" t="n">
        <f aca="false">W517-R517</f>
        <v>2375.08</v>
      </c>
      <c r="Y517" s="7" t="n">
        <f aca="false">IFERROR(X517/W517,0)</f>
        <v>0.532709504787495</v>
      </c>
      <c r="Z517" s="9" t="n">
        <f aca="false">C517-B517</f>
        <v>0</v>
      </c>
      <c r="AA517" s="1" t="str">
        <f aca="false">IF(B517="","",TEXT(B517,"mmm"))</f>
        <v>Apr</v>
      </c>
      <c r="AB517" s="9" t="n">
        <f aca="false">IF(B517="","",YEAR(B517))</f>
        <v>2025</v>
      </c>
      <c r="AC517" s="3"/>
      <c r="AD517" s="3" t="str">
        <f aca="false">IF(LEFT(AC517&amp;IF(B517="","; Missing Order Date","")&amp;IF(C517="","; Missing Ship Date","")&amp;IF(P517&lt;0,"; Invalid Discount (Negative)","")&amp;IF(P517&gt;0.5,"; Invalid Discount (Too High)","")&amp;IF(Z517&lt;0,"; Invalid Shipping Record (Ship Before Order)","")&amp;IF(ABS(Q517-W517)&gt;1,"; Sales Mismatch","")&amp;IF(ABS(S517-X517)&gt;1,"; Profit Mismatch","")&amp;IF(COUNTIF($A$2:$A$913,A517)&gt;1,"; Duplicate Order ID Conflict",""),2)="; ",MID(AC517&amp;IF(B517="","; Missing Order Date","")&amp;IF(C517="","; Missing Ship Date","")&amp;IF(P517&lt;0,"; Invalid Discount (Negative)","")&amp;IF(P517&gt;0.5,"; Invalid Discount (Too High)","")&amp;IF(Z517&lt;0,"; Invalid Shipping Record (Ship Before Order)","")&amp;IF(ABS(Q517-W517)&gt;1,"; Sales Mismatch","")&amp;IF(ABS(S517-X517)&gt;1,"; Profit Mismatch","")&amp;IF(COUNTIF($A$2:$A$913,A517)&gt;1,"; Duplicate Order ID Conflict",""),3,500),AC517&amp;IF(B517="","; Missing Order Date","")&amp;IF(C517="","; Missing Ship Date","")&amp;IF(P517&lt;0,"; Invalid Discount (Negative)","")&amp;IF(P517&gt;0.5,"; Invalid Discount (Too High)","")&amp;IF(Z517&lt;0,"; Invalid Shipping Record (Ship Before Order)","")&amp;IF(ABS(Q517-W517)&gt;1,"; Sales Mismatch","")&amp;IF(ABS(S517-X517)&gt;1,"; Profit Mismatch","")&amp;IF(COUNTIF($A$2:$A$913,A517)&gt;1,"; Duplicate Order ID Conflict",""))</f>
        <v>Invalid Discount (Negative); Sales Mismatch; Profit Mismatch</v>
      </c>
      <c r="AE517" s="10" t="str">
        <f aca="false">IF(OR(ISNUMBER(SEARCH("Invalid Discount",AD517)),ISNUMBER(SEARCH("Invalid Shipping Record",AD517)),ISNUMBER(SEARCH("Sales Mismatch",AD517)),ISNUMBER(SEARCH("Profit Mismatch",AD517)),ISNUMBER(SEARCH("Duplicate Order ID Conflict",AD517)),ISNUMBER(SEARCH("Missing Order Date",AD517)),ISNUMBER(SEARCH("Missing Ship Date",AD517))),"Invalid",IF(AD517&lt;&gt;"","Warning","Clean"))</f>
        <v>Invalid</v>
      </c>
    </row>
    <row r="518" customFormat="false" ht="15" hidden="false" customHeight="true" outlineLevel="0" collapsed="false">
      <c r="A518" s="3" t="s">
        <v>1568</v>
      </c>
      <c r="B518" s="4" t="n">
        <v>45563</v>
      </c>
      <c r="C518" s="4" t="n">
        <v>45569</v>
      </c>
      <c r="D518" s="3" t="s">
        <v>1569</v>
      </c>
      <c r="E518" s="3" t="str">
        <f aca="false">PROPER(TRIM(SUBSTITUTE(Raw_Text_Fields!B519,CHAR(160)," ")))</f>
        <v>Kabir Singh</v>
      </c>
      <c r="F518" s="3" t="str">
        <f aca="false">PROPER(TRIM(SUBSTITUTE(Raw_Text_Fields!C519,CHAR(160)," ")))</f>
        <v>Home Office</v>
      </c>
      <c r="G518" s="3" t="str">
        <f aca="false">PROPER(TRIM(SUBSTITUTE(Raw_Text_Fields!D519,CHAR(160)," ")))</f>
        <v>North</v>
      </c>
      <c r="H518" s="3" t="str">
        <f aca="false">PROPER(TRIM(SUBSTITUTE(Raw_Text_Fields!E519,CHAR(160)," ")))</f>
        <v>Delhi</v>
      </c>
      <c r="I518" s="3" t="str">
        <f aca="false">PROPER(TRIM(SUBSTITUTE(Raw_Text_Fields!F519,CHAR(160)," ")))</f>
        <v>New Delhi</v>
      </c>
      <c r="J518" s="3" t="str">
        <f aca="false">PROPER(TRIM(SUBSTITUTE(Raw_Text_Fields!G519,CHAR(160)," ")))</f>
        <v>Technology</v>
      </c>
      <c r="K518" s="3" t="str">
        <f aca="false">PROPER(TRIM(SUBSTITUTE(Raw_Text_Fields!H519,CHAR(160)," ")))</f>
        <v>Copiers</v>
      </c>
      <c r="L518" s="3" t="s">
        <v>1570</v>
      </c>
      <c r="M518" s="3" t="str">
        <f aca="false">PROPER(TRIM(SUBSTITUTE(Raw_Text_Fields!I519,CHAR(160)," ")))</f>
        <v>Standard Class</v>
      </c>
      <c r="N518" s="3" t="n">
        <v>1</v>
      </c>
      <c r="O518" s="5" t="n">
        <v>2233.18</v>
      </c>
      <c r="P518" s="6" t="n">
        <v>0</v>
      </c>
      <c r="Q518" s="5" t="n">
        <v>2233.18</v>
      </c>
      <c r="R518" s="5" t="n">
        <v>1585.82</v>
      </c>
      <c r="S518" s="5" t="n">
        <v>647.36</v>
      </c>
      <c r="T518" s="3" t="str">
        <f aca="false">PROPER(TRIM(SUBSTITUTE(Raw_Text_Fields!J519,CHAR(160)," ")))</f>
        <v>Failed</v>
      </c>
      <c r="U518" s="3" t="str">
        <f aca="false">PROPER(TRIM(SUBSTITUTE(Raw_Text_Fields!K519,CHAR(160)," ")))</f>
        <v>Returned</v>
      </c>
      <c r="V518" s="7" t="n">
        <f aca="false">IF(OR(P518&lt;0,P518&gt;0.5),0,P518)</f>
        <v>0</v>
      </c>
      <c r="W518" s="8" t="n">
        <f aca="false">N518*O518*(1-V518)</f>
        <v>2233.18</v>
      </c>
      <c r="X518" s="8" t="n">
        <f aca="false">W518-R518</f>
        <v>647.36</v>
      </c>
      <c r="Y518" s="7" t="n">
        <f aca="false">IFERROR(X518/W518,0)</f>
        <v>0.289882588953868</v>
      </c>
      <c r="Z518" s="9" t="n">
        <f aca="false">C518-B518</f>
        <v>6</v>
      </c>
      <c r="AA518" s="1" t="str">
        <f aca="false">IF(B518="","",TEXT(B518,"mmm"))</f>
        <v>Sep</v>
      </c>
      <c r="AB518" s="9" t="n">
        <f aca="false">IF(B518="","",YEAR(B518))</f>
        <v>2024</v>
      </c>
      <c r="AC518" s="3"/>
      <c r="AD518" s="3" t="str">
        <f aca="false">IF(LEFT(AC518&amp;IF(B518="","; Missing Order Date","")&amp;IF(C518="","; Missing Ship Date","")&amp;IF(P518&lt;0,"; Invalid Discount (Negative)","")&amp;IF(P518&gt;0.5,"; Invalid Discount (Too High)","")&amp;IF(Z518&lt;0,"; Invalid Shipping Record (Ship Before Order)","")&amp;IF(ABS(Q518-W518)&gt;1,"; Sales Mismatch","")&amp;IF(ABS(S518-X518)&gt;1,"; Profit Mismatch","")&amp;IF(COUNTIF($A$2:$A$913,A518)&gt;1,"; Duplicate Order ID Conflict",""),2)="; ",MID(AC518&amp;IF(B518="","; Missing Order Date","")&amp;IF(C518="","; Missing Ship Date","")&amp;IF(P518&lt;0,"; Invalid Discount (Negative)","")&amp;IF(P518&gt;0.5,"; Invalid Discount (Too High)","")&amp;IF(Z518&lt;0,"; Invalid Shipping Record (Ship Before Order)","")&amp;IF(ABS(Q518-W518)&gt;1,"; Sales Mismatch","")&amp;IF(ABS(S518-X518)&gt;1,"; Profit Mismatch","")&amp;IF(COUNTIF($A$2:$A$913,A518)&gt;1,"; Duplicate Order ID Conflict",""),3,500),AC518&amp;IF(B518="","; Missing Order Date","")&amp;IF(C518="","; Missing Ship Date","")&amp;IF(P518&lt;0,"; Invalid Discount (Negative)","")&amp;IF(P518&gt;0.5,"; Invalid Discount (Too High)","")&amp;IF(Z518&lt;0,"; Invalid Shipping Record (Ship Before Order)","")&amp;IF(ABS(Q518-W518)&gt;1,"; Sales Mismatch","")&amp;IF(ABS(S518-X518)&gt;1,"; Profit Mismatch","")&amp;IF(COUNTIF($A$2:$A$913,A518)&gt;1,"; Duplicate Order ID Conflict",""))</f>
        <v/>
      </c>
      <c r="AE518" s="10" t="str">
        <f aca="false">IF(OR(ISNUMBER(SEARCH("Invalid Discount",AD518)),ISNUMBER(SEARCH("Invalid Shipping Record",AD518)),ISNUMBER(SEARCH("Sales Mismatch",AD518)),ISNUMBER(SEARCH("Profit Mismatch",AD518)),ISNUMBER(SEARCH("Duplicate Order ID Conflict",AD518)),ISNUMBER(SEARCH("Missing Order Date",AD518)),ISNUMBER(SEARCH("Missing Ship Date",AD518))),"Invalid",IF(AD518&lt;&gt;"","Warning","Clean"))</f>
        <v>Clean</v>
      </c>
    </row>
    <row r="519" customFormat="false" ht="15" hidden="false" customHeight="true" outlineLevel="0" collapsed="false">
      <c r="A519" s="3" t="s">
        <v>1571</v>
      </c>
      <c r="B519" s="4" t="n">
        <v>45802</v>
      </c>
      <c r="C519" s="4" t="n">
        <v>45804</v>
      </c>
      <c r="D519" s="3" t="s">
        <v>1572</v>
      </c>
      <c r="E519" s="3" t="str">
        <f aca="false">PROPER(TRIM(SUBSTITUTE(Raw_Text_Fields!B520,CHAR(160)," ")))</f>
        <v>Rahul Verma</v>
      </c>
      <c r="F519" s="3" t="str">
        <f aca="false">PROPER(TRIM(SUBSTITUTE(Raw_Text_Fields!C520,CHAR(160)," ")))</f>
        <v>Consumer</v>
      </c>
      <c r="G519" s="3" t="str">
        <f aca="false">PROPER(TRIM(SUBSTITUTE(Raw_Text_Fields!D520,CHAR(160)," ")))</f>
        <v>East</v>
      </c>
      <c r="H519" s="3" t="str">
        <f aca="false">PROPER(TRIM(SUBSTITUTE(Raw_Text_Fields!E520,CHAR(160)," ")))</f>
        <v>Odisha</v>
      </c>
      <c r="I519" s="3" t="str">
        <f aca="false">PROPER(TRIM(SUBSTITUTE(Raw_Text_Fields!F520,CHAR(160)," ")))</f>
        <v>Bhubaneswar</v>
      </c>
      <c r="J519" s="3" t="str">
        <f aca="false">PROPER(TRIM(SUBSTITUTE(Raw_Text_Fields!G520,CHAR(160)," ")))</f>
        <v>Furniture</v>
      </c>
      <c r="K519" s="3" t="str">
        <f aca="false">PROPER(TRIM(SUBSTITUTE(Raw_Text_Fields!H520,CHAR(160)," ")))</f>
        <v>Furnishings</v>
      </c>
      <c r="L519" s="3" t="s">
        <v>1573</v>
      </c>
      <c r="M519" s="3" t="str">
        <f aca="false">PROPER(TRIM(SUBSTITUTE(Raw_Text_Fields!I520,CHAR(160)," ")))</f>
        <v>Second Class</v>
      </c>
      <c r="N519" s="3" t="n">
        <v>7</v>
      </c>
      <c r="O519" s="5" t="n">
        <v>2123.28</v>
      </c>
      <c r="P519" s="6" t="n">
        <v>0.2</v>
      </c>
      <c r="Q519" s="5" t="n">
        <v>11890.37</v>
      </c>
      <c r="R519" s="5" t="n">
        <v>9234.53</v>
      </c>
      <c r="S519" s="5" t="n">
        <v>2655.84</v>
      </c>
      <c r="T519" s="3" t="str">
        <f aca="false">PROPER(TRIM(SUBSTITUTE(Raw_Text_Fields!J520,CHAR(160)," ")))</f>
        <v>Refunded</v>
      </c>
      <c r="U519" s="3" t="str">
        <f aca="false">PROPER(TRIM(SUBSTITUTE(Raw_Text_Fields!K520,CHAR(160)," ")))</f>
        <v>Returned</v>
      </c>
      <c r="V519" s="7" t="n">
        <f aca="false">IF(OR(P519&lt;0,P519&gt;0.5),0,P519)</f>
        <v>0.2</v>
      </c>
      <c r="W519" s="8" t="n">
        <f aca="false">N519*O519*(1-V519)</f>
        <v>11890.368</v>
      </c>
      <c r="X519" s="8" t="n">
        <f aca="false">W519-R519</f>
        <v>2655.838</v>
      </c>
      <c r="Y519" s="7" t="n">
        <f aca="false">IFERROR(X519/W519,0)</f>
        <v>0.223360454445144</v>
      </c>
      <c r="Z519" s="9" t="n">
        <f aca="false">C519-B519</f>
        <v>2</v>
      </c>
      <c r="AA519" s="1" t="str">
        <f aca="false">IF(B519="","",TEXT(B519,"mmm"))</f>
        <v>May</v>
      </c>
      <c r="AB519" s="9" t="n">
        <f aca="false">IF(B519="","",YEAR(B519))</f>
        <v>2025</v>
      </c>
      <c r="AC519" s="3"/>
      <c r="AD519" s="3" t="str">
        <f aca="false">IF(LEFT(AC519&amp;IF(B519="","; Missing Order Date","")&amp;IF(C519="","; Missing Ship Date","")&amp;IF(P519&lt;0,"; Invalid Discount (Negative)","")&amp;IF(P519&gt;0.5,"; Invalid Discount (Too High)","")&amp;IF(Z519&lt;0,"; Invalid Shipping Record (Ship Before Order)","")&amp;IF(ABS(Q519-W519)&gt;1,"; Sales Mismatch","")&amp;IF(ABS(S519-X519)&gt;1,"; Profit Mismatch","")&amp;IF(COUNTIF($A$2:$A$913,A519)&gt;1,"; Duplicate Order ID Conflict",""),2)="; ",MID(AC519&amp;IF(B519="","; Missing Order Date","")&amp;IF(C519="","; Missing Ship Date","")&amp;IF(P519&lt;0,"; Invalid Discount (Negative)","")&amp;IF(P519&gt;0.5,"; Invalid Discount (Too High)","")&amp;IF(Z519&lt;0,"; Invalid Shipping Record (Ship Before Order)","")&amp;IF(ABS(Q519-W519)&gt;1,"; Sales Mismatch","")&amp;IF(ABS(S519-X519)&gt;1,"; Profit Mismatch","")&amp;IF(COUNTIF($A$2:$A$913,A519)&gt;1,"; Duplicate Order ID Conflict",""),3,500),AC519&amp;IF(B519="","; Missing Order Date","")&amp;IF(C519="","; Missing Ship Date","")&amp;IF(P519&lt;0,"; Invalid Discount (Negative)","")&amp;IF(P519&gt;0.5,"; Invalid Discount (Too High)","")&amp;IF(Z519&lt;0,"; Invalid Shipping Record (Ship Before Order)","")&amp;IF(ABS(Q519-W519)&gt;1,"; Sales Mismatch","")&amp;IF(ABS(S519-X519)&gt;1,"; Profit Mismatch","")&amp;IF(COUNTIF($A$2:$A$913,A519)&gt;1,"; Duplicate Order ID Conflict",""))</f>
        <v/>
      </c>
      <c r="AE519" s="10" t="str">
        <f aca="false">IF(OR(ISNUMBER(SEARCH("Invalid Discount",AD519)),ISNUMBER(SEARCH("Invalid Shipping Record",AD519)),ISNUMBER(SEARCH("Sales Mismatch",AD519)),ISNUMBER(SEARCH("Profit Mismatch",AD519)),ISNUMBER(SEARCH("Duplicate Order ID Conflict",AD519)),ISNUMBER(SEARCH("Missing Order Date",AD519)),ISNUMBER(SEARCH("Missing Ship Date",AD519))),"Invalid",IF(AD519&lt;&gt;"","Warning","Clean"))</f>
        <v>Clean</v>
      </c>
    </row>
    <row r="520" customFormat="false" ht="15" hidden="false" customHeight="true" outlineLevel="0" collapsed="false">
      <c r="A520" s="3" t="s">
        <v>1574</v>
      </c>
      <c r="B520" s="4" t="n">
        <v>45777</v>
      </c>
      <c r="C520" s="4" t="n">
        <v>45773</v>
      </c>
      <c r="D520" s="3" t="s">
        <v>1575</v>
      </c>
      <c r="E520" s="3" t="str">
        <f aca="false">PROPER(TRIM(SUBSTITUTE(Raw_Text_Fields!B521,CHAR(160)," ")))</f>
        <v>Diya Patel</v>
      </c>
      <c r="F520" s="3" t="str">
        <f aca="false">PROPER(TRIM(SUBSTITUTE(Raw_Text_Fields!C521,CHAR(160)," ")))</f>
        <v>Corporate</v>
      </c>
      <c r="G520" s="3" t="str">
        <f aca="false">PROPER(TRIM(SUBSTITUTE(Raw_Text_Fields!D521,CHAR(160)," ")))</f>
        <v>East</v>
      </c>
      <c r="H520" s="3" t="str">
        <f aca="false">PROPER(TRIM(SUBSTITUTE(Raw_Text_Fields!E521,CHAR(160)," ")))</f>
        <v>Odisha</v>
      </c>
      <c r="I520" s="3" t="str">
        <f aca="false">PROPER(TRIM(SUBSTITUTE(Raw_Text_Fields!F521,CHAR(160)," ")))</f>
        <v>Bhubaneswar</v>
      </c>
      <c r="J520" s="3" t="str">
        <f aca="false">PROPER(TRIM(SUBSTITUTE(Raw_Text_Fields!G521,CHAR(160)," ")))</f>
        <v>Furniture</v>
      </c>
      <c r="K520" s="3" t="str">
        <f aca="false">PROPER(TRIM(SUBSTITUTE(Raw_Text_Fields!H521,CHAR(160)," ")))</f>
        <v>Tables</v>
      </c>
      <c r="L520" s="3" t="s">
        <v>1576</v>
      </c>
      <c r="M520" s="3" t="str">
        <f aca="false">PROPER(TRIM(SUBSTITUTE(Raw_Text_Fields!I521,CHAR(160)," ")))</f>
        <v>First Class</v>
      </c>
      <c r="N520" s="3" t="n">
        <v>7</v>
      </c>
      <c r="O520" s="5" t="n">
        <v>1604.13</v>
      </c>
      <c r="P520" s="6" t="n">
        <v>0.25</v>
      </c>
      <c r="Q520" s="5" t="n">
        <v>8421.68</v>
      </c>
      <c r="R520" s="5" t="n">
        <v>6534.47</v>
      </c>
      <c r="S520" s="5" t="n">
        <v>1887.21</v>
      </c>
      <c r="T520" s="3" t="str">
        <f aca="false">PROPER(TRIM(SUBSTITUTE(Raw_Text_Fields!J521,CHAR(160)," ")))</f>
        <v>Paid</v>
      </c>
      <c r="U520" s="3" t="str">
        <f aca="false">PROPER(TRIM(SUBSTITUTE(Raw_Text_Fields!K521,CHAR(160)," ")))</f>
        <v>Cancelled</v>
      </c>
      <c r="V520" s="7" t="n">
        <f aca="false">IF(OR(P520&lt;0,P520&gt;0.5),0,P520)</f>
        <v>0.25</v>
      </c>
      <c r="W520" s="8" t="n">
        <f aca="false">N520*O520*(1-V520)</f>
        <v>8421.6825</v>
      </c>
      <c r="X520" s="8" t="n">
        <f aca="false">W520-R520</f>
        <v>1887.2125</v>
      </c>
      <c r="Y520" s="7" t="n">
        <f aca="false">IFERROR(X520/W520,0)</f>
        <v>0.224089723163988</v>
      </c>
      <c r="Z520" s="9" t="n">
        <f aca="false">C520-B520</f>
        <v>-4</v>
      </c>
      <c r="AA520" s="1" t="str">
        <f aca="false">IF(B520="","",TEXT(B520,"mmm"))</f>
        <v>Apr</v>
      </c>
      <c r="AB520" s="9" t="n">
        <f aca="false">IF(B520="","",YEAR(B520))</f>
        <v>2025</v>
      </c>
      <c r="AC520" s="3"/>
      <c r="AD520" s="3" t="str">
        <f aca="false">IF(LEFT(AC520&amp;IF(B520="","; Missing Order Date","")&amp;IF(C520="","; Missing Ship Date","")&amp;IF(P520&lt;0,"; Invalid Discount (Negative)","")&amp;IF(P520&gt;0.5,"; Invalid Discount (Too High)","")&amp;IF(Z520&lt;0,"; Invalid Shipping Record (Ship Before Order)","")&amp;IF(ABS(Q520-W520)&gt;1,"; Sales Mismatch","")&amp;IF(ABS(S520-X520)&gt;1,"; Profit Mismatch","")&amp;IF(COUNTIF($A$2:$A$913,A520)&gt;1,"; Duplicate Order ID Conflict",""),2)="; ",MID(AC520&amp;IF(B520="","; Missing Order Date","")&amp;IF(C520="","; Missing Ship Date","")&amp;IF(P520&lt;0,"; Invalid Discount (Negative)","")&amp;IF(P520&gt;0.5,"; Invalid Discount (Too High)","")&amp;IF(Z520&lt;0,"; Invalid Shipping Record (Ship Before Order)","")&amp;IF(ABS(Q520-W520)&gt;1,"; Sales Mismatch","")&amp;IF(ABS(S520-X520)&gt;1,"; Profit Mismatch","")&amp;IF(COUNTIF($A$2:$A$913,A520)&gt;1,"; Duplicate Order ID Conflict",""),3,500),AC520&amp;IF(B520="","; Missing Order Date","")&amp;IF(C520="","; Missing Ship Date","")&amp;IF(P520&lt;0,"; Invalid Discount (Negative)","")&amp;IF(P520&gt;0.5,"; Invalid Discount (Too High)","")&amp;IF(Z520&lt;0,"; Invalid Shipping Record (Ship Before Order)","")&amp;IF(ABS(Q520-W520)&gt;1,"; Sales Mismatch","")&amp;IF(ABS(S520-X520)&gt;1,"; Profit Mismatch","")&amp;IF(COUNTIF($A$2:$A$913,A520)&gt;1,"; Duplicate Order ID Conflict",""))</f>
        <v>Invalid Shipping Record (Ship Before Order)</v>
      </c>
      <c r="AE520" s="10" t="str">
        <f aca="false">IF(OR(ISNUMBER(SEARCH("Invalid Discount",AD520)),ISNUMBER(SEARCH("Invalid Shipping Record",AD520)),ISNUMBER(SEARCH("Sales Mismatch",AD520)),ISNUMBER(SEARCH("Profit Mismatch",AD520)),ISNUMBER(SEARCH("Duplicate Order ID Conflict",AD520)),ISNUMBER(SEARCH("Missing Order Date",AD520)),ISNUMBER(SEARCH("Missing Ship Date",AD520))),"Invalid",IF(AD520&lt;&gt;"","Warning","Clean"))</f>
        <v>Invalid</v>
      </c>
    </row>
    <row r="521" customFormat="false" ht="15" hidden="false" customHeight="true" outlineLevel="0" collapsed="false">
      <c r="A521" s="3" t="s">
        <v>1577</v>
      </c>
      <c r="B521" s="4" t="n">
        <v>45841</v>
      </c>
      <c r="C521" s="4" t="n">
        <v>45845</v>
      </c>
      <c r="D521" s="3" t="s">
        <v>1578</v>
      </c>
      <c r="E521" s="3" t="str">
        <f aca="false">PROPER(TRIM(SUBSTITUTE(Raw_Text_Fields!B522,CHAR(160)," ")))</f>
        <v>Priya Menon</v>
      </c>
      <c r="F521" s="3" t="str">
        <f aca="false">PROPER(TRIM(SUBSTITUTE(Raw_Text_Fields!C522,CHAR(160)," ")))</f>
        <v>Consumer</v>
      </c>
      <c r="G521" s="3" t="str">
        <f aca="false">PROPER(TRIM(SUBSTITUTE(Raw_Text_Fields!D522,CHAR(160)," ")))</f>
        <v>North</v>
      </c>
      <c r="H521" s="3" t="str">
        <f aca="false">PROPER(TRIM(SUBSTITUTE(Raw_Text_Fields!E522,CHAR(160)," ")))</f>
        <v>Uttar Pradesh</v>
      </c>
      <c r="I521" s="3" t="str">
        <f aca="false">PROPER(TRIM(SUBSTITUTE(Raw_Text_Fields!F522,CHAR(160)," ")))</f>
        <v>Noida</v>
      </c>
      <c r="J521" s="3" t="str">
        <f aca="false">PROPER(TRIM(SUBSTITUTE(Raw_Text_Fields!G522,CHAR(160)," ")))</f>
        <v>Furniture</v>
      </c>
      <c r="K521" s="3" t="str">
        <f aca="false">PROPER(TRIM(SUBSTITUTE(Raw_Text_Fields!H522,CHAR(160)," ")))</f>
        <v>Tables</v>
      </c>
      <c r="L521" s="3" t="s">
        <v>1579</v>
      </c>
      <c r="M521" s="3" t="str">
        <f aca="false">PROPER(TRIM(SUBSTITUTE(Raw_Text_Fields!I522,CHAR(160)," ")))</f>
        <v>Standard Class</v>
      </c>
      <c r="N521" s="3" t="n">
        <v>4</v>
      </c>
      <c r="O521" s="5" t="n">
        <v>4365.21</v>
      </c>
      <c r="P521" s="6" t="n">
        <v>0.2</v>
      </c>
      <c r="Q521" s="5" t="n">
        <v>13968.67</v>
      </c>
      <c r="R521" s="5" t="n">
        <v>8857.58</v>
      </c>
      <c r="S521" s="5" t="n">
        <v>5111.09</v>
      </c>
      <c r="T521" s="3" t="str">
        <f aca="false">PROPER(TRIM(SUBSTITUTE(Raw_Text_Fields!J522,CHAR(160)," ")))</f>
        <v>Pending</v>
      </c>
      <c r="U521" s="3" t="str">
        <f aca="false">PROPER(TRIM(SUBSTITUTE(Raw_Text_Fields!K522,CHAR(160)," ")))</f>
        <v>Cancelled</v>
      </c>
      <c r="V521" s="7" t="n">
        <f aca="false">IF(OR(P521&lt;0,P521&gt;0.5),0,P521)</f>
        <v>0.2</v>
      </c>
      <c r="W521" s="8" t="n">
        <f aca="false">N521*O521*(1-V521)</f>
        <v>13968.672</v>
      </c>
      <c r="X521" s="8" t="n">
        <f aca="false">W521-R521</f>
        <v>5111.092</v>
      </c>
      <c r="Y521" s="7" t="n">
        <f aca="false">IFERROR(X521/W521,0)</f>
        <v>0.365896772434774</v>
      </c>
      <c r="Z521" s="9" t="n">
        <f aca="false">C521-B521</f>
        <v>4</v>
      </c>
      <c r="AA521" s="1" t="str">
        <f aca="false">IF(B521="","",TEXT(B521,"mmm"))</f>
        <v>Jul</v>
      </c>
      <c r="AB521" s="9" t="n">
        <f aca="false">IF(B521="","",YEAR(B521))</f>
        <v>2025</v>
      </c>
      <c r="AC521" s="3"/>
      <c r="AD521" s="3" t="str">
        <f aca="false">IF(LEFT(AC521&amp;IF(B521="","; Missing Order Date","")&amp;IF(C521="","; Missing Ship Date","")&amp;IF(P521&lt;0,"; Invalid Discount (Negative)","")&amp;IF(P521&gt;0.5,"; Invalid Discount (Too High)","")&amp;IF(Z521&lt;0,"; Invalid Shipping Record (Ship Before Order)","")&amp;IF(ABS(Q521-W521)&gt;1,"; Sales Mismatch","")&amp;IF(ABS(S521-X521)&gt;1,"; Profit Mismatch","")&amp;IF(COUNTIF($A$2:$A$913,A521)&gt;1,"; Duplicate Order ID Conflict",""),2)="; ",MID(AC521&amp;IF(B521="","; Missing Order Date","")&amp;IF(C521="","; Missing Ship Date","")&amp;IF(P521&lt;0,"; Invalid Discount (Negative)","")&amp;IF(P521&gt;0.5,"; Invalid Discount (Too High)","")&amp;IF(Z521&lt;0,"; Invalid Shipping Record (Ship Before Order)","")&amp;IF(ABS(Q521-W521)&gt;1,"; Sales Mismatch","")&amp;IF(ABS(S521-X521)&gt;1,"; Profit Mismatch","")&amp;IF(COUNTIF($A$2:$A$913,A521)&gt;1,"; Duplicate Order ID Conflict",""),3,500),AC521&amp;IF(B521="","; Missing Order Date","")&amp;IF(C521="","; Missing Ship Date","")&amp;IF(P521&lt;0,"; Invalid Discount (Negative)","")&amp;IF(P521&gt;0.5,"; Invalid Discount (Too High)","")&amp;IF(Z521&lt;0,"; Invalid Shipping Record (Ship Before Order)","")&amp;IF(ABS(Q521-W521)&gt;1,"; Sales Mismatch","")&amp;IF(ABS(S521-X521)&gt;1,"; Profit Mismatch","")&amp;IF(COUNTIF($A$2:$A$913,A521)&gt;1,"; Duplicate Order ID Conflict",""))</f>
        <v/>
      </c>
      <c r="AE521" s="10" t="str">
        <f aca="false">IF(OR(ISNUMBER(SEARCH("Invalid Discount",AD521)),ISNUMBER(SEARCH("Invalid Shipping Record",AD521)),ISNUMBER(SEARCH("Sales Mismatch",AD521)),ISNUMBER(SEARCH("Profit Mismatch",AD521)),ISNUMBER(SEARCH("Duplicate Order ID Conflict",AD521)),ISNUMBER(SEARCH("Missing Order Date",AD521)),ISNUMBER(SEARCH("Missing Ship Date",AD521))),"Invalid",IF(AD521&lt;&gt;"","Warning","Clean"))</f>
        <v>Clean</v>
      </c>
    </row>
    <row r="522" customFormat="false" ht="15" hidden="false" customHeight="true" outlineLevel="0" collapsed="false">
      <c r="A522" s="3" t="s">
        <v>1580</v>
      </c>
      <c r="B522" s="4" t="n">
        <v>45489</v>
      </c>
      <c r="C522" s="4" t="n">
        <v>45496</v>
      </c>
      <c r="D522" s="3" t="s">
        <v>1581</v>
      </c>
      <c r="E522" s="3" t="str">
        <f aca="false">PROPER(TRIM(SUBSTITUTE(Raw_Text_Fields!B523,CHAR(160)," ")))</f>
        <v>Aarav Sharma</v>
      </c>
      <c r="F522" s="3" t="str">
        <f aca="false">PROPER(TRIM(SUBSTITUTE(Raw_Text_Fields!C523,CHAR(160)," ")))</f>
        <v>Home Office</v>
      </c>
      <c r="G522" s="3" t="str">
        <f aca="false">PROPER(TRIM(SUBSTITUTE(Raw_Text_Fields!D523,CHAR(160)," ")))</f>
        <v>South</v>
      </c>
      <c r="H522" s="3" t="str">
        <f aca="false">PROPER(TRIM(SUBSTITUTE(Raw_Text_Fields!E523,CHAR(160)," ")))</f>
        <v>Karnataka</v>
      </c>
      <c r="I522" s="3" t="str">
        <f aca="false">PROPER(TRIM(SUBSTITUTE(Raw_Text_Fields!F523,CHAR(160)," ")))</f>
        <v>Bengaluru</v>
      </c>
      <c r="J522" s="3" t="str">
        <f aca="false">PROPER(TRIM(SUBSTITUTE(Raw_Text_Fields!G523,CHAR(160)," ")))</f>
        <v>Technology</v>
      </c>
      <c r="K522" s="3" t="str">
        <f aca="false">PROPER(TRIM(SUBSTITUTE(Raw_Text_Fields!H523,CHAR(160)," ")))</f>
        <v>Machines</v>
      </c>
      <c r="L522" s="3" t="s">
        <v>1582</v>
      </c>
      <c r="M522" s="3" t="str">
        <f aca="false">PROPER(TRIM(SUBSTITUTE(Raw_Text_Fields!I523,CHAR(160)," ")))</f>
        <v>Same Day</v>
      </c>
      <c r="N522" s="3" t="n">
        <v>1</v>
      </c>
      <c r="O522" s="5" t="n">
        <v>1695.91</v>
      </c>
      <c r="P522" s="6" t="n">
        <v>0.05</v>
      </c>
      <c r="Q522" s="5" t="n">
        <v>1611.11</v>
      </c>
      <c r="R522" s="5" t="n">
        <v>895.15</v>
      </c>
      <c r="S522" s="5" t="n">
        <v>715.96</v>
      </c>
      <c r="T522" s="3" t="str">
        <f aca="false">PROPER(TRIM(SUBSTITUTE(Raw_Text_Fields!J523,CHAR(160)," ")))</f>
        <v>Paid</v>
      </c>
      <c r="U522" s="3" t="str">
        <f aca="false">PROPER(TRIM(SUBSTITUTE(Raw_Text_Fields!K523,CHAR(160)," ")))</f>
        <v>Completed</v>
      </c>
      <c r="V522" s="7" t="n">
        <f aca="false">IF(OR(P522&lt;0,P522&gt;0.5),0,P522)</f>
        <v>0.05</v>
      </c>
      <c r="W522" s="8" t="n">
        <f aca="false">N522*O522*(1-V522)</f>
        <v>1611.1145</v>
      </c>
      <c r="X522" s="8" t="n">
        <f aca="false">W522-R522</f>
        <v>715.9645</v>
      </c>
      <c r="Y522" s="7" t="n">
        <f aca="false">IFERROR(X522/W522,0)</f>
        <v>0.444390823867577</v>
      </c>
      <c r="Z522" s="9" t="n">
        <f aca="false">C522-B522</f>
        <v>7</v>
      </c>
      <c r="AA522" s="1" t="str">
        <f aca="false">IF(B522="","",TEXT(B522,"mmm"))</f>
        <v>Jul</v>
      </c>
      <c r="AB522" s="9" t="n">
        <f aca="false">IF(B522="","",YEAR(B522))</f>
        <v>2024</v>
      </c>
      <c r="AC522" s="3"/>
      <c r="AD522" s="3" t="str">
        <f aca="false">IF(LEFT(AC522&amp;IF(B522="","; Missing Order Date","")&amp;IF(C522="","; Missing Ship Date","")&amp;IF(P522&lt;0,"; Invalid Discount (Negative)","")&amp;IF(P522&gt;0.5,"; Invalid Discount (Too High)","")&amp;IF(Z522&lt;0,"; Invalid Shipping Record (Ship Before Order)","")&amp;IF(ABS(Q522-W522)&gt;1,"; Sales Mismatch","")&amp;IF(ABS(S522-X522)&gt;1,"; Profit Mismatch","")&amp;IF(COUNTIF($A$2:$A$913,A522)&gt;1,"; Duplicate Order ID Conflict",""),2)="; ",MID(AC522&amp;IF(B522="","; Missing Order Date","")&amp;IF(C522="","; Missing Ship Date","")&amp;IF(P522&lt;0,"; Invalid Discount (Negative)","")&amp;IF(P522&gt;0.5,"; Invalid Discount (Too High)","")&amp;IF(Z522&lt;0,"; Invalid Shipping Record (Ship Before Order)","")&amp;IF(ABS(Q522-W522)&gt;1,"; Sales Mismatch","")&amp;IF(ABS(S522-X522)&gt;1,"; Profit Mismatch","")&amp;IF(COUNTIF($A$2:$A$913,A522)&gt;1,"; Duplicate Order ID Conflict",""),3,500),AC522&amp;IF(B522="","; Missing Order Date","")&amp;IF(C522="","; Missing Ship Date","")&amp;IF(P522&lt;0,"; Invalid Discount (Negative)","")&amp;IF(P522&gt;0.5,"; Invalid Discount (Too High)","")&amp;IF(Z522&lt;0,"; Invalid Shipping Record (Ship Before Order)","")&amp;IF(ABS(Q522-W522)&gt;1,"; Sales Mismatch","")&amp;IF(ABS(S522-X522)&gt;1,"; Profit Mismatch","")&amp;IF(COUNTIF($A$2:$A$913,A522)&gt;1,"; Duplicate Order ID Conflict",""))</f>
        <v/>
      </c>
      <c r="AE522" s="10" t="str">
        <f aca="false">IF(OR(ISNUMBER(SEARCH("Invalid Discount",AD522)),ISNUMBER(SEARCH("Invalid Shipping Record",AD522)),ISNUMBER(SEARCH("Sales Mismatch",AD522)),ISNUMBER(SEARCH("Profit Mismatch",AD522)),ISNUMBER(SEARCH("Duplicate Order ID Conflict",AD522)),ISNUMBER(SEARCH("Missing Order Date",AD522)),ISNUMBER(SEARCH("Missing Ship Date",AD522))),"Invalid",IF(AD522&lt;&gt;"","Warning","Clean"))</f>
        <v>Clean</v>
      </c>
    </row>
    <row r="523" customFormat="false" ht="15" hidden="false" customHeight="true" outlineLevel="0" collapsed="false">
      <c r="A523" s="3" t="s">
        <v>1583</v>
      </c>
      <c r="B523" s="4" t="n">
        <v>45741</v>
      </c>
      <c r="C523" s="4" t="n">
        <v>45748</v>
      </c>
      <c r="D523" s="3" t="s">
        <v>1584</v>
      </c>
      <c r="E523" s="3" t="str">
        <f aca="false">PROPER(TRIM(SUBSTITUTE(Raw_Text_Fields!B524,CHAR(160)," ")))</f>
        <v>Diya Patel</v>
      </c>
      <c r="F523" s="3" t="str">
        <f aca="false">PROPER(TRIM(SUBSTITUTE(Raw_Text_Fields!C524,CHAR(160)," ")))</f>
        <v>Consumer</v>
      </c>
      <c r="G523" s="3" t="str">
        <f aca="false">PROPER(TRIM(SUBSTITUTE(Raw_Text_Fields!D524,CHAR(160)," ")))</f>
        <v>North</v>
      </c>
      <c r="H523" s="3" t="str">
        <f aca="false">PROPER(TRIM(SUBSTITUTE(Raw_Text_Fields!E524,CHAR(160)," ")))</f>
        <v>Punjab</v>
      </c>
      <c r="I523" s="3" t="str">
        <f aca="false">PROPER(TRIM(SUBSTITUTE(Raw_Text_Fields!F524,CHAR(160)," ")))</f>
        <v>Ludhiana</v>
      </c>
      <c r="J523" s="3" t="str">
        <f aca="false">PROPER(TRIM(SUBSTITUTE(Raw_Text_Fields!G524,CHAR(160)," ")))</f>
        <v>Office Supplies</v>
      </c>
      <c r="K523" s="3" t="str">
        <f aca="false">PROPER(TRIM(SUBSTITUTE(Raw_Text_Fields!H524,CHAR(160)," ")))</f>
        <v>Labels</v>
      </c>
      <c r="L523" s="3" t="s">
        <v>1585</v>
      </c>
      <c r="M523" s="3" t="str">
        <f aca="false">PROPER(TRIM(SUBSTITUTE(Raw_Text_Fields!I524,CHAR(160)," ")))</f>
        <v>Second Class</v>
      </c>
      <c r="N523" s="3" t="n">
        <v>6</v>
      </c>
      <c r="O523" s="5" t="n">
        <v>2192.11</v>
      </c>
      <c r="P523" s="6" t="n">
        <v>0.05</v>
      </c>
      <c r="Q523" s="5" t="n">
        <v>12495.03</v>
      </c>
      <c r="R523" s="5" t="n">
        <v>9184.52</v>
      </c>
      <c r="S523" s="5" t="n">
        <v>3310.51</v>
      </c>
      <c r="T523" s="3" t="str">
        <f aca="false">PROPER(TRIM(SUBSTITUTE(Raw_Text_Fields!J524,CHAR(160)," ")))</f>
        <v>Paid</v>
      </c>
      <c r="U523" s="3" t="str">
        <f aca="false">PROPER(TRIM(SUBSTITUTE(Raw_Text_Fields!K524,CHAR(160)," ")))</f>
        <v>Completed</v>
      </c>
      <c r="V523" s="7" t="n">
        <f aca="false">IF(OR(P523&lt;0,P523&gt;0.5),0,P523)</f>
        <v>0.05</v>
      </c>
      <c r="W523" s="8" t="n">
        <f aca="false">N523*O523*(1-V523)</f>
        <v>12495.027</v>
      </c>
      <c r="X523" s="8" t="n">
        <f aca="false">W523-R523</f>
        <v>3310.507</v>
      </c>
      <c r="Y523" s="7" t="n">
        <f aca="false">IFERROR(X523/W523,0)</f>
        <v>0.264945966103154</v>
      </c>
      <c r="Z523" s="9" t="n">
        <f aca="false">C523-B523</f>
        <v>7</v>
      </c>
      <c r="AA523" s="1" t="str">
        <f aca="false">IF(B523="","",TEXT(B523,"mmm"))</f>
        <v>Mar</v>
      </c>
      <c r="AB523" s="9" t="n">
        <f aca="false">IF(B523="","",YEAR(B523))</f>
        <v>2025</v>
      </c>
      <c r="AC523" s="3"/>
      <c r="AD523" s="3" t="str">
        <f aca="false">IF(LEFT(AC523&amp;IF(B523="","; Missing Order Date","")&amp;IF(C523="","; Missing Ship Date","")&amp;IF(P523&lt;0,"; Invalid Discount (Negative)","")&amp;IF(P523&gt;0.5,"; Invalid Discount (Too High)","")&amp;IF(Z523&lt;0,"; Invalid Shipping Record (Ship Before Order)","")&amp;IF(ABS(Q523-W523)&gt;1,"; Sales Mismatch","")&amp;IF(ABS(S523-X523)&gt;1,"; Profit Mismatch","")&amp;IF(COUNTIF($A$2:$A$913,A523)&gt;1,"; Duplicate Order ID Conflict",""),2)="; ",MID(AC523&amp;IF(B523="","; Missing Order Date","")&amp;IF(C523="","; Missing Ship Date","")&amp;IF(P523&lt;0,"; Invalid Discount (Negative)","")&amp;IF(P523&gt;0.5,"; Invalid Discount (Too High)","")&amp;IF(Z523&lt;0,"; Invalid Shipping Record (Ship Before Order)","")&amp;IF(ABS(Q523-W523)&gt;1,"; Sales Mismatch","")&amp;IF(ABS(S523-X523)&gt;1,"; Profit Mismatch","")&amp;IF(COUNTIF($A$2:$A$913,A523)&gt;1,"; Duplicate Order ID Conflict",""),3,500),AC523&amp;IF(B523="","; Missing Order Date","")&amp;IF(C523="","; Missing Ship Date","")&amp;IF(P523&lt;0,"; Invalid Discount (Negative)","")&amp;IF(P523&gt;0.5,"; Invalid Discount (Too High)","")&amp;IF(Z523&lt;0,"; Invalid Shipping Record (Ship Before Order)","")&amp;IF(ABS(Q523-W523)&gt;1,"; Sales Mismatch","")&amp;IF(ABS(S523-X523)&gt;1,"; Profit Mismatch","")&amp;IF(COUNTIF($A$2:$A$913,A523)&gt;1,"; Duplicate Order ID Conflict",""))</f>
        <v/>
      </c>
      <c r="AE523" s="10" t="str">
        <f aca="false">IF(OR(ISNUMBER(SEARCH("Invalid Discount",AD523)),ISNUMBER(SEARCH("Invalid Shipping Record",AD523)),ISNUMBER(SEARCH("Sales Mismatch",AD523)),ISNUMBER(SEARCH("Profit Mismatch",AD523)),ISNUMBER(SEARCH("Duplicate Order ID Conflict",AD523)),ISNUMBER(SEARCH("Missing Order Date",AD523)),ISNUMBER(SEARCH("Missing Ship Date",AD523))),"Invalid",IF(AD523&lt;&gt;"","Warning","Clean"))</f>
        <v>Clean</v>
      </c>
    </row>
    <row r="524" customFormat="false" ht="15" hidden="false" customHeight="true" outlineLevel="0" collapsed="false">
      <c r="A524" s="3" t="s">
        <v>1586</v>
      </c>
      <c r="B524" s="4" t="n">
        <v>45716</v>
      </c>
      <c r="C524" s="4" t="n">
        <v>45724</v>
      </c>
      <c r="D524" s="3" t="s">
        <v>1587</v>
      </c>
      <c r="E524" s="3" t="str">
        <f aca="false">PROPER(TRIM(SUBSTITUTE(Raw_Text_Fields!B525,CHAR(160)," ")))</f>
        <v>Neha Gupta</v>
      </c>
      <c r="F524" s="3" t="str">
        <f aca="false">PROPER(TRIM(SUBSTITUTE(Raw_Text_Fields!C525,CHAR(160)," ")))</f>
        <v>Small Business</v>
      </c>
      <c r="G524" s="3" t="str">
        <f aca="false">PROPER(TRIM(SUBSTITUTE(Raw_Text_Fields!D525,CHAR(160)," ")))</f>
        <v>East</v>
      </c>
      <c r="H524" s="3" t="str">
        <f aca="false">PROPER(TRIM(SUBSTITUTE(Raw_Text_Fields!E525,CHAR(160)," ")))</f>
        <v>Jharkhand</v>
      </c>
      <c r="I524" s="3" t="str">
        <f aca="false">PROPER(TRIM(SUBSTITUTE(Raw_Text_Fields!F525,CHAR(160)," ")))</f>
        <v>Ranchi</v>
      </c>
      <c r="J524" s="3" t="str">
        <f aca="false">PROPER(TRIM(SUBSTITUTE(Raw_Text_Fields!G525,CHAR(160)," ")))</f>
        <v>Technology</v>
      </c>
      <c r="K524" s="3" t="str">
        <f aca="false">PROPER(TRIM(SUBSTITUTE(Raw_Text_Fields!H525,CHAR(160)," ")))</f>
        <v>Phones</v>
      </c>
      <c r="L524" s="3" t="s">
        <v>1588</v>
      </c>
      <c r="M524" s="3" t="str">
        <f aca="false">PROPER(TRIM(SUBSTITUTE(Raw_Text_Fields!I525,CHAR(160)," ")))</f>
        <v>First Class</v>
      </c>
      <c r="N524" s="3" t="n">
        <v>9</v>
      </c>
      <c r="O524" s="5" t="n">
        <v>3670.54</v>
      </c>
      <c r="P524" s="6" t="n">
        <v>0</v>
      </c>
      <c r="Q524" s="5" t="n">
        <v>33034.86</v>
      </c>
      <c r="R524" s="5" t="n">
        <v>24539.83</v>
      </c>
      <c r="S524" s="5" t="n">
        <v>8495.03</v>
      </c>
      <c r="T524" s="3" t="str">
        <f aca="false">PROPER(TRIM(SUBSTITUTE(Raw_Text_Fields!J525,CHAR(160)," ")))</f>
        <v>Paid</v>
      </c>
      <c r="U524" s="3" t="str">
        <f aca="false">PROPER(TRIM(SUBSTITUTE(Raw_Text_Fields!K525,CHAR(160)," ")))</f>
        <v>Completed</v>
      </c>
      <c r="V524" s="7" t="n">
        <f aca="false">IF(OR(P524&lt;0,P524&gt;0.5),0,P524)</f>
        <v>0</v>
      </c>
      <c r="W524" s="8" t="n">
        <f aca="false">N524*O524*(1-V524)</f>
        <v>33034.86</v>
      </c>
      <c r="X524" s="8" t="n">
        <f aca="false">W524-R524</f>
        <v>8495.03</v>
      </c>
      <c r="Y524" s="7" t="n">
        <f aca="false">IFERROR(X524/W524,0)</f>
        <v>0.257153503904663</v>
      </c>
      <c r="Z524" s="9" t="n">
        <f aca="false">C524-B524</f>
        <v>8</v>
      </c>
      <c r="AA524" s="1" t="str">
        <f aca="false">IF(B524="","",TEXT(B524,"mmm"))</f>
        <v>Feb</v>
      </c>
      <c r="AB524" s="9" t="n">
        <f aca="false">IF(B524="","",YEAR(B524))</f>
        <v>2025</v>
      </c>
      <c r="AC524" s="3"/>
      <c r="AD524" s="3" t="str">
        <f aca="false">IF(LEFT(AC524&amp;IF(B524="","; Missing Order Date","")&amp;IF(C524="","; Missing Ship Date","")&amp;IF(P524&lt;0,"; Invalid Discount (Negative)","")&amp;IF(P524&gt;0.5,"; Invalid Discount (Too High)","")&amp;IF(Z524&lt;0,"; Invalid Shipping Record (Ship Before Order)","")&amp;IF(ABS(Q524-W524)&gt;1,"; Sales Mismatch","")&amp;IF(ABS(S524-X524)&gt;1,"; Profit Mismatch","")&amp;IF(COUNTIF($A$2:$A$913,A524)&gt;1,"; Duplicate Order ID Conflict",""),2)="; ",MID(AC524&amp;IF(B524="","; Missing Order Date","")&amp;IF(C524="","; Missing Ship Date","")&amp;IF(P524&lt;0,"; Invalid Discount (Negative)","")&amp;IF(P524&gt;0.5,"; Invalid Discount (Too High)","")&amp;IF(Z524&lt;0,"; Invalid Shipping Record (Ship Before Order)","")&amp;IF(ABS(Q524-W524)&gt;1,"; Sales Mismatch","")&amp;IF(ABS(S524-X524)&gt;1,"; Profit Mismatch","")&amp;IF(COUNTIF($A$2:$A$913,A524)&gt;1,"; Duplicate Order ID Conflict",""),3,500),AC524&amp;IF(B524="","; Missing Order Date","")&amp;IF(C524="","; Missing Ship Date","")&amp;IF(P524&lt;0,"; Invalid Discount (Negative)","")&amp;IF(P524&gt;0.5,"; Invalid Discount (Too High)","")&amp;IF(Z524&lt;0,"; Invalid Shipping Record (Ship Before Order)","")&amp;IF(ABS(Q524-W524)&gt;1,"; Sales Mismatch","")&amp;IF(ABS(S524-X524)&gt;1,"; Profit Mismatch","")&amp;IF(COUNTIF($A$2:$A$913,A524)&gt;1,"; Duplicate Order ID Conflict",""))</f>
        <v/>
      </c>
      <c r="AE524" s="10" t="str">
        <f aca="false">IF(OR(ISNUMBER(SEARCH("Invalid Discount",AD524)),ISNUMBER(SEARCH("Invalid Shipping Record",AD524)),ISNUMBER(SEARCH("Sales Mismatch",AD524)),ISNUMBER(SEARCH("Profit Mismatch",AD524)),ISNUMBER(SEARCH("Duplicate Order ID Conflict",AD524)),ISNUMBER(SEARCH("Missing Order Date",AD524)),ISNUMBER(SEARCH("Missing Ship Date",AD524))),"Invalid",IF(AD524&lt;&gt;"","Warning","Clean"))</f>
        <v>Clean</v>
      </c>
    </row>
    <row r="525" customFormat="false" ht="15" hidden="false" customHeight="true" outlineLevel="0" collapsed="false">
      <c r="A525" s="3" t="s">
        <v>1589</v>
      </c>
      <c r="B525" s="4" t="n">
        <v>45384</v>
      </c>
      <c r="C525" s="4" t="n">
        <v>45385</v>
      </c>
      <c r="D525" s="3" t="s">
        <v>1590</v>
      </c>
      <c r="E525" s="3" t="str">
        <f aca="false">PROPER(TRIM(SUBSTITUTE(Raw_Text_Fields!B526,CHAR(160)," ")))</f>
        <v>Kabir Singh</v>
      </c>
      <c r="F525" s="3" t="str">
        <f aca="false">PROPER(TRIM(SUBSTITUTE(Raw_Text_Fields!C526,CHAR(160)," ")))</f>
        <v>Home Office</v>
      </c>
      <c r="G525" s="3" t="str">
        <f aca="false">PROPER(TRIM(SUBSTITUTE(Raw_Text_Fields!D526,CHAR(160)," ")))</f>
        <v>West</v>
      </c>
      <c r="H525" s="3" t="str">
        <f aca="false">PROPER(TRIM(SUBSTITUTE(Raw_Text_Fields!E526,CHAR(160)," ")))</f>
        <v>Goa</v>
      </c>
      <c r="I525" s="3" t="str">
        <f aca="false">PROPER(TRIM(SUBSTITUTE(Raw_Text_Fields!F526,CHAR(160)," ")))</f>
        <v>Panaji</v>
      </c>
      <c r="J525" s="3" t="str">
        <f aca="false">PROPER(TRIM(SUBSTITUTE(Raw_Text_Fields!G526,CHAR(160)," ")))</f>
        <v>Office Supplies</v>
      </c>
      <c r="K525" s="3" t="str">
        <f aca="false">PROPER(TRIM(SUBSTITUTE(Raw_Text_Fields!H526,CHAR(160)," ")))</f>
        <v>Paper</v>
      </c>
      <c r="L525" s="3" t="s">
        <v>1591</v>
      </c>
      <c r="M525" s="3" t="str">
        <f aca="false">PROPER(TRIM(SUBSTITUTE(Raw_Text_Fields!I526,CHAR(160)," ")))</f>
        <v>Second Class</v>
      </c>
      <c r="N525" s="3" t="n">
        <v>2</v>
      </c>
      <c r="O525" s="5" t="n">
        <v>2902.63</v>
      </c>
      <c r="P525" s="6" t="n">
        <v>0</v>
      </c>
      <c r="Q525" s="5" t="n">
        <v>5805.26</v>
      </c>
      <c r="R525" s="5" t="n">
        <v>4654.36</v>
      </c>
      <c r="S525" s="5" t="n">
        <v>1150.9</v>
      </c>
      <c r="T525" s="3" t="str">
        <f aca="false">PROPER(TRIM(SUBSTITUTE(Raw_Text_Fields!J526,CHAR(160)," ")))</f>
        <v>Paid</v>
      </c>
      <c r="U525" s="3" t="str">
        <f aca="false">PROPER(TRIM(SUBSTITUTE(Raw_Text_Fields!K526,CHAR(160)," ")))</f>
        <v>Returned</v>
      </c>
      <c r="V525" s="7" t="n">
        <f aca="false">IF(OR(P525&lt;0,P525&gt;0.5),0,P525)</f>
        <v>0</v>
      </c>
      <c r="W525" s="8" t="n">
        <f aca="false">N525*O525*(1-V525)</f>
        <v>5805.26</v>
      </c>
      <c r="X525" s="8" t="n">
        <f aca="false">W525-R525</f>
        <v>1150.9</v>
      </c>
      <c r="Y525" s="7" t="n">
        <f aca="false">IFERROR(X525/W525,0)</f>
        <v>0.198251241115816</v>
      </c>
      <c r="Z525" s="9" t="n">
        <f aca="false">C525-B525</f>
        <v>1</v>
      </c>
      <c r="AA525" s="1" t="str">
        <f aca="false">IF(B525="","",TEXT(B525,"mmm"))</f>
        <v>Apr</v>
      </c>
      <c r="AB525" s="9" t="n">
        <f aca="false">IF(B525="","",YEAR(B525))</f>
        <v>2024</v>
      </c>
      <c r="AC525" s="3"/>
      <c r="AD525" s="3" t="str">
        <f aca="false">IF(LEFT(AC525&amp;IF(B525="","; Missing Order Date","")&amp;IF(C525="","; Missing Ship Date","")&amp;IF(P525&lt;0,"; Invalid Discount (Negative)","")&amp;IF(P525&gt;0.5,"; Invalid Discount (Too High)","")&amp;IF(Z525&lt;0,"; Invalid Shipping Record (Ship Before Order)","")&amp;IF(ABS(Q525-W525)&gt;1,"; Sales Mismatch","")&amp;IF(ABS(S525-X525)&gt;1,"; Profit Mismatch","")&amp;IF(COUNTIF($A$2:$A$913,A525)&gt;1,"; Duplicate Order ID Conflict",""),2)="; ",MID(AC525&amp;IF(B525="","; Missing Order Date","")&amp;IF(C525="","; Missing Ship Date","")&amp;IF(P525&lt;0,"; Invalid Discount (Negative)","")&amp;IF(P525&gt;0.5,"; Invalid Discount (Too High)","")&amp;IF(Z525&lt;0,"; Invalid Shipping Record (Ship Before Order)","")&amp;IF(ABS(Q525-W525)&gt;1,"; Sales Mismatch","")&amp;IF(ABS(S525-X525)&gt;1,"; Profit Mismatch","")&amp;IF(COUNTIF($A$2:$A$913,A525)&gt;1,"; Duplicate Order ID Conflict",""),3,500),AC525&amp;IF(B525="","; Missing Order Date","")&amp;IF(C525="","; Missing Ship Date","")&amp;IF(P525&lt;0,"; Invalid Discount (Negative)","")&amp;IF(P525&gt;0.5,"; Invalid Discount (Too High)","")&amp;IF(Z525&lt;0,"; Invalid Shipping Record (Ship Before Order)","")&amp;IF(ABS(Q525-W525)&gt;1,"; Sales Mismatch","")&amp;IF(ABS(S525-X525)&gt;1,"; Profit Mismatch","")&amp;IF(COUNTIF($A$2:$A$913,A525)&gt;1,"; Duplicate Order ID Conflict",""))</f>
        <v/>
      </c>
      <c r="AE525" s="10" t="str">
        <f aca="false">IF(OR(ISNUMBER(SEARCH("Invalid Discount",AD525)),ISNUMBER(SEARCH("Invalid Shipping Record",AD525)),ISNUMBER(SEARCH("Sales Mismatch",AD525)),ISNUMBER(SEARCH("Profit Mismatch",AD525)),ISNUMBER(SEARCH("Duplicate Order ID Conflict",AD525)),ISNUMBER(SEARCH("Missing Order Date",AD525)),ISNUMBER(SEARCH("Missing Ship Date",AD525))),"Invalid",IF(AD525&lt;&gt;"","Warning","Clean"))</f>
        <v>Clean</v>
      </c>
    </row>
    <row r="526" customFormat="false" ht="15" hidden="false" customHeight="true" outlineLevel="0" collapsed="false">
      <c r="A526" s="3" t="s">
        <v>1592</v>
      </c>
      <c r="B526" s="4" t="n">
        <v>45626</v>
      </c>
      <c r="C526" s="4" t="n">
        <v>45627</v>
      </c>
      <c r="D526" s="3" t="s">
        <v>1593</v>
      </c>
      <c r="E526" s="3" t="str">
        <f aca="false">PROPER(TRIM(SUBSTITUTE(Raw_Text_Fields!B527,CHAR(160)," ")))</f>
        <v>Ananya Rao</v>
      </c>
      <c r="F526" s="3" t="str">
        <f aca="false">PROPER(TRIM(SUBSTITUTE(Raw_Text_Fields!C527,CHAR(160)," ")))</f>
        <v>Corporate</v>
      </c>
      <c r="G526" s="3" t="str">
        <f aca="false">PROPER(TRIM(SUBSTITUTE(Raw_Text_Fields!D527,CHAR(160)," ")))</f>
        <v>West</v>
      </c>
      <c r="H526" s="3" t="str">
        <f aca="false">PROPER(TRIM(SUBSTITUTE(Raw_Text_Fields!E527,CHAR(160)," ")))</f>
        <v>Gujarat</v>
      </c>
      <c r="I526" s="3" t="str">
        <f aca="false">PROPER(TRIM(SUBSTITUTE(Raw_Text_Fields!F527,CHAR(160)," ")))</f>
        <v>Ahmedabad</v>
      </c>
      <c r="J526" s="3" t="str">
        <f aca="false">PROPER(TRIM(SUBSTITUTE(Raw_Text_Fields!G527,CHAR(160)," ")))</f>
        <v>Furniture</v>
      </c>
      <c r="K526" s="3" t="str">
        <f aca="false">PROPER(TRIM(SUBSTITUTE(Raw_Text_Fields!H527,CHAR(160)," ")))</f>
        <v>Chairs</v>
      </c>
      <c r="L526" s="3" t="s">
        <v>1594</v>
      </c>
      <c r="M526" s="3" t="str">
        <f aca="false">PROPER(TRIM(SUBSTITUTE(Raw_Text_Fields!I527,CHAR(160)," ")))</f>
        <v>First Class</v>
      </c>
      <c r="N526" s="3" t="n">
        <v>9</v>
      </c>
      <c r="O526" s="5" t="n">
        <v>4207.36</v>
      </c>
      <c r="P526" s="6" t="n">
        <v>0.1</v>
      </c>
      <c r="Q526" s="5" t="n">
        <v>34079.62</v>
      </c>
      <c r="R526" s="5" t="n">
        <v>21871.39</v>
      </c>
      <c r="S526" s="5" t="n">
        <v>12208.23</v>
      </c>
      <c r="T526" s="3" t="str">
        <f aca="false">PROPER(TRIM(SUBSTITUTE(Raw_Text_Fields!J527,CHAR(160)," ")))</f>
        <v>Paid</v>
      </c>
      <c r="U526" s="3" t="str">
        <f aca="false">PROPER(TRIM(SUBSTITUTE(Raw_Text_Fields!K527,CHAR(160)," ")))</f>
        <v>Completed</v>
      </c>
      <c r="V526" s="7" t="n">
        <f aca="false">IF(OR(P526&lt;0,P526&gt;0.5),0,P526)</f>
        <v>0.1</v>
      </c>
      <c r="W526" s="8" t="n">
        <f aca="false">N526*O526*(1-V526)</f>
        <v>34079.616</v>
      </c>
      <c r="X526" s="8" t="n">
        <f aca="false">W526-R526</f>
        <v>12208.226</v>
      </c>
      <c r="Y526" s="7" t="n">
        <f aca="false">IFERROR(X526/W526,0)</f>
        <v>0.358226630253111</v>
      </c>
      <c r="Z526" s="9" t="n">
        <f aca="false">C526-B526</f>
        <v>1</v>
      </c>
      <c r="AA526" s="1" t="str">
        <f aca="false">IF(B526="","",TEXT(B526,"mmm"))</f>
        <v>Nov</v>
      </c>
      <c r="AB526" s="9" t="n">
        <f aca="false">IF(B526="","",YEAR(B526))</f>
        <v>2024</v>
      </c>
      <c r="AC526" s="3"/>
      <c r="AD526" s="3" t="str">
        <f aca="false">IF(LEFT(AC526&amp;IF(B526="","; Missing Order Date","")&amp;IF(C526="","; Missing Ship Date","")&amp;IF(P526&lt;0,"; Invalid Discount (Negative)","")&amp;IF(P526&gt;0.5,"; Invalid Discount (Too High)","")&amp;IF(Z526&lt;0,"; Invalid Shipping Record (Ship Before Order)","")&amp;IF(ABS(Q526-W526)&gt;1,"; Sales Mismatch","")&amp;IF(ABS(S526-X526)&gt;1,"; Profit Mismatch","")&amp;IF(COUNTIF($A$2:$A$913,A526)&gt;1,"; Duplicate Order ID Conflict",""),2)="; ",MID(AC526&amp;IF(B526="","; Missing Order Date","")&amp;IF(C526="","; Missing Ship Date","")&amp;IF(P526&lt;0,"; Invalid Discount (Negative)","")&amp;IF(P526&gt;0.5,"; Invalid Discount (Too High)","")&amp;IF(Z526&lt;0,"; Invalid Shipping Record (Ship Before Order)","")&amp;IF(ABS(Q526-W526)&gt;1,"; Sales Mismatch","")&amp;IF(ABS(S526-X526)&gt;1,"; Profit Mismatch","")&amp;IF(COUNTIF($A$2:$A$913,A526)&gt;1,"; Duplicate Order ID Conflict",""),3,500),AC526&amp;IF(B526="","; Missing Order Date","")&amp;IF(C526="","; Missing Ship Date","")&amp;IF(P526&lt;0,"; Invalid Discount (Negative)","")&amp;IF(P526&gt;0.5,"; Invalid Discount (Too High)","")&amp;IF(Z526&lt;0,"; Invalid Shipping Record (Ship Before Order)","")&amp;IF(ABS(Q526-W526)&gt;1,"; Sales Mismatch","")&amp;IF(ABS(S526-X526)&gt;1,"; Profit Mismatch","")&amp;IF(COUNTIF($A$2:$A$913,A526)&gt;1,"; Duplicate Order ID Conflict",""))</f>
        <v/>
      </c>
      <c r="AE526" s="10" t="str">
        <f aca="false">IF(OR(ISNUMBER(SEARCH("Invalid Discount",AD526)),ISNUMBER(SEARCH("Invalid Shipping Record",AD526)),ISNUMBER(SEARCH("Sales Mismatch",AD526)),ISNUMBER(SEARCH("Profit Mismatch",AD526)),ISNUMBER(SEARCH("Duplicate Order ID Conflict",AD526)),ISNUMBER(SEARCH("Missing Order Date",AD526)),ISNUMBER(SEARCH("Missing Ship Date",AD526))),"Invalid",IF(AD526&lt;&gt;"","Warning","Clean"))</f>
        <v>Clean</v>
      </c>
    </row>
    <row r="527" customFormat="false" ht="15" hidden="false" customHeight="true" outlineLevel="0" collapsed="false">
      <c r="A527" s="3" t="s">
        <v>1595</v>
      </c>
      <c r="B527" s="4" t="n">
        <v>45582</v>
      </c>
      <c r="C527" s="4" t="n">
        <v>45582</v>
      </c>
      <c r="D527" s="3" t="s">
        <v>1596</v>
      </c>
      <c r="E527" s="3" t="str">
        <f aca="false">PROPER(TRIM(SUBSTITUTE(Raw_Text_Fields!B528,CHAR(160)," ")))</f>
        <v>Priya Menon</v>
      </c>
      <c r="F527" s="3" t="str">
        <f aca="false">PROPER(TRIM(SUBSTITUTE(Raw_Text_Fields!C528,CHAR(160)," ")))</f>
        <v>Home Office</v>
      </c>
      <c r="G527" s="3" t="str">
        <f aca="false">PROPER(TRIM(SUBSTITUTE(Raw_Text_Fields!D528,CHAR(160)," ")))</f>
        <v>East</v>
      </c>
      <c r="H527" s="3" t="str">
        <f aca="false">PROPER(TRIM(SUBSTITUTE(Raw_Text_Fields!E528,CHAR(160)," ")))</f>
        <v>West Bengal</v>
      </c>
      <c r="I527" s="3" t="str">
        <f aca="false">PROPER(TRIM(SUBSTITUTE(Raw_Text_Fields!F528,CHAR(160)," ")))</f>
        <v>Kolkata</v>
      </c>
      <c r="J527" s="3" t="str">
        <f aca="false">PROPER(TRIM(SUBSTITUTE(Raw_Text_Fields!G528,CHAR(160)," ")))</f>
        <v>Furniture</v>
      </c>
      <c r="K527" s="3" t="str">
        <f aca="false">PROPER(TRIM(SUBSTITUTE(Raw_Text_Fields!H528,CHAR(160)," ")))</f>
        <v>Chairs</v>
      </c>
      <c r="L527" s="3" t="s">
        <v>1597</v>
      </c>
      <c r="M527" s="3" t="str">
        <f aca="false">PROPER(TRIM(SUBSTITUTE(Raw_Text_Fields!I528,CHAR(160)," ")))</f>
        <v>Standard Class</v>
      </c>
      <c r="N527" s="3" t="n">
        <v>5</v>
      </c>
      <c r="O527" s="5" t="n">
        <v>2524.4</v>
      </c>
      <c r="P527" s="6" t="n">
        <v>0.1</v>
      </c>
      <c r="Q527" s="5" t="n">
        <v>11359.8</v>
      </c>
      <c r="R527" s="5" t="n">
        <v>7062.44</v>
      </c>
      <c r="S527" s="5" t="n">
        <v>4297.36</v>
      </c>
      <c r="T527" s="3" t="str">
        <f aca="false">PROPER(TRIM(SUBSTITUTE(Raw_Text_Fields!J528,CHAR(160)," ")))</f>
        <v>Paid</v>
      </c>
      <c r="U527" s="3" t="str">
        <f aca="false">PROPER(TRIM(SUBSTITUTE(Raw_Text_Fields!K528,CHAR(160)," ")))</f>
        <v>Completed</v>
      </c>
      <c r="V527" s="7" t="n">
        <f aca="false">IF(OR(P527&lt;0,P527&gt;0.5),0,P527)</f>
        <v>0.1</v>
      </c>
      <c r="W527" s="8" t="n">
        <f aca="false">N527*O527*(1-V527)</f>
        <v>11359.8</v>
      </c>
      <c r="X527" s="8" t="n">
        <f aca="false">W527-R527</f>
        <v>4297.36</v>
      </c>
      <c r="Y527" s="7" t="n">
        <f aca="false">IFERROR(X527/W527,0)</f>
        <v>0.378295392524516</v>
      </c>
      <c r="Z527" s="9" t="n">
        <f aca="false">C527-B527</f>
        <v>0</v>
      </c>
      <c r="AA527" s="1" t="str">
        <f aca="false">IF(B527="","",TEXT(B527,"mmm"))</f>
        <v>Oct</v>
      </c>
      <c r="AB527" s="9" t="n">
        <f aca="false">IF(B527="","",YEAR(B527))</f>
        <v>2024</v>
      </c>
      <c r="AC527" s="3"/>
      <c r="AD527" s="3" t="str">
        <f aca="false">IF(LEFT(AC527&amp;IF(B527="","; Missing Order Date","")&amp;IF(C527="","; Missing Ship Date","")&amp;IF(P527&lt;0,"; Invalid Discount (Negative)","")&amp;IF(P527&gt;0.5,"; Invalid Discount (Too High)","")&amp;IF(Z527&lt;0,"; Invalid Shipping Record (Ship Before Order)","")&amp;IF(ABS(Q527-W527)&gt;1,"; Sales Mismatch","")&amp;IF(ABS(S527-X527)&gt;1,"; Profit Mismatch","")&amp;IF(COUNTIF($A$2:$A$913,A527)&gt;1,"; Duplicate Order ID Conflict",""),2)="; ",MID(AC527&amp;IF(B527="","; Missing Order Date","")&amp;IF(C527="","; Missing Ship Date","")&amp;IF(P527&lt;0,"; Invalid Discount (Negative)","")&amp;IF(P527&gt;0.5,"; Invalid Discount (Too High)","")&amp;IF(Z527&lt;0,"; Invalid Shipping Record (Ship Before Order)","")&amp;IF(ABS(Q527-W527)&gt;1,"; Sales Mismatch","")&amp;IF(ABS(S527-X527)&gt;1,"; Profit Mismatch","")&amp;IF(COUNTIF($A$2:$A$913,A527)&gt;1,"; Duplicate Order ID Conflict",""),3,500),AC527&amp;IF(B527="","; Missing Order Date","")&amp;IF(C527="","; Missing Ship Date","")&amp;IF(P527&lt;0,"; Invalid Discount (Negative)","")&amp;IF(P527&gt;0.5,"; Invalid Discount (Too High)","")&amp;IF(Z527&lt;0,"; Invalid Shipping Record (Ship Before Order)","")&amp;IF(ABS(Q527-W527)&gt;1,"; Sales Mismatch","")&amp;IF(ABS(S527-X527)&gt;1,"; Profit Mismatch","")&amp;IF(COUNTIF($A$2:$A$913,A527)&gt;1,"; Duplicate Order ID Conflict",""))</f>
        <v/>
      </c>
      <c r="AE527" s="10" t="str">
        <f aca="false">IF(OR(ISNUMBER(SEARCH("Invalid Discount",AD527)),ISNUMBER(SEARCH("Invalid Shipping Record",AD527)),ISNUMBER(SEARCH("Sales Mismatch",AD527)),ISNUMBER(SEARCH("Profit Mismatch",AD527)),ISNUMBER(SEARCH("Duplicate Order ID Conflict",AD527)),ISNUMBER(SEARCH("Missing Order Date",AD527)),ISNUMBER(SEARCH("Missing Ship Date",AD527))),"Invalid",IF(AD527&lt;&gt;"","Warning","Clean"))</f>
        <v>Clean</v>
      </c>
    </row>
    <row r="528" customFormat="false" ht="15" hidden="false" customHeight="true" outlineLevel="0" collapsed="false">
      <c r="A528" s="3" t="s">
        <v>1598</v>
      </c>
      <c r="B528" s="4" t="n">
        <v>45856</v>
      </c>
      <c r="C528" s="4" t="n">
        <v>45859</v>
      </c>
      <c r="D528" s="3" t="s">
        <v>1599</v>
      </c>
      <c r="E528" s="3" t="str">
        <f aca="false">PROPER(TRIM(SUBSTITUTE(Raw_Text_Fields!B529,CHAR(160)," ")))</f>
        <v>Priya Menon</v>
      </c>
      <c r="F528" s="3" t="str">
        <f aca="false">PROPER(TRIM(SUBSTITUTE(Raw_Text_Fields!C529,CHAR(160)," ")))</f>
        <v>Consumer</v>
      </c>
      <c r="G528" s="3" t="str">
        <f aca="false">PROPER(TRIM(SUBSTITUTE(Raw_Text_Fields!D529,CHAR(160)," ")))</f>
        <v>East</v>
      </c>
      <c r="H528" s="3" t="str">
        <f aca="false">PROPER(TRIM(SUBSTITUTE(Raw_Text_Fields!E529,CHAR(160)," ")))</f>
        <v>Odisha</v>
      </c>
      <c r="I528" s="3" t="str">
        <f aca="false">PROPER(TRIM(SUBSTITUTE(Raw_Text_Fields!F529,CHAR(160)," ")))</f>
        <v>Bhubaneswar</v>
      </c>
      <c r="J528" s="3" t="str">
        <f aca="false">PROPER(TRIM(SUBSTITUTE(Raw_Text_Fields!G529,CHAR(160)," ")))</f>
        <v>Furniture</v>
      </c>
      <c r="K528" s="3" t="str">
        <f aca="false">PROPER(TRIM(SUBSTITUTE(Raw_Text_Fields!H529,CHAR(160)," ")))</f>
        <v>Tables</v>
      </c>
      <c r="L528" s="3" t="s">
        <v>1600</v>
      </c>
      <c r="M528" s="3" t="str">
        <f aca="false">PROPER(TRIM(SUBSTITUTE(Raw_Text_Fields!I529,CHAR(160)," ")))</f>
        <v>Second Class</v>
      </c>
      <c r="N528" s="3" t="n">
        <v>4</v>
      </c>
      <c r="O528" s="5" t="n">
        <v>284.04</v>
      </c>
      <c r="P528" s="6" t="n">
        <v>0</v>
      </c>
      <c r="Q528" s="5" t="n">
        <v>908.93</v>
      </c>
      <c r="R528" s="5" t="n">
        <v>572.08</v>
      </c>
      <c r="S528" s="5" t="n">
        <v>336.85</v>
      </c>
      <c r="T528" s="3" t="str">
        <f aca="false">PROPER(TRIM(SUBSTITUTE(Raw_Text_Fields!J529,CHAR(160)," ")))</f>
        <v>Paid</v>
      </c>
      <c r="U528" s="3" t="str">
        <f aca="false">PROPER(TRIM(SUBSTITUTE(Raw_Text_Fields!K529,CHAR(160)," ")))</f>
        <v>Completed</v>
      </c>
      <c r="V528" s="7" t="n">
        <f aca="false">IF(OR(P528&lt;0,P528&gt;0.5),0,P528)</f>
        <v>0</v>
      </c>
      <c r="W528" s="8" t="n">
        <f aca="false">N528*O528*(1-V528)</f>
        <v>1136.16</v>
      </c>
      <c r="X528" s="8" t="n">
        <f aca="false">W528-R528</f>
        <v>564.08</v>
      </c>
      <c r="Y528" s="7" t="n">
        <f aca="false">IFERROR(X528/W528,0)</f>
        <v>0.496479369102943</v>
      </c>
      <c r="Z528" s="9" t="n">
        <f aca="false">C528-B528</f>
        <v>3</v>
      </c>
      <c r="AA528" s="1" t="str">
        <f aca="false">IF(B528="","",TEXT(B528,"mmm"))</f>
        <v>Jul</v>
      </c>
      <c r="AB528" s="9" t="n">
        <f aca="false">IF(B528="","",YEAR(B528))</f>
        <v>2025</v>
      </c>
      <c r="AC528" s="3" t="s">
        <v>130</v>
      </c>
      <c r="AD528" s="3" t="str">
        <f aca="false">IF(LEFT(AC528&amp;IF(B528="","; Missing Order Date","")&amp;IF(C528="","; Missing Ship Date","")&amp;IF(P528&lt;0,"; Invalid Discount (Negative)","")&amp;IF(P528&gt;0.5,"; Invalid Discount (Too High)","")&amp;IF(Z528&lt;0,"; Invalid Shipping Record (Ship Before Order)","")&amp;IF(ABS(Q528-W528)&gt;1,"; Sales Mismatch","")&amp;IF(ABS(S528-X528)&gt;1,"; Profit Mismatch","")&amp;IF(COUNTIF($A$2:$A$913,A528)&gt;1,"; Duplicate Order ID Conflict",""),2)="; ",MID(AC528&amp;IF(B528="","; Missing Order Date","")&amp;IF(C528="","; Missing Ship Date","")&amp;IF(P528&lt;0,"; Invalid Discount (Negative)","")&amp;IF(P528&gt;0.5,"; Invalid Discount (Too High)","")&amp;IF(Z528&lt;0,"; Invalid Shipping Record (Ship Before Order)","")&amp;IF(ABS(Q528-W528)&gt;1,"; Sales Mismatch","")&amp;IF(ABS(S528-X528)&gt;1,"; Profit Mismatch","")&amp;IF(COUNTIF($A$2:$A$913,A528)&gt;1,"; Duplicate Order ID Conflict",""),3,500),AC528&amp;IF(B528="","; Missing Order Date","")&amp;IF(C528="","; Missing Ship Date","")&amp;IF(P528&lt;0,"; Invalid Discount (Negative)","")&amp;IF(P528&gt;0.5,"; Invalid Discount (Too High)","")&amp;IF(Z528&lt;0,"; Invalid Shipping Record (Ship Before Order)","")&amp;IF(ABS(Q528-W528)&gt;1,"; Sales Mismatch","")&amp;IF(ABS(S528-X528)&gt;1,"; Profit Mismatch","")&amp;IF(COUNTIF($A$2:$A$913,A528)&gt;1,"; Duplicate Order ID Conflict",""))</f>
        <v>Missing Discount (defaulted 0); Sales Mismatch; Profit Mismatch</v>
      </c>
      <c r="AE528" s="10" t="str">
        <f aca="false">IF(OR(ISNUMBER(SEARCH("Invalid Discount",AD528)),ISNUMBER(SEARCH("Invalid Shipping Record",AD528)),ISNUMBER(SEARCH("Sales Mismatch",AD528)),ISNUMBER(SEARCH("Profit Mismatch",AD528)),ISNUMBER(SEARCH("Duplicate Order ID Conflict",AD528)),ISNUMBER(SEARCH("Missing Order Date",AD528)),ISNUMBER(SEARCH("Missing Ship Date",AD528))),"Invalid",IF(AD528&lt;&gt;"","Warning","Clean"))</f>
        <v>Invalid</v>
      </c>
    </row>
    <row r="529" customFormat="false" ht="15" hidden="false" customHeight="true" outlineLevel="0" collapsed="false">
      <c r="A529" s="3" t="s">
        <v>1601</v>
      </c>
      <c r="B529" s="4" t="n">
        <v>45931</v>
      </c>
      <c r="C529" s="4" t="n">
        <v>45935</v>
      </c>
      <c r="D529" s="3" t="s">
        <v>1602</v>
      </c>
      <c r="E529" s="3" t="str">
        <f aca="false">PROPER(TRIM(SUBSTITUTE(Raw_Text_Fields!B530,CHAR(160)," ")))</f>
        <v>Aditi Sen</v>
      </c>
      <c r="F529" s="3" t="str">
        <f aca="false">PROPER(TRIM(SUBSTITUTE(Raw_Text_Fields!C530,CHAR(160)," ")))</f>
        <v>Home Office</v>
      </c>
      <c r="G529" s="3" t="str">
        <f aca="false">PROPER(TRIM(SUBSTITUTE(Raw_Text_Fields!D530,CHAR(160)," ")))</f>
        <v>North</v>
      </c>
      <c r="H529" s="3" t="str">
        <f aca="false">PROPER(TRIM(SUBSTITUTE(Raw_Text_Fields!E530,CHAR(160)," ")))</f>
        <v>Haryana</v>
      </c>
      <c r="I529" s="3" t="str">
        <f aca="false">PROPER(TRIM(SUBSTITUTE(Raw_Text_Fields!F530,CHAR(160)," ")))</f>
        <v>Gurugram</v>
      </c>
      <c r="J529" s="3" t="str">
        <f aca="false">PROPER(TRIM(SUBSTITUTE(Raw_Text_Fields!G530,CHAR(160)," ")))</f>
        <v>Office Supplies</v>
      </c>
      <c r="K529" s="3" t="str">
        <f aca="false">PROPER(TRIM(SUBSTITUTE(Raw_Text_Fields!H530,CHAR(160)," ")))</f>
        <v>Paper</v>
      </c>
      <c r="L529" s="3" t="s">
        <v>1603</v>
      </c>
      <c r="M529" s="3" t="str">
        <f aca="false">PROPER(TRIM(SUBSTITUTE(Raw_Text_Fields!I530,CHAR(160)," ")))</f>
        <v>First Class</v>
      </c>
      <c r="N529" s="3" t="n">
        <v>5</v>
      </c>
      <c r="O529" s="5" t="n">
        <v>3247.56</v>
      </c>
      <c r="P529" s="6" t="n">
        <v>0.15</v>
      </c>
      <c r="Q529" s="5" t="n">
        <v>13802.13</v>
      </c>
      <c r="R529" s="5" t="n">
        <v>10075.93</v>
      </c>
      <c r="S529" s="5" t="n">
        <v>3726.2</v>
      </c>
      <c r="T529" s="3" t="str">
        <f aca="false">PROPER(TRIM(SUBSTITUTE(Raw_Text_Fields!J530,CHAR(160)," ")))</f>
        <v>Paid</v>
      </c>
      <c r="U529" s="3" t="str">
        <f aca="false">PROPER(TRIM(SUBSTITUTE(Raw_Text_Fields!K530,CHAR(160)," ")))</f>
        <v>Completed</v>
      </c>
      <c r="V529" s="7" t="n">
        <f aca="false">IF(OR(P529&lt;0,P529&gt;0.5),0,P529)</f>
        <v>0.15</v>
      </c>
      <c r="W529" s="8" t="n">
        <f aca="false">N529*O529*(1-V529)</f>
        <v>13802.13</v>
      </c>
      <c r="X529" s="8" t="n">
        <f aca="false">W529-R529</f>
        <v>3726.2</v>
      </c>
      <c r="Y529" s="7" t="n">
        <f aca="false">IFERROR(X529/W529,0)</f>
        <v>0.269972823035285</v>
      </c>
      <c r="Z529" s="9" t="n">
        <f aca="false">C529-B529</f>
        <v>4</v>
      </c>
      <c r="AA529" s="1" t="str">
        <f aca="false">IF(B529="","",TEXT(B529,"mmm"))</f>
        <v>Oct</v>
      </c>
      <c r="AB529" s="9" t="n">
        <f aca="false">IF(B529="","",YEAR(B529))</f>
        <v>2025</v>
      </c>
      <c r="AC529" s="3"/>
      <c r="AD529" s="3" t="str">
        <f aca="false">IF(LEFT(AC529&amp;IF(B529="","; Missing Order Date","")&amp;IF(C529="","; Missing Ship Date","")&amp;IF(P529&lt;0,"; Invalid Discount (Negative)","")&amp;IF(P529&gt;0.5,"; Invalid Discount (Too High)","")&amp;IF(Z529&lt;0,"; Invalid Shipping Record (Ship Before Order)","")&amp;IF(ABS(Q529-W529)&gt;1,"; Sales Mismatch","")&amp;IF(ABS(S529-X529)&gt;1,"; Profit Mismatch","")&amp;IF(COUNTIF($A$2:$A$913,A529)&gt;1,"; Duplicate Order ID Conflict",""),2)="; ",MID(AC529&amp;IF(B529="","; Missing Order Date","")&amp;IF(C529="","; Missing Ship Date","")&amp;IF(P529&lt;0,"; Invalid Discount (Negative)","")&amp;IF(P529&gt;0.5,"; Invalid Discount (Too High)","")&amp;IF(Z529&lt;0,"; Invalid Shipping Record (Ship Before Order)","")&amp;IF(ABS(Q529-W529)&gt;1,"; Sales Mismatch","")&amp;IF(ABS(S529-X529)&gt;1,"; Profit Mismatch","")&amp;IF(COUNTIF($A$2:$A$913,A529)&gt;1,"; Duplicate Order ID Conflict",""),3,500),AC529&amp;IF(B529="","; Missing Order Date","")&amp;IF(C529="","; Missing Ship Date","")&amp;IF(P529&lt;0,"; Invalid Discount (Negative)","")&amp;IF(P529&gt;0.5,"; Invalid Discount (Too High)","")&amp;IF(Z529&lt;0,"; Invalid Shipping Record (Ship Before Order)","")&amp;IF(ABS(Q529-W529)&gt;1,"; Sales Mismatch","")&amp;IF(ABS(S529-X529)&gt;1,"; Profit Mismatch","")&amp;IF(COUNTIF($A$2:$A$913,A529)&gt;1,"; Duplicate Order ID Conflict",""))</f>
        <v/>
      </c>
      <c r="AE529" s="10" t="str">
        <f aca="false">IF(OR(ISNUMBER(SEARCH("Invalid Discount",AD529)),ISNUMBER(SEARCH("Invalid Shipping Record",AD529)),ISNUMBER(SEARCH("Sales Mismatch",AD529)),ISNUMBER(SEARCH("Profit Mismatch",AD529)),ISNUMBER(SEARCH("Duplicate Order ID Conflict",AD529)),ISNUMBER(SEARCH("Missing Order Date",AD529)),ISNUMBER(SEARCH("Missing Ship Date",AD529))),"Invalid",IF(AD529&lt;&gt;"","Warning","Clean"))</f>
        <v>Clean</v>
      </c>
    </row>
    <row r="530" customFormat="false" ht="15" hidden="false" customHeight="true" outlineLevel="0" collapsed="false">
      <c r="A530" s="3" t="s">
        <v>1604</v>
      </c>
      <c r="B530" s="4" t="n">
        <v>45572</v>
      </c>
      <c r="C530" s="4" t="n">
        <v>45574</v>
      </c>
      <c r="D530" s="3" t="s">
        <v>1605</v>
      </c>
      <c r="E530" s="3" t="str">
        <f aca="false">PROPER(TRIM(SUBSTITUTE(Raw_Text_Fields!B531,CHAR(160)," ")))</f>
        <v>Diya Patel</v>
      </c>
      <c r="F530" s="3" t="str">
        <f aca="false">PROPER(TRIM(SUBSTITUTE(Raw_Text_Fields!C531,CHAR(160)," ")))</f>
        <v>Consumer</v>
      </c>
      <c r="G530" s="3" t="str">
        <f aca="false">PROPER(TRIM(SUBSTITUTE(Raw_Text_Fields!D531,CHAR(160)," ")))</f>
        <v>South</v>
      </c>
      <c r="H530" s="3" t="str">
        <f aca="false">PROPER(TRIM(SUBSTITUTE(Raw_Text_Fields!E531,CHAR(160)," ")))</f>
        <v>Tamil Nadu</v>
      </c>
      <c r="I530" s="3" t="str">
        <f aca="false">PROPER(TRIM(SUBSTITUTE(Raw_Text_Fields!F531,CHAR(160)," ")))</f>
        <v>Chennai</v>
      </c>
      <c r="J530" s="3" t="str">
        <f aca="false">PROPER(TRIM(SUBSTITUTE(Raw_Text_Fields!G531,CHAR(160)," ")))</f>
        <v>Office Supplies</v>
      </c>
      <c r="K530" s="3" t="str">
        <f aca="false">PROPER(TRIM(SUBSTITUTE(Raw_Text_Fields!H531,CHAR(160)," ")))</f>
        <v>Binders</v>
      </c>
      <c r="L530" s="3" t="s">
        <v>1606</v>
      </c>
      <c r="M530" s="3" t="str">
        <f aca="false">PROPER(TRIM(SUBSTITUTE(Raw_Text_Fields!I531,CHAR(160)," ")))</f>
        <v>Standard Class</v>
      </c>
      <c r="N530" s="3" t="n">
        <v>9</v>
      </c>
      <c r="O530" s="5" t="n">
        <v>3457.09</v>
      </c>
      <c r="P530" s="6" t="n">
        <v>0.05</v>
      </c>
      <c r="Q530" s="5" t="n">
        <v>29558.12</v>
      </c>
      <c r="R530" s="5" t="n">
        <v>21302.13</v>
      </c>
      <c r="S530" s="5" t="n">
        <v>8255.99</v>
      </c>
      <c r="T530" s="3" t="str">
        <f aca="false">PROPER(TRIM(SUBSTITUTE(Raw_Text_Fields!J531,CHAR(160)," ")))</f>
        <v>Pending</v>
      </c>
      <c r="U530" s="3" t="str">
        <f aca="false">PROPER(TRIM(SUBSTITUTE(Raw_Text_Fields!K531,CHAR(160)," ")))</f>
        <v>Returned</v>
      </c>
      <c r="V530" s="7" t="n">
        <f aca="false">IF(OR(P530&lt;0,P530&gt;0.5),0,P530)</f>
        <v>0.05</v>
      </c>
      <c r="W530" s="8" t="n">
        <f aca="false">N530*O530*(1-V530)</f>
        <v>29558.1195</v>
      </c>
      <c r="X530" s="8" t="n">
        <f aca="false">W530-R530</f>
        <v>8255.9895</v>
      </c>
      <c r="Y530" s="7" t="n">
        <f aca="false">IFERROR(X530/W530,0)</f>
        <v>0.279313760132812</v>
      </c>
      <c r="Z530" s="9" t="n">
        <f aca="false">C530-B530</f>
        <v>2</v>
      </c>
      <c r="AA530" s="1" t="str">
        <f aca="false">IF(B530="","",TEXT(B530,"mmm"))</f>
        <v>Oct</v>
      </c>
      <c r="AB530" s="9" t="n">
        <f aca="false">IF(B530="","",YEAR(B530))</f>
        <v>2024</v>
      </c>
      <c r="AC530" s="3"/>
      <c r="AD530" s="3" t="str">
        <f aca="false">IF(LEFT(AC530&amp;IF(B530="","; Missing Order Date","")&amp;IF(C530="","; Missing Ship Date","")&amp;IF(P530&lt;0,"; Invalid Discount (Negative)","")&amp;IF(P530&gt;0.5,"; Invalid Discount (Too High)","")&amp;IF(Z530&lt;0,"; Invalid Shipping Record (Ship Before Order)","")&amp;IF(ABS(Q530-W530)&gt;1,"; Sales Mismatch","")&amp;IF(ABS(S530-X530)&gt;1,"; Profit Mismatch","")&amp;IF(COUNTIF($A$2:$A$913,A530)&gt;1,"; Duplicate Order ID Conflict",""),2)="; ",MID(AC530&amp;IF(B530="","; Missing Order Date","")&amp;IF(C530="","; Missing Ship Date","")&amp;IF(P530&lt;0,"; Invalid Discount (Negative)","")&amp;IF(P530&gt;0.5,"; Invalid Discount (Too High)","")&amp;IF(Z530&lt;0,"; Invalid Shipping Record (Ship Before Order)","")&amp;IF(ABS(Q530-W530)&gt;1,"; Sales Mismatch","")&amp;IF(ABS(S530-X530)&gt;1,"; Profit Mismatch","")&amp;IF(COUNTIF($A$2:$A$913,A530)&gt;1,"; Duplicate Order ID Conflict",""),3,500),AC530&amp;IF(B530="","; Missing Order Date","")&amp;IF(C530="","; Missing Ship Date","")&amp;IF(P530&lt;0,"; Invalid Discount (Negative)","")&amp;IF(P530&gt;0.5,"; Invalid Discount (Too High)","")&amp;IF(Z530&lt;0,"; Invalid Shipping Record (Ship Before Order)","")&amp;IF(ABS(Q530-W530)&gt;1,"; Sales Mismatch","")&amp;IF(ABS(S530-X530)&gt;1,"; Profit Mismatch","")&amp;IF(COUNTIF($A$2:$A$913,A530)&gt;1,"; Duplicate Order ID Conflict",""))</f>
        <v/>
      </c>
      <c r="AE530" s="10" t="str">
        <f aca="false">IF(OR(ISNUMBER(SEARCH("Invalid Discount",AD530)),ISNUMBER(SEARCH("Invalid Shipping Record",AD530)),ISNUMBER(SEARCH("Sales Mismatch",AD530)),ISNUMBER(SEARCH("Profit Mismatch",AD530)),ISNUMBER(SEARCH("Duplicate Order ID Conflict",AD530)),ISNUMBER(SEARCH("Missing Order Date",AD530)),ISNUMBER(SEARCH("Missing Ship Date",AD530))),"Invalid",IF(AD530&lt;&gt;"","Warning","Clean"))</f>
        <v>Clean</v>
      </c>
    </row>
    <row r="531" customFormat="false" ht="15" hidden="false" customHeight="true" outlineLevel="0" collapsed="false">
      <c r="A531" s="3" t="s">
        <v>1607</v>
      </c>
      <c r="B531" s="4" t="n">
        <v>45328</v>
      </c>
      <c r="C531" s="4" t="n">
        <v>45330</v>
      </c>
      <c r="D531" s="3" t="s">
        <v>652</v>
      </c>
      <c r="E531" s="3" t="str">
        <f aca="false">PROPER(TRIM(SUBSTITUTE(Raw_Text_Fields!B532,CHAR(160)," ")))</f>
        <v>Karan Malhotra</v>
      </c>
      <c r="F531" s="3" t="str">
        <f aca="false">PROPER(TRIM(SUBSTITUTE(Raw_Text_Fields!C532,CHAR(160)," ")))</f>
        <v>Consumer</v>
      </c>
      <c r="G531" s="3" t="str">
        <f aca="false">PROPER(TRIM(SUBSTITUTE(Raw_Text_Fields!D532,CHAR(160)," ")))</f>
        <v>East</v>
      </c>
      <c r="H531" s="3" t="str">
        <f aca="false">PROPER(TRIM(SUBSTITUTE(Raw_Text_Fields!E532,CHAR(160)," ")))</f>
        <v>Jharkhand</v>
      </c>
      <c r="I531" s="3" t="str">
        <f aca="false">PROPER(TRIM(SUBSTITUTE(Raw_Text_Fields!F532,CHAR(160)," ")))</f>
        <v>Ranchi</v>
      </c>
      <c r="J531" s="3" t="str">
        <f aca="false">PROPER(TRIM(SUBSTITUTE(Raw_Text_Fields!G532,CHAR(160)," ")))</f>
        <v>Furniture</v>
      </c>
      <c r="K531" s="3" t="str">
        <f aca="false">PROPER(TRIM(SUBSTITUTE(Raw_Text_Fields!H532,CHAR(160)," ")))</f>
        <v>Bookcases</v>
      </c>
      <c r="L531" s="3" t="s">
        <v>1608</v>
      </c>
      <c r="M531" s="3" t="str">
        <f aca="false">PROPER(TRIM(SUBSTITUTE(Raw_Text_Fields!I532,CHAR(160)," ")))</f>
        <v>Second Class</v>
      </c>
      <c r="N531" s="3" t="n">
        <v>9</v>
      </c>
      <c r="O531" s="5" t="n">
        <v>1822.25</v>
      </c>
      <c r="P531" s="6" t="n">
        <v>0</v>
      </c>
      <c r="Q531" s="5" t="n">
        <v>16400.25</v>
      </c>
      <c r="R531" s="5" t="n">
        <v>12146.96</v>
      </c>
      <c r="S531" s="5" t="n">
        <v>4253.29</v>
      </c>
      <c r="T531" s="3" t="str">
        <f aca="false">PROPER(TRIM(SUBSTITUTE(Raw_Text_Fields!J532,CHAR(160)," ")))</f>
        <v>Paid</v>
      </c>
      <c r="U531" s="3" t="str">
        <f aca="false">PROPER(TRIM(SUBSTITUTE(Raw_Text_Fields!K532,CHAR(160)," ")))</f>
        <v>Completed</v>
      </c>
      <c r="V531" s="7" t="n">
        <f aca="false">IF(OR(P531&lt;0,P531&gt;0.5),0,P531)</f>
        <v>0</v>
      </c>
      <c r="W531" s="8" t="n">
        <f aca="false">N531*O531*(1-V531)</f>
        <v>16400.25</v>
      </c>
      <c r="X531" s="8" t="n">
        <f aca="false">W531-R531</f>
        <v>4253.29</v>
      </c>
      <c r="Y531" s="7" t="n">
        <f aca="false">IFERROR(X531/W531,0)</f>
        <v>0.259342997820155</v>
      </c>
      <c r="Z531" s="9" t="n">
        <f aca="false">C531-B531</f>
        <v>2</v>
      </c>
      <c r="AA531" s="1" t="str">
        <f aca="false">IF(B531="","",TEXT(B531,"mmm"))</f>
        <v>Feb</v>
      </c>
      <c r="AB531" s="9" t="n">
        <f aca="false">IF(B531="","",YEAR(B531))</f>
        <v>2024</v>
      </c>
      <c r="AC531" s="3"/>
      <c r="AD531" s="3" t="str">
        <f aca="false">IF(LEFT(AC531&amp;IF(B531="","; Missing Order Date","")&amp;IF(C531="","; Missing Ship Date","")&amp;IF(P531&lt;0,"; Invalid Discount (Negative)","")&amp;IF(P531&gt;0.5,"; Invalid Discount (Too High)","")&amp;IF(Z531&lt;0,"; Invalid Shipping Record (Ship Before Order)","")&amp;IF(ABS(Q531-W531)&gt;1,"; Sales Mismatch","")&amp;IF(ABS(S531-X531)&gt;1,"; Profit Mismatch","")&amp;IF(COUNTIF($A$2:$A$913,A531)&gt;1,"; Duplicate Order ID Conflict",""),2)="; ",MID(AC531&amp;IF(B531="","; Missing Order Date","")&amp;IF(C531="","; Missing Ship Date","")&amp;IF(P531&lt;0,"; Invalid Discount (Negative)","")&amp;IF(P531&gt;0.5,"; Invalid Discount (Too High)","")&amp;IF(Z531&lt;0,"; Invalid Shipping Record (Ship Before Order)","")&amp;IF(ABS(Q531-W531)&gt;1,"; Sales Mismatch","")&amp;IF(ABS(S531-X531)&gt;1,"; Profit Mismatch","")&amp;IF(COUNTIF($A$2:$A$913,A531)&gt;1,"; Duplicate Order ID Conflict",""),3,500),AC531&amp;IF(B531="","; Missing Order Date","")&amp;IF(C531="","; Missing Ship Date","")&amp;IF(P531&lt;0,"; Invalid Discount (Negative)","")&amp;IF(P531&gt;0.5,"; Invalid Discount (Too High)","")&amp;IF(Z531&lt;0,"; Invalid Shipping Record (Ship Before Order)","")&amp;IF(ABS(Q531-W531)&gt;1,"; Sales Mismatch","")&amp;IF(ABS(S531-X531)&gt;1,"; Profit Mismatch","")&amp;IF(COUNTIF($A$2:$A$913,A531)&gt;1,"; Duplicate Order ID Conflict",""))</f>
        <v/>
      </c>
      <c r="AE531" s="10" t="str">
        <f aca="false">IF(OR(ISNUMBER(SEARCH("Invalid Discount",AD531)),ISNUMBER(SEARCH("Invalid Shipping Record",AD531)),ISNUMBER(SEARCH("Sales Mismatch",AD531)),ISNUMBER(SEARCH("Profit Mismatch",AD531)),ISNUMBER(SEARCH("Duplicate Order ID Conflict",AD531)),ISNUMBER(SEARCH("Missing Order Date",AD531)),ISNUMBER(SEARCH("Missing Ship Date",AD531))),"Invalid",IF(AD531&lt;&gt;"","Warning","Clean"))</f>
        <v>Clean</v>
      </c>
    </row>
    <row r="532" customFormat="false" ht="15" hidden="false" customHeight="true" outlineLevel="0" collapsed="false">
      <c r="A532" s="3" t="s">
        <v>1609</v>
      </c>
      <c r="B532" s="4" t="n">
        <v>45807</v>
      </c>
      <c r="C532" s="4" t="n">
        <v>45809</v>
      </c>
      <c r="D532" s="3" t="s">
        <v>1610</v>
      </c>
      <c r="E532" s="3" t="str">
        <f aca="false">PROPER(TRIM(SUBSTITUTE(Raw_Text_Fields!B533,CHAR(160)," ")))</f>
        <v>Rahul Verma</v>
      </c>
      <c r="F532" s="3" t="str">
        <f aca="false">PROPER(TRIM(SUBSTITUTE(Raw_Text_Fields!C533,CHAR(160)," ")))</f>
        <v>Home Office</v>
      </c>
      <c r="G532" s="3" t="str">
        <f aca="false">PROPER(TRIM(SUBSTITUTE(Raw_Text_Fields!D533,CHAR(160)," ")))</f>
        <v>South</v>
      </c>
      <c r="H532" s="3" t="str">
        <f aca="false">PROPER(TRIM(SUBSTITUTE(Raw_Text_Fields!E533,CHAR(160)," ")))</f>
        <v>Tamil Nadu</v>
      </c>
      <c r="I532" s="3" t="str">
        <f aca="false">PROPER(TRIM(SUBSTITUTE(Raw_Text_Fields!F533,CHAR(160)," ")))</f>
        <v>Chennai</v>
      </c>
      <c r="J532" s="3" t="str">
        <f aca="false">PROPER(TRIM(SUBSTITUTE(Raw_Text_Fields!G533,CHAR(160)," ")))</f>
        <v>Office Supplies</v>
      </c>
      <c r="K532" s="3" t="str">
        <f aca="false">PROPER(TRIM(SUBSTITUTE(Raw_Text_Fields!H533,CHAR(160)," ")))</f>
        <v>Binders</v>
      </c>
      <c r="L532" s="3" t="s">
        <v>1611</v>
      </c>
      <c r="M532" s="3" t="str">
        <f aca="false">PROPER(TRIM(SUBSTITUTE(Raw_Text_Fields!I533,CHAR(160)," ")))</f>
        <v>Standard Class</v>
      </c>
      <c r="N532" s="3" t="n">
        <v>9</v>
      </c>
      <c r="O532" s="5" t="n">
        <v>1994.51</v>
      </c>
      <c r="P532" s="6" t="n">
        <v>0.05</v>
      </c>
      <c r="Q532" s="5" t="n">
        <v>17053.06</v>
      </c>
      <c r="R532" s="5" t="n">
        <v>10742.38</v>
      </c>
      <c r="S532" s="5" t="n">
        <v>6310.68</v>
      </c>
      <c r="T532" s="3" t="str">
        <f aca="false">PROPER(TRIM(SUBSTITUTE(Raw_Text_Fields!J533,CHAR(160)," ")))</f>
        <v>Paid</v>
      </c>
      <c r="U532" s="3" t="str">
        <f aca="false">PROPER(TRIM(SUBSTITUTE(Raw_Text_Fields!K533,CHAR(160)," ")))</f>
        <v>Completed</v>
      </c>
      <c r="V532" s="7" t="n">
        <f aca="false">IF(OR(P532&lt;0,P532&gt;0.5),0,P532)</f>
        <v>0.05</v>
      </c>
      <c r="W532" s="8" t="n">
        <f aca="false">N532*O532*(1-V532)</f>
        <v>17053.0605</v>
      </c>
      <c r="X532" s="8" t="n">
        <f aca="false">W532-R532</f>
        <v>6310.6805</v>
      </c>
      <c r="Y532" s="7" t="n">
        <f aca="false">IFERROR(X532/W532,0)</f>
        <v>0.370061461988011</v>
      </c>
      <c r="Z532" s="9" t="n">
        <f aca="false">C532-B532</f>
        <v>2</v>
      </c>
      <c r="AA532" s="1" t="str">
        <f aca="false">IF(B532="","",TEXT(B532,"mmm"))</f>
        <v>May</v>
      </c>
      <c r="AB532" s="9" t="n">
        <f aca="false">IF(B532="","",YEAR(B532))</f>
        <v>2025</v>
      </c>
      <c r="AC532" s="3"/>
      <c r="AD532" s="3" t="str">
        <f aca="false">IF(LEFT(AC532&amp;IF(B532="","; Missing Order Date","")&amp;IF(C532="","; Missing Ship Date","")&amp;IF(P532&lt;0,"; Invalid Discount (Negative)","")&amp;IF(P532&gt;0.5,"; Invalid Discount (Too High)","")&amp;IF(Z532&lt;0,"; Invalid Shipping Record (Ship Before Order)","")&amp;IF(ABS(Q532-W532)&gt;1,"; Sales Mismatch","")&amp;IF(ABS(S532-X532)&gt;1,"; Profit Mismatch","")&amp;IF(COUNTIF($A$2:$A$913,A532)&gt;1,"; Duplicate Order ID Conflict",""),2)="; ",MID(AC532&amp;IF(B532="","; Missing Order Date","")&amp;IF(C532="","; Missing Ship Date","")&amp;IF(P532&lt;0,"; Invalid Discount (Negative)","")&amp;IF(P532&gt;0.5,"; Invalid Discount (Too High)","")&amp;IF(Z532&lt;0,"; Invalid Shipping Record (Ship Before Order)","")&amp;IF(ABS(Q532-W532)&gt;1,"; Sales Mismatch","")&amp;IF(ABS(S532-X532)&gt;1,"; Profit Mismatch","")&amp;IF(COUNTIF($A$2:$A$913,A532)&gt;1,"; Duplicate Order ID Conflict",""),3,500),AC532&amp;IF(B532="","; Missing Order Date","")&amp;IF(C532="","; Missing Ship Date","")&amp;IF(P532&lt;0,"; Invalid Discount (Negative)","")&amp;IF(P532&gt;0.5,"; Invalid Discount (Too High)","")&amp;IF(Z532&lt;0,"; Invalid Shipping Record (Ship Before Order)","")&amp;IF(ABS(Q532-W532)&gt;1,"; Sales Mismatch","")&amp;IF(ABS(S532-X532)&gt;1,"; Profit Mismatch","")&amp;IF(COUNTIF($A$2:$A$913,A532)&gt;1,"; Duplicate Order ID Conflict",""))</f>
        <v/>
      </c>
      <c r="AE532" s="10" t="str">
        <f aca="false">IF(OR(ISNUMBER(SEARCH("Invalid Discount",AD532)),ISNUMBER(SEARCH("Invalid Shipping Record",AD532)),ISNUMBER(SEARCH("Sales Mismatch",AD532)),ISNUMBER(SEARCH("Profit Mismatch",AD532)),ISNUMBER(SEARCH("Duplicate Order ID Conflict",AD532)),ISNUMBER(SEARCH("Missing Order Date",AD532)),ISNUMBER(SEARCH("Missing Ship Date",AD532))),"Invalid",IF(AD532&lt;&gt;"","Warning","Clean"))</f>
        <v>Clean</v>
      </c>
    </row>
    <row r="533" customFormat="false" ht="15" hidden="false" customHeight="true" outlineLevel="0" collapsed="false">
      <c r="A533" s="3" t="s">
        <v>1612</v>
      </c>
      <c r="B533" s="4" t="n">
        <v>45505</v>
      </c>
      <c r="C533" s="4" t="n">
        <v>45512</v>
      </c>
      <c r="D533" s="3" t="s">
        <v>1613</v>
      </c>
      <c r="E533" s="3" t="str">
        <f aca="false">PROPER(TRIM(SUBSTITUTE(Raw_Text_Fields!B534,CHAR(160)," ")))</f>
        <v>Diya Patel</v>
      </c>
      <c r="F533" s="3" t="str">
        <f aca="false">PROPER(TRIM(SUBSTITUTE(Raw_Text_Fields!C534,CHAR(160)," ")))</f>
        <v>Small Business</v>
      </c>
      <c r="G533" s="3" t="str">
        <f aca="false">PROPER(TRIM(SUBSTITUTE(Raw_Text_Fields!D534,CHAR(160)," ")))</f>
        <v>West</v>
      </c>
      <c r="H533" s="3" t="str">
        <f aca="false">PROPER(TRIM(SUBSTITUTE(Raw_Text_Fields!E534,CHAR(160)," ")))</f>
        <v>Maharashtra</v>
      </c>
      <c r="I533" s="3" t="str">
        <f aca="false">PROPER(TRIM(SUBSTITUTE(Raw_Text_Fields!F534,CHAR(160)," ")))</f>
        <v>Mumbai</v>
      </c>
      <c r="J533" s="3" t="str">
        <f aca="false">PROPER(TRIM(SUBSTITUTE(Raw_Text_Fields!G534,CHAR(160)," ")))</f>
        <v>Office Supplies</v>
      </c>
      <c r="K533" s="3" t="str">
        <f aca="false">PROPER(TRIM(SUBSTITUTE(Raw_Text_Fields!H534,CHAR(160)," ")))</f>
        <v>Storage</v>
      </c>
      <c r="L533" s="3" t="s">
        <v>1614</v>
      </c>
      <c r="M533" s="3" t="str">
        <f aca="false">PROPER(TRIM(SUBSTITUTE(Raw_Text_Fields!I534,CHAR(160)," ")))</f>
        <v>Unknown</v>
      </c>
      <c r="N533" s="3" t="n">
        <v>1</v>
      </c>
      <c r="O533" s="5" t="n">
        <v>442.97</v>
      </c>
      <c r="P533" s="6" t="n">
        <v>0.1</v>
      </c>
      <c r="Q533" s="5" t="n">
        <v>398.67</v>
      </c>
      <c r="R533" s="5" t="n">
        <v>311.66</v>
      </c>
      <c r="S533" s="5" t="n">
        <v>87.01</v>
      </c>
      <c r="T533" s="3" t="str">
        <f aca="false">PROPER(TRIM(SUBSTITUTE(Raw_Text_Fields!J534,CHAR(160)," ")))</f>
        <v>Paid</v>
      </c>
      <c r="U533" s="3" t="str">
        <f aca="false">PROPER(TRIM(SUBSTITUTE(Raw_Text_Fields!K534,CHAR(160)," ")))</f>
        <v>Completed</v>
      </c>
      <c r="V533" s="7" t="n">
        <f aca="false">IF(OR(P533&lt;0,P533&gt;0.5),0,P533)</f>
        <v>0.1</v>
      </c>
      <c r="W533" s="8" t="n">
        <f aca="false">N533*O533*(1-V533)</f>
        <v>398.673</v>
      </c>
      <c r="X533" s="8" t="n">
        <f aca="false">W533-R533</f>
        <v>87.013</v>
      </c>
      <c r="Y533" s="7" t="n">
        <f aca="false">IFERROR(X533/W533,0)</f>
        <v>0.21825656615823</v>
      </c>
      <c r="Z533" s="9" t="n">
        <f aca="false">C533-B533</f>
        <v>7</v>
      </c>
      <c r="AA533" s="1" t="str">
        <f aca="false">IF(B533="","",TEXT(B533,"mmm"))</f>
        <v>Aug</v>
      </c>
      <c r="AB533" s="9" t="n">
        <f aca="false">IF(B533="","",YEAR(B533))</f>
        <v>2024</v>
      </c>
      <c r="AC533" s="3" t="s">
        <v>137</v>
      </c>
      <c r="AD533" s="3" t="str">
        <f aca="false">IF(LEFT(AC533&amp;IF(B533="","; Missing Order Date","")&amp;IF(C533="","; Missing Ship Date","")&amp;IF(P533&lt;0,"; Invalid Discount (Negative)","")&amp;IF(P533&gt;0.5,"; Invalid Discount (Too High)","")&amp;IF(Z533&lt;0,"; Invalid Shipping Record (Ship Before Order)","")&amp;IF(ABS(Q533-W533)&gt;1,"; Sales Mismatch","")&amp;IF(ABS(S533-X533)&gt;1,"; Profit Mismatch","")&amp;IF(COUNTIF($A$2:$A$913,A533)&gt;1,"; Duplicate Order ID Conflict",""),2)="; ",MID(AC533&amp;IF(B533="","; Missing Order Date","")&amp;IF(C533="","; Missing Ship Date","")&amp;IF(P533&lt;0,"; Invalid Discount (Negative)","")&amp;IF(P533&gt;0.5,"; Invalid Discount (Too High)","")&amp;IF(Z533&lt;0,"; Invalid Shipping Record (Ship Before Order)","")&amp;IF(ABS(Q533-W533)&gt;1,"; Sales Mismatch","")&amp;IF(ABS(S533-X533)&gt;1,"; Profit Mismatch","")&amp;IF(COUNTIF($A$2:$A$913,A533)&gt;1,"; Duplicate Order ID Conflict",""),3,500),AC533&amp;IF(B533="","; Missing Order Date","")&amp;IF(C533="","; Missing Ship Date","")&amp;IF(P533&lt;0,"; Invalid Discount (Negative)","")&amp;IF(P533&gt;0.5,"; Invalid Discount (Too High)","")&amp;IF(Z533&lt;0,"; Invalid Shipping Record (Ship Before Order)","")&amp;IF(ABS(Q533-W533)&gt;1,"; Sales Mismatch","")&amp;IF(ABS(S533-X533)&gt;1,"; Profit Mismatch","")&amp;IF(COUNTIF($A$2:$A$913,A533)&gt;1,"; Duplicate Order ID Conflict",""))</f>
        <v>Missing Ship Mode (filled Unknown)</v>
      </c>
      <c r="AE533" s="10" t="str">
        <f aca="false">IF(OR(ISNUMBER(SEARCH("Invalid Discount",AD533)),ISNUMBER(SEARCH("Invalid Shipping Record",AD533)),ISNUMBER(SEARCH("Sales Mismatch",AD533)),ISNUMBER(SEARCH("Profit Mismatch",AD533)),ISNUMBER(SEARCH("Duplicate Order ID Conflict",AD533)),ISNUMBER(SEARCH("Missing Order Date",AD533)),ISNUMBER(SEARCH("Missing Ship Date",AD533))),"Invalid",IF(AD533&lt;&gt;"","Warning","Clean"))</f>
        <v>Warning</v>
      </c>
    </row>
    <row r="534" customFormat="false" ht="15" hidden="false" customHeight="true" outlineLevel="0" collapsed="false">
      <c r="A534" s="3" t="s">
        <v>1615</v>
      </c>
      <c r="B534" s="4" t="n">
        <v>45935</v>
      </c>
      <c r="C534" s="4" t="n">
        <v>45940</v>
      </c>
      <c r="D534" s="3" t="s">
        <v>1616</v>
      </c>
      <c r="E534" s="3" t="str">
        <f aca="false">PROPER(TRIM(SUBSTITUTE(Raw_Text_Fields!B535,CHAR(160)," ")))</f>
        <v>Priya Menon</v>
      </c>
      <c r="F534" s="3" t="str">
        <f aca="false">PROPER(TRIM(SUBSTITUTE(Raw_Text_Fields!C535,CHAR(160)," ")))</f>
        <v>Corporate</v>
      </c>
      <c r="G534" s="3" t="str">
        <f aca="false">PROPER(TRIM(SUBSTITUTE(Raw_Text_Fields!D535,CHAR(160)," ")))</f>
        <v>East</v>
      </c>
      <c r="H534" s="3" t="str">
        <f aca="false">PROPER(TRIM(SUBSTITUTE(Raw_Text_Fields!E535,CHAR(160)," ")))</f>
        <v>Assam</v>
      </c>
      <c r="I534" s="3" t="str">
        <f aca="false">PROPER(TRIM(SUBSTITUTE(Raw_Text_Fields!F535,CHAR(160)," ")))</f>
        <v>Guwahati</v>
      </c>
      <c r="J534" s="3" t="str">
        <f aca="false">PROPER(TRIM(SUBSTITUTE(Raw_Text_Fields!G535,CHAR(160)," ")))</f>
        <v>Furniture</v>
      </c>
      <c r="K534" s="3" t="str">
        <f aca="false">PROPER(TRIM(SUBSTITUTE(Raw_Text_Fields!H535,CHAR(160)," ")))</f>
        <v>Tables</v>
      </c>
      <c r="L534" s="3" t="s">
        <v>1617</v>
      </c>
      <c r="M534" s="3" t="str">
        <f aca="false">PROPER(TRIM(SUBSTITUTE(Raw_Text_Fields!I535,CHAR(160)," ")))</f>
        <v>Second Class</v>
      </c>
      <c r="N534" s="3" t="n">
        <v>9</v>
      </c>
      <c r="O534" s="5" t="n">
        <v>2089.14</v>
      </c>
      <c r="P534" s="6" t="n">
        <v>0.05</v>
      </c>
      <c r="Q534" s="5" t="n">
        <v>17862.15</v>
      </c>
      <c r="R534" s="5" t="n">
        <v>9892.21</v>
      </c>
      <c r="S534" s="5" t="n">
        <v>7969.94</v>
      </c>
      <c r="T534" s="3" t="str">
        <f aca="false">PROPER(TRIM(SUBSTITUTE(Raw_Text_Fields!J535,CHAR(160)," ")))</f>
        <v>Failed</v>
      </c>
      <c r="U534" s="3" t="str">
        <f aca="false">PROPER(TRIM(SUBSTITUTE(Raw_Text_Fields!K535,CHAR(160)," ")))</f>
        <v>Cancelled</v>
      </c>
      <c r="V534" s="7" t="n">
        <f aca="false">IF(OR(P534&lt;0,P534&gt;0.5),0,P534)</f>
        <v>0.05</v>
      </c>
      <c r="W534" s="8" t="n">
        <f aca="false">N534*O534*(1-V534)</f>
        <v>17862.147</v>
      </c>
      <c r="X534" s="8" t="n">
        <f aca="false">W534-R534</f>
        <v>7969.937</v>
      </c>
      <c r="Y534" s="7" t="n">
        <f aca="false">IFERROR(X534/W534,0)</f>
        <v>0.44619143488182</v>
      </c>
      <c r="Z534" s="9" t="n">
        <f aca="false">C534-B534</f>
        <v>5</v>
      </c>
      <c r="AA534" s="1" t="str">
        <f aca="false">IF(B534="","",TEXT(B534,"mmm"))</f>
        <v>Oct</v>
      </c>
      <c r="AB534" s="9" t="n">
        <f aca="false">IF(B534="","",YEAR(B534))</f>
        <v>2025</v>
      </c>
      <c r="AC534" s="3"/>
      <c r="AD534" s="3" t="str">
        <f aca="false">IF(LEFT(AC534&amp;IF(B534="","; Missing Order Date","")&amp;IF(C534="","; Missing Ship Date","")&amp;IF(P534&lt;0,"; Invalid Discount (Negative)","")&amp;IF(P534&gt;0.5,"; Invalid Discount (Too High)","")&amp;IF(Z534&lt;0,"; Invalid Shipping Record (Ship Before Order)","")&amp;IF(ABS(Q534-W534)&gt;1,"; Sales Mismatch","")&amp;IF(ABS(S534-X534)&gt;1,"; Profit Mismatch","")&amp;IF(COUNTIF($A$2:$A$913,A534)&gt;1,"; Duplicate Order ID Conflict",""),2)="; ",MID(AC534&amp;IF(B534="","; Missing Order Date","")&amp;IF(C534="","; Missing Ship Date","")&amp;IF(P534&lt;0,"; Invalid Discount (Negative)","")&amp;IF(P534&gt;0.5,"; Invalid Discount (Too High)","")&amp;IF(Z534&lt;0,"; Invalid Shipping Record (Ship Before Order)","")&amp;IF(ABS(Q534-W534)&gt;1,"; Sales Mismatch","")&amp;IF(ABS(S534-X534)&gt;1,"; Profit Mismatch","")&amp;IF(COUNTIF($A$2:$A$913,A534)&gt;1,"; Duplicate Order ID Conflict",""),3,500),AC534&amp;IF(B534="","; Missing Order Date","")&amp;IF(C534="","; Missing Ship Date","")&amp;IF(P534&lt;0,"; Invalid Discount (Negative)","")&amp;IF(P534&gt;0.5,"; Invalid Discount (Too High)","")&amp;IF(Z534&lt;0,"; Invalid Shipping Record (Ship Before Order)","")&amp;IF(ABS(Q534-W534)&gt;1,"; Sales Mismatch","")&amp;IF(ABS(S534-X534)&gt;1,"; Profit Mismatch","")&amp;IF(COUNTIF($A$2:$A$913,A534)&gt;1,"; Duplicate Order ID Conflict",""))</f>
        <v/>
      </c>
      <c r="AE534" s="10" t="str">
        <f aca="false">IF(OR(ISNUMBER(SEARCH("Invalid Discount",AD534)),ISNUMBER(SEARCH("Invalid Shipping Record",AD534)),ISNUMBER(SEARCH("Sales Mismatch",AD534)),ISNUMBER(SEARCH("Profit Mismatch",AD534)),ISNUMBER(SEARCH("Duplicate Order ID Conflict",AD534)),ISNUMBER(SEARCH("Missing Order Date",AD534)),ISNUMBER(SEARCH("Missing Ship Date",AD534))),"Invalid",IF(AD534&lt;&gt;"","Warning","Clean"))</f>
        <v>Clean</v>
      </c>
    </row>
    <row r="535" customFormat="false" ht="15" hidden="false" customHeight="true" outlineLevel="0" collapsed="false">
      <c r="A535" s="3" t="s">
        <v>1618</v>
      </c>
      <c r="B535" s="4" t="n">
        <v>45529</v>
      </c>
      <c r="C535" s="4" t="n">
        <v>45536</v>
      </c>
      <c r="D535" s="3" t="s">
        <v>1619</v>
      </c>
      <c r="E535" s="3" t="str">
        <f aca="false">PROPER(TRIM(SUBSTITUTE(Raw_Text_Fields!B536,CHAR(160)," ")))</f>
        <v>Isha Nair</v>
      </c>
      <c r="F535" s="3" t="str">
        <f aca="false">PROPER(TRIM(SUBSTITUTE(Raw_Text_Fields!C536,CHAR(160)," ")))</f>
        <v>Home Office</v>
      </c>
      <c r="G535" s="3" t="str">
        <f aca="false">PROPER(TRIM(SUBSTITUTE(Raw_Text_Fields!D536,CHAR(160)," ")))</f>
        <v>North</v>
      </c>
      <c r="H535" s="3" t="str">
        <f aca="false">PROPER(TRIM(SUBSTITUTE(Raw_Text_Fields!E536,CHAR(160)," ")))</f>
        <v>Rajasthan</v>
      </c>
      <c r="I535" s="3" t="str">
        <f aca="false">PROPER(TRIM(SUBSTITUTE(Raw_Text_Fields!F536,CHAR(160)," ")))</f>
        <v>Jaipur</v>
      </c>
      <c r="J535" s="3" t="str">
        <f aca="false">PROPER(TRIM(SUBSTITUTE(Raw_Text_Fields!G536,CHAR(160)," ")))</f>
        <v>Furniture</v>
      </c>
      <c r="K535" s="3" t="str">
        <f aca="false">PROPER(TRIM(SUBSTITUTE(Raw_Text_Fields!H536,CHAR(160)," ")))</f>
        <v>Tables</v>
      </c>
      <c r="L535" s="3" t="s">
        <v>1620</v>
      </c>
      <c r="M535" s="3" t="str">
        <f aca="false">PROPER(TRIM(SUBSTITUTE(Raw_Text_Fields!I536,CHAR(160)," ")))</f>
        <v>Same Day</v>
      </c>
      <c r="N535" s="3" t="n">
        <v>6</v>
      </c>
      <c r="O535" s="5" t="n">
        <v>481.3</v>
      </c>
      <c r="P535" s="6" t="n">
        <v>0.25</v>
      </c>
      <c r="Q535" s="5" t="n">
        <v>2165.85</v>
      </c>
      <c r="R535" s="5" t="n">
        <v>2124.48</v>
      </c>
      <c r="S535" s="5" t="n">
        <v>430.45</v>
      </c>
      <c r="T535" s="3" t="str">
        <f aca="false">PROPER(TRIM(SUBSTITUTE(Raw_Text_Fields!J536,CHAR(160)," ")))</f>
        <v>Paid</v>
      </c>
      <c r="U535" s="3" t="str">
        <f aca="false">PROPER(TRIM(SUBSTITUTE(Raw_Text_Fields!K536,CHAR(160)," ")))</f>
        <v>Completed</v>
      </c>
      <c r="V535" s="7" t="n">
        <f aca="false">IF(OR(P535&lt;0,P535&gt;0.5),0,P535)</f>
        <v>0.25</v>
      </c>
      <c r="W535" s="8" t="n">
        <f aca="false">N535*O535*(1-V535)</f>
        <v>2165.85</v>
      </c>
      <c r="X535" s="8" t="n">
        <f aca="false">W535-R535</f>
        <v>41.3700000000003</v>
      </c>
      <c r="Y535" s="7" t="n">
        <f aca="false">IFERROR(X535/W535,0)</f>
        <v>0.0191010457787937</v>
      </c>
      <c r="Z535" s="9" t="n">
        <f aca="false">C535-B535</f>
        <v>7</v>
      </c>
      <c r="AA535" s="1" t="str">
        <f aca="false">IF(B535="","",TEXT(B535,"mmm"))</f>
        <v>Aug</v>
      </c>
      <c r="AB535" s="9" t="n">
        <f aca="false">IF(B535="","",YEAR(B535))</f>
        <v>2024</v>
      </c>
      <c r="AC535" s="3"/>
      <c r="AD535" s="3" t="str">
        <f aca="false">IF(LEFT(AC535&amp;IF(B535="","; Missing Order Date","")&amp;IF(C535="","; Missing Ship Date","")&amp;IF(P535&lt;0,"; Invalid Discount (Negative)","")&amp;IF(P535&gt;0.5,"; Invalid Discount (Too High)","")&amp;IF(Z535&lt;0,"; Invalid Shipping Record (Ship Before Order)","")&amp;IF(ABS(Q535-W535)&gt;1,"; Sales Mismatch","")&amp;IF(ABS(S535-X535)&gt;1,"; Profit Mismatch","")&amp;IF(COUNTIF($A$2:$A$913,A535)&gt;1,"; Duplicate Order ID Conflict",""),2)="; ",MID(AC535&amp;IF(B535="","; Missing Order Date","")&amp;IF(C535="","; Missing Ship Date","")&amp;IF(P535&lt;0,"; Invalid Discount (Negative)","")&amp;IF(P535&gt;0.5,"; Invalid Discount (Too High)","")&amp;IF(Z535&lt;0,"; Invalid Shipping Record (Ship Before Order)","")&amp;IF(ABS(Q535-W535)&gt;1,"; Sales Mismatch","")&amp;IF(ABS(S535-X535)&gt;1,"; Profit Mismatch","")&amp;IF(COUNTIF($A$2:$A$913,A535)&gt;1,"; Duplicate Order ID Conflict",""),3,500),AC535&amp;IF(B535="","; Missing Order Date","")&amp;IF(C535="","; Missing Ship Date","")&amp;IF(P535&lt;0,"; Invalid Discount (Negative)","")&amp;IF(P535&gt;0.5,"; Invalid Discount (Too High)","")&amp;IF(Z535&lt;0,"; Invalid Shipping Record (Ship Before Order)","")&amp;IF(ABS(Q535-W535)&gt;1,"; Sales Mismatch","")&amp;IF(ABS(S535-X535)&gt;1,"; Profit Mismatch","")&amp;IF(COUNTIF($A$2:$A$913,A535)&gt;1,"; Duplicate Order ID Conflict",""))</f>
        <v>Profit Mismatch</v>
      </c>
      <c r="AE535" s="10" t="str">
        <f aca="false">IF(OR(ISNUMBER(SEARCH("Invalid Discount",AD535)),ISNUMBER(SEARCH("Invalid Shipping Record",AD535)),ISNUMBER(SEARCH("Sales Mismatch",AD535)),ISNUMBER(SEARCH("Profit Mismatch",AD535)),ISNUMBER(SEARCH("Duplicate Order ID Conflict",AD535)),ISNUMBER(SEARCH("Missing Order Date",AD535)),ISNUMBER(SEARCH("Missing Ship Date",AD535))),"Invalid",IF(AD535&lt;&gt;"","Warning","Clean"))</f>
        <v>Invalid</v>
      </c>
    </row>
    <row r="536" customFormat="false" ht="15" hidden="false" customHeight="true" outlineLevel="0" collapsed="false">
      <c r="A536" s="3" t="s">
        <v>1621</v>
      </c>
      <c r="B536" s="4" t="n">
        <v>45774</v>
      </c>
      <c r="C536" s="4" t="n">
        <v>45782</v>
      </c>
      <c r="D536" s="3" t="s">
        <v>1622</v>
      </c>
      <c r="E536" s="3" t="str">
        <f aca="false">PROPER(TRIM(SUBSTITUTE(Raw_Text_Fields!B537,CHAR(160)," ")))</f>
        <v>Rohan Mehta</v>
      </c>
      <c r="F536" s="3" t="str">
        <f aca="false">PROPER(TRIM(SUBSTITUTE(Raw_Text_Fields!C537,CHAR(160)," ")))</f>
        <v>Home Office</v>
      </c>
      <c r="G536" s="3" t="str">
        <f aca="false">PROPER(TRIM(SUBSTITUTE(Raw_Text_Fields!D537,CHAR(160)," ")))</f>
        <v>East</v>
      </c>
      <c r="H536" s="3" t="str">
        <f aca="false">PROPER(TRIM(SUBSTITUTE(Raw_Text_Fields!E537,CHAR(160)," ")))</f>
        <v>Bihar</v>
      </c>
      <c r="I536" s="3" t="str">
        <f aca="false">PROPER(TRIM(SUBSTITUTE(Raw_Text_Fields!F537,CHAR(160)," ")))</f>
        <v>Patna</v>
      </c>
      <c r="J536" s="3" t="str">
        <f aca="false">PROPER(TRIM(SUBSTITUTE(Raw_Text_Fields!G537,CHAR(160)," ")))</f>
        <v>Technology</v>
      </c>
      <c r="K536" s="3" t="str">
        <f aca="false">PROPER(TRIM(SUBSTITUTE(Raw_Text_Fields!H537,CHAR(160)," ")))</f>
        <v>Accessories</v>
      </c>
      <c r="L536" s="3" t="s">
        <v>1623</v>
      </c>
      <c r="M536" s="3" t="str">
        <f aca="false">PROPER(TRIM(SUBSTITUTE(Raw_Text_Fields!I537,CHAR(160)," ")))</f>
        <v>Second Class</v>
      </c>
      <c r="N536" s="3" t="n">
        <v>4</v>
      </c>
      <c r="O536" s="5" t="n">
        <v>3963.39</v>
      </c>
      <c r="P536" s="6" t="n">
        <v>0.1</v>
      </c>
      <c r="Q536" s="5" t="n">
        <v>14268.2</v>
      </c>
      <c r="R536" s="5" t="n">
        <v>11705.3</v>
      </c>
      <c r="S536" s="5" t="n">
        <v>2562.9</v>
      </c>
      <c r="T536" s="3" t="str">
        <f aca="false">PROPER(TRIM(SUBSTITUTE(Raw_Text_Fields!J537,CHAR(160)," ")))</f>
        <v>Pending</v>
      </c>
      <c r="U536" s="3" t="str">
        <f aca="false">PROPER(TRIM(SUBSTITUTE(Raw_Text_Fields!K537,CHAR(160)," ")))</f>
        <v>Returned</v>
      </c>
      <c r="V536" s="7" t="n">
        <f aca="false">IF(OR(P536&lt;0,P536&gt;0.5),0,P536)</f>
        <v>0.1</v>
      </c>
      <c r="W536" s="8" t="n">
        <f aca="false">N536*O536*(1-V536)</f>
        <v>14268.204</v>
      </c>
      <c r="X536" s="8" t="n">
        <f aca="false">W536-R536</f>
        <v>2562.904</v>
      </c>
      <c r="Y536" s="7" t="n">
        <f aca="false">IFERROR(X536/W536,0)</f>
        <v>0.179623448052747</v>
      </c>
      <c r="Z536" s="9" t="n">
        <f aca="false">C536-B536</f>
        <v>8</v>
      </c>
      <c r="AA536" s="1" t="str">
        <f aca="false">IF(B536="","",TEXT(B536,"mmm"))</f>
        <v>Apr</v>
      </c>
      <c r="AB536" s="9" t="n">
        <f aca="false">IF(B536="","",YEAR(B536))</f>
        <v>2025</v>
      </c>
      <c r="AC536" s="3"/>
      <c r="AD536" s="3" t="str">
        <f aca="false">IF(LEFT(AC536&amp;IF(B536="","; Missing Order Date","")&amp;IF(C536="","; Missing Ship Date","")&amp;IF(P536&lt;0,"; Invalid Discount (Negative)","")&amp;IF(P536&gt;0.5,"; Invalid Discount (Too High)","")&amp;IF(Z536&lt;0,"; Invalid Shipping Record (Ship Before Order)","")&amp;IF(ABS(Q536-W536)&gt;1,"; Sales Mismatch","")&amp;IF(ABS(S536-X536)&gt;1,"; Profit Mismatch","")&amp;IF(COUNTIF($A$2:$A$913,A536)&gt;1,"; Duplicate Order ID Conflict",""),2)="; ",MID(AC536&amp;IF(B536="","; Missing Order Date","")&amp;IF(C536="","; Missing Ship Date","")&amp;IF(P536&lt;0,"; Invalid Discount (Negative)","")&amp;IF(P536&gt;0.5,"; Invalid Discount (Too High)","")&amp;IF(Z536&lt;0,"; Invalid Shipping Record (Ship Before Order)","")&amp;IF(ABS(Q536-W536)&gt;1,"; Sales Mismatch","")&amp;IF(ABS(S536-X536)&gt;1,"; Profit Mismatch","")&amp;IF(COUNTIF($A$2:$A$913,A536)&gt;1,"; Duplicate Order ID Conflict",""),3,500),AC536&amp;IF(B536="","; Missing Order Date","")&amp;IF(C536="","; Missing Ship Date","")&amp;IF(P536&lt;0,"; Invalid Discount (Negative)","")&amp;IF(P536&gt;0.5,"; Invalid Discount (Too High)","")&amp;IF(Z536&lt;0,"; Invalid Shipping Record (Ship Before Order)","")&amp;IF(ABS(Q536-W536)&gt;1,"; Sales Mismatch","")&amp;IF(ABS(S536-X536)&gt;1,"; Profit Mismatch","")&amp;IF(COUNTIF($A$2:$A$913,A536)&gt;1,"; Duplicate Order ID Conflict",""))</f>
        <v/>
      </c>
      <c r="AE536" s="10" t="str">
        <f aca="false">IF(OR(ISNUMBER(SEARCH("Invalid Discount",AD536)),ISNUMBER(SEARCH("Invalid Shipping Record",AD536)),ISNUMBER(SEARCH("Sales Mismatch",AD536)),ISNUMBER(SEARCH("Profit Mismatch",AD536)),ISNUMBER(SEARCH("Duplicate Order ID Conflict",AD536)),ISNUMBER(SEARCH("Missing Order Date",AD536)),ISNUMBER(SEARCH("Missing Ship Date",AD536))),"Invalid",IF(AD536&lt;&gt;"","Warning","Clean"))</f>
        <v>Clean</v>
      </c>
    </row>
    <row r="537" customFormat="false" ht="15" hidden="false" customHeight="true" outlineLevel="0" collapsed="false">
      <c r="A537" s="3" t="s">
        <v>1624</v>
      </c>
      <c r="B537" s="4" t="n">
        <v>45431</v>
      </c>
      <c r="C537" s="4" t="n">
        <v>45433</v>
      </c>
      <c r="D537" s="3" t="s">
        <v>1625</v>
      </c>
      <c r="E537" s="3" t="str">
        <f aca="false">PROPER(TRIM(SUBSTITUTE(Raw_Text_Fields!B538,CHAR(160)," ")))</f>
        <v>Diya Patel</v>
      </c>
      <c r="F537" s="3" t="str">
        <f aca="false">PROPER(TRIM(SUBSTITUTE(Raw_Text_Fields!C538,CHAR(160)," ")))</f>
        <v>Small Business</v>
      </c>
      <c r="G537" s="3" t="str">
        <f aca="false">PROPER(TRIM(SUBSTITUTE(Raw_Text_Fields!D538,CHAR(160)," ")))</f>
        <v>West</v>
      </c>
      <c r="H537" s="3" t="str">
        <f aca="false">PROPER(TRIM(SUBSTITUTE(Raw_Text_Fields!E538,CHAR(160)," ")))</f>
        <v>Maharashtra</v>
      </c>
      <c r="I537" s="3" t="str">
        <f aca="false">PROPER(TRIM(SUBSTITUTE(Raw_Text_Fields!F538,CHAR(160)," ")))</f>
        <v>Mumbai</v>
      </c>
      <c r="J537" s="3" t="str">
        <f aca="false">PROPER(TRIM(SUBSTITUTE(Raw_Text_Fields!G538,CHAR(160)," ")))</f>
        <v>Technology</v>
      </c>
      <c r="K537" s="3" t="str">
        <f aca="false">PROPER(TRIM(SUBSTITUTE(Raw_Text_Fields!H538,CHAR(160)," ")))</f>
        <v>Copiers</v>
      </c>
      <c r="L537" s="3" t="s">
        <v>1626</v>
      </c>
      <c r="M537" s="3" t="str">
        <f aca="false">PROPER(TRIM(SUBSTITUTE(Raw_Text_Fields!I538,CHAR(160)," ")))</f>
        <v>First Class</v>
      </c>
      <c r="N537" s="3" t="n">
        <v>3</v>
      </c>
      <c r="O537" s="5" t="n">
        <v>4000.98</v>
      </c>
      <c r="P537" s="6" t="n">
        <v>0.2</v>
      </c>
      <c r="Q537" s="5" t="n">
        <v>9602.35</v>
      </c>
      <c r="R537" s="5" t="n">
        <v>7387.57</v>
      </c>
      <c r="S537" s="5" t="n">
        <v>2214.78</v>
      </c>
      <c r="T537" s="3" t="str">
        <f aca="false">PROPER(TRIM(SUBSTITUTE(Raw_Text_Fields!J538,CHAR(160)," ")))</f>
        <v>Paid</v>
      </c>
      <c r="U537" s="3" t="str">
        <f aca="false">PROPER(TRIM(SUBSTITUTE(Raw_Text_Fields!K538,CHAR(160)," ")))</f>
        <v>Completed</v>
      </c>
      <c r="V537" s="7" t="n">
        <f aca="false">IF(OR(P537&lt;0,P537&gt;0.5),0,P537)</f>
        <v>0.2</v>
      </c>
      <c r="W537" s="8" t="n">
        <f aca="false">N537*O537*(1-V537)</f>
        <v>9602.352</v>
      </c>
      <c r="X537" s="8" t="n">
        <f aca="false">W537-R537</f>
        <v>2214.782</v>
      </c>
      <c r="Y537" s="7" t="n">
        <f aca="false">IFERROR(X537/W537,0)</f>
        <v>0.230649949095805</v>
      </c>
      <c r="Z537" s="9" t="n">
        <f aca="false">C537-B537</f>
        <v>2</v>
      </c>
      <c r="AA537" s="1" t="str">
        <f aca="false">IF(B537="","",TEXT(B537,"mmm"))</f>
        <v>May</v>
      </c>
      <c r="AB537" s="9" t="n">
        <f aca="false">IF(B537="","",YEAR(B537))</f>
        <v>2024</v>
      </c>
      <c r="AC537" s="3"/>
      <c r="AD537" s="3" t="str">
        <f aca="false">IF(LEFT(AC537&amp;IF(B537="","; Missing Order Date","")&amp;IF(C537="","; Missing Ship Date","")&amp;IF(P537&lt;0,"; Invalid Discount (Negative)","")&amp;IF(P537&gt;0.5,"; Invalid Discount (Too High)","")&amp;IF(Z537&lt;0,"; Invalid Shipping Record (Ship Before Order)","")&amp;IF(ABS(Q537-W537)&gt;1,"; Sales Mismatch","")&amp;IF(ABS(S537-X537)&gt;1,"; Profit Mismatch","")&amp;IF(COUNTIF($A$2:$A$913,A537)&gt;1,"; Duplicate Order ID Conflict",""),2)="; ",MID(AC537&amp;IF(B537="","; Missing Order Date","")&amp;IF(C537="","; Missing Ship Date","")&amp;IF(P537&lt;0,"; Invalid Discount (Negative)","")&amp;IF(P537&gt;0.5,"; Invalid Discount (Too High)","")&amp;IF(Z537&lt;0,"; Invalid Shipping Record (Ship Before Order)","")&amp;IF(ABS(Q537-W537)&gt;1,"; Sales Mismatch","")&amp;IF(ABS(S537-X537)&gt;1,"; Profit Mismatch","")&amp;IF(COUNTIF($A$2:$A$913,A537)&gt;1,"; Duplicate Order ID Conflict",""),3,500),AC537&amp;IF(B537="","; Missing Order Date","")&amp;IF(C537="","; Missing Ship Date","")&amp;IF(P537&lt;0,"; Invalid Discount (Negative)","")&amp;IF(P537&gt;0.5,"; Invalid Discount (Too High)","")&amp;IF(Z537&lt;0,"; Invalid Shipping Record (Ship Before Order)","")&amp;IF(ABS(Q537-W537)&gt;1,"; Sales Mismatch","")&amp;IF(ABS(S537-X537)&gt;1,"; Profit Mismatch","")&amp;IF(COUNTIF($A$2:$A$913,A537)&gt;1,"; Duplicate Order ID Conflict",""))</f>
        <v/>
      </c>
      <c r="AE537" s="10" t="str">
        <f aca="false">IF(OR(ISNUMBER(SEARCH("Invalid Discount",AD537)),ISNUMBER(SEARCH("Invalid Shipping Record",AD537)),ISNUMBER(SEARCH("Sales Mismatch",AD537)),ISNUMBER(SEARCH("Profit Mismatch",AD537)),ISNUMBER(SEARCH("Duplicate Order ID Conflict",AD537)),ISNUMBER(SEARCH("Missing Order Date",AD537)),ISNUMBER(SEARCH("Missing Ship Date",AD537))),"Invalid",IF(AD537&lt;&gt;"","Warning","Clean"))</f>
        <v>Clean</v>
      </c>
    </row>
    <row r="538" customFormat="false" ht="15" hidden="false" customHeight="true" outlineLevel="0" collapsed="false">
      <c r="A538" s="3" t="s">
        <v>1627</v>
      </c>
      <c r="B538" s="4" t="n">
        <v>45757</v>
      </c>
      <c r="C538" s="4" t="n">
        <v>45764</v>
      </c>
      <c r="D538" s="3" t="s">
        <v>1628</v>
      </c>
      <c r="E538" s="3" t="str">
        <f aca="false">PROPER(TRIM(SUBSTITUTE(Raw_Text_Fields!B539,CHAR(160)," ")))</f>
        <v>Ananya Rao</v>
      </c>
      <c r="F538" s="3" t="str">
        <f aca="false">PROPER(TRIM(SUBSTITUTE(Raw_Text_Fields!C539,CHAR(160)," ")))</f>
        <v>Small Business</v>
      </c>
      <c r="G538" s="3" t="str">
        <f aca="false">PROPER(TRIM(SUBSTITUTE(Raw_Text_Fields!D539,CHAR(160)," ")))</f>
        <v>West</v>
      </c>
      <c r="H538" s="3" t="str">
        <f aca="false">PROPER(TRIM(SUBSTITUTE(Raw_Text_Fields!E539,CHAR(160)," ")))</f>
        <v>Rajasthan</v>
      </c>
      <c r="I538" s="3" t="str">
        <f aca="false">PROPER(TRIM(SUBSTITUTE(Raw_Text_Fields!F539,CHAR(160)," ")))</f>
        <v>Udaipur</v>
      </c>
      <c r="J538" s="3" t="str">
        <f aca="false">PROPER(TRIM(SUBSTITUTE(Raw_Text_Fields!G539,CHAR(160)," ")))</f>
        <v>Furniture</v>
      </c>
      <c r="K538" s="3" t="str">
        <f aca="false">PROPER(TRIM(SUBSTITUTE(Raw_Text_Fields!H539,CHAR(160)," ")))</f>
        <v>Chairs</v>
      </c>
      <c r="L538" s="3" t="s">
        <v>1629</v>
      </c>
      <c r="M538" s="3" t="str">
        <f aca="false">PROPER(TRIM(SUBSTITUTE(Raw_Text_Fields!I539,CHAR(160)," ")))</f>
        <v>First Class</v>
      </c>
      <c r="N538" s="3" t="n">
        <v>7</v>
      </c>
      <c r="O538" s="5" t="n">
        <v>3788.9</v>
      </c>
      <c r="P538" s="6" t="n">
        <v>0.25</v>
      </c>
      <c r="Q538" s="5" t="n">
        <v>19891.72</v>
      </c>
      <c r="R538" s="5" t="n">
        <v>12295.76</v>
      </c>
      <c r="S538" s="5" t="n">
        <v>7595.96</v>
      </c>
      <c r="T538" s="3" t="str">
        <f aca="false">PROPER(TRIM(SUBSTITUTE(Raw_Text_Fields!J539,CHAR(160)," ")))</f>
        <v>Failed</v>
      </c>
      <c r="U538" s="3" t="str">
        <f aca="false">PROPER(TRIM(SUBSTITUTE(Raw_Text_Fields!K539,CHAR(160)," ")))</f>
        <v>Cancelled</v>
      </c>
      <c r="V538" s="7" t="n">
        <f aca="false">IF(OR(P538&lt;0,P538&gt;0.5),0,P538)</f>
        <v>0.25</v>
      </c>
      <c r="W538" s="8" t="n">
        <f aca="false">N538*O538*(1-V538)</f>
        <v>19891.725</v>
      </c>
      <c r="X538" s="8" t="n">
        <f aca="false">W538-R538</f>
        <v>7595.965</v>
      </c>
      <c r="Y538" s="7" t="n">
        <f aca="false">IFERROR(X538/W538,0)</f>
        <v>0.381865574755332</v>
      </c>
      <c r="Z538" s="9" t="n">
        <f aca="false">C538-B538</f>
        <v>7</v>
      </c>
      <c r="AA538" s="1" t="str">
        <f aca="false">IF(B538="","",TEXT(B538,"mmm"))</f>
        <v>Apr</v>
      </c>
      <c r="AB538" s="9" t="n">
        <f aca="false">IF(B538="","",YEAR(B538))</f>
        <v>2025</v>
      </c>
      <c r="AC538" s="3"/>
      <c r="AD538" s="3" t="str">
        <f aca="false">IF(LEFT(AC538&amp;IF(B538="","; Missing Order Date","")&amp;IF(C538="","; Missing Ship Date","")&amp;IF(P538&lt;0,"; Invalid Discount (Negative)","")&amp;IF(P538&gt;0.5,"; Invalid Discount (Too High)","")&amp;IF(Z538&lt;0,"; Invalid Shipping Record (Ship Before Order)","")&amp;IF(ABS(Q538-W538)&gt;1,"; Sales Mismatch","")&amp;IF(ABS(S538-X538)&gt;1,"; Profit Mismatch","")&amp;IF(COUNTIF($A$2:$A$913,A538)&gt;1,"; Duplicate Order ID Conflict",""),2)="; ",MID(AC538&amp;IF(B538="","; Missing Order Date","")&amp;IF(C538="","; Missing Ship Date","")&amp;IF(P538&lt;0,"; Invalid Discount (Negative)","")&amp;IF(P538&gt;0.5,"; Invalid Discount (Too High)","")&amp;IF(Z538&lt;0,"; Invalid Shipping Record (Ship Before Order)","")&amp;IF(ABS(Q538-W538)&gt;1,"; Sales Mismatch","")&amp;IF(ABS(S538-X538)&gt;1,"; Profit Mismatch","")&amp;IF(COUNTIF($A$2:$A$913,A538)&gt;1,"; Duplicate Order ID Conflict",""),3,500),AC538&amp;IF(B538="","; Missing Order Date","")&amp;IF(C538="","; Missing Ship Date","")&amp;IF(P538&lt;0,"; Invalid Discount (Negative)","")&amp;IF(P538&gt;0.5,"; Invalid Discount (Too High)","")&amp;IF(Z538&lt;0,"; Invalid Shipping Record (Ship Before Order)","")&amp;IF(ABS(Q538-W538)&gt;1,"; Sales Mismatch","")&amp;IF(ABS(S538-X538)&gt;1,"; Profit Mismatch","")&amp;IF(COUNTIF($A$2:$A$913,A538)&gt;1,"; Duplicate Order ID Conflict",""))</f>
        <v/>
      </c>
      <c r="AE538" s="10" t="str">
        <f aca="false">IF(OR(ISNUMBER(SEARCH("Invalid Discount",AD538)),ISNUMBER(SEARCH("Invalid Shipping Record",AD538)),ISNUMBER(SEARCH("Sales Mismatch",AD538)),ISNUMBER(SEARCH("Profit Mismatch",AD538)),ISNUMBER(SEARCH("Duplicate Order ID Conflict",AD538)),ISNUMBER(SEARCH("Missing Order Date",AD538)),ISNUMBER(SEARCH("Missing Ship Date",AD538))),"Invalid",IF(AD538&lt;&gt;"","Warning","Clean"))</f>
        <v>Clean</v>
      </c>
    </row>
    <row r="539" customFormat="false" ht="15" hidden="false" customHeight="true" outlineLevel="0" collapsed="false">
      <c r="A539" s="3" t="s">
        <v>1630</v>
      </c>
      <c r="B539" s="4" t="n">
        <v>45313</v>
      </c>
      <c r="C539" s="4" t="n">
        <v>45321</v>
      </c>
      <c r="D539" s="3" t="s">
        <v>1631</v>
      </c>
      <c r="E539" s="3" t="str">
        <f aca="false">PROPER(TRIM(SUBSTITUTE(Raw_Text_Fields!B540,CHAR(160)," ")))</f>
        <v>Ananya Rao</v>
      </c>
      <c r="F539" s="3" t="str">
        <f aca="false">PROPER(TRIM(SUBSTITUTE(Raw_Text_Fields!C540,CHAR(160)," ")))</f>
        <v>Small Business</v>
      </c>
      <c r="G539" s="3" t="str">
        <f aca="false">PROPER(TRIM(SUBSTITUTE(Raw_Text_Fields!D540,CHAR(160)," ")))</f>
        <v>North</v>
      </c>
      <c r="H539" s="3" t="str">
        <f aca="false">PROPER(TRIM(SUBSTITUTE(Raw_Text_Fields!E540,CHAR(160)," ")))</f>
        <v>Haryana</v>
      </c>
      <c r="I539" s="3" t="str">
        <f aca="false">PROPER(TRIM(SUBSTITUTE(Raw_Text_Fields!F540,CHAR(160)," ")))</f>
        <v>Gurugram</v>
      </c>
      <c r="J539" s="3" t="str">
        <f aca="false">PROPER(TRIM(SUBSTITUTE(Raw_Text_Fields!G540,CHAR(160)," ")))</f>
        <v>Office Supplies</v>
      </c>
      <c r="K539" s="3" t="str">
        <f aca="false">PROPER(TRIM(SUBSTITUTE(Raw_Text_Fields!H540,CHAR(160)," ")))</f>
        <v>Art</v>
      </c>
      <c r="L539" s="3" t="s">
        <v>1632</v>
      </c>
      <c r="M539" s="3" t="str">
        <f aca="false">PROPER(TRIM(SUBSTITUTE(Raw_Text_Fields!I540,CHAR(160)," ")))</f>
        <v>Same Day</v>
      </c>
      <c r="N539" s="3" t="n">
        <v>3</v>
      </c>
      <c r="O539" s="5" t="n">
        <v>676.37</v>
      </c>
      <c r="P539" s="6" t="n">
        <v>0.05</v>
      </c>
      <c r="Q539" s="5" t="n">
        <v>1927.65</v>
      </c>
      <c r="R539" s="5" t="n">
        <v>1460.6</v>
      </c>
      <c r="S539" s="5" t="n">
        <v>467.05</v>
      </c>
      <c r="T539" s="3" t="str">
        <f aca="false">PROPER(TRIM(SUBSTITUTE(Raw_Text_Fields!J540,CHAR(160)," ")))</f>
        <v>Failed</v>
      </c>
      <c r="U539" s="3" t="str">
        <f aca="false">PROPER(TRIM(SUBSTITUTE(Raw_Text_Fields!K540,CHAR(160)," ")))</f>
        <v>Cancelled</v>
      </c>
      <c r="V539" s="7" t="n">
        <f aca="false">IF(OR(P539&lt;0,P539&gt;0.5),0,P539)</f>
        <v>0.05</v>
      </c>
      <c r="W539" s="8" t="n">
        <f aca="false">N539*O539*(1-V539)</f>
        <v>1927.6545</v>
      </c>
      <c r="X539" s="8" t="n">
        <f aca="false">W539-R539</f>
        <v>467.0545</v>
      </c>
      <c r="Y539" s="7" t="n">
        <f aca="false">IFERROR(X539/W539,0)</f>
        <v>0.242291603604277</v>
      </c>
      <c r="Z539" s="9" t="n">
        <f aca="false">C539-B539</f>
        <v>8</v>
      </c>
      <c r="AA539" s="1" t="str">
        <f aca="false">IF(B539="","",TEXT(B539,"mmm"))</f>
        <v>Jan</v>
      </c>
      <c r="AB539" s="9" t="n">
        <f aca="false">IF(B539="","",YEAR(B539))</f>
        <v>2024</v>
      </c>
      <c r="AC539" s="3"/>
      <c r="AD539" s="3" t="str">
        <f aca="false">IF(LEFT(AC539&amp;IF(B539="","; Missing Order Date","")&amp;IF(C539="","; Missing Ship Date","")&amp;IF(P539&lt;0,"; Invalid Discount (Negative)","")&amp;IF(P539&gt;0.5,"; Invalid Discount (Too High)","")&amp;IF(Z539&lt;0,"; Invalid Shipping Record (Ship Before Order)","")&amp;IF(ABS(Q539-W539)&gt;1,"; Sales Mismatch","")&amp;IF(ABS(S539-X539)&gt;1,"; Profit Mismatch","")&amp;IF(COUNTIF($A$2:$A$913,A539)&gt;1,"; Duplicate Order ID Conflict",""),2)="; ",MID(AC539&amp;IF(B539="","; Missing Order Date","")&amp;IF(C539="","; Missing Ship Date","")&amp;IF(P539&lt;0,"; Invalid Discount (Negative)","")&amp;IF(P539&gt;0.5,"; Invalid Discount (Too High)","")&amp;IF(Z539&lt;0,"; Invalid Shipping Record (Ship Before Order)","")&amp;IF(ABS(Q539-W539)&gt;1,"; Sales Mismatch","")&amp;IF(ABS(S539-X539)&gt;1,"; Profit Mismatch","")&amp;IF(COUNTIF($A$2:$A$913,A539)&gt;1,"; Duplicate Order ID Conflict",""),3,500),AC539&amp;IF(B539="","; Missing Order Date","")&amp;IF(C539="","; Missing Ship Date","")&amp;IF(P539&lt;0,"; Invalid Discount (Negative)","")&amp;IF(P539&gt;0.5,"; Invalid Discount (Too High)","")&amp;IF(Z539&lt;0,"; Invalid Shipping Record (Ship Before Order)","")&amp;IF(ABS(Q539-W539)&gt;1,"; Sales Mismatch","")&amp;IF(ABS(S539-X539)&gt;1,"; Profit Mismatch","")&amp;IF(COUNTIF($A$2:$A$913,A539)&gt;1,"; Duplicate Order ID Conflict",""))</f>
        <v/>
      </c>
      <c r="AE539" s="10" t="str">
        <f aca="false">IF(OR(ISNUMBER(SEARCH("Invalid Discount",AD539)),ISNUMBER(SEARCH("Invalid Shipping Record",AD539)),ISNUMBER(SEARCH("Sales Mismatch",AD539)),ISNUMBER(SEARCH("Profit Mismatch",AD539)),ISNUMBER(SEARCH("Duplicate Order ID Conflict",AD539)),ISNUMBER(SEARCH("Missing Order Date",AD539)),ISNUMBER(SEARCH("Missing Ship Date",AD539))),"Invalid",IF(AD539&lt;&gt;"","Warning","Clean"))</f>
        <v>Clean</v>
      </c>
    </row>
    <row r="540" customFormat="false" ht="15" hidden="false" customHeight="true" outlineLevel="0" collapsed="false">
      <c r="A540" s="3" t="s">
        <v>1633</v>
      </c>
      <c r="B540" s="4" t="n">
        <v>45560</v>
      </c>
      <c r="C540" s="4" t="n">
        <v>45566</v>
      </c>
      <c r="D540" s="3" t="s">
        <v>1634</v>
      </c>
      <c r="E540" s="3" t="str">
        <f aca="false">PROPER(TRIM(SUBSTITUTE(Raw_Text_Fields!B541,CHAR(160)," ")))</f>
        <v>Diya Patel</v>
      </c>
      <c r="F540" s="3" t="str">
        <f aca="false">PROPER(TRIM(SUBSTITUTE(Raw_Text_Fields!C541,CHAR(160)," ")))</f>
        <v>Small Business</v>
      </c>
      <c r="G540" s="3" t="str">
        <f aca="false">PROPER(TRIM(SUBSTITUTE(Raw_Text_Fields!D541,CHAR(160)," ")))</f>
        <v>East</v>
      </c>
      <c r="H540" s="3" t="str">
        <f aca="false">PROPER(TRIM(SUBSTITUTE(Raw_Text_Fields!E541,CHAR(160)," ")))</f>
        <v>Jharkhand</v>
      </c>
      <c r="I540" s="3" t="str">
        <f aca="false">PROPER(TRIM(SUBSTITUTE(Raw_Text_Fields!F541,CHAR(160)," ")))</f>
        <v>Ranchi</v>
      </c>
      <c r="J540" s="3" t="str">
        <f aca="false">PROPER(TRIM(SUBSTITUTE(Raw_Text_Fields!G541,CHAR(160)," ")))</f>
        <v>Furniture</v>
      </c>
      <c r="K540" s="3" t="str">
        <f aca="false">PROPER(TRIM(SUBSTITUTE(Raw_Text_Fields!H541,CHAR(160)," ")))</f>
        <v>Tables</v>
      </c>
      <c r="L540" s="3" t="s">
        <v>1635</v>
      </c>
      <c r="M540" s="3" t="str">
        <f aca="false">PROPER(TRIM(SUBSTITUTE(Raw_Text_Fields!I541,CHAR(160)," ")))</f>
        <v>Second Class</v>
      </c>
      <c r="N540" s="3" t="n">
        <v>9</v>
      </c>
      <c r="O540" s="5" t="n">
        <v>3908.6</v>
      </c>
      <c r="P540" s="6" t="n">
        <v>0.15</v>
      </c>
      <c r="Q540" s="5" t="n">
        <v>29900.79</v>
      </c>
      <c r="R540" s="5" t="n">
        <v>24650.67</v>
      </c>
      <c r="S540" s="5" t="n">
        <v>5250.12</v>
      </c>
      <c r="T540" s="3" t="str">
        <f aca="false">PROPER(TRIM(SUBSTITUTE(Raw_Text_Fields!J541,CHAR(160)," ")))</f>
        <v>Paid</v>
      </c>
      <c r="U540" s="3" t="str">
        <f aca="false">PROPER(TRIM(SUBSTITUTE(Raw_Text_Fields!K541,CHAR(160)," ")))</f>
        <v>Completed</v>
      </c>
      <c r="V540" s="7" t="n">
        <f aca="false">IF(OR(P540&lt;0,P540&gt;0.5),0,P540)</f>
        <v>0.15</v>
      </c>
      <c r="W540" s="8" t="n">
        <f aca="false">N540*O540*(1-V540)</f>
        <v>29900.79</v>
      </c>
      <c r="X540" s="8" t="n">
        <f aca="false">W540-R540</f>
        <v>5250.12</v>
      </c>
      <c r="Y540" s="7" t="n">
        <f aca="false">IFERROR(X540/W540,0)</f>
        <v>0.175584658465546</v>
      </c>
      <c r="Z540" s="9" t="n">
        <f aca="false">C540-B540</f>
        <v>6</v>
      </c>
      <c r="AA540" s="1" t="str">
        <f aca="false">IF(B540="","",TEXT(B540,"mmm"))</f>
        <v>Sep</v>
      </c>
      <c r="AB540" s="9" t="n">
        <f aca="false">IF(B540="","",YEAR(B540))</f>
        <v>2024</v>
      </c>
      <c r="AC540" s="3"/>
      <c r="AD540" s="3" t="str">
        <f aca="false">IF(LEFT(AC540&amp;IF(B540="","; Missing Order Date","")&amp;IF(C540="","; Missing Ship Date","")&amp;IF(P540&lt;0,"; Invalid Discount (Negative)","")&amp;IF(P540&gt;0.5,"; Invalid Discount (Too High)","")&amp;IF(Z540&lt;0,"; Invalid Shipping Record (Ship Before Order)","")&amp;IF(ABS(Q540-W540)&gt;1,"; Sales Mismatch","")&amp;IF(ABS(S540-X540)&gt;1,"; Profit Mismatch","")&amp;IF(COUNTIF($A$2:$A$913,A540)&gt;1,"; Duplicate Order ID Conflict",""),2)="; ",MID(AC540&amp;IF(B540="","; Missing Order Date","")&amp;IF(C540="","; Missing Ship Date","")&amp;IF(P540&lt;0,"; Invalid Discount (Negative)","")&amp;IF(P540&gt;0.5,"; Invalid Discount (Too High)","")&amp;IF(Z540&lt;0,"; Invalid Shipping Record (Ship Before Order)","")&amp;IF(ABS(Q540-W540)&gt;1,"; Sales Mismatch","")&amp;IF(ABS(S540-X540)&gt;1,"; Profit Mismatch","")&amp;IF(COUNTIF($A$2:$A$913,A540)&gt;1,"; Duplicate Order ID Conflict",""),3,500),AC540&amp;IF(B540="","; Missing Order Date","")&amp;IF(C540="","; Missing Ship Date","")&amp;IF(P540&lt;0,"; Invalid Discount (Negative)","")&amp;IF(P540&gt;0.5,"; Invalid Discount (Too High)","")&amp;IF(Z540&lt;0,"; Invalid Shipping Record (Ship Before Order)","")&amp;IF(ABS(Q540-W540)&gt;1,"; Sales Mismatch","")&amp;IF(ABS(S540-X540)&gt;1,"; Profit Mismatch","")&amp;IF(COUNTIF($A$2:$A$913,A540)&gt;1,"; Duplicate Order ID Conflict",""))</f>
        <v/>
      </c>
      <c r="AE540" s="10" t="str">
        <f aca="false">IF(OR(ISNUMBER(SEARCH("Invalid Discount",AD540)),ISNUMBER(SEARCH("Invalid Shipping Record",AD540)),ISNUMBER(SEARCH("Sales Mismatch",AD540)),ISNUMBER(SEARCH("Profit Mismatch",AD540)),ISNUMBER(SEARCH("Duplicate Order ID Conflict",AD540)),ISNUMBER(SEARCH("Missing Order Date",AD540)),ISNUMBER(SEARCH("Missing Ship Date",AD540))),"Invalid",IF(AD540&lt;&gt;"","Warning","Clean"))</f>
        <v>Clean</v>
      </c>
    </row>
    <row r="541" customFormat="false" ht="15" hidden="false" customHeight="true" outlineLevel="0" collapsed="false">
      <c r="A541" s="3" t="s">
        <v>1636</v>
      </c>
      <c r="B541" s="4" t="n">
        <v>45842</v>
      </c>
      <c r="C541" s="4" t="n">
        <v>45842</v>
      </c>
      <c r="D541" s="3" t="s">
        <v>1637</v>
      </c>
      <c r="E541" s="3" t="str">
        <f aca="false">PROPER(TRIM(SUBSTITUTE(Raw_Text_Fields!B542,CHAR(160)," ")))</f>
        <v>Mira Das</v>
      </c>
      <c r="F541" s="3" t="str">
        <f aca="false">PROPER(TRIM(SUBSTITUTE(Raw_Text_Fields!C542,CHAR(160)," ")))</f>
        <v>Small Business</v>
      </c>
      <c r="G541" s="3" t="str">
        <f aca="false">PROPER(TRIM(SUBSTITUTE(Raw_Text_Fields!D542,CHAR(160)," ")))</f>
        <v>South</v>
      </c>
      <c r="H541" s="3" t="str">
        <f aca="false">PROPER(TRIM(SUBSTITUTE(Raw_Text_Fields!E542,CHAR(160)," ")))</f>
        <v>Tamil Nadu</v>
      </c>
      <c r="I541" s="3" t="str">
        <f aca="false">PROPER(TRIM(SUBSTITUTE(Raw_Text_Fields!F542,CHAR(160)," ")))</f>
        <v>Chennai</v>
      </c>
      <c r="J541" s="3" t="str">
        <f aca="false">PROPER(TRIM(SUBSTITUTE(Raw_Text_Fields!G542,CHAR(160)," ")))</f>
        <v>Furniture</v>
      </c>
      <c r="K541" s="3" t="str">
        <f aca="false">PROPER(TRIM(SUBSTITUTE(Raw_Text_Fields!H542,CHAR(160)," ")))</f>
        <v>Chairs</v>
      </c>
      <c r="L541" s="3" t="s">
        <v>1638</v>
      </c>
      <c r="M541" s="3" t="str">
        <f aca="false">PROPER(TRIM(SUBSTITUTE(Raw_Text_Fields!I542,CHAR(160)," ")))</f>
        <v>Standard Class</v>
      </c>
      <c r="N541" s="3" t="n">
        <v>3</v>
      </c>
      <c r="O541" s="5" t="n">
        <v>705.35</v>
      </c>
      <c r="P541" s="6" t="n">
        <v>0.1</v>
      </c>
      <c r="Q541" s="5" t="n">
        <v>1904.45</v>
      </c>
      <c r="R541" s="5" t="n">
        <v>1316.54</v>
      </c>
      <c r="S541" s="5" t="n">
        <v>587.91</v>
      </c>
      <c r="T541" s="3" t="str">
        <f aca="false">PROPER(TRIM(SUBSTITUTE(Raw_Text_Fields!J542,CHAR(160)," ")))</f>
        <v>Paid</v>
      </c>
      <c r="U541" s="3" t="str">
        <f aca="false">PROPER(TRIM(SUBSTITUTE(Raw_Text_Fields!K542,CHAR(160)," ")))</f>
        <v>Cancelled</v>
      </c>
      <c r="V541" s="7" t="n">
        <f aca="false">IF(OR(P541&lt;0,P541&gt;0.5),0,P541)</f>
        <v>0.1</v>
      </c>
      <c r="W541" s="8" t="n">
        <f aca="false">N541*O541*(1-V541)</f>
        <v>1904.445</v>
      </c>
      <c r="X541" s="8" t="n">
        <f aca="false">W541-R541</f>
        <v>587.905</v>
      </c>
      <c r="Y541" s="7" t="n">
        <f aca="false">IFERROR(X541/W541,0)</f>
        <v>0.308701485209602</v>
      </c>
      <c r="Z541" s="9" t="n">
        <f aca="false">C541-B541</f>
        <v>0</v>
      </c>
      <c r="AA541" s="1" t="str">
        <f aca="false">IF(B541="","",TEXT(B541,"mmm"))</f>
        <v>Jul</v>
      </c>
      <c r="AB541" s="9" t="n">
        <f aca="false">IF(B541="","",YEAR(B541))</f>
        <v>2025</v>
      </c>
      <c r="AC541" s="3"/>
      <c r="AD541" s="3" t="str">
        <f aca="false">IF(LEFT(AC541&amp;IF(B541="","; Missing Order Date","")&amp;IF(C541="","; Missing Ship Date","")&amp;IF(P541&lt;0,"; Invalid Discount (Negative)","")&amp;IF(P541&gt;0.5,"; Invalid Discount (Too High)","")&amp;IF(Z541&lt;0,"; Invalid Shipping Record (Ship Before Order)","")&amp;IF(ABS(Q541-W541)&gt;1,"; Sales Mismatch","")&amp;IF(ABS(S541-X541)&gt;1,"; Profit Mismatch","")&amp;IF(COUNTIF($A$2:$A$913,A541)&gt;1,"; Duplicate Order ID Conflict",""),2)="; ",MID(AC541&amp;IF(B541="","; Missing Order Date","")&amp;IF(C541="","; Missing Ship Date","")&amp;IF(P541&lt;0,"; Invalid Discount (Negative)","")&amp;IF(P541&gt;0.5,"; Invalid Discount (Too High)","")&amp;IF(Z541&lt;0,"; Invalid Shipping Record (Ship Before Order)","")&amp;IF(ABS(Q541-W541)&gt;1,"; Sales Mismatch","")&amp;IF(ABS(S541-X541)&gt;1,"; Profit Mismatch","")&amp;IF(COUNTIF($A$2:$A$913,A541)&gt;1,"; Duplicate Order ID Conflict",""),3,500),AC541&amp;IF(B541="","; Missing Order Date","")&amp;IF(C541="","; Missing Ship Date","")&amp;IF(P541&lt;0,"; Invalid Discount (Negative)","")&amp;IF(P541&gt;0.5,"; Invalid Discount (Too High)","")&amp;IF(Z541&lt;0,"; Invalid Shipping Record (Ship Before Order)","")&amp;IF(ABS(Q541-W541)&gt;1,"; Sales Mismatch","")&amp;IF(ABS(S541-X541)&gt;1,"; Profit Mismatch","")&amp;IF(COUNTIF($A$2:$A$913,A541)&gt;1,"; Duplicate Order ID Conflict",""))</f>
        <v/>
      </c>
      <c r="AE541" s="10" t="str">
        <f aca="false">IF(OR(ISNUMBER(SEARCH("Invalid Discount",AD541)),ISNUMBER(SEARCH("Invalid Shipping Record",AD541)),ISNUMBER(SEARCH("Sales Mismatch",AD541)),ISNUMBER(SEARCH("Profit Mismatch",AD541)),ISNUMBER(SEARCH("Duplicate Order ID Conflict",AD541)),ISNUMBER(SEARCH("Missing Order Date",AD541)),ISNUMBER(SEARCH("Missing Ship Date",AD541))),"Invalid",IF(AD541&lt;&gt;"","Warning","Clean"))</f>
        <v>Clean</v>
      </c>
    </row>
    <row r="542" customFormat="false" ht="15" hidden="false" customHeight="true" outlineLevel="0" collapsed="false">
      <c r="A542" s="3" t="s">
        <v>1639</v>
      </c>
      <c r="B542" s="4" t="n">
        <v>45348</v>
      </c>
      <c r="C542" s="4" t="n">
        <v>45345</v>
      </c>
      <c r="D542" s="3" t="s">
        <v>1640</v>
      </c>
      <c r="E542" s="3" t="str">
        <f aca="false">PROPER(TRIM(SUBSTITUTE(Raw_Text_Fields!B543,CHAR(160)," ")))</f>
        <v>Kabir Singh</v>
      </c>
      <c r="F542" s="3" t="str">
        <f aca="false">PROPER(TRIM(SUBSTITUTE(Raw_Text_Fields!C543,CHAR(160)," ")))</f>
        <v>Consumer</v>
      </c>
      <c r="G542" s="3" t="str">
        <f aca="false">PROPER(TRIM(SUBSTITUTE(Raw_Text_Fields!D543,CHAR(160)," ")))</f>
        <v>West</v>
      </c>
      <c r="H542" s="3" t="str">
        <f aca="false">PROPER(TRIM(SUBSTITUTE(Raw_Text_Fields!E543,CHAR(160)," ")))</f>
        <v>Gujarat</v>
      </c>
      <c r="I542" s="3" t="str">
        <f aca="false">PROPER(TRIM(SUBSTITUTE(Raw_Text_Fields!F543,CHAR(160)," ")))</f>
        <v>Ahmedabad</v>
      </c>
      <c r="J542" s="3" t="str">
        <f aca="false">PROPER(TRIM(SUBSTITUTE(Raw_Text_Fields!G543,CHAR(160)," ")))</f>
        <v>Furniture</v>
      </c>
      <c r="K542" s="3" t="str">
        <f aca="false">PROPER(TRIM(SUBSTITUTE(Raw_Text_Fields!H543,CHAR(160)," ")))</f>
        <v>Furnishings</v>
      </c>
      <c r="L542" s="3" t="s">
        <v>1641</v>
      </c>
      <c r="M542" s="3" t="str">
        <f aca="false">PROPER(TRIM(SUBSTITUTE(Raw_Text_Fields!I543,CHAR(160)," ")))</f>
        <v>Standard Class</v>
      </c>
      <c r="N542" s="3" t="n">
        <v>7</v>
      </c>
      <c r="O542" s="5" t="n">
        <v>3852.07</v>
      </c>
      <c r="P542" s="6" t="n">
        <v>0.2</v>
      </c>
      <c r="Q542" s="5" t="n">
        <v>21571.59</v>
      </c>
      <c r="R542" s="5" t="n">
        <v>17118.07</v>
      </c>
      <c r="S542" s="5" t="n">
        <v>4453.52</v>
      </c>
      <c r="T542" s="3" t="str">
        <f aca="false">PROPER(TRIM(SUBSTITUTE(Raw_Text_Fields!J543,CHAR(160)," ")))</f>
        <v>Paid</v>
      </c>
      <c r="U542" s="3" t="str">
        <f aca="false">PROPER(TRIM(SUBSTITUTE(Raw_Text_Fields!K543,CHAR(160)," ")))</f>
        <v>Completed</v>
      </c>
      <c r="V542" s="7" t="n">
        <f aca="false">IF(OR(P542&lt;0,P542&gt;0.5),0,P542)</f>
        <v>0.2</v>
      </c>
      <c r="W542" s="8" t="n">
        <f aca="false">N542*O542*(1-V542)</f>
        <v>21571.592</v>
      </c>
      <c r="X542" s="8" t="n">
        <f aca="false">W542-R542</f>
        <v>4453.522</v>
      </c>
      <c r="Y542" s="7" t="n">
        <f aca="false">IFERROR(X542/W542,0)</f>
        <v>0.206453098130171</v>
      </c>
      <c r="Z542" s="9" t="n">
        <f aca="false">C542-B542</f>
        <v>-3</v>
      </c>
      <c r="AA542" s="1" t="str">
        <f aca="false">IF(B542="","",TEXT(B542,"mmm"))</f>
        <v>Feb</v>
      </c>
      <c r="AB542" s="9" t="n">
        <f aca="false">IF(B542="","",YEAR(B542))</f>
        <v>2024</v>
      </c>
      <c r="AC542" s="3"/>
      <c r="AD542" s="3" t="str">
        <f aca="false">IF(LEFT(AC542&amp;IF(B542="","; Missing Order Date","")&amp;IF(C542="","; Missing Ship Date","")&amp;IF(P542&lt;0,"; Invalid Discount (Negative)","")&amp;IF(P542&gt;0.5,"; Invalid Discount (Too High)","")&amp;IF(Z542&lt;0,"; Invalid Shipping Record (Ship Before Order)","")&amp;IF(ABS(Q542-W542)&gt;1,"; Sales Mismatch","")&amp;IF(ABS(S542-X542)&gt;1,"; Profit Mismatch","")&amp;IF(COUNTIF($A$2:$A$913,A542)&gt;1,"; Duplicate Order ID Conflict",""),2)="; ",MID(AC542&amp;IF(B542="","; Missing Order Date","")&amp;IF(C542="","; Missing Ship Date","")&amp;IF(P542&lt;0,"; Invalid Discount (Negative)","")&amp;IF(P542&gt;0.5,"; Invalid Discount (Too High)","")&amp;IF(Z542&lt;0,"; Invalid Shipping Record (Ship Before Order)","")&amp;IF(ABS(Q542-W542)&gt;1,"; Sales Mismatch","")&amp;IF(ABS(S542-X542)&gt;1,"; Profit Mismatch","")&amp;IF(COUNTIF($A$2:$A$913,A542)&gt;1,"; Duplicate Order ID Conflict",""),3,500),AC542&amp;IF(B542="","; Missing Order Date","")&amp;IF(C542="","; Missing Ship Date","")&amp;IF(P542&lt;0,"; Invalid Discount (Negative)","")&amp;IF(P542&gt;0.5,"; Invalid Discount (Too High)","")&amp;IF(Z542&lt;0,"; Invalid Shipping Record (Ship Before Order)","")&amp;IF(ABS(Q542-W542)&gt;1,"; Sales Mismatch","")&amp;IF(ABS(S542-X542)&gt;1,"; Profit Mismatch","")&amp;IF(COUNTIF($A$2:$A$913,A542)&gt;1,"; Duplicate Order ID Conflict",""))</f>
        <v>Invalid Shipping Record (Ship Before Order)</v>
      </c>
      <c r="AE542" s="10" t="str">
        <f aca="false">IF(OR(ISNUMBER(SEARCH("Invalid Discount",AD542)),ISNUMBER(SEARCH("Invalid Shipping Record",AD542)),ISNUMBER(SEARCH("Sales Mismatch",AD542)),ISNUMBER(SEARCH("Profit Mismatch",AD542)),ISNUMBER(SEARCH("Duplicate Order ID Conflict",AD542)),ISNUMBER(SEARCH("Missing Order Date",AD542)),ISNUMBER(SEARCH("Missing Ship Date",AD542))),"Invalid",IF(AD542&lt;&gt;"","Warning","Clean"))</f>
        <v>Invalid</v>
      </c>
    </row>
    <row r="543" customFormat="false" ht="15" hidden="false" customHeight="true" outlineLevel="0" collapsed="false">
      <c r="A543" s="3" t="s">
        <v>1642</v>
      </c>
      <c r="B543" s="4" t="n">
        <v>45846</v>
      </c>
      <c r="C543" s="4" t="n">
        <v>45847</v>
      </c>
      <c r="D543" s="3" t="s">
        <v>1643</v>
      </c>
      <c r="E543" s="3" t="str">
        <f aca="false">PROPER(TRIM(SUBSTITUTE(Raw_Text_Fields!B544,CHAR(160)," ")))</f>
        <v>Sneha Kapoor</v>
      </c>
      <c r="F543" s="3" t="str">
        <f aca="false">PROPER(TRIM(SUBSTITUTE(Raw_Text_Fields!C544,CHAR(160)," ")))</f>
        <v>Consumer</v>
      </c>
      <c r="G543" s="3" t="str">
        <f aca="false">PROPER(TRIM(SUBSTITUTE(Raw_Text_Fields!D544,CHAR(160)," ")))</f>
        <v>West</v>
      </c>
      <c r="H543" s="3" t="str">
        <f aca="false">PROPER(TRIM(SUBSTITUTE(Raw_Text_Fields!E544,CHAR(160)," ")))</f>
        <v>Maharashtra</v>
      </c>
      <c r="I543" s="3" t="str">
        <f aca="false">PROPER(TRIM(SUBSTITUTE(Raw_Text_Fields!F544,CHAR(160)," ")))</f>
        <v>Mumbai</v>
      </c>
      <c r="J543" s="3" t="str">
        <f aca="false">PROPER(TRIM(SUBSTITUTE(Raw_Text_Fields!G544,CHAR(160)," ")))</f>
        <v>Technology</v>
      </c>
      <c r="K543" s="3" t="str">
        <f aca="false">PROPER(TRIM(SUBSTITUTE(Raw_Text_Fields!H544,CHAR(160)," ")))</f>
        <v>Copiers</v>
      </c>
      <c r="L543" s="3" t="s">
        <v>1644</v>
      </c>
      <c r="M543" s="3" t="str">
        <f aca="false">PROPER(TRIM(SUBSTITUTE(Raw_Text_Fields!I544,CHAR(160)," ")))</f>
        <v>Same Day</v>
      </c>
      <c r="N543" s="3" t="n">
        <v>3</v>
      </c>
      <c r="O543" s="5" t="n">
        <v>2880.56</v>
      </c>
      <c r="P543" s="6" t="n">
        <v>0</v>
      </c>
      <c r="Q543" s="5" t="n">
        <v>8641.68</v>
      </c>
      <c r="R543" s="5" t="n">
        <v>5747.09</v>
      </c>
      <c r="S543" s="5" t="n">
        <v>2894.59</v>
      </c>
      <c r="T543" s="3" t="str">
        <f aca="false">PROPER(TRIM(SUBSTITUTE(Raw_Text_Fields!J544,CHAR(160)," ")))</f>
        <v>Paid</v>
      </c>
      <c r="U543" s="3" t="str">
        <f aca="false">PROPER(TRIM(SUBSTITUTE(Raw_Text_Fields!K544,CHAR(160)," ")))</f>
        <v>Returned</v>
      </c>
      <c r="V543" s="7" t="n">
        <f aca="false">IF(OR(P543&lt;0,P543&gt;0.5),0,P543)</f>
        <v>0</v>
      </c>
      <c r="W543" s="8" t="n">
        <f aca="false">N543*O543*(1-V543)</f>
        <v>8641.68</v>
      </c>
      <c r="X543" s="8" t="n">
        <f aca="false">W543-R543</f>
        <v>2894.59</v>
      </c>
      <c r="Y543" s="7" t="n">
        <f aca="false">IFERROR(X543/W543,0)</f>
        <v>0.334956860240139</v>
      </c>
      <c r="Z543" s="9" t="n">
        <f aca="false">C543-B543</f>
        <v>1</v>
      </c>
      <c r="AA543" s="1" t="str">
        <f aca="false">IF(B543="","",TEXT(B543,"mmm"))</f>
        <v>Jul</v>
      </c>
      <c r="AB543" s="9" t="n">
        <f aca="false">IF(B543="","",YEAR(B543))</f>
        <v>2025</v>
      </c>
      <c r="AC543" s="3"/>
      <c r="AD543" s="3" t="str">
        <f aca="false">IF(LEFT(AC543&amp;IF(B543="","; Missing Order Date","")&amp;IF(C543="","; Missing Ship Date","")&amp;IF(P543&lt;0,"; Invalid Discount (Negative)","")&amp;IF(P543&gt;0.5,"; Invalid Discount (Too High)","")&amp;IF(Z543&lt;0,"; Invalid Shipping Record (Ship Before Order)","")&amp;IF(ABS(Q543-W543)&gt;1,"; Sales Mismatch","")&amp;IF(ABS(S543-X543)&gt;1,"; Profit Mismatch","")&amp;IF(COUNTIF($A$2:$A$913,A543)&gt;1,"; Duplicate Order ID Conflict",""),2)="; ",MID(AC543&amp;IF(B543="","; Missing Order Date","")&amp;IF(C543="","; Missing Ship Date","")&amp;IF(P543&lt;0,"; Invalid Discount (Negative)","")&amp;IF(P543&gt;0.5,"; Invalid Discount (Too High)","")&amp;IF(Z543&lt;0,"; Invalid Shipping Record (Ship Before Order)","")&amp;IF(ABS(Q543-W543)&gt;1,"; Sales Mismatch","")&amp;IF(ABS(S543-X543)&gt;1,"; Profit Mismatch","")&amp;IF(COUNTIF($A$2:$A$913,A543)&gt;1,"; Duplicate Order ID Conflict",""),3,500),AC543&amp;IF(B543="","; Missing Order Date","")&amp;IF(C543="","; Missing Ship Date","")&amp;IF(P543&lt;0,"; Invalid Discount (Negative)","")&amp;IF(P543&gt;0.5,"; Invalid Discount (Too High)","")&amp;IF(Z543&lt;0,"; Invalid Shipping Record (Ship Before Order)","")&amp;IF(ABS(Q543-W543)&gt;1,"; Sales Mismatch","")&amp;IF(ABS(S543-X543)&gt;1,"; Profit Mismatch","")&amp;IF(COUNTIF($A$2:$A$913,A543)&gt;1,"; Duplicate Order ID Conflict",""))</f>
        <v/>
      </c>
      <c r="AE543" s="10" t="str">
        <f aca="false">IF(OR(ISNUMBER(SEARCH("Invalid Discount",AD543)),ISNUMBER(SEARCH("Invalid Shipping Record",AD543)),ISNUMBER(SEARCH("Sales Mismatch",AD543)),ISNUMBER(SEARCH("Profit Mismatch",AD543)),ISNUMBER(SEARCH("Duplicate Order ID Conflict",AD543)),ISNUMBER(SEARCH("Missing Order Date",AD543)),ISNUMBER(SEARCH("Missing Ship Date",AD543))),"Invalid",IF(AD543&lt;&gt;"","Warning","Clean"))</f>
        <v>Clean</v>
      </c>
    </row>
    <row r="544" customFormat="false" ht="15" hidden="false" customHeight="true" outlineLevel="0" collapsed="false">
      <c r="A544" s="3" t="s">
        <v>1645</v>
      </c>
      <c r="B544" s="4" t="n">
        <v>45552</v>
      </c>
      <c r="C544" s="4" t="n">
        <v>45558</v>
      </c>
      <c r="D544" s="3" t="s">
        <v>1646</v>
      </c>
      <c r="E544" s="3" t="str">
        <f aca="false">PROPER(TRIM(SUBSTITUTE(Raw_Text_Fields!B545,CHAR(160)," ")))</f>
        <v>Rahul Verma</v>
      </c>
      <c r="F544" s="3" t="str">
        <f aca="false">PROPER(TRIM(SUBSTITUTE(Raw_Text_Fields!C545,CHAR(160)," ")))</f>
        <v>Home Office</v>
      </c>
      <c r="G544" s="3" t="str">
        <f aca="false">PROPER(TRIM(SUBSTITUTE(Raw_Text_Fields!D545,CHAR(160)," ")))</f>
        <v>South</v>
      </c>
      <c r="H544" s="3" t="str">
        <f aca="false">PROPER(TRIM(SUBSTITUTE(Raw_Text_Fields!E545,CHAR(160)," ")))</f>
        <v>Kerala</v>
      </c>
      <c r="I544" s="3" t="str">
        <f aca="false">PROPER(TRIM(SUBSTITUTE(Raw_Text_Fields!F545,CHAR(160)," ")))</f>
        <v>Kochi</v>
      </c>
      <c r="J544" s="3" t="str">
        <f aca="false">PROPER(TRIM(SUBSTITUTE(Raw_Text_Fields!G545,CHAR(160)," ")))</f>
        <v>Furniture</v>
      </c>
      <c r="K544" s="3" t="str">
        <f aca="false">PROPER(TRIM(SUBSTITUTE(Raw_Text_Fields!H545,CHAR(160)," ")))</f>
        <v>Bookcases</v>
      </c>
      <c r="L544" s="3" t="s">
        <v>1647</v>
      </c>
      <c r="M544" s="3" t="str">
        <f aca="false">PROPER(TRIM(SUBSTITUTE(Raw_Text_Fields!I545,CHAR(160)," ")))</f>
        <v>Second Class</v>
      </c>
      <c r="N544" s="3" t="n">
        <v>3</v>
      </c>
      <c r="O544" s="5" t="n">
        <v>4067.62</v>
      </c>
      <c r="P544" s="6" t="n">
        <v>0.2</v>
      </c>
      <c r="Q544" s="5" t="n">
        <v>9988.53</v>
      </c>
      <c r="R544" s="5" t="n">
        <v>8368.24</v>
      </c>
      <c r="S544" s="5" t="n">
        <v>1394.05</v>
      </c>
      <c r="T544" s="3" t="str">
        <f aca="false">PROPER(TRIM(SUBSTITUTE(Raw_Text_Fields!J545,CHAR(160)," ")))</f>
        <v>Paid</v>
      </c>
      <c r="U544" s="3" t="str">
        <f aca="false">PROPER(TRIM(SUBSTITUTE(Raw_Text_Fields!K545,CHAR(160)," ")))</f>
        <v>Cancelled</v>
      </c>
      <c r="V544" s="7" t="n">
        <f aca="false">IF(OR(P544&lt;0,P544&gt;0.5),0,P544)</f>
        <v>0.2</v>
      </c>
      <c r="W544" s="8" t="n">
        <f aca="false">N544*O544*(1-V544)</f>
        <v>9762.288</v>
      </c>
      <c r="X544" s="8" t="n">
        <f aca="false">W544-R544</f>
        <v>1394.048</v>
      </c>
      <c r="Y544" s="7" t="n">
        <f aca="false">IFERROR(X544/W544,0)</f>
        <v>0.142799310981196</v>
      </c>
      <c r="Z544" s="9" t="n">
        <f aca="false">C544-B544</f>
        <v>6</v>
      </c>
      <c r="AA544" s="1" t="str">
        <f aca="false">IF(B544="","",TEXT(B544,"mmm"))</f>
        <v>Sep</v>
      </c>
      <c r="AB544" s="9" t="n">
        <f aca="false">IF(B544="","",YEAR(B544))</f>
        <v>2024</v>
      </c>
      <c r="AC544" s="3"/>
      <c r="AD544" s="3" t="str">
        <f aca="false">IF(LEFT(AC544&amp;IF(B544="","; Missing Order Date","")&amp;IF(C544="","; Missing Ship Date","")&amp;IF(P544&lt;0,"; Invalid Discount (Negative)","")&amp;IF(P544&gt;0.5,"; Invalid Discount (Too High)","")&amp;IF(Z544&lt;0,"; Invalid Shipping Record (Ship Before Order)","")&amp;IF(ABS(Q544-W544)&gt;1,"; Sales Mismatch","")&amp;IF(ABS(S544-X544)&gt;1,"; Profit Mismatch","")&amp;IF(COUNTIF($A$2:$A$913,A544)&gt;1,"; Duplicate Order ID Conflict",""),2)="; ",MID(AC544&amp;IF(B544="","; Missing Order Date","")&amp;IF(C544="","; Missing Ship Date","")&amp;IF(P544&lt;0,"; Invalid Discount (Negative)","")&amp;IF(P544&gt;0.5,"; Invalid Discount (Too High)","")&amp;IF(Z544&lt;0,"; Invalid Shipping Record (Ship Before Order)","")&amp;IF(ABS(Q544-W544)&gt;1,"; Sales Mismatch","")&amp;IF(ABS(S544-X544)&gt;1,"; Profit Mismatch","")&amp;IF(COUNTIF($A$2:$A$913,A544)&gt;1,"; Duplicate Order ID Conflict",""),3,500),AC544&amp;IF(B544="","; Missing Order Date","")&amp;IF(C544="","; Missing Ship Date","")&amp;IF(P544&lt;0,"; Invalid Discount (Negative)","")&amp;IF(P544&gt;0.5,"; Invalid Discount (Too High)","")&amp;IF(Z544&lt;0,"; Invalid Shipping Record (Ship Before Order)","")&amp;IF(ABS(Q544-W544)&gt;1,"; Sales Mismatch","")&amp;IF(ABS(S544-X544)&gt;1,"; Profit Mismatch","")&amp;IF(COUNTIF($A$2:$A$913,A544)&gt;1,"; Duplicate Order ID Conflict",""))</f>
        <v>Sales Mismatch</v>
      </c>
      <c r="AE544" s="10" t="str">
        <f aca="false">IF(OR(ISNUMBER(SEARCH("Invalid Discount",AD544)),ISNUMBER(SEARCH("Invalid Shipping Record",AD544)),ISNUMBER(SEARCH("Sales Mismatch",AD544)),ISNUMBER(SEARCH("Profit Mismatch",AD544)),ISNUMBER(SEARCH("Duplicate Order ID Conflict",AD544)),ISNUMBER(SEARCH("Missing Order Date",AD544)),ISNUMBER(SEARCH("Missing Ship Date",AD544))),"Invalid",IF(AD544&lt;&gt;"","Warning","Clean"))</f>
        <v>Invalid</v>
      </c>
    </row>
    <row r="545" customFormat="false" ht="15" hidden="false" customHeight="true" outlineLevel="0" collapsed="false">
      <c r="A545" s="3" t="s">
        <v>1648</v>
      </c>
      <c r="B545" s="4" t="n">
        <v>45487</v>
      </c>
      <c r="C545" s="4" t="n">
        <v>45493</v>
      </c>
      <c r="D545" s="3" t="s">
        <v>1649</v>
      </c>
      <c r="E545" s="3" t="str">
        <f aca="false">PROPER(TRIM(SUBSTITUTE(Raw_Text_Fields!B546,CHAR(160)," ")))</f>
        <v>Mira Das</v>
      </c>
      <c r="F545" s="3" t="str">
        <f aca="false">PROPER(TRIM(SUBSTITUTE(Raw_Text_Fields!C546,CHAR(160)," ")))</f>
        <v>Consumer</v>
      </c>
      <c r="G545" s="3" t="str">
        <f aca="false">PROPER(TRIM(SUBSTITUTE(Raw_Text_Fields!D546,CHAR(160)," ")))</f>
        <v>East</v>
      </c>
      <c r="H545" s="3" t="str">
        <f aca="false">PROPER(TRIM(SUBSTITUTE(Raw_Text_Fields!E546,CHAR(160)," ")))</f>
        <v>Bihar</v>
      </c>
      <c r="I545" s="3" t="str">
        <f aca="false">PROPER(TRIM(SUBSTITUTE(Raw_Text_Fields!F546,CHAR(160)," ")))</f>
        <v>Patna</v>
      </c>
      <c r="J545" s="3" t="str">
        <f aca="false">PROPER(TRIM(SUBSTITUTE(Raw_Text_Fields!G546,CHAR(160)," ")))</f>
        <v>Technology</v>
      </c>
      <c r="K545" s="3" t="str">
        <f aca="false">PROPER(TRIM(SUBSTITUTE(Raw_Text_Fields!H546,CHAR(160)," ")))</f>
        <v>Copiers</v>
      </c>
      <c r="L545" s="3" t="s">
        <v>1650</v>
      </c>
      <c r="M545" s="3" t="str">
        <f aca="false">PROPER(TRIM(SUBSTITUTE(Raw_Text_Fields!I546,CHAR(160)," ")))</f>
        <v>Same Day</v>
      </c>
      <c r="N545" s="3" t="n">
        <v>1</v>
      </c>
      <c r="O545" s="5" t="n">
        <v>492.67</v>
      </c>
      <c r="P545" s="6" t="n">
        <v>0.15</v>
      </c>
      <c r="Q545" s="5" t="n">
        <v>418.77</v>
      </c>
      <c r="R545" s="5" t="n">
        <v>313.72</v>
      </c>
      <c r="S545" s="5" t="n">
        <v>105.05</v>
      </c>
      <c r="T545" s="3" t="str">
        <f aca="false">PROPER(TRIM(SUBSTITUTE(Raw_Text_Fields!J546,CHAR(160)," ")))</f>
        <v>Paid</v>
      </c>
      <c r="U545" s="3" t="str">
        <f aca="false">PROPER(TRIM(SUBSTITUTE(Raw_Text_Fields!K546,CHAR(160)," ")))</f>
        <v>Completed</v>
      </c>
      <c r="V545" s="7" t="n">
        <f aca="false">IF(OR(P545&lt;0,P545&gt;0.5),0,P545)</f>
        <v>0.15</v>
      </c>
      <c r="W545" s="8" t="n">
        <f aca="false">N545*O545*(1-V545)</f>
        <v>418.7695</v>
      </c>
      <c r="X545" s="8" t="n">
        <f aca="false">W545-R545</f>
        <v>105.0495</v>
      </c>
      <c r="Y545" s="7" t="n">
        <f aca="false">IFERROR(X545/W545,0)</f>
        <v>0.250852796108599</v>
      </c>
      <c r="Z545" s="9" t="n">
        <f aca="false">C545-B545</f>
        <v>6</v>
      </c>
      <c r="AA545" s="1" t="str">
        <f aca="false">IF(B545="","",TEXT(B545,"mmm"))</f>
        <v>Jul</v>
      </c>
      <c r="AB545" s="9" t="n">
        <f aca="false">IF(B545="","",YEAR(B545))</f>
        <v>2024</v>
      </c>
      <c r="AC545" s="3"/>
      <c r="AD545" s="3" t="str">
        <f aca="false">IF(LEFT(AC545&amp;IF(B545="","; Missing Order Date","")&amp;IF(C545="","; Missing Ship Date","")&amp;IF(P545&lt;0,"; Invalid Discount (Negative)","")&amp;IF(P545&gt;0.5,"; Invalid Discount (Too High)","")&amp;IF(Z545&lt;0,"; Invalid Shipping Record (Ship Before Order)","")&amp;IF(ABS(Q545-W545)&gt;1,"; Sales Mismatch","")&amp;IF(ABS(S545-X545)&gt;1,"; Profit Mismatch","")&amp;IF(COUNTIF($A$2:$A$913,A545)&gt;1,"; Duplicate Order ID Conflict",""),2)="; ",MID(AC545&amp;IF(B545="","; Missing Order Date","")&amp;IF(C545="","; Missing Ship Date","")&amp;IF(P545&lt;0,"; Invalid Discount (Negative)","")&amp;IF(P545&gt;0.5,"; Invalid Discount (Too High)","")&amp;IF(Z545&lt;0,"; Invalid Shipping Record (Ship Before Order)","")&amp;IF(ABS(Q545-W545)&gt;1,"; Sales Mismatch","")&amp;IF(ABS(S545-X545)&gt;1,"; Profit Mismatch","")&amp;IF(COUNTIF($A$2:$A$913,A545)&gt;1,"; Duplicate Order ID Conflict",""),3,500),AC545&amp;IF(B545="","; Missing Order Date","")&amp;IF(C545="","; Missing Ship Date","")&amp;IF(P545&lt;0,"; Invalid Discount (Negative)","")&amp;IF(P545&gt;0.5,"; Invalid Discount (Too High)","")&amp;IF(Z545&lt;0,"; Invalid Shipping Record (Ship Before Order)","")&amp;IF(ABS(Q545-W545)&gt;1,"; Sales Mismatch","")&amp;IF(ABS(S545-X545)&gt;1,"; Profit Mismatch","")&amp;IF(COUNTIF($A$2:$A$913,A545)&gt;1,"; Duplicate Order ID Conflict",""))</f>
        <v/>
      </c>
      <c r="AE545" s="10" t="str">
        <f aca="false">IF(OR(ISNUMBER(SEARCH("Invalid Discount",AD545)),ISNUMBER(SEARCH("Invalid Shipping Record",AD545)),ISNUMBER(SEARCH("Sales Mismatch",AD545)),ISNUMBER(SEARCH("Profit Mismatch",AD545)),ISNUMBER(SEARCH("Duplicate Order ID Conflict",AD545)),ISNUMBER(SEARCH("Missing Order Date",AD545)),ISNUMBER(SEARCH("Missing Ship Date",AD545))),"Invalid",IF(AD545&lt;&gt;"","Warning","Clean"))</f>
        <v>Clean</v>
      </c>
    </row>
    <row r="546" customFormat="false" ht="15" hidden="false" customHeight="true" outlineLevel="0" collapsed="false">
      <c r="A546" s="3" t="s">
        <v>1651</v>
      </c>
      <c r="B546" s="4" t="n">
        <v>45686</v>
      </c>
      <c r="C546" s="4" t="n">
        <v>45693</v>
      </c>
      <c r="D546" s="3" t="s">
        <v>1652</v>
      </c>
      <c r="E546" s="3" t="str">
        <f aca="false">PROPER(TRIM(SUBSTITUTE(Raw_Text_Fields!B547,CHAR(160)," ")))</f>
        <v>Ananya Rao</v>
      </c>
      <c r="F546" s="3" t="str">
        <f aca="false">PROPER(TRIM(SUBSTITUTE(Raw_Text_Fields!C547,CHAR(160)," ")))</f>
        <v>Consumer</v>
      </c>
      <c r="G546" s="3" t="str">
        <f aca="false">PROPER(TRIM(SUBSTITUTE(Raw_Text_Fields!D547,CHAR(160)," ")))</f>
        <v>South</v>
      </c>
      <c r="H546" s="3" t="str">
        <f aca="false">PROPER(TRIM(SUBSTITUTE(Raw_Text_Fields!E547,CHAR(160)," ")))</f>
        <v>Kerala</v>
      </c>
      <c r="I546" s="3" t="str">
        <f aca="false">PROPER(TRIM(SUBSTITUTE(Raw_Text_Fields!F547,CHAR(160)," ")))</f>
        <v>Kochi</v>
      </c>
      <c r="J546" s="3" t="str">
        <f aca="false">PROPER(TRIM(SUBSTITUTE(Raw_Text_Fields!G547,CHAR(160)," ")))</f>
        <v>Office Supplies</v>
      </c>
      <c r="K546" s="3" t="str">
        <f aca="false">PROPER(TRIM(SUBSTITUTE(Raw_Text_Fields!H547,CHAR(160)," ")))</f>
        <v>Art</v>
      </c>
      <c r="L546" s="3" t="s">
        <v>1653</v>
      </c>
      <c r="M546" s="3" t="str">
        <f aca="false">PROPER(TRIM(SUBSTITUTE(Raw_Text_Fields!I547,CHAR(160)," ")))</f>
        <v>Same Day</v>
      </c>
      <c r="N546" s="3" t="n">
        <v>8</v>
      </c>
      <c r="O546" s="5" t="n">
        <v>3643.62</v>
      </c>
      <c r="P546" s="6" t="n">
        <v>0.25</v>
      </c>
      <c r="Q546" s="5" t="n">
        <v>21861.72</v>
      </c>
      <c r="R546" s="5" t="n">
        <v>18464.34</v>
      </c>
      <c r="S546" s="5" t="n">
        <v>3397.38</v>
      </c>
      <c r="T546" s="3" t="str">
        <f aca="false">PROPER(TRIM(SUBSTITUTE(Raw_Text_Fields!J547,CHAR(160)," ")))</f>
        <v>Paid</v>
      </c>
      <c r="U546" s="3" t="str">
        <f aca="false">PROPER(TRIM(SUBSTITUTE(Raw_Text_Fields!K547,CHAR(160)," ")))</f>
        <v>Cancelled</v>
      </c>
      <c r="V546" s="7" t="n">
        <f aca="false">IF(OR(P546&lt;0,P546&gt;0.5),0,P546)</f>
        <v>0.25</v>
      </c>
      <c r="W546" s="8" t="n">
        <f aca="false">N546*O546*(1-V546)</f>
        <v>21861.72</v>
      </c>
      <c r="X546" s="8" t="n">
        <f aca="false">W546-R546</f>
        <v>3397.38</v>
      </c>
      <c r="Y546" s="7" t="n">
        <f aca="false">IFERROR(X546/W546,0)</f>
        <v>0.155403143028088</v>
      </c>
      <c r="Z546" s="9" t="n">
        <f aca="false">C546-B546</f>
        <v>7</v>
      </c>
      <c r="AA546" s="1" t="str">
        <f aca="false">IF(B546="","",TEXT(B546,"mmm"))</f>
        <v>Jan</v>
      </c>
      <c r="AB546" s="9" t="n">
        <f aca="false">IF(B546="","",YEAR(B546))</f>
        <v>2025</v>
      </c>
      <c r="AC546" s="3"/>
      <c r="AD546" s="3" t="str">
        <f aca="false">IF(LEFT(AC546&amp;IF(B546="","; Missing Order Date","")&amp;IF(C546="","; Missing Ship Date","")&amp;IF(P546&lt;0,"; Invalid Discount (Negative)","")&amp;IF(P546&gt;0.5,"; Invalid Discount (Too High)","")&amp;IF(Z546&lt;0,"; Invalid Shipping Record (Ship Before Order)","")&amp;IF(ABS(Q546-W546)&gt;1,"; Sales Mismatch","")&amp;IF(ABS(S546-X546)&gt;1,"; Profit Mismatch","")&amp;IF(COUNTIF($A$2:$A$913,A546)&gt;1,"; Duplicate Order ID Conflict",""),2)="; ",MID(AC546&amp;IF(B546="","; Missing Order Date","")&amp;IF(C546="","; Missing Ship Date","")&amp;IF(P546&lt;0,"; Invalid Discount (Negative)","")&amp;IF(P546&gt;0.5,"; Invalid Discount (Too High)","")&amp;IF(Z546&lt;0,"; Invalid Shipping Record (Ship Before Order)","")&amp;IF(ABS(Q546-W546)&gt;1,"; Sales Mismatch","")&amp;IF(ABS(S546-X546)&gt;1,"; Profit Mismatch","")&amp;IF(COUNTIF($A$2:$A$913,A546)&gt;1,"; Duplicate Order ID Conflict",""),3,500),AC546&amp;IF(B546="","; Missing Order Date","")&amp;IF(C546="","; Missing Ship Date","")&amp;IF(P546&lt;0,"; Invalid Discount (Negative)","")&amp;IF(P546&gt;0.5,"; Invalid Discount (Too High)","")&amp;IF(Z546&lt;0,"; Invalid Shipping Record (Ship Before Order)","")&amp;IF(ABS(Q546-W546)&gt;1,"; Sales Mismatch","")&amp;IF(ABS(S546-X546)&gt;1,"; Profit Mismatch","")&amp;IF(COUNTIF($A$2:$A$913,A546)&gt;1,"; Duplicate Order ID Conflict",""))</f>
        <v/>
      </c>
      <c r="AE546" s="10" t="str">
        <f aca="false">IF(OR(ISNUMBER(SEARCH("Invalid Discount",AD546)),ISNUMBER(SEARCH("Invalid Shipping Record",AD546)),ISNUMBER(SEARCH("Sales Mismatch",AD546)),ISNUMBER(SEARCH("Profit Mismatch",AD546)),ISNUMBER(SEARCH("Duplicate Order ID Conflict",AD546)),ISNUMBER(SEARCH("Missing Order Date",AD546)),ISNUMBER(SEARCH("Missing Ship Date",AD546))),"Invalid",IF(AD546&lt;&gt;"","Warning","Clean"))</f>
        <v>Clean</v>
      </c>
    </row>
    <row r="547" customFormat="false" ht="15" hidden="false" customHeight="true" outlineLevel="0" collapsed="false">
      <c r="A547" s="3" t="s">
        <v>1654</v>
      </c>
      <c r="B547" s="4" t="n">
        <v>45439</v>
      </c>
      <c r="C547" s="4" t="n">
        <v>45442</v>
      </c>
      <c r="D547" s="3" t="s">
        <v>1655</v>
      </c>
      <c r="E547" s="3" t="str">
        <f aca="false">PROPER(TRIM(SUBSTITUTE(Raw_Text_Fields!B548,CHAR(160)," ")))</f>
        <v>Kabir Singh</v>
      </c>
      <c r="F547" s="3" t="str">
        <f aca="false">PROPER(TRIM(SUBSTITUTE(Raw_Text_Fields!C548,CHAR(160)," ")))</f>
        <v>Small Business</v>
      </c>
      <c r="G547" s="3" t="str">
        <f aca="false">PROPER(TRIM(SUBSTITUTE(Raw_Text_Fields!D548,CHAR(160)," ")))</f>
        <v>East</v>
      </c>
      <c r="H547" s="3" t="str">
        <f aca="false">PROPER(TRIM(SUBSTITUTE(Raw_Text_Fields!E548,CHAR(160)," ")))</f>
        <v>Jharkhand</v>
      </c>
      <c r="I547" s="3" t="str">
        <f aca="false">PROPER(TRIM(SUBSTITUTE(Raw_Text_Fields!F548,CHAR(160)," ")))</f>
        <v>Ranchi</v>
      </c>
      <c r="J547" s="3" t="str">
        <f aca="false">PROPER(TRIM(SUBSTITUTE(Raw_Text_Fields!G548,CHAR(160)," ")))</f>
        <v>Office Supplies</v>
      </c>
      <c r="K547" s="3" t="str">
        <f aca="false">PROPER(TRIM(SUBSTITUTE(Raw_Text_Fields!H548,CHAR(160)," ")))</f>
        <v>Storage</v>
      </c>
      <c r="L547" s="3" t="s">
        <v>1656</v>
      </c>
      <c r="M547" s="3" t="str">
        <f aca="false">PROPER(TRIM(SUBSTITUTE(Raw_Text_Fields!I548,CHAR(160)," ")))</f>
        <v>Same Day</v>
      </c>
      <c r="N547" s="3" t="n">
        <v>7</v>
      </c>
      <c r="O547" s="5" t="n">
        <v>2900.86</v>
      </c>
      <c r="P547" s="6" t="n">
        <v>0.15</v>
      </c>
      <c r="Q547" s="5" t="n">
        <v>17260.12</v>
      </c>
      <c r="R547" s="5" t="n">
        <v>13513.51</v>
      </c>
      <c r="S547" s="5" t="n">
        <v>3746.61</v>
      </c>
      <c r="T547" s="3" t="str">
        <f aca="false">PROPER(TRIM(SUBSTITUTE(Raw_Text_Fields!J548,CHAR(160)," ")))</f>
        <v>Paid</v>
      </c>
      <c r="U547" s="3" t="str">
        <f aca="false">PROPER(TRIM(SUBSTITUTE(Raw_Text_Fields!K548,CHAR(160)," ")))</f>
        <v>Completed</v>
      </c>
      <c r="V547" s="7" t="n">
        <f aca="false">IF(OR(P547&lt;0,P547&gt;0.5),0,P547)</f>
        <v>0.15</v>
      </c>
      <c r="W547" s="8" t="n">
        <f aca="false">N547*O547*(1-V547)</f>
        <v>17260.117</v>
      </c>
      <c r="X547" s="8" t="n">
        <f aca="false">W547-R547</f>
        <v>3746.607</v>
      </c>
      <c r="Y547" s="7" t="n">
        <f aca="false">IFERROR(X547/W547,0)</f>
        <v>0.217067300296979</v>
      </c>
      <c r="Z547" s="9" t="n">
        <f aca="false">C547-B547</f>
        <v>3</v>
      </c>
      <c r="AA547" s="1" t="str">
        <f aca="false">IF(B547="","",TEXT(B547,"mmm"))</f>
        <v>May</v>
      </c>
      <c r="AB547" s="9" t="n">
        <f aca="false">IF(B547="","",YEAR(B547))</f>
        <v>2024</v>
      </c>
      <c r="AC547" s="3"/>
      <c r="AD547" s="3" t="str">
        <f aca="false">IF(LEFT(AC547&amp;IF(B547="","; Missing Order Date","")&amp;IF(C547="","; Missing Ship Date","")&amp;IF(P547&lt;0,"; Invalid Discount (Negative)","")&amp;IF(P547&gt;0.5,"; Invalid Discount (Too High)","")&amp;IF(Z547&lt;0,"; Invalid Shipping Record (Ship Before Order)","")&amp;IF(ABS(Q547-W547)&gt;1,"; Sales Mismatch","")&amp;IF(ABS(S547-X547)&gt;1,"; Profit Mismatch","")&amp;IF(COUNTIF($A$2:$A$913,A547)&gt;1,"; Duplicate Order ID Conflict",""),2)="; ",MID(AC547&amp;IF(B547="","; Missing Order Date","")&amp;IF(C547="","; Missing Ship Date","")&amp;IF(P547&lt;0,"; Invalid Discount (Negative)","")&amp;IF(P547&gt;0.5,"; Invalid Discount (Too High)","")&amp;IF(Z547&lt;0,"; Invalid Shipping Record (Ship Before Order)","")&amp;IF(ABS(Q547-W547)&gt;1,"; Sales Mismatch","")&amp;IF(ABS(S547-X547)&gt;1,"; Profit Mismatch","")&amp;IF(COUNTIF($A$2:$A$913,A547)&gt;1,"; Duplicate Order ID Conflict",""),3,500),AC547&amp;IF(B547="","; Missing Order Date","")&amp;IF(C547="","; Missing Ship Date","")&amp;IF(P547&lt;0,"; Invalid Discount (Negative)","")&amp;IF(P547&gt;0.5,"; Invalid Discount (Too High)","")&amp;IF(Z547&lt;0,"; Invalid Shipping Record (Ship Before Order)","")&amp;IF(ABS(Q547-W547)&gt;1,"; Sales Mismatch","")&amp;IF(ABS(S547-X547)&gt;1,"; Profit Mismatch","")&amp;IF(COUNTIF($A$2:$A$913,A547)&gt;1,"; Duplicate Order ID Conflict",""))</f>
        <v/>
      </c>
      <c r="AE547" s="10" t="str">
        <f aca="false">IF(OR(ISNUMBER(SEARCH("Invalid Discount",AD547)),ISNUMBER(SEARCH("Invalid Shipping Record",AD547)),ISNUMBER(SEARCH("Sales Mismatch",AD547)),ISNUMBER(SEARCH("Profit Mismatch",AD547)),ISNUMBER(SEARCH("Duplicate Order ID Conflict",AD547)),ISNUMBER(SEARCH("Missing Order Date",AD547)),ISNUMBER(SEARCH("Missing Ship Date",AD547))),"Invalid",IF(AD547&lt;&gt;"","Warning","Clean"))</f>
        <v>Clean</v>
      </c>
    </row>
    <row r="548" customFormat="false" ht="15" hidden="false" customHeight="true" outlineLevel="0" collapsed="false">
      <c r="A548" s="3" t="s">
        <v>1657</v>
      </c>
      <c r="B548" s="4" t="n">
        <v>45883</v>
      </c>
      <c r="C548" s="4" t="n">
        <v>45891</v>
      </c>
      <c r="D548" s="3" t="s">
        <v>1658</v>
      </c>
      <c r="E548" s="3" t="str">
        <f aca="false">PROPER(TRIM(SUBSTITUTE(Raw_Text_Fields!B549,CHAR(160)," ")))</f>
        <v>Arjun Bose</v>
      </c>
      <c r="F548" s="3" t="str">
        <f aca="false">PROPER(TRIM(SUBSTITUTE(Raw_Text_Fields!C549,CHAR(160)," ")))</f>
        <v>Corporate</v>
      </c>
      <c r="G548" s="3" t="str">
        <f aca="false">PROPER(TRIM(SUBSTITUTE(Raw_Text_Fields!D549,CHAR(160)," ")))</f>
        <v>West</v>
      </c>
      <c r="H548" s="3" t="str">
        <f aca="false">PROPER(TRIM(SUBSTITUTE(Raw_Text_Fields!E549,CHAR(160)," ")))</f>
        <v>Gujarat</v>
      </c>
      <c r="I548" s="3" t="str">
        <f aca="false">PROPER(TRIM(SUBSTITUTE(Raw_Text_Fields!F549,CHAR(160)," ")))</f>
        <v>Ahmedabad</v>
      </c>
      <c r="J548" s="3" t="str">
        <f aca="false">PROPER(TRIM(SUBSTITUTE(Raw_Text_Fields!G549,CHAR(160)," ")))</f>
        <v>Office Supplies</v>
      </c>
      <c r="K548" s="3" t="str">
        <f aca="false">PROPER(TRIM(SUBSTITUTE(Raw_Text_Fields!H549,CHAR(160)," ")))</f>
        <v>Paper</v>
      </c>
      <c r="L548" s="3" t="s">
        <v>1659</v>
      </c>
      <c r="M548" s="3" t="str">
        <f aca="false">PROPER(TRIM(SUBSTITUTE(Raw_Text_Fields!I549,CHAR(160)," ")))</f>
        <v>First Class</v>
      </c>
      <c r="N548" s="3" t="n">
        <v>5</v>
      </c>
      <c r="O548" s="5" t="n">
        <v>2567.37</v>
      </c>
      <c r="P548" s="6" t="n">
        <v>0.15</v>
      </c>
      <c r="Q548" s="5" t="n">
        <v>10911.32</v>
      </c>
      <c r="R548" s="5" t="n">
        <v>6966.44</v>
      </c>
      <c r="S548" s="5" t="n">
        <v>4395.17</v>
      </c>
      <c r="T548" s="3" t="str">
        <f aca="false">PROPER(TRIM(SUBSTITUTE(Raw_Text_Fields!J549,CHAR(160)," ")))</f>
        <v>Paid</v>
      </c>
      <c r="U548" s="3" t="str">
        <f aca="false">PROPER(TRIM(SUBSTITUTE(Raw_Text_Fields!K549,CHAR(160)," ")))</f>
        <v>Completed</v>
      </c>
      <c r="V548" s="7" t="n">
        <f aca="false">IF(OR(P548&lt;0,P548&gt;0.5),0,P548)</f>
        <v>0.15</v>
      </c>
      <c r="W548" s="8" t="n">
        <f aca="false">N548*O548*(1-V548)</f>
        <v>10911.3225</v>
      </c>
      <c r="X548" s="8" t="n">
        <f aca="false">W548-R548</f>
        <v>3944.8825</v>
      </c>
      <c r="Y548" s="7" t="n">
        <f aca="false">IFERROR(X548/W548,0)</f>
        <v>0.361540271584861</v>
      </c>
      <c r="Z548" s="9" t="n">
        <f aca="false">C548-B548</f>
        <v>8</v>
      </c>
      <c r="AA548" s="1" t="str">
        <f aca="false">IF(B548="","",TEXT(B548,"mmm"))</f>
        <v>Aug</v>
      </c>
      <c r="AB548" s="9" t="n">
        <f aca="false">IF(B548="","",YEAR(B548))</f>
        <v>2025</v>
      </c>
      <c r="AC548" s="3"/>
      <c r="AD548" s="3" t="str">
        <f aca="false">IF(LEFT(AC548&amp;IF(B548="","; Missing Order Date","")&amp;IF(C548="","; Missing Ship Date","")&amp;IF(P548&lt;0,"; Invalid Discount (Negative)","")&amp;IF(P548&gt;0.5,"; Invalid Discount (Too High)","")&amp;IF(Z548&lt;0,"; Invalid Shipping Record (Ship Before Order)","")&amp;IF(ABS(Q548-W548)&gt;1,"; Sales Mismatch","")&amp;IF(ABS(S548-X548)&gt;1,"; Profit Mismatch","")&amp;IF(COUNTIF($A$2:$A$913,A548)&gt;1,"; Duplicate Order ID Conflict",""),2)="; ",MID(AC548&amp;IF(B548="","; Missing Order Date","")&amp;IF(C548="","; Missing Ship Date","")&amp;IF(P548&lt;0,"; Invalid Discount (Negative)","")&amp;IF(P548&gt;0.5,"; Invalid Discount (Too High)","")&amp;IF(Z548&lt;0,"; Invalid Shipping Record (Ship Before Order)","")&amp;IF(ABS(Q548-W548)&gt;1,"; Sales Mismatch","")&amp;IF(ABS(S548-X548)&gt;1,"; Profit Mismatch","")&amp;IF(COUNTIF($A$2:$A$913,A548)&gt;1,"; Duplicate Order ID Conflict",""),3,500),AC548&amp;IF(B548="","; Missing Order Date","")&amp;IF(C548="","; Missing Ship Date","")&amp;IF(P548&lt;0,"; Invalid Discount (Negative)","")&amp;IF(P548&gt;0.5,"; Invalid Discount (Too High)","")&amp;IF(Z548&lt;0,"; Invalid Shipping Record (Ship Before Order)","")&amp;IF(ABS(Q548-W548)&gt;1,"; Sales Mismatch","")&amp;IF(ABS(S548-X548)&gt;1,"; Profit Mismatch","")&amp;IF(COUNTIF($A$2:$A$913,A548)&gt;1,"; Duplicate Order ID Conflict",""))</f>
        <v>Profit Mismatch</v>
      </c>
      <c r="AE548" s="10" t="str">
        <f aca="false">IF(OR(ISNUMBER(SEARCH("Invalid Discount",AD548)),ISNUMBER(SEARCH("Invalid Shipping Record",AD548)),ISNUMBER(SEARCH("Sales Mismatch",AD548)),ISNUMBER(SEARCH("Profit Mismatch",AD548)),ISNUMBER(SEARCH("Duplicate Order ID Conflict",AD548)),ISNUMBER(SEARCH("Missing Order Date",AD548)),ISNUMBER(SEARCH("Missing Ship Date",AD548))),"Invalid",IF(AD548&lt;&gt;"","Warning","Clean"))</f>
        <v>Invalid</v>
      </c>
    </row>
    <row r="549" customFormat="false" ht="15" hidden="false" customHeight="true" outlineLevel="0" collapsed="false">
      <c r="A549" s="3" t="s">
        <v>1660</v>
      </c>
      <c r="B549" s="4" t="n">
        <v>45428</v>
      </c>
      <c r="C549" s="4" t="n">
        <v>45435</v>
      </c>
      <c r="D549" s="3" t="s">
        <v>1661</v>
      </c>
      <c r="E549" s="3" t="str">
        <f aca="false">PROPER(TRIM(SUBSTITUTE(Raw_Text_Fields!B550,CHAR(160)," ")))</f>
        <v>Neha Gupta</v>
      </c>
      <c r="F549" s="3" t="str">
        <f aca="false">PROPER(TRIM(SUBSTITUTE(Raw_Text_Fields!C550,CHAR(160)," ")))</f>
        <v>Small Business</v>
      </c>
      <c r="G549" s="3" t="str">
        <f aca="false">PROPER(TRIM(SUBSTITUTE(Raw_Text_Fields!D550,CHAR(160)," ")))</f>
        <v>North</v>
      </c>
      <c r="H549" s="3" t="str">
        <f aca="false">PROPER(TRIM(SUBSTITUTE(Raw_Text_Fields!E550,CHAR(160)," ")))</f>
        <v>Uttar Pradesh</v>
      </c>
      <c r="I549" s="3" t="str">
        <f aca="false">PROPER(TRIM(SUBSTITUTE(Raw_Text_Fields!F550,CHAR(160)," ")))</f>
        <v>Noida</v>
      </c>
      <c r="J549" s="3" t="str">
        <f aca="false">PROPER(TRIM(SUBSTITUTE(Raw_Text_Fields!G550,CHAR(160)," ")))</f>
        <v>Technology</v>
      </c>
      <c r="K549" s="3" t="str">
        <f aca="false">PROPER(TRIM(SUBSTITUTE(Raw_Text_Fields!H550,CHAR(160)," ")))</f>
        <v>Copiers</v>
      </c>
      <c r="L549" s="3" t="s">
        <v>1662</v>
      </c>
      <c r="M549" s="3" t="str">
        <f aca="false">PROPER(TRIM(SUBSTITUTE(Raw_Text_Fields!I550,CHAR(160)," ")))</f>
        <v>Standard Class</v>
      </c>
      <c r="N549" s="3" t="n">
        <v>9</v>
      </c>
      <c r="O549" s="5" t="n">
        <v>3722.09</v>
      </c>
      <c r="P549" s="6" t="n">
        <v>0.1</v>
      </c>
      <c r="Q549" s="5" t="n">
        <v>30148.93</v>
      </c>
      <c r="R549" s="5" t="n">
        <v>25155.07</v>
      </c>
      <c r="S549" s="5" t="n">
        <v>4993.86</v>
      </c>
      <c r="T549" s="3" t="str">
        <f aca="false">PROPER(TRIM(SUBSTITUTE(Raw_Text_Fields!J550,CHAR(160)," ")))</f>
        <v>Paid</v>
      </c>
      <c r="U549" s="3" t="str">
        <f aca="false">PROPER(TRIM(SUBSTITUTE(Raw_Text_Fields!K550,CHAR(160)," ")))</f>
        <v>Completed</v>
      </c>
      <c r="V549" s="7" t="n">
        <f aca="false">IF(OR(P549&lt;0,P549&gt;0.5),0,P549)</f>
        <v>0.1</v>
      </c>
      <c r="W549" s="8" t="n">
        <f aca="false">N549*O549*(1-V549)</f>
        <v>30148.929</v>
      </c>
      <c r="X549" s="8" t="n">
        <f aca="false">W549-R549</f>
        <v>4993.859</v>
      </c>
      <c r="Y549" s="7" t="n">
        <f aca="false">IFERROR(X549/W549,0)</f>
        <v>0.165639681595323</v>
      </c>
      <c r="Z549" s="9" t="n">
        <f aca="false">C549-B549</f>
        <v>7</v>
      </c>
      <c r="AA549" s="1" t="str">
        <f aca="false">IF(B549="","",TEXT(B549,"mmm"))</f>
        <v>May</v>
      </c>
      <c r="AB549" s="9" t="n">
        <f aca="false">IF(B549="","",YEAR(B549))</f>
        <v>2024</v>
      </c>
      <c r="AC549" s="3"/>
      <c r="AD549" s="3" t="str">
        <f aca="false">IF(LEFT(AC549&amp;IF(B549="","; Missing Order Date","")&amp;IF(C549="","; Missing Ship Date","")&amp;IF(P549&lt;0,"; Invalid Discount (Negative)","")&amp;IF(P549&gt;0.5,"; Invalid Discount (Too High)","")&amp;IF(Z549&lt;0,"; Invalid Shipping Record (Ship Before Order)","")&amp;IF(ABS(Q549-W549)&gt;1,"; Sales Mismatch","")&amp;IF(ABS(S549-X549)&gt;1,"; Profit Mismatch","")&amp;IF(COUNTIF($A$2:$A$913,A549)&gt;1,"; Duplicate Order ID Conflict",""),2)="; ",MID(AC549&amp;IF(B549="","; Missing Order Date","")&amp;IF(C549="","; Missing Ship Date","")&amp;IF(P549&lt;0,"; Invalid Discount (Negative)","")&amp;IF(P549&gt;0.5,"; Invalid Discount (Too High)","")&amp;IF(Z549&lt;0,"; Invalid Shipping Record (Ship Before Order)","")&amp;IF(ABS(Q549-W549)&gt;1,"; Sales Mismatch","")&amp;IF(ABS(S549-X549)&gt;1,"; Profit Mismatch","")&amp;IF(COUNTIF($A$2:$A$913,A549)&gt;1,"; Duplicate Order ID Conflict",""),3,500),AC549&amp;IF(B549="","; Missing Order Date","")&amp;IF(C549="","; Missing Ship Date","")&amp;IF(P549&lt;0,"; Invalid Discount (Negative)","")&amp;IF(P549&gt;0.5,"; Invalid Discount (Too High)","")&amp;IF(Z549&lt;0,"; Invalid Shipping Record (Ship Before Order)","")&amp;IF(ABS(Q549-W549)&gt;1,"; Sales Mismatch","")&amp;IF(ABS(S549-X549)&gt;1,"; Profit Mismatch","")&amp;IF(COUNTIF($A$2:$A$913,A549)&gt;1,"; Duplicate Order ID Conflict",""))</f>
        <v/>
      </c>
      <c r="AE549" s="10" t="str">
        <f aca="false">IF(OR(ISNUMBER(SEARCH("Invalid Discount",AD549)),ISNUMBER(SEARCH("Invalid Shipping Record",AD549)),ISNUMBER(SEARCH("Sales Mismatch",AD549)),ISNUMBER(SEARCH("Profit Mismatch",AD549)),ISNUMBER(SEARCH("Duplicate Order ID Conflict",AD549)),ISNUMBER(SEARCH("Missing Order Date",AD549)),ISNUMBER(SEARCH("Missing Ship Date",AD549))),"Invalid",IF(AD549&lt;&gt;"","Warning","Clean"))</f>
        <v>Clean</v>
      </c>
    </row>
    <row r="550" customFormat="false" ht="15" hidden="false" customHeight="true" outlineLevel="0" collapsed="false">
      <c r="A550" s="3" t="s">
        <v>1663</v>
      </c>
      <c r="B550" s="4" t="n">
        <v>45441</v>
      </c>
      <c r="C550" s="4" t="n">
        <v>45441</v>
      </c>
      <c r="D550" s="3" t="s">
        <v>1664</v>
      </c>
      <c r="E550" s="3" t="str">
        <f aca="false">PROPER(TRIM(SUBSTITUTE(Raw_Text_Fields!B551,CHAR(160)," ")))</f>
        <v>Rohan Mehta</v>
      </c>
      <c r="F550" s="3" t="str">
        <f aca="false">PROPER(TRIM(SUBSTITUTE(Raw_Text_Fields!C551,CHAR(160)," ")))</f>
        <v>Corporate</v>
      </c>
      <c r="G550" s="3" t="str">
        <f aca="false">PROPER(TRIM(SUBSTITUTE(Raw_Text_Fields!D551,CHAR(160)," ")))</f>
        <v>East</v>
      </c>
      <c r="H550" s="3" t="str">
        <f aca="false">PROPER(TRIM(SUBSTITUTE(Raw_Text_Fields!E551,CHAR(160)," ")))</f>
        <v>Bihar</v>
      </c>
      <c r="I550" s="3" t="str">
        <f aca="false">PROPER(TRIM(SUBSTITUTE(Raw_Text_Fields!F551,CHAR(160)," ")))</f>
        <v>Patna</v>
      </c>
      <c r="J550" s="3" t="str">
        <f aca="false">PROPER(TRIM(SUBSTITUTE(Raw_Text_Fields!G551,CHAR(160)," ")))</f>
        <v>Furniture</v>
      </c>
      <c r="K550" s="3" t="str">
        <f aca="false">PROPER(TRIM(SUBSTITUTE(Raw_Text_Fields!H551,CHAR(160)," ")))</f>
        <v>Bookcases</v>
      </c>
      <c r="L550" s="3" t="s">
        <v>1665</v>
      </c>
      <c r="M550" s="3" t="str">
        <f aca="false">PROPER(TRIM(SUBSTITUTE(Raw_Text_Fields!I551,CHAR(160)," ")))</f>
        <v>Same Day</v>
      </c>
      <c r="N550" s="3" t="n">
        <v>1</v>
      </c>
      <c r="O550" s="5" t="n">
        <v>1072.01</v>
      </c>
      <c r="P550" s="6" t="n">
        <v>0</v>
      </c>
      <c r="Q550" s="5" t="n">
        <v>1072.01</v>
      </c>
      <c r="R550" s="5" t="n">
        <v>852.62</v>
      </c>
      <c r="S550" s="5" t="n">
        <v>219.39</v>
      </c>
      <c r="T550" s="3" t="str">
        <f aca="false">PROPER(TRIM(SUBSTITUTE(Raw_Text_Fields!J551,CHAR(160)," ")))</f>
        <v>Pending</v>
      </c>
      <c r="U550" s="3" t="str">
        <f aca="false">PROPER(TRIM(SUBSTITUTE(Raw_Text_Fields!K551,CHAR(160)," ")))</f>
        <v>Cancelled</v>
      </c>
      <c r="V550" s="7" t="n">
        <f aca="false">IF(OR(P550&lt;0,P550&gt;0.5),0,P550)</f>
        <v>0</v>
      </c>
      <c r="W550" s="8" t="n">
        <f aca="false">N550*O550*(1-V550)</f>
        <v>1072.01</v>
      </c>
      <c r="X550" s="8" t="n">
        <f aca="false">W550-R550</f>
        <v>219.39</v>
      </c>
      <c r="Y550" s="7" t="n">
        <f aca="false">IFERROR(X550/W550,0)</f>
        <v>0.20465294167032</v>
      </c>
      <c r="Z550" s="9" t="n">
        <f aca="false">C550-B550</f>
        <v>0</v>
      </c>
      <c r="AA550" s="1" t="str">
        <f aca="false">IF(B550="","",TEXT(B550,"mmm"))</f>
        <v>May</v>
      </c>
      <c r="AB550" s="9" t="n">
        <f aca="false">IF(B550="","",YEAR(B550))</f>
        <v>2024</v>
      </c>
      <c r="AC550" s="3"/>
      <c r="AD550" s="3" t="str">
        <f aca="false">IF(LEFT(AC550&amp;IF(B550="","; Missing Order Date","")&amp;IF(C550="","; Missing Ship Date","")&amp;IF(P550&lt;0,"; Invalid Discount (Negative)","")&amp;IF(P550&gt;0.5,"; Invalid Discount (Too High)","")&amp;IF(Z550&lt;0,"; Invalid Shipping Record (Ship Before Order)","")&amp;IF(ABS(Q550-W550)&gt;1,"; Sales Mismatch","")&amp;IF(ABS(S550-X550)&gt;1,"; Profit Mismatch","")&amp;IF(COUNTIF($A$2:$A$913,A550)&gt;1,"; Duplicate Order ID Conflict",""),2)="; ",MID(AC550&amp;IF(B550="","; Missing Order Date","")&amp;IF(C550="","; Missing Ship Date","")&amp;IF(P550&lt;0,"; Invalid Discount (Negative)","")&amp;IF(P550&gt;0.5,"; Invalid Discount (Too High)","")&amp;IF(Z550&lt;0,"; Invalid Shipping Record (Ship Before Order)","")&amp;IF(ABS(Q550-W550)&gt;1,"; Sales Mismatch","")&amp;IF(ABS(S550-X550)&gt;1,"; Profit Mismatch","")&amp;IF(COUNTIF($A$2:$A$913,A550)&gt;1,"; Duplicate Order ID Conflict",""),3,500),AC550&amp;IF(B550="","; Missing Order Date","")&amp;IF(C550="","; Missing Ship Date","")&amp;IF(P550&lt;0,"; Invalid Discount (Negative)","")&amp;IF(P550&gt;0.5,"; Invalid Discount (Too High)","")&amp;IF(Z550&lt;0,"; Invalid Shipping Record (Ship Before Order)","")&amp;IF(ABS(Q550-W550)&gt;1,"; Sales Mismatch","")&amp;IF(ABS(S550-X550)&gt;1,"; Profit Mismatch","")&amp;IF(COUNTIF($A$2:$A$913,A550)&gt;1,"; Duplicate Order ID Conflict",""))</f>
        <v/>
      </c>
      <c r="AE550" s="10" t="str">
        <f aca="false">IF(OR(ISNUMBER(SEARCH("Invalid Discount",AD550)),ISNUMBER(SEARCH("Invalid Shipping Record",AD550)),ISNUMBER(SEARCH("Sales Mismatch",AD550)),ISNUMBER(SEARCH("Profit Mismatch",AD550)),ISNUMBER(SEARCH("Duplicate Order ID Conflict",AD550)),ISNUMBER(SEARCH("Missing Order Date",AD550)),ISNUMBER(SEARCH("Missing Ship Date",AD550))),"Invalid",IF(AD550&lt;&gt;"","Warning","Clean"))</f>
        <v>Clean</v>
      </c>
    </row>
    <row r="551" customFormat="false" ht="15" hidden="false" customHeight="true" outlineLevel="0" collapsed="false">
      <c r="A551" s="3" t="s">
        <v>1666</v>
      </c>
      <c r="B551" s="4" t="n">
        <v>45941</v>
      </c>
      <c r="C551" s="4" t="n">
        <v>45943</v>
      </c>
      <c r="D551" s="3" t="s">
        <v>1667</v>
      </c>
      <c r="E551" s="3" t="str">
        <f aca="false">PROPER(TRIM(SUBSTITUTE(Raw_Text_Fields!B552,CHAR(160)," ")))</f>
        <v>Mira Das</v>
      </c>
      <c r="F551" s="3" t="str">
        <f aca="false">PROPER(TRIM(SUBSTITUTE(Raw_Text_Fields!C552,CHAR(160)," ")))</f>
        <v>Corporate</v>
      </c>
      <c r="G551" s="3" t="str">
        <f aca="false">PROPER(TRIM(SUBSTITUTE(Raw_Text_Fields!D552,CHAR(160)," ")))</f>
        <v>South</v>
      </c>
      <c r="H551" s="3" t="str">
        <f aca="false">PROPER(TRIM(SUBSTITUTE(Raw_Text_Fields!E552,CHAR(160)," ")))</f>
        <v>Telangana</v>
      </c>
      <c r="I551" s="3" t="str">
        <f aca="false">PROPER(TRIM(SUBSTITUTE(Raw_Text_Fields!F552,CHAR(160)," ")))</f>
        <v>Hyderabad</v>
      </c>
      <c r="J551" s="3" t="str">
        <f aca="false">PROPER(TRIM(SUBSTITUTE(Raw_Text_Fields!G552,CHAR(160)," ")))</f>
        <v>Office Supplies</v>
      </c>
      <c r="K551" s="3" t="str">
        <f aca="false">PROPER(TRIM(SUBSTITUTE(Raw_Text_Fields!H552,CHAR(160)," ")))</f>
        <v>Art</v>
      </c>
      <c r="L551" s="3" t="s">
        <v>1668</v>
      </c>
      <c r="M551" s="3" t="str">
        <f aca="false">PROPER(TRIM(SUBSTITUTE(Raw_Text_Fields!I552,CHAR(160)," ")))</f>
        <v>Second Class</v>
      </c>
      <c r="N551" s="3" t="n">
        <v>3</v>
      </c>
      <c r="O551" s="5" t="n">
        <v>3804.27</v>
      </c>
      <c r="P551" s="6" t="n">
        <v>0.1</v>
      </c>
      <c r="Q551" s="5" t="n">
        <v>10271.53</v>
      </c>
      <c r="R551" s="5" t="n">
        <v>8272.24</v>
      </c>
      <c r="S551" s="5" t="n">
        <v>1999.29</v>
      </c>
      <c r="T551" s="3" t="str">
        <f aca="false">PROPER(TRIM(SUBSTITUTE(Raw_Text_Fields!J552,CHAR(160)," ")))</f>
        <v>Paid</v>
      </c>
      <c r="U551" s="3" t="str">
        <f aca="false">PROPER(TRIM(SUBSTITUTE(Raw_Text_Fields!K552,CHAR(160)," ")))</f>
        <v>Completed</v>
      </c>
      <c r="V551" s="7" t="n">
        <f aca="false">IF(OR(P551&lt;0,P551&gt;0.5),0,P551)</f>
        <v>0.1</v>
      </c>
      <c r="W551" s="8" t="n">
        <f aca="false">N551*O551*(1-V551)</f>
        <v>10271.529</v>
      </c>
      <c r="X551" s="8" t="n">
        <f aca="false">W551-R551</f>
        <v>1999.289</v>
      </c>
      <c r="Y551" s="7" t="n">
        <f aca="false">IFERROR(X551/W551,0)</f>
        <v>0.19464375751653</v>
      </c>
      <c r="Z551" s="9" t="n">
        <f aca="false">C551-B551</f>
        <v>2</v>
      </c>
      <c r="AA551" s="1" t="str">
        <f aca="false">IF(B551="","",TEXT(B551,"mmm"))</f>
        <v>Oct</v>
      </c>
      <c r="AB551" s="9" t="n">
        <f aca="false">IF(B551="","",YEAR(B551))</f>
        <v>2025</v>
      </c>
      <c r="AC551" s="3"/>
      <c r="AD551" s="3" t="str">
        <f aca="false">IF(LEFT(AC551&amp;IF(B551="","; Missing Order Date","")&amp;IF(C551="","; Missing Ship Date","")&amp;IF(P551&lt;0,"; Invalid Discount (Negative)","")&amp;IF(P551&gt;0.5,"; Invalid Discount (Too High)","")&amp;IF(Z551&lt;0,"; Invalid Shipping Record (Ship Before Order)","")&amp;IF(ABS(Q551-W551)&gt;1,"; Sales Mismatch","")&amp;IF(ABS(S551-X551)&gt;1,"; Profit Mismatch","")&amp;IF(COUNTIF($A$2:$A$913,A551)&gt;1,"; Duplicate Order ID Conflict",""),2)="; ",MID(AC551&amp;IF(B551="","; Missing Order Date","")&amp;IF(C551="","; Missing Ship Date","")&amp;IF(P551&lt;0,"; Invalid Discount (Negative)","")&amp;IF(P551&gt;0.5,"; Invalid Discount (Too High)","")&amp;IF(Z551&lt;0,"; Invalid Shipping Record (Ship Before Order)","")&amp;IF(ABS(Q551-W551)&gt;1,"; Sales Mismatch","")&amp;IF(ABS(S551-X551)&gt;1,"; Profit Mismatch","")&amp;IF(COUNTIF($A$2:$A$913,A551)&gt;1,"; Duplicate Order ID Conflict",""),3,500),AC551&amp;IF(B551="","; Missing Order Date","")&amp;IF(C551="","; Missing Ship Date","")&amp;IF(P551&lt;0,"; Invalid Discount (Negative)","")&amp;IF(P551&gt;0.5,"; Invalid Discount (Too High)","")&amp;IF(Z551&lt;0,"; Invalid Shipping Record (Ship Before Order)","")&amp;IF(ABS(Q551-W551)&gt;1,"; Sales Mismatch","")&amp;IF(ABS(S551-X551)&gt;1,"; Profit Mismatch","")&amp;IF(COUNTIF($A$2:$A$913,A551)&gt;1,"; Duplicate Order ID Conflict",""))</f>
        <v/>
      </c>
      <c r="AE551" s="10" t="str">
        <f aca="false">IF(OR(ISNUMBER(SEARCH("Invalid Discount",AD551)),ISNUMBER(SEARCH("Invalid Shipping Record",AD551)),ISNUMBER(SEARCH("Sales Mismatch",AD551)),ISNUMBER(SEARCH("Profit Mismatch",AD551)),ISNUMBER(SEARCH("Duplicate Order ID Conflict",AD551)),ISNUMBER(SEARCH("Missing Order Date",AD551)),ISNUMBER(SEARCH("Missing Ship Date",AD551))),"Invalid",IF(AD551&lt;&gt;"","Warning","Clean"))</f>
        <v>Clean</v>
      </c>
    </row>
    <row r="552" customFormat="false" ht="15" hidden="false" customHeight="true" outlineLevel="0" collapsed="false">
      <c r="A552" s="3" t="s">
        <v>1669</v>
      </c>
      <c r="B552" s="4" t="n">
        <v>45506</v>
      </c>
      <c r="C552" s="4" t="n">
        <v>45514</v>
      </c>
      <c r="D552" s="3" t="s">
        <v>1670</v>
      </c>
      <c r="E552" s="3" t="str">
        <f aca="false">PROPER(TRIM(SUBSTITUTE(Raw_Text_Fields!B553,CHAR(160)," ")))</f>
        <v>Mira Das</v>
      </c>
      <c r="F552" s="3" t="str">
        <f aca="false">PROPER(TRIM(SUBSTITUTE(Raw_Text_Fields!C553,CHAR(160)," ")))</f>
        <v>Home Office</v>
      </c>
      <c r="G552" s="3" t="str">
        <f aca="false">PROPER(TRIM(SUBSTITUTE(Raw_Text_Fields!D553,CHAR(160)," ")))</f>
        <v>East</v>
      </c>
      <c r="H552" s="3" t="str">
        <f aca="false">PROPER(TRIM(SUBSTITUTE(Raw_Text_Fields!E553,CHAR(160)," ")))</f>
        <v>Odisha</v>
      </c>
      <c r="I552" s="3" t="str">
        <f aca="false">PROPER(TRIM(SUBSTITUTE(Raw_Text_Fields!F553,CHAR(160)," ")))</f>
        <v>Bhubaneswar</v>
      </c>
      <c r="J552" s="3" t="str">
        <f aca="false">PROPER(TRIM(SUBSTITUTE(Raw_Text_Fields!G553,CHAR(160)," ")))</f>
        <v>Technology</v>
      </c>
      <c r="K552" s="3" t="str">
        <f aca="false">PROPER(TRIM(SUBSTITUTE(Raw_Text_Fields!H553,CHAR(160)," ")))</f>
        <v>Accessories</v>
      </c>
      <c r="L552" s="3" t="s">
        <v>1671</v>
      </c>
      <c r="M552" s="3" t="str">
        <f aca="false">PROPER(TRIM(SUBSTITUTE(Raw_Text_Fields!I553,CHAR(160)," ")))</f>
        <v>Standard Class</v>
      </c>
      <c r="N552" s="3" t="n">
        <v>6</v>
      </c>
      <c r="O552" s="5" t="n">
        <v>2126.44</v>
      </c>
      <c r="P552" s="6" t="n">
        <v>0.2</v>
      </c>
      <c r="Q552" s="5" t="n">
        <v>10206.91</v>
      </c>
      <c r="R552" s="5" t="n">
        <v>6764.53</v>
      </c>
      <c r="S552" s="5" t="n">
        <v>3442.38</v>
      </c>
      <c r="T552" s="3" t="str">
        <f aca="false">PROPER(TRIM(SUBSTITUTE(Raw_Text_Fields!J553,CHAR(160)," ")))</f>
        <v>Paid</v>
      </c>
      <c r="U552" s="3" t="str">
        <f aca="false">PROPER(TRIM(SUBSTITUTE(Raw_Text_Fields!K553,CHAR(160)," ")))</f>
        <v>Completed</v>
      </c>
      <c r="V552" s="7" t="n">
        <f aca="false">IF(OR(P552&lt;0,P552&gt;0.5),0,P552)</f>
        <v>0.2</v>
      </c>
      <c r="W552" s="8" t="n">
        <f aca="false">N552*O552*(1-V552)</f>
        <v>10206.912</v>
      </c>
      <c r="X552" s="8" t="n">
        <f aca="false">W552-R552</f>
        <v>3442.382</v>
      </c>
      <c r="Y552" s="7" t="n">
        <f aca="false">IFERROR(X552/W552,0)</f>
        <v>0.33725988820125</v>
      </c>
      <c r="Z552" s="9" t="n">
        <f aca="false">C552-B552</f>
        <v>8</v>
      </c>
      <c r="AA552" s="1" t="str">
        <f aca="false">IF(B552="","",TEXT(B552,"mmm"))</f>
        <v>Aug</v>
      </c>
      <c r="AB552" s="9" t="n">
        <f aca="false">IF(B552="","",YEAR(B552))</f>
        <v>2024</v>
      </c>
      <c r="AC552" s="3"/>
      <c r="AD552" s="3" t="str">
        <f aca="false">IF(LEFT(AC552&amp;IF(B552="","; Missing Order Date","")&amp;IF(C552="","; Missing Ship Date","")&amp;IF(P552&lt;0,"; Invalid Discount (Negative)","")&amp;IF(P552&gt;0.5,"; Invalid Discount (Too High)","")&amp;IF(Z552&lt;0,"; Invalid Shipping Record (Ship Before Order)","")&amp;IF(ABS(Q552-W552)&gt;1,"; Sales Mismatch","")&amp;IF(ABS(S552-X552)&gt;1,"; Profit Mismatch","")&amp;IF(COUNTIF($A$2:$A$913,A552)&gt;1,"; Duplicate Order ID Conflict",""),2)="; ",MID(AC552&amp;IF(B552="","; Missing Order Date","")&amp;IF(C552="","; Missing Ship Date","")&amp;IF(P552&lt;0,"; Invalid Discount (Negative)","")&amp;IF(P552&gt;0.5,"; Invalid Discount (Too High)","")&amp;IF(Z552&lt;0,"; Invalid Shipping Record (Ship Before Order)","")&amp;IF(ABS(Q552-W552)&gt;1,"; Sales Mismatch","")&amp;IF(ABS(S552-X552)&gt;1,"; Profit Mismatch","")&amp;IF(COUNTIF($A$2:$A$913,A552)&gt;1,"; Duplicate Order ID Conflict",""),3,500),AC552&amp;IF(B552="","; Missing Order Date","")&amp;IF(C552="","; Missing Ship Date","")&amp;IF(P552&lt;0,"; Invalid Discount (Negative)","")&amp;IF(P552&gt;0.5,"; Invalid Discount (Too High)","")&amp;IF(Z552&lt;0,"; Invalid Shipping Record (Ship Before Order)","")&amp;IF(ABS(Q552-W552)&gt;1,"; Sales Mismatch","")&amp;IF(ABS(S552-X552)&gt;1,"; Profit Mismatch","")&amp;IF(COUNTIF($A$2:$A$913,A552)&gt;1,"; Duplicate Order ID Conflict",""))</f>
        <v/>
      </c>
      <c r="AE552" s="10" t="str">
        <f aca="false">IF(OR(ISNUMBER(SEARCH("Invalid Discount",AD552)),ISNUMBER(SEARCH("Invalid Shipping Record",AD552)),ISNUMBER(SEARCH("Sales Mismatch",AD552)),ISNUMBER(SEARCH("Profit Mismatch",AD552)),ISNUMBER(SEARCH("Duplicate Order ID Conflict",AD552)),ISNUMBER(SEARCH("Missing Order Date",AD552)),ISNUMBER(SEARCH("Missing Ship Date",AD552))),"Invalid",IF(AD552&lt;&gt;"","Warning","Clean"))</f>
        <v>Clean</v>
      </c>
    </row>
    <row r="553" customFormat="false" ht="15" hidden="false" customHeight="true" outlineLevel="0" collapsed="false">
      <c r="A553" s="3" t="s">
        <v>1672</v>
      </c>
      <c r="B553" s="4" t="n">
        <v>45349</v>
      </c>
      <c r="C553" s="4" t="n">
        <v>45349</v>
      </c>
      <c r="D553" s="3" t="s">
        <v>1673</v>
      </c>
      <c r="E553" s="3" t="str">
        <f aca="false">PROPER(TRIM(SUBSTITUTE(Raw_Text_Fields!B554,CHAR(160)," ")))</f>
        <v>Sneha Kapoor</v>
      </c>
      <c r="F553" s="3" t="str">
        <f aca="false">PROPER(TRIM(SUBSTITUTE(Raw_Text_Fields!C554,CHAR(160)," ")))</f>
        <v>Consumer</v>
      </c>
      <c r="G553" s="3" t="str">
        <f aca="false">PROPER(TRIM(SUBSTITUTE(Raw_Text_Fields!D554,CHAR(160)," ")))</f>
        <v>East</v>
      </c>
      <c r="H553" s="3" t="str">
        <f aca="false">PROPER(TRIM(SUBSTITUTE(Raw_Text_Fields!E554,CHAR(160)," ")))</f>
        <v>Jharkhand</v>
      </c>
      <c r="I553" s="3" t="str">
        <f aca="false">PROPER(TRIM(SUBSTITUTE(Raw_Text_Fields!F554,CHAR(160)," ")))</f>
        <v>Ranchi</v>
      </c>
      <c r="J553" s="3" t="str">
        <f aca="false">PROPER(TRIM(SUBSTITUTE(Raw_Text_Fields!G554,CHAR(160)," ")))</f>
        <v>Furniture</v>
      </c>
      <c r="K553" s="3" t="str">
        <f aca="false">PROPER(TRIM(SUBSTITUTE(Raw_Text_Fields!H554,CHAR(160)," ")))</f>
        <v>Chairs</v>
      </c>
      <c r="L553" s="3" t="s">
        <v>1674</v>
      </c>
      <c r="M553" s="3" t="str">
        <f aca="false">PROPER(TRIM(SUBSTITUTE(Raw_Text_Fields!I554,CHAR(160)," ")))</f>
        <v>Second Class</v>
      </c>
      <c r="N553" s="3" t="n">
        <v>3</v>
      </c>
      <c r="O553" s="5" t="n">
        <v>3148.09</v>
      </c>
      <c r="P553" s="6" t="n">
        <v>0.15</v>
      </c>
      <c r="Q553" s="5" t="n">
        <v>8027.63</v>
      </c>
      <c r="R553" s="5" t="n">
        <v>5496.09</v>
      </c>
      <c r="S553" s="5" t="n">
        <v>2531.54</v>
      </c>
      <c r="T553" s="3" t="str">
        <f aca="false">PROPER(TRIM(SUBSTITUTE(Raw_Text_Fields!J554,CHAR(160)," ")))</f>
        <v>Paid</v>
      </c>
      <c r="U553" s="3" t="str">
        <f aca="false">PROPER(TRIM(SUBSTITUTE(Raw_Text_Fields!K554,CHAR(160)," ")))</f>
        <v>Completed</v>
      </c>
      <c r="V553" s="7" t="n">
        <f aca="false">IF(OR(P553&lt;0,P553&gt;0.5),0,P553)</f>
        <v>0.15</v>
      </c>
      <c r="W553" s="8" t="n">
        <f aca="false">N553*O553*(1-V553)</f>
        <v>8027.6295</v>
      </c>
      <c r="X553" s="8" t="n">
        <f aca="false">W553-R553</f>
        <v>2531.5395</v>
      </c>
      <c r="Y553" s="7" t="n">
        <f aca="false">IFERROR(X553/W553,0)</f>
        <v>0.315353305729917</v>
      </c>
      <c r="Z553" s="9" t="n">
        <f aca="false">C553-B553</f>
        <v>0</v>
      </c>
      <c r="AA553" s="1" t="str">
        <f aca="false">IF(B553="","",TEXT(B553,"mmm"))</f>
        <v>Feb</v>
      </c>
      <c r="AB553" s="9" t="n">
        <f aca="false">IF(B553="","",YEAR(B553))</f>
        <v>2024</v>
      </c>
      <c r="AC553" s="3"/>
      <c r="AD553" s="3" t="str">
        <f aca="false">IF(LEFT(AC553&amp;IF(B553="","; Missing Order Date","")&amp;IF(C553="","; Missing Ship Date","")&amp;IF(P553&lt;0,"; Invalid Discount (Negative)","")&amp;IF(P553&gt;0.5,"; Invalid Discount (Too High)","")&amp;IF(Z553&lt;0,"; Invalid Shipping Record (Ship Before Order)","")&amp;IF(ABS(Q553-W553)&gt;1,"; Sales Mismatch","")&amp;IF(ABS(S553-X553)&gt;1,"; Profit Mismatch","")&amp;IF(COUNTIF($A$2:$A$913,A553)&gt;1,"; Duplicate Order ID Conflict",""),2)="; ",MID(AC553&amp;IF(B553="","; Missing Order Date","")&amp;IF(C553="","; Missing Ship Date","")&amp;IF(P553&lt;0,"; Invalid Discount (Negative)","")&amp;IF(P553&gt;0.5,"; Invalid Discount (Too High)","")&amp;IF(Z553&lt;0,"; Invalid Shipping Record (Ship Before Order)","")&amp;IF(ABS(Q553-W553)&gt;1,"; Sales Mismatch","")&amp;IF(ABS(S553-X553)&gt;1,"; Profit Mismatch","")&amp;IF(COUNTIF($A$2:$A$913,A553)&gt;1,"; Duplicate Order ID Conflict",""),3,500),AC553&amp;IF(B553="","; Missing Order Date","")&amp;IF(C553="","; Missing Ship Date","")&amp;IF(P553&lt;0,"; Invalid Discount (Negative)","")&amp;IF(P553&gt;0.5,"; Invalid Discount (Too High)","")&amp;IF(Z553&lt;0,"; Invalid Shipping Record (Ship Before Order)","")&amp;IF(ABS(Q553-W553)&gt;1,"; Sales Mismatch","")&amp;IF(ABS(S553-X553)&gt;1,"; Profit Mismatch","")&amp;IF(COUNTIF($A$2:$A$913,A553)&gt;1,"; Duplicate Order ID Conflict",""))</f>
        <v/>
      </c>
      <c r="AE553" s="10" t="str">
        <f aca="false">IF(OR(ISNUMBER(SEARCH("Invalid Discount",AD553)),ISNUMBER(SEARCH("Invalid Shipping Record",AD553)),ISNUMBER(SEARCH("Sales Mismatch",AD553)),ISNUMBER(SEARCH("Profit Mismatch",AD553)),ISNUMBER(SEARCH("Duplicate Order ID Conflict",AD553)),ISNUMBER(SEARCH("Missing Order Date",AD553)),ISNUMBER(SEARCH("Missing Ship Date",AD553))),"Invalid",IF(AD553&lt;&gt;"","Warning","Clean"))</f>
        <v>Clean</v>
      </c>
    </row>
    <row r="554" customFormat="false" ht="15" hidden="false" customHeight="true" outlineLevel="0" collapsed="false">
      <c r="A554" s="3" t="s">
        <v>1675</v>
      </c>
      <c r="B554" s="4" t="n">
        <v>45681</v>
      </c>
      <c r="C554" s="4" t="n">
        <v>45687</v>
      </c>
      <c r="D554" s="3" t="s">
        <v>1676</v>
      </c>
      <c r="E554" s="3" t="str">
        <f aca="false">PROPER(TRIM(SUBSTITUTE(Raw_Text_Fields!B555,CHAR(160)," ")))</f>
        <v>Ananya Rao</v>
      </c>
      <c r="F554" s="3" t="str">
        <f aca="false">PROPER(TRIM(SUBSTITUTE(Raw_Text_Fields!C555,CHAR(160)," ")))</f>
        <v>Corporate</v>
      </c>
      <c r="G554" s="3" t="str">
        <f aca="false">PROPER(TRIM(SUBSTITUTE(Raw_Text_Fields!D555,CHAR(160)," ")))</f>
        <v>East</v>
      </c>
      <c r="H554" s="3" t="str">
        <f aca="false">PROPER(TRIM(SUBSTITUTE(Raw_Text_Fields!E555,CHAR(160)," ")))</f>
        <v>West Bengal</v>
      </c>
      <c r="I554" s="3" t="str">
        <f aca="false">PROPER(TRIM(SUBSTITUTE(Raw_Text_Fields!F555,CHAR(160)," ")))</f>
        <v>Kolkata</v>
      </c>
      <c r="J554" s="3" t="str">
        <f aca="false">PROPER(TRIM(SUBSTITUTE(Raw_Text_Fields!G555,CHAR(160)," ")))</f>
        <v>Technology</v>
      </c>
      <c r="K554" s="3" t="str">
        <f aca="false">PROPER(TRIM(SUBSTITUTE(Raw_Text_Fields!H555,CHAR(160)," ")))</f>
        <v>Copiers</v>
      </c>
      <c r="L554" s="3" t="s">
        <v>1677</v>
      </c>
      <c r="M554" s="3" t="str">
        <f aca="false">PROPER(TRIM(SUBSTITUTE(Raw_Text_Fields!I555,CHAR(160)," ")))</f>
        <v>Standard Class</v>
      </c>
      <c r="N554" s="3" t="n">
        <v>8</v>
      </c>
      <c r="O554" s="5" t="n">
        <v>312.53</v>
      </c>
      <c r="P554" s="6" t="n">
        <v>0.7</v>
      </c>
      <c r="Q554" s="5" t="n">
        <v>1875.18</v>
      </c>
      <c r="R554" s="5" t="n">
        <v>1579.17</v>
      </c>
      <c r="S554" s="5" t="n">
        <v>296.01</v>
      </c>
      <c r="T554" s="3" t="str">
        <f aca="false">PROPER(TRIM(SUBSTITUTE(Raw_Text_Fields!J555,CHAR(160)," ")))</f>
        <v>Paid</v>
      </c>
      <c r="U554" s="3" t="str">
        <f aca="false">PROPER(TRIM(SUBSTITUTE(Raw_Text_Fields!K555,CHAR(160)," ")))</f>
        <v>Completed</v>
      </c>
      <c r="V554" s="7" t="n">
        <f aca="false">IF(OR(P554&lt;0,P554&gt;0.5),0,P554)</f>
        <v>0</v>
      </c>
      <c r="W554" s="8" t="n">
        <f aca="false">N554*O554*(1-V554)</f>
        <v>2500.24</v>
      </c>
      <c r="X554" s="8" t="n">
        <f aca="false">W554-R554</f>
        <v>921.07</v>
      </c>
      <c r="Y554" s="7" t="n">
        <f aca="false">IFERROR(X554/W554,0)</f>
        <v>0.368392634307106</v>
      </c>
      <c r="Z554" s="9" t="n">
        <f aca="false">C554-B554</f>
        <v>6</v>
      </c>
      <c r="AA554" s="1" t="str">
        <f aca="false">IF(B554="","",TEXT(B554,"mmm"))</f>
        <v>Jan</v>
      </c>
      <c r="AB554" s="9" t="n">
        <f aca="false">IF(B554="","",YEAR(B554))</f>
        <v>2025</v>
      </c>
      <c r="AC554" s="3"/>
      <c r="AD554" s="3" t="str">
        <f aca="false">IF(LEFT(AC554&amp;IF(B554="","; Missing Order Date","")&amp;IF(C554="","; Missing Ship Date","")&amp;IF(P554&lt;0,"; Invalid Discount (Negative)","")&amp;IF(P554&gt;0.5,"; Invalid Discount (Too High)","")&amp;IF(Z554&lt;0,"; Invalid Shipping Record (Ship Before Order)","")&amp;IF(ABS(Q554-W554)&gt;1,"; Sales Mismatch","")&amp;IF(ABS(S554-X554)&gt;1,"; Profit Mismatch","")&amp;IF(COUNTIF($A$2:$A$913,A554)&gt;1,"; Duplicate Order ID Conflict",""),2)="; ",MID(AC554&amp;IF(B554="","; Missing Order Date","")&amp;IF(C554="","; Missing Ship Date","")&amp;IF(P554&lt;0,"; Invalid Discount (Negative)","")&amp;IF(P554&gt;0.5,"; Invalid Discount (Too High)","")&amp;IF(Z554&lt;0,"; Invalid Shipping Record (Ship Before Order)","")&amp;IF(ABS(Q554-W554)&gt;1,"; Sales Mismatch","")&amp;IF(ABS(S554-X554)&gt;1,"; Profit Mismatch","")&amp;IF(COUNTIF($A$2:$A$913,A554)&gt;1,"; Duplicate Order ID Conflict",""),3,500),AC554&amp;IF(B554="","; Missing Order Date","")&amp;IF(C554="","; Missing Ship Date","")&amp;IF(P554&lt;0,"; Invalid Discount (Negative)","")&amp;IF(P554&gt;0.5,"; Invalid Discount (Too High)","")&amp;IF(Z554&lt;0,"; Invalid Shipping Record (Ship Before Order)","")&amp;IF(ABS(Q554-W554)&gt;1,"; Sales Mismatch","")&amp;IF(ABS(S554-X554)&gt;1,"; Profit Mismatch","")&amp;IF(COUNTIF($A$2:$A$913,A554)&gt;1,"; Duplicate Order ID Conflict",""))</f>
        <v>Invalid Discount (Too High); Sales Mismatch; Profit Mismatch</v>
      </c>
      <c r="AE554" s="10" t="str">
        <f aca="false">IF(OR(ISNUMBER(SEARCH("Invalid Discount",AD554)),ISNUMBER(SEARCH("Invalid Shipping Record",AD554)),ISNUMBER(SEARCH("Sales Mismatch",AD554)),ISNUMBER(SEARCH("Profit Mismatch",AD554)),ISNUMBER(SEARCH("Duplicate Order ID Conflict",AD554)),ISNUMBER(SEARCH("Missing Order Date",AD554)),ISNUMBER(SEARCH("Missing Ship Date",AD554))),"Invalid",IF(AD554&lt;&gt;"","Warning","Clean"))</f>
        <v>Invalid</v>
      </c>
    </row>
    <row r="555" customFormat="false" ht="15" hidden="false" customHeight="true" outlineLevel="0" collapsed="false">
      <c r="A555" s="3" t="s">
        <v>1678</v>
      </c>
      <c r="B555" s="4" t="n">
        <v>45772</v>
      </c>
      <c r="C555" s="4" t="n">
        <v>45775</v>
      </c>
      <c r="D555" s="3" t="s">
        <v>1679</v>
      </c>
      <c r="E555" s="3" t="str">
        <f aca="false">PROPER(TRIM(SUBSTITUTE(Raw_Text_Fields!B556,CHAR(160)," ")))</f>
        <v>Aarav Sharma</v>
      </c>
      <c r="F555" s="3" t="str">
        <f aca="false">PROPER(TRIM(SUBSTITUTE(Raw_Text_Fields!C556,CHAR(160)," ")))</f>
        <v>Small Business</v>
      </c>
      <c r="G555" s="3" t="str">
        <f aca="false">PROPER(TRIM(SUBSTITUTE(Raw_Text_Fields!D556,CHAR(160)," ")))</f>
        <v>West</v>
      </c>
      <c r="H555" s="3" t="str">
        <f aca="false">PROPER(TRIM(SUBSTITUTE(Raw_Text_Fields!E556,CHAR(160)," ")))</f>
        <v>Gujarat</v>
      </c>
      <c r="I555" s="3" t="str">
        <f aca="false">PROPER(TRIM(SUBSTITUTE(Raw_Text_Fields!F556,CHAR(160)," ")))</f>
        <v>Ahmedabad</v>
      </c>
      <c r="J555" s="3" t="str">
        <f aca="false">PROPER(TRIM(SUBSTITUTE(Raw_Text_Fields!G556,CHAR(160)," ")))</f>
        <v>Office Supplies</v>
      </c>
      <c r="K555" s="3" t="str">
        <f aca="false">PROPER(TRIM(SUBSTITUTE(Raw_Text_Fields!H556,CHAR(160)," ")))</f>
        <v>Storage</v>
      </c>
      <c r="L555" s="3" t="s">
        <v>1680</v>
      </c>
      <c r="M555" s="3" t="str">
        <f aca="false">PROPER(TRIM(SUBSTITUTE(Raw_Text_Fields!I556,CHAR(160)," ")))</f>
        <v>First Class</v>
      </c>
      <c r="N555" s="3" t="n">
        <v>9</v>
      </c>
      <c r="O555" s="5" t="n">
        <v>1294.11</v>
      </c>
      <c r="P555" s="6" t="n">
        <v>0.25</v>
      </c>
      <c r="Q555" s="5" t="n">
        <v>8735.24</v>
      </c>
      <c r="R555" s="5" t="n">
        <v>6620.07</v>
      </c>
      <c r="S555" s="5" t="n">
        <v>2115.17</v>
      </c>
      <c r="T555" s="3" t="str">
        <f aca="false">PROPER(TRIM(SUBSTITUTE(Raw_Text_Fields!J556,CHAR(160)," ")))</f>
        <v>Paid</v>
      </c>
      <c r="U555" s="3" t="str">
        <f aca="false">PROPER(TRIM(SUBSTITUTE(Raw_Text_Fields!K556,CHAR(160)," ")))</f>
        <v>Completed</v>
      </c>
      <c r="V555" s="7" t="n">
        <f aca="false">IF(OR(P555&lt;0,P555&gt;0.5),0,P555)</f>
        <v>0.25</v>
      </c>
      <c r="W555" s="8" t="n">
        <f aca="false">N555*O555*(1-V555)</f>
        <v>8735.2425</v>
      </c>
      <c r="X555" s="8" t="n">
        <f aca="false">W555-R555</f>
        <v>2115.1725</v>
      </c>
      <c r="Y555" s="7" t="n">
        <f aca="false">IFERROR(X555/W555,0)</f>
        <v>0.242142390437358</v>
      </c>
      <c r="Z555" s="9" t="n">
        <f aca="false">C555-B555</f>
        <v>3</v>
      </c>
      <c r="AA555" s="1" t="str">
        <f aca="false">IF(B555="","",TEXT(B555,"mmm"))</f>
        <v>Apr</v>
      </c>
      <c r="AB555" s="9" t="n">
        <f aca="false">IF(B555="","",YEAR(B555))</f>
        <v>2025</v>
      </c>
      <c r="AC555" s="3"/>
      <c r="AD555" s="3" t="str">
        <f aca="false">IF(LEFT(AC555&amp;IF(B555="","; Missing Order Date","")&amp;IF(C555="","; Missing Ship Date","")&amp;IF(P555&lt;0,"; Invalid Discount (Negative)","")&amp;IF(P555&gt;0.5,"; Invalid Discount (Too High)","")&amp;IF(Z555&lt;0,"; Invalid Shipping Record (Ship Before Order)","")&amp;IF(ABS(Q555-W555)&gt;1,"; Sales Mismatch","")&amp;IF(ABS(S555-X555)&gt;1,"; Profit Mismatch","")&amp;IF(COUNTIF($A$2:$A$913,A555)&gt;1,"; Duplicate Order ID Conflict",""),2)="; ",MID(AC555&amp;IF(B555="","; Missing Order Date","")&amp;IF(C555="","; Missing Ship Date","")&amp;IF(P555&lt;0,"; Invalid Discount (Negative)","")&amp;IF(P555&gt;0.5,"; Invalid Discount (Too High)","")&amp;IF(Z555&lt;0,"; Invalid Shipping Record (Ship Before Order)","")&amp;IF(ABS(Q555-W555)&gt;1,"; Sales Mismatch","")&amp;IF(ABS(S555-X555)&gt;1,"; Profit Mismatch","")&amp;IF(COUNTIF($A$2:$A$913,A555)&gt;1,"; Duplicate Order ID Conflict",""),3,500),AC555&amp;IF(B555="","; Missing Order Date","")&amp;IF(C555="","; Missing Ship Date","")&amp;IF(P555&lt;0,"; Invalid Discount (Negative)","")&amp;IF(P555&gt;0.5,"; Invalid Discount (Too High)","")&amp;IF(Z555&lt;0,"; Invalid Shipping Record (Ship Before Order)","")&amp;IF(ABS(Q555-W555)&gt;1,"; Sales Mismatch","")&amp;IF(ABS(S555-X555)&gt;1,"; Profit Mismatch","")&amp;IF(COUNTIF($A$2:$A$913,A555)&gt;1,"; Duplicate Order ID Conflict",""))</f>
        <v/>
      </c>
      <c r="AE555" s="10" t="str">
        <f aca="false">IF(OR(ISNUMBER(SEARCH("Invalid Discount",AD555)),ISNUMBER(SEARCH("Invalid Shipping Record",AD555)),ISNUMBER(SEARCH("Sales Mismatch",AD555)),ISNUMBER(SEARCH("Profit Mismatch",AD555)),ISNUMBER(SEARCH("Duplicate Order ID Conflict",AD555)),ISNUMBER(SEARCH("Missing Order Date",AD555)),ISNUMBER(SEARCH("Missing Ship Date",AD555))),"Invalid",IF(AD555&lt;&gt;"","Warning","Clean"))</f>
        <v>Clean</v>
      </c>
    </row>
    <row r="556" customFormat="false" ht="15" hidden="false" customHeight="true" outlineLevel="0" collapsed="false">
      <c r="A556" s="3" t="s">
        <v>1681</v>
      </c>
      <c r="B556" s="4" t="n">
        <v>45577</v>
      </c>
      <c r="C556" s="4" t="n">
        <v>45582</v>
      </c>
      <c r="D556" s="3" t="s">
        <v>1682</v>
      </c>
      <c r="E556" s="3" t="str">
        <f aca="false">PROPER(TRIM(SUBSTITUTE(Raw_Text_Fields!B557,CHAR(160)," ")))</f>
        <v>Arjun Bose</v>
      </c>
      <c r="F556" s="3" t="str">
        <f aca="false">PROPER(TRIM(SUBSTITUTE(Raw_Text_Fields!C557,CHAR(160)," ")))</f>
        <v>Consumer</v>
      </c>
      <c r="G556" s="3" t="str">
        <f aca="false">PROPER(TRIM(SUBSTITUTE(Raw_Text_Fields!D557,CHAR(160)," ")))</f>
        <v>Unknown</v>
      </c>
      <c r="H556" s="3" t="str">
        <f aca="false">PROPER(TRIM(SUBSTITUTE(Raw_Text_Fields!E557,CHAR(160)," ")))</f>
        <v>Jharkhand</v>
      </c>
      <c r="I556" s="3" t="str">
        <f aca="false">PROPER(TRIM(SUBSTITUTE(Raw_Text_Fields!F557,CHAR(160)," ")))</f>
        <v>Ranchi</v>
      </c>
      <c r="J556" s="3" t="str">
        <f aca="false">PROPER(TRIM(SUBSTITUTE(Raw_Text_Fields!G557,CHAR(160)," ")))</f>
        <v>Furniture</v>
      </c>
      <c r="K556" s="3" t="str">
        <f aca="false">PROPER(TRIM(SUBSTITUTE(Raw_Text_Fields!H557,CHAR(160)," ")))</f>
        <v>Furnishings</v>
      </c>
      <c r="L556" s="3" t="s">
        <v>1683</v>
      </c>
      <c r="M556" s="3" t="str">
        <f aca="false">PROPER(TRIM(SUBSTITUTE(Raw_Text_Fields!I557,CHAR(160)," ")))</f>
        <v>Standard Class</v>
      </c>
      <c r="N556" s="3" t="n">
        <v>4</v>
      </c>
      <c r="O556" s="5" t="n">
        <v>1071.22</v>
      </c>
      <c r="P556" s="6" t="n">
        <v>0.05</v>
      </c>
      <c r="Q556" s="5" t="n">
        <v>4070.64</v>
      </c>
      <c r="R556" s="5" t="n">
        <v>2831.62</v>
      </c>
      <c r="S556" s="5" t="n">
        <v>1239.02</v>
      </c>
      <c r="T556" s="3" t="str">
        <f aca="false">PROPER(TRIM(SUBSTITUTE(Raw_Text_Fields!J557,CHAR(160)," ")))</f>
        <v>Paid</v>
      </c>
      <c r="U556" s="3" t="str">
        <f aca="false">PROPER(TRIM(SUBSTITUTE(Raw_Text_Fields!K557,CHAR(160)," ")))</f>
        <v>Completed</v>
      </c>
      <c r="V556" s="7" t="n">
        <f aca="false">IF(OR(P556&lt;0,P556&gt;0.5),0,P556)</f>
        <v>0.05</v>
      </c>
      <c r="W556" s="8" t="n">
        <f aca="false">N556*O556*(1-V556)</f>
        <v>4070.636</v>
      </c>
      <c r="X556" s="8" t="n">
        <f aca="false">W556-R556</f>
        <v>1239.016</v>
      </c>
      <c r="Y556" s="7" t="n">
        <f aca="false">IFERROR(X556/W556,0)</f>
        <v>0.304378971738077</v>
      </c>
      <c r="Z556" s="9" t="n">
        <f aca="false">C556-B556</f>
        <v>5</v>
      </c>
      <c r="AA556" s="1" t="str">
        <f aca="false">IF(B556="","",TEXT(B556,"mmm"))</f>
        <v>Oct</v>
      </c>
      <c r="AB556" s="9" t="n">
        <f aca="false">IF(B556="","",YEAR(B556))</f>
        <v>2024</v>
      </c>
      <c r="AC556" s="3" t="s">
        <v>372</v>
      </c>
      <c r="AD556" s="3" t="str">
        <f aca="false">IF(LEFT(AC556&amp;IF(B556="","; Missing Order Date","")&amp;IF(C556="","; Missing Ship Date","")&amp;IF(P556&lt;0,"; Invalid Discount (Negative)","")&amp;IF(P556&gt;0.5,"; Invalid Discount (Too High)","")&amp;IF(Z556&lt;0,"; Invalid Shipping Record (Ship Before Order)","")&amp;IF(ABS(Q556-W556)&gt;1,"; Sales Mismatch","")&amp;IF(ABS(S556-X556)&gt;1,"; Profit Mismatch","")&amp;IF(COUNTIF($A$2:$A$913,A556)&gt;1,"; Duplicate Order ID Conflict",""),2)="; ",MID(AC556&amp;IF(B556="","; Missing Order Date","")&amp;IF(C556="","; Missing Ship Date","")&amp;IF(P556&lt;0,"; Invalid Discount (Negative)","")&amp;IF(P556&gt;0.5,"; Invalid Discount (Too High)","")&amp;IF(Z556&lt;0,"; Invalid Shipping Record (Ship Before Order)","")&amp;IF(ABS(Q556-W556)&gt;1,"; Sales Mismatch","")&amp;IF(ABS(S556-X556)&gt;1,"; Profit Mismatch","")&amp;IF(COUNTIF($A$2:$A$913,A556)&gt;1,"; Duplicate Order ID Conflict",""),3,500),AC556&amp;IF(B556="","; Missing Order Date","")&amp;IF(C556="","; Missing Ship Date","")&amp;IF(P556&lt;0,"; Invalid Discount (Negative)","")&amp;IF(P556&gt;0.5,"; Invalid Discount (Too High)","")&amp;IF(Z556&lt;0,"; Invalid Shipping Record (Ship Before Order)","")&amp;IF(ABS(Q556-W556)&gt;1,"; Sales Mismatch","")&amp;IF(ABS(S556-X556)&gt;1,"; Profit Mismatch","")&amp;IF(COUNTIF($A$2:$A$913,A556)&gt;1,"; Duplicate Order ID Conflict",""))</f>
        <v>Missing Region (filled Unknown)</v>
      </c>
      <c r="AE556" s="10" t="str">
        <f aca="false">IF(OR(ISNUMBER(SEARCH("Invalid Discount",AD556)),ISNUMBER(SEARCH("Invalid Shipping Record",AD556)),ISNUMBER(SEARCH("Sales Mismatch",AD556)),ISNUMBER(SEARCH("Profit Mismatch",AD556)),ISNUMBER(SEARCH("Duplicate Order ID Conflict",AD556)),ISNUMBER(SEARCH("Missing Order Date",AD556)),ISNUMBER(SEARCH("Missing Ship Date",AD556))),"Invalid",IF(AD556&lt;&gt;"","Warning","Clean"))</f>
        <v>Warning</v>
      </c>
    </row>
    <row r="557" customFormat="false" ht="15" hidden="false" customHeight="true" outlineLevel="0" collapsed="false">
      <c r="A557" s="3" t="s">
        <v>1684</v>
      </c>
      <c r="B557" s="4" t="n">
        <v>45692</v>
      </c>
      <c r="C557" s="4" t="n">
        <v>45698</v>
      </c>
      <c r="D557" s="3" t="s">
        <v>1685</v>
      </c>
      <c r="E557" s="3" t="str">
        <f aca="false">PROPER(TRIM(SUBSTITUTE(Raw_Text_Fields!B558,CHAR(160)," ")))</f>
        <v>Ananya Rao</v>
      </c>
      <c r="F557" s="3" t="str">
        <f aca="false">PROPER(TRIM(SUBSTITUTE(Raw_Text_Fields!C558,CHAR(160)," ")))</f>
        <v>Small Business</v>
      </c>
      <c r="G557" s="3" t="str">
        <f aca="false">PROPER(TRIM(SUBSTITUTE(Raw_Text_Fields!D558,CHAR(160)," ")))</f>
        <v>South</v>
      </c>
      <c r="H557" s="3" t="str">
        <f aca="false">PROPER(TRIM(SUBSTITUTE(Raw_Text_Fields!E558,CHAR(160)," ")))</f>
        <v>Telangana</v>
      </c>
      <c r="I557" s="3" t="str">
        <f aca="false">PROPER(TRIM(SUBSTITUTE(Raw_Text_Fields!F558,CHAR(160)," ")))</f>
        <v>Hyderabad</v>
      </c>
      <c r="J557" s="3" t="str">
        <f aca="false">PROPER(TRIM(SUBSTITUTE(Raw_Text_Fields!G558,CHAR(160)," ")))</f>
        <v>Office Supplies</v>
      </c>
      <c r="K557" s="3" t="str">
        <f aca="false">PROPER(TRIM(SUBSTITUTE(Raw_Text_Fields!H558,CHAR(160)," ")))</f>
        <v>Storage</v>
      </c>
      <c r="L557" s="3" t="s">
        <v>1686</v>
      </c>
      <c r="M557" s="3" t="str">
        <f aca="false">PROPER(TRIM(SUBSTITUTE(Raw_Text_Fields!I558,CHAR(160)," ")))</f>
        <v>Standard Class</v>
      </c>
      <c r="N557" s="3" t="n">
        <v>6</v>
      </c>
      <c r="O557" s="5" t="n">
        <v>1042.8</v>
      </c>
      <c r="P557" s="6" t="n">
        <v>0.05</v>
      </c>
      <c r="Q557" s="5" t="n">
        <v>5943.96</v>
      </c>
      <c r="R557" s="5" t="n">
        <v>3604.14</v>
      </c>
      <c r="S557" s="5" t="n">
        <v>2339.82</v>
      </c>
      <c r="T557" s="3" t="str">
        <f aca="false">PROPER(TRIM(SUBSTITUTE(Raw_Text_Fields!J558,CHAR(160)," ")))</f>
        <v>Paid</v>
      </c>
      <c r="U557" s="3" t="str">
        <f aca="false">PROPER(TRIM(SUBSTITUTE(Raw_Text_Fields!K558,CHAR(160)," ")))</f>
        <v>Completed</v>
      </c>
      <c r="V557" s="7" t="n">
        <f aca="false">IF(OR(P557&lt;0,P557&gt;0.5),0,P557)</f>
        <v>0.05</v>
      </c>
      <c r="W557" s="8" t="n">
        <f aca="false">N557*O557*(1-V557)</f>
        <v>5943.96</v>
      </c>
      <c r="X557" s="8" t="n">
        <f aca="false">W557-R557</f>
        <v>2339.82</v>
      </c>
      <c r="Y557" s="7" t="n">
        <f aca="false">IFERROR(X557/W557,0)</f>
        <v>0.393646659802556</v>
      </c>
      <c r="Z557" s="9" t="n">
        <f aca="false">C557-B557</f>
        <v>6</v>
      </c>
      <c r="AA557" s="1" t="str">
        <f aca="false">IF(B557="","",TEXT(B557,"mmm"))</f>
        <v>Feb</v>
      </c>
      <c r="AB557" s="9" t="n">
        <f aca="false">IF(B557="","",YEAR(B557))</f>
        <v>2025</v>
      </c>
      <c r="AC557" s="3"/>
      <c r="AD557" s="3" t="str">
        <f aca="false">IF(LEFT(AC557&amp;IF(B557="","; Missing Order Date","")&amp;IF(C557="","; Missing Ship Date","")&amp;IF(P557&lt;0,"; Invalid Discount (Negative)","")&amp;IF(P557&gt;0.5,"; Invalid Discount (Too High)","")&amp;IF(Z557&lt;0,"; Invalid Shipping Record (Ship Before Order)","")&amp;IF(ABS(Q557-W557)&gt;1,"; Sales Mismatch","")&amp;IF(ABS(S557-X557)&gt;1,"; Profit Mismatch","")&amp;IF(COUNTIF($A$2:$A$913,A557)&gt;1,"; Duplicate Order ID Conflict",""),2)="; ",MID(AC557&amp;IF(B557="","; Missing Order Date","")&amp;IF(C557="","; Missing Ship Date","")&amp;IF(P557&lt;0,"; Invalid Discount (Negative)","")&amp;IF(P557&gt;0.5,"; Invalid Discount (Too High)","")&amp;IF(Z557&lt;0,"; Invalid Shipping Record (Ship Before Order)","")&amp;IF(ABS(Q557-W557)&gt;1,"; Sales Mismatch","")&amp;IF(ABS(S557-X557)&gt;1,"; Profit Mismatch","")&amp;IF(COUNTIF($A$2:$A$913,A557)&gt;1,"; Duplicate Order ID Conflict",""),3,500),AC557&amp;IF(B557="","; Missing Order Date","")&amp;IF(C557="","; Missing Ship Date","")&amp;IF(P557&lt;0,"; Invalid Discount (Negative)","")&amp;IF(P557&gt;0.5,"; Invalid Discount (Too High)","")&amp;IF(Z557&lt;0,"; Invalid Shipping Record (Ship Before Order)","")&amp;IF(ABS(Q557-W557)&gt;1,"; Sales Mismatch","")&amp;IF(ABS(S557-X557)&gt;1,"; Profit Mismatch","")&amp;IF(COUNTIF($A$2:$A$913,A557)&gt;1,"; Duplicate Order ID Conflict",""))</f>
        <v/>
      </c>
      <c r="AE557" s="10" t="str">
        <f aca="false">IF(OR(ISNUMBER(SEARCH("Invalid Discount",AD557)),ISNUMBER(SEARCH("Invalid Shipping Record",AD557)),ISNUMBER(SEARCH("Sales Mismatch",AD557)),ISNUMBER(SEARCH("Profit Mismatch",AD557)),ISNUMBER(SEARCH("Duplicate Order ID Conflict",AD557)),ISNUMBER(SEARCH("Missing Order Date",AD557)),ISNUMBER(SEARCH("Missing Ship Date",AD557))),"Invalid",IF(AD557&lt;&gt;"","Warning","Clean"))</f>
        <v>Clean</v>
      </c>
    </row>
    <row r="558" customFormat="false" ht="15" hidden="false" customHeight="true" outlineLevel="0" collapsed="false">
      <c r="A558" s="3" t="s">
        <v>1687</v>
      </c>
      <c r="B558" s="4" t="n">
        <v>45466</v>
      </c>
      <c r="C558" s="4" t="n">
        <v>45472</v>
      </c>
      <c r="D558" s="3" t="s">
        <v>1688</v>
      </c>
      <c r="E558" s="3" t="str">
        <f aca="false">PROPER(TRIM(SUBSTITUTE(Raw_Text_Fields!B559,CHAR(160)," ")))</f>
        <v>Neha Gupta</v>
      </c>
      <c r="F558" s="3" t="str">
        <f aca="false">PROPER(TRIM(SUBSTITUTE(Raw_Text_Fields!C559,CHAR(160)," ")))</f>
        <v>Consumer</v>
      </c>
      <c r="G558" s="3" t="str">
        <f aca="false">PROPER(TRIM(SUBSTITUTE(Raw_Text_Fields!D559,CHAR(160)," ")))</f>
        <v>North</v>
      </c>
      <c r="H558" s="3" t="str">
        <f aca="false">PROPER(TRIM(SUBSTITUTE(Raw_Text_Fields!E559,CHAR(160)," ")))</f>
        <v>Haryana</v>
      </c>
      <c r="I558" s="3" t="str">
        <f aca="false">PROPER(TRIM(SUBSTITUTE(Raw_Text_Fields!F559,CHAR(160)," ")))</f>
        <v>Gurugram</v>
      </c>
      <c r="J558" s="3" t="str">
        <f aca="false">PROPER(TRIM(SUBSTITUTE(Raw_Text_Fields!G559,CHAR(160)," ")))</f>
        <v>Furniture</v>
      </c>
      <c r="K558" s="3" t="str">
        <f aca="false">PROPER(TRIM(SUBSTITUTE(Raw_Text_Fields!H559,CHAR(160)," ")))</f>
        <v>Tables</v>
      </c>
      <c r="L558" s="3" t="s">
        <v>1689</v>
      </c>
      <c r="M558" s="3" t="str">
        <f aca="false">PROPER(TRIM(SUBSTITUTE(Raw_Text_Fields!I559,CHAR(160)," ")))</f>
        <v>First Class</v>
      </c>
      <c r="N558" s="3" t="n">
        <v>1</v>
      </c>
      <c r="O558" s="5" t="n">
        <v>4426.66</v>
      </c>
      <c r="P558" s="6" t="n">
        <v>0</v>
      </c>
      <c r="Q558" s="5" t="n">
        <v>4426.66</v>
      </c>
      <c r="R558" s="5" t="n">
        <v>3035.2</v>
      </c>
      <c r="S558" s="5" t="n">
        <v>1816.23</v>
      </c>
      <c r="T558" s="3" t="str">
        <f aca="false">PROPER(TRIM(SUBSTITUTE(Raw_Text_Fields!J559,CHAR(160)," ")))</f>
        <v>Paid</v>
      </c>
      <c r="U558" s="3" t="str">
        <f aca="false">PROPER(TRIM(SUBSTITUTE(Raw_Text_Fields!K559,CHAR(160)," ")))</f>
        <v>Returned</v>
      </c>
      <c r="V558" s="7" t="n">
        <f aca="false">IF(OR(P558&lt;0,P558&gt;0.5),0,P558)</f>
        <v>0</v>
      </c>
      <c r="W558" s="8" t="n">
        <f aca="false">N558*O558*(1-V558)</f>
        <v>4426.66</v>
      </c>
      <c r="X558" s="8" t="n">
        <f aca="false">W558-R558</f>
        <v>1391.46</v>
      </c>
      <c r="Y558" s="7" t="n">
        <f aca="false">IFERROR(X558/W558,0)</f>
        <v>0.314336316771561</v>
      </c>
      <c r="Z558" s="9" t="n">
        <f aca="false">C558-B558</f>
        <v>6</v>
      </c>
      <c r="AA558" s="1" t="str">
        <f aca="false">IF(B558="","",TEXT(B558,"mmm"))</f>
        <v>Jun</v>
      </c>
      <c r="AB558" s="9" t="n">
        <f aca="false">IF(B558="","",YEAR(B558))</f>
        <v>2024</v>
      </c>
      <c r="AC558" s="3"/>
      <c r="AD558" s="3" t="str">
        <f aca="false">IF(LEFT(AC558&amp;IF(B558="","; Missing Order Date","")&amp;IF(C558="","; Missing Ship Date","")&amp;IF(P558&lt;0,"; Invalid Discount (Negative)","")&amp;IF(P558&gt;0.5,"; Invalid Discount (Too High)","")&amp;IF(Z558&lt;0,"; Invalid Shipping Record (Ship Before Order)","")&amp;IF(ABS(Q558-W558)&gt;1,"; Sales Mismatch","")&amp;IF(ABS(S558-X558)&gt;1,"; Profit Mismatch","")&amp;IF(COUNTIF($A$2:$A$913,A558)&gt;1,"; Duplicate Order ID Conflict",""),2)="; ",MID(AC558&amp;IF(B558="","; Missing Order Date","")&amp;IF(C558="","; Missing Ship Date","")&amp;IF(P558&lt;0,"; Invalid Discount (Negative)","")&amp;IF(P558&gt;0.5,"; Invalid Discount (Too High)","")&amp;IF(Z558&lt;0,"; Invalid Shipping Record (Ship Before Order)","")&amp;IF(ABS(Q558-W558)&gt;1,"; Sales Mismatch","")&amp;IF(ABS(S558-X558)&gt;1,"; Profit Mismatch","")&amp;IF(COUNTIF($A$2:$A$913,A558)&gt;1,"; Duplicate Order ID Conflict",""),3,500),AC558&amp;IF(B558="","; Missing Order Date","")&amp;IF(C558="","; Missing Ship Date","")&amp;IF(P558&lt;0,"; Invalid Discount (Negative)","")&amp;IF(P558&gt;0.5,"; Invalid Discount (Too High)","")&amp;IF(Z558&lt;0,"; Invalid Shipping Record (Ship Before Order)","")&amp;IF(ABS(Q558-W558)&gt;1,"; Sales Mismatch","")&amp;IF(ABS(S558-X558)&gt;1,"; Profit Mismatch","")&amp;IF(COUNTIF($A$2:$A$913,A558)&gt;1,"; Duplicate Order ID Conflict",""))</f>
        <v>Profit Mismatch</v>
      </c>
      <c r="AE558" s="10" t="str">
        <f aca="false">IF(OR(ISNUMBER(SEARCH("Invalid Discount",AD558)),ISNUMBER(SEARCH("Invalid Shipping Record",AD558)),ISNUMBER(SEARCH("Sales Mismatch",AD558)),ISNUMBER(SEARCH("Profit Mismatch",AD558)),ISNUMBER(SEARCH("Duplicate Order ID Conflict",AD558)),ISNUMBER(SEARCH("Missing Order Date",AD558)),ISNUMBER(SEARCH("Missing Ship Date",AD558))),"Invalid",IF(AD558&lt;&gt;"","Warning","Clean"))</f>
        <v>Invalid</v>
      </c>
    </row>
    <row r="559" customFormat="false" ht="15" hidden="false" customHeight="true" outlineLevel="0" collapsed="false">
      <c r="A559" s="3" t="s">
        <v>1690</v>
      </c>
      <c r="B559" s="4" t="n">
        <v>45420</v>
      </c>
      <c r="C559" s="4" t="n">
        <v>45426</v>
      </c>
      <c r="D559" s="3" t="s">
        <v>1691</v>
      </c>
      <c r="E559" s="3" t="str">
        <f aca="false">PROPER(TRIM(SUBSTITUTE(Raw_Text_Fields!B560,CHAR(160)," ")))</f>
        <v>Vikram Iyer</v>
      </c>
      <c r="F559" s="3" t="str">
        <f aca="false">PROPER(TRIM(SUBSTITUTE(Raw_Text_Fields!C560,CHAR(160)," ")))</f>
        <v>Home Office</v>
      </c>
      <c r="G559" s="3" t="str">
        <f aca="false">PROPER(TRIM(SUBSTITUTE(Raw_Text_Fields!D560,CHAR(160)," ")))</f>
        <v>North</v>
      </c>
      <c r="H559" s="3" t="str">
        <f aca="false">PROPER(TRIM(SUBSTITUTE(Raw_Text_Fields!E560,CHAR(160)," ")))</f>
        <v>Haryana</v>
      </c>
      <c r="I559" s="3" t="str">
        <f aca="false">PROPER(TRIM(SUBSTITUTE(Raw_Text_Fields!F560,CHAR(160)," ")))</f>
        <v>Gurugram</v>
      </c>
      <c r="J559" s="3" t="str">
        <f aca="false">PROPER(TRIM(SUBSTITUTE(Raw_Text_Fields!G560,CHAR(160)," ")))</f>
        <v>Technology</v>
      </c>
      <c r="K559" s="3" t="str">
        <f aca="false">PROPER(TRIM(SUBSTITUTE(Raw_Text_Fields!H560,CHAR(160)," ")))</f>
        <v>Phones</v>
      </c>
      <c r="L559" s="3" t="s">
        <v>1692</v>
      </c>
      <c r="M559" s="3" t="str">
        <f aca="false">PROPER(TRIM(SUBSTITUTE(Raw_Text_Fields!I560,CHAR(160)," ")))</f>
        <v>First Class</v>
      </c>
      <c r="N559" s="3" t="n">
        <v>9</v>
      </c>
      <c r="O559" s="5" t="n">
        <v>3769.46</v>
      </c>
      <c r="P559" s="6" t="n">
        <v>0.05</v>
      </c>
      <c r="Q559" s="5" t="n">
        <v>32228.88</v>
      </c>
      <c r="R559" s="5" t="n">
        <v>24971.36</v>
      </c>
      <c r="S559" s="5" t="n">
        <v>7257.52</v>
      </c>
      <c r="T559" s="3" t="str">
        <f aca="false">PROPER(TRIM(SUBSTITUTE(Raw_Text_Fields!J560,CHAR(160)," ")))</f>
        <v>Paid</v>
      </c>
      <c r="U559" s="3" t="str">
        <f aca="false">PROPER(TRIM(SUBSTITUTE(Raw_Text_Fields!K560,CHAR(160)," ")))</f>
        <v>Cancelled</v>
      </c>
      <c r="V559" s="7" t="n">
        <f aca="false">IF(OR(P559&lt;0,P559&gt;0.5),0,P559)</f>
        <v>0.05</v>
      </c>
      <c r="W559" s="8" t="n">
        <f aca="false">N559*O559*(1-V559)</f>
        <v>32228.883</v>
      </c>
      <c r="X559" s="8" t="n">
        <f aca="false">W559-R559</f>
        <v>7257.523</v>
      </c>
      <c r="Y559" s="7" t="n">
        <f aca="false">IFERROR(X559/W559,0)</f>
        <v>0.225186923170747</v>
      </c>
      <c r="Z559" s="9" t="n">
        <f aca="false">C559-B559</f>
        <v>6</v>
      </c>
      <c r="AA559" s="1" t="str">
        <f aca="false">IF(B559="","",TEXT(B559,"mmm"))</f>
        <v>May</v>
      </c>
      <c r="AB559" s="9" t="n">
        <f aca="false">IF(B559="","",YEAR(B559))</f>
        <v>2024</v>
      </c>
      <c r="AC559" s="3"/>
      <c r="AD559" s="3" t="str">
        <f aca="false">IF(LEFT(AC559&amp;IF(B559="","; Missing Order Date","")&amp;IF(C559="","; Missing Ship Date","")&amp;IF(P559&lt;0,"; Invalid Discount (Negative)","")&amp;IF(P559&gt;0.5,"; Invalid Discount (Too High)","")&amp;IF(Z559&lt;0,"; Invalid Shipping Record (Ship Before Order)","")&amp;IF(ABS(Q559-W559)&gt;1,"; Sales Mismatch","")&amp;IF(ABS(S559-X559)&gt;1,"; Profit Mismatch","")&amp;IF(COUNTIF($A$2:$A$913,A559)&gt;1,"; Duplicate Order ID Conflict",""),2)="; ",MID(AC559&amp;IF(B559="","; Missing Order Date","")&amp;IF(C559="","; Missing Ship Date","")&amp;IF(P559&lt;0,"; Invalid Discount (Negative)","")&amp;IF(P559&gt;0.5,"; Invalid Discount (Too High)","")&amp;IF(Z559&lt;0,"; Invalid Shipping Record (Ship Before Order)","")&amp;IF(ABS(Q559-W559)&gt;1,"; Sales Mismatch","")&amp;IF(ABS(S559-X559)&gt;1,"; Profit Mismatch","")&amp;IF(COUNTIF($A$2:$A$913,A559)&gt;1,"; Duplicate Order ID Conflict",""),3,500),AC559&amp;IF(B559="","; Missing Order Date","")&amp;IF(C559="","; Missing Ship Date","")&amp;IF(P559&lt;0,"; Invalid Discount (Negative)","")&amp;IF(P559&gt;0.5,"; Invalid Discount (Too High)","")&amp;IF(Z559&lt;0,"; Invalid Shipping Record (Ship Before Order)","")&amp;IF(ABS(Q559-W559)&gt;1,"; Sales Mismatch","")&amp;IF(ABS(S559-X559)&gt;1,"; Profit Mismatch","")&amp;IF(COUNTIF($A$2:$A$913,A559)&gt;1,"; Duplicate Order ID Conflict",""))</f>
        <v/>
      </c>
      <c r="AE559" s="10" t="str">
        <f aca="false">IF(OR(ISNUMBER(SEARCH("Invalid Discount",AD559)),ISNUMBER(SEARCH("Invalid Shipping Record",AD559)),ISNUMBER(SEARCH("Sales Mismatch",AD559)),ISNUMBER(SEARCH("Profit Mismatch",AD559)),ISNUMBER(SEARCH("Duplicate Order ID Conflict",AD559)),ISNUMBER(SEARCH("Missing Order Date",AD559)),ISNUMBER(SEARCH("Missing Ship Date",AD559))),"Invalid",IF(AD559&lt;&gt;"","Warning","Clean"))</f>
        <v>Clean</v>
      </c>
    </row>
    <row r="560" customFormat="false" ht="15" hidden="false" customHeight="true" outlineLevel="0" collapsed="false">
      <c r="A560" s="3" t="s">
        <v>1693</v>
      </c>
      <c r="B560" s="4" t="n">
        <v>45904</v>
      </c>
      <c r="C560" s="4" t="n">
        <v>45904</v>
      </c>
      <c r="D560" s="3" t="s">
        <v>1694</v>
      </c>
      <c r="E560" s="3" t="str">
        <f aca="false">PROPER(TRIM(SUBSTITUTE(Raw_Text_Fields!B561,CHAR(160)," ")))</f>
        <v>Aditi Sen</v>
      </c>
      <c r="F560" s="3" t="str">
        <f aca="false">PROPER(TRIM(SUBSTITUTE(Raw_Text_Fields!C561,CHAR(160)," ")))</f>
        <v>Corporate</v>
      </c>
      <c r="G560" s="3" t="str">
        <f aca="false">PROPER(TRIM(SUBSTITUTE(Raw_Text_Fields!D561,CHAR(160)," ")))</f>
        <v>North</v>
      </c>
      <c r="H560" s="3" t="str">
        <f aca="false">PROPER(TRIM(SUBSTITUTE(Raw_Text_Fields!E561,CHAR(160)," ")))</f>
        <v>Punjab</v>
      </c>
      <c r="I560" s="3" t="str">
        <f aca="false">PROPER(TRIM(SUBSTITUTE(Raw_Text_Fields!F561,CHAR(160)," ")))</f>
        <v>Ludhiana</v>
      </c>
      <c r="J560" s="3" t="str">
        <f aca="false">PROPER(TRIM(SUBSTITUTE(Raw_Text_Fields!G561,CHAR(160)," ")))</f>
        <v>Technology</v>
      </c>
      <c r="K560" s="3" t="str">
        <f aca="false">PROPER(TRIM(SUBSTITUTE(Raw_Text_Fields!H561,CHAR(160)," ")))</f>
        <v>Machines</v>
      </c>
      <c r="L560" s="3" t="s">
        <v>1695</v>
      </c>
      <c r="M560" s="3" t="str">
        <f aca="false">PROPER(TRIM(SUBSTITUTE(Raw_Text_Fields!I561,CHAR(160)," ")))</f>
        <v>First Class</v>
      </c>
      <c r="N560" s="3" t="n">
        <v>8</v>
      </c>
      <c r="O560" s="5" t="n">
        <v>3079.95</v>
      </c>
      <c r="P560" s="6" t="n">
        <v>0.2</v>
      </c>
      <c r="Q560" s="5" t="n">
        <v>19711.68</v>
      </c>
      <c r="R560" s="5" t="n">
        <v>14461.8</v>
      </c>
      <c r="S560" s="5" t="n">
        <v>5249.88</v>
      </c>
      <c r="T560" s="3" t="str">
        <f aca="false">PROPER(TRIM(SUBSTITUTE(Raw_Text_Fields!J561,CHAR(160)," ")))</f>
        <v>Paid</v>
      </c>
      <c r="U560" s="3" t="str">
        <f aca="false">PROPER(TRIM(SUBSTITUTE(Raw_Text_Fields!K561,CHAR(160)," ")))</f>
        <v>Completed</v>
      </c>
      <c r="V560" s="7" t="n">
        <f aca="false">IF(OR(P560&lt;0,P560&gt;0.5),0,P560)</f>
        <v>0.2</v>
      </c>
      <c r="W560" s="8" t="n">
        <f aca="false">N560*O560*(1-V560)</f>
        <v>19711.68</v>
      </c>
      <c r="X560" s="8" t="n">
        <f aca="false">W560-R560</f>
        <v>5249.88</v>
      </c>
      <c r="Y560" s="7" t="n">
        <f aca="false">IFERROR(X560/W560,0)</f>
        <v>0.266333463205572</v>
      </c>
      <c r="Z560" s="9" t="n">
        <f aca="false">C560-B560</f>
        <v>0</v>
      </c>
      <c r="AA560" s="1" t="str">
        <f aca="false">IF(B560="","",TEXT(B560,"mmm"))</f>
        <v>Sep</v>
      </c>
      <c r="AB560" s="9" t="n">
        <f aca="false">IF(B560="","",YEAR(B560))</f>
        <v>2025</v>
      </c>
      <c r="AC560" s="3"/>
      <c r="AD560" s="3" t="str">
        <f aca="false">IF(LEFT(AC560&amp;IF(B560="","; Missing Order Date","")&amp;IF(C560="","; Missing Ship Date","")&amp;IF(P560&lt;0,"; Invalid Discount (Negative)","")&amp;IF(P560&gt;0.5,"; Invalid Discount (Too High)","")&amp;IF(Z560&lt;0,"; Invalid Shipping Record (Ship Before Order)","")&amp;IF(ABS(Q560-W560)&gt;1,"; Sales Mismatch","")&amp;IF(ABS(S560-X560)&gt;1,"; Profit Mismatch","")&amp;IF(COUNTIF($A$2:$A$913,A560)&gt;1,"; Duplicate Order ID Conflict",""),2)="; ",MID(AC560&amp;IF(B560="","; Missing Order Date","")&amp;IF(C560="","; Missing Ship Date","")&amp;IF(P560&lt;0,"; Invalid Discount (Negative)","")&amp;IF(P560&gt;0.5,"; Invalid Discount (Too High)","")&amp;IF(Z560&lt;0,"; Invalid Shipping Record (Ship Before Order)","")&amp;IF(ABS(Q560-W560)&gt;1,"; Sales Mismatch","")&amp;IF(ABS(S560-X560)&gt;1,"; Profit Mismatch","")&amp;IF(COUNTIF($A$2:$A$913,A560)&gt;1,"; Duplicate Order ID Conflict",""),3,500),AC560&amp;IF(B560="","; Missing Order Date","")&amp;IF(C560="","; Missing Ship Date","")&amp;IF(P560&lt;0,"; Invalid Discount (Negative)","")&amp;IF(P560&gt;0.5,"; Invalid Discount (Too High)","")&amp;IF(Z560&lt;0,"; Invalid Shipping Record (Ship Before Order)","")&amp;IF(ABS(Q560-W560)&gt;1,"; Sales Mismatch","")&amp;IF(ABS(S560-X560)&gt;1,"; Profit Mismatch","")&amp;IF(COUNTIF($A$2:$A$913,A560)&gt;1,"; Duplicate Order ID Conflict",""))</f>
        <v/>
      </c>
      <c r="AE560" s="10" t="str">
        <f aca="false">IF(OR(ISNUMBER(SEARCH("Invalid Discount",AD560)),ISNUMBER(SEARCH("Invalid Shipping Record",AD560)),ISNUMBER(SEARCH("Sales Mismatch",AD560)),ISNUMBER(SEARCH("Profit Mismatch",AD560)),ISNUMBER(SEARCH("Duplicate Order ID Conflict",AD560)),ISNUMBER(SEARCH("Missing Order Date",AD560)),ISNUMBER(SEARCH("Missing Ship Date",AD560))),"Invalid",IF(AD560&lt;&gt;"","Warning","Clean"))</f>
        <v>Clean</v>
      </c>
    </row>
    <row r="561" customFormat="false" ht="15" hidden="false" customHeight="true" outlineLevel="0" collapsed="false">
      <c r="A561" s="3" t="s">
        <v>1696</v>
      </c>
      <c r="B561" s="4" t="n">
        <v>45930</v>
      </c>
      <c r="C561" s="4" t="n">
        <v>45937</v>
      </c>
      <c r="D561" s="3" t="s">
        <v>1697</v>
      </c>
      <c r="E561" s="3" t="str">
        <f aca="false">PROPER(TRIM(SUBSTITUTE(Raw_Text_Fields!B562,CHAR(160)," ")))</f>
        <v>Diya Patel</v>
      </c>
      <c r="F561" s="3" t="str">
        <f aca="false">PROPER(TRIM(SUBSTITUTE(Raw_Text_Fields!C562,CHAR(160)," ")))</f>
        <v>Corporate</v>
      </c>
      <c r="G561" s="3" t="str">
        <f aca="false">PROPER(TRIM(SUBSTITUTE(Raw_Text_Fields!D562,CHAR(160)," ")))</f>
        <v>East</v>
      </c>
      <c r="H561" s="3" t="str">
        <f aca="false">PROPER(TRIM(SUBSTITUTE(Raw_Text_Fields!E562,CHAR(160)," ")))</f>
        <v>Bihar</v>
      </c>
      <c r="I561" s="3" t="str">
        <f aca="false">PROPER(TRIM(SUBSTITUTE(Raw_Text_Fields!F562,CHAR(160)," ")))</f>
        <v>Patna</v>
      </c>
      <c r="J561" s="3" t="str">
        <f aca="false">PROPER(TRIM(SUBSTITUTE(Raw_Text_Fields!G562,CHAR(160)," ")))</f>
        <v>Technology</v>
      </c>
      <c r="K561" s="3" t="str">
        <f aca="false">PROPER(TRIM(SUBSTITUTE(Raw_Text_Fields!H562,CHAR(160)," ")))</f>
        <v>Copiers</v>
      </c>
      <c r="L561" s="3" t="s">
        <v>1698</v>
      </c>
      <c r="M561" s="3" t="str">
        <f aca="false">PROPER(TRIM(SUBSTITUTE(Raw_Text_Fields!I562,CHAR(160)," ")))</f>
        <v>Second Class</v>
      </c>
      <c r="N561" s="3" t="n">
        <v>5</v>
      </c>
      <c r="O561" s="5" t="n">
        <v>3277.82</v>
      </c>
      <c r="P561" s="6" t="n">
        <v>0.1</v>
      </c>
      <c r="Q561" s="5" t="n">
        <v>14750.19</v>
      </c>
      <c r="R561" s="5" t="n">
        <v>9482.58</v>
      </c>
      <c r="S561" s="5" t="n">
        <v>5267.61</v>
      </c>
      <c r="T561" s="3" t="str">
        <f aca="false">PROPER(TRIM(SUBSTITUTE(Raw_Text_Fields!J562,CHAR(160)," ")))</f>
        <v>Paid</v>
      </c>
      <c r="U561" s="3" t="str">
        <f aca="false">PROPER(TRIM(SUBSTITUTE(Raw_Text_Fields!K562,CHAR(160)," ")))</f>
        <v>Returned</v>
      </c>
      <c r="V561" s="7" t="n">
        <f aca="false">IF(OR(P561&lt;0,P561&gt;0.5),0,P561)</f>
        <v>0.1</v>
      </c>
      <c r="W561" s="8" t="n">
        <f aca="false">N561*O561*(1-V561)</f>
        <v>14750.19</v>
      </c>
      <c r="X561" s="8" t="n">
        <f aca="false">W561-R561</f>
        <v>5267.61</v>
      </c>
      <c r="Y561" s="7" t="n">
        <f aca="false">IFERROR(X561/W561,0)</f>
        <v>0.357121501485744</v>
      </c>
      <c r="Z561" s="9" t="n">
        <f aca="false">C561-B561</f>
        <v>7</v>
      </c>
      <c r="AA561" s="1" t="str">
        <f aca="false">IF(B561="","",TEXT(B561,"mmm"))</f>
        <v>Sep</v>
      </c>
      <c r="AB561" s="9" t="n">
        <f aca="false">IF(B561="","",YEAR(B561))</f>
        <v>2025</v>
      </c>
      <c r="AC561" s="3"/>
      <c r="AD561" s="3" t="str">
        <f aca="false">IF(LEFT(AC561&amp;IF(B561="","; Missing Order Date","")&amp;IF(C561="","; Missing Ship Date","")&amp;IF(P561&lt;0,"; Invalid Discount (Negative)","")&amp;IF(P561&gt;0.5,"; Invalid Discount (Too High)","")&amp;IF(Z561&lt;0,"; Invalid Shipping Record (Ship Before Order)","")&amp;IF(ABS(Q561-W561)&gt;1,"; Sales Mismatch","")&amp;IF(ABS(S561-X561)&gt;1,"; Profit Mismatch","")&amp;IF(COUNTIF($A$2:$A$913,A561)&gt;1,"; Duplicate Order ID Conflict",""),2)="; ",MID(AC561&amp;IF(B561="","; Missing Order Date","")&amp;IF(C561="","; Missing Ship Date","")&amp;IF(P561&lt;0,"; Invalid Discount (Negative)","")&amp;IF(P561&gt;0.5,"; Invalid Discount (Too High)","")&amp;IF(Z561&lt;0,"; Invalid Shipping Record (Ship Before Order)","")&amp;IF(ABS(Q561-W561)&gt;1,"; Sales Mismatch","")&amp;IF(ABS(S561-X561)&gt;1,"; Profit Mismatch","")&amp;IF(COUNTIF($A$2:$A$913,A561)&gt;1,"; Duplicate Order ID Conflict",""),3,500),AC561&amp;IF(B561="","; Missing Order Date","")&amp;IF(C561="","; Missing Ship Date","")&amp;IF(P561&lt;0,"; Invalid Discount (Negative)","")&amp;IF(P561&gt;0.5,"; Invalid Discount (Too High)","")&amp;IF(Z561&lt;0,"; Invalid Shipping Record (Ship Before Order)","")&amp;IF(ABS(Q561-W561)&gt;1,"; Sales Mismatch","")&amp;IF(ABS(S561-X561)&gt;1,"; Profit Mismatch","")&amp;IF(COUNTIF($A$2:$A$913,A561)&gt;1,"; Duplicate Order ID Conflict",""))</f>
        <v/>
      </c>
      <c r="AE561" s="10" t="str">
        <f aca="false">IF(OR(ISNUMBER(SEARCH("Invalid Discount",AD561)),ISNUMBER(SEARCH("Invalid Shipping Record",AD561)),ISNUMBER(SEARCH("Sales Mismatch",AD561)),ISNUMBER(SEARCH("Profit Mismatch",AD561)),ISNUMBER(SEARCH("Duplicate Order ID Conflict",AD561)),ISNUMBER(SEARCH("Missing Order Date",AD561)),ISNUMBER(SEARCH("Missing Ship Date",AD561))),"Invalid",IF(AD561&lt;&gt;"","Warning","Clean"))</f>
        <v>Clean</v>
      </c>
    </row>
    <row r="562" customFormat="false" ht="15" hidden="false" customHeight="true" outlineLevel="0" collapsed="false">
      <c r="A562" s="3" t="s">
        <v>1699</v>
      </c>
      <c r="B562" s="4" t="n">
        <v>45307</v>
      </c>
      <c r="C562" s="4" t="n">
        <v>45313</v>
      </c>
      <c r="D562" s="3" t="s">
        <v>1700</v>
      </c>
      <c r="E562" s="3" t="str">
        <f aca="false">PROPER(TRIM(SUBSTITUTE(Raw_Text_Fields!B563,CHAR(160)," ")))</f>
        <v>Arjun Bose</v>
      </c>
      <c r="F562" s="3" t="str">
        <f aca="false">PROPER(TRIM(SUBSTITUTE(Raw_Text_Fields!C563,CHAR(160)," ")))</f>
        <v>Consumer</v>
      </c>
      <c r="G562" s="3" t="str">
        <f aca="false">PROPER(TRIM(SUBSTITUTE(Raw_Text_Fields!D563,CHAR(160)," ")))</f>
        <v>West</v>
      </c>
      <c r="H562" s="3" t="str">
        <f aca="false">PROPER(TRIM(SUBSTITUTE(Raw_Text_Fields!E563,CHAR(160)," ")))</f>
        <v>Goa</v>
      </c>
      <c r="I562" s="3" t="str">
        <f aca="false">PROPER(TRIM(SUBSTITUTE(Raw_Text_Fields!F563,CHAR(160)," ")))</f>
        <v>Panaji</v>
      </c>
      <c r="J562" s="3" t="str">
        <f aca="false">PROPER(TRIM(SUBSTITUTE(Raw_Text_Fields!G563,CHAR(160)," ")))</f>
        <v>Office Supplies</v>
      </c>
      <c r="K562" s="3" t="str">
        <f aca="false">PROPER(TRIM(SUBSTITUTE(Raw_Text_Fields!H563,CHAR(160)," ")))</f>
        <v>Storage</v>
      </c>
      <c r="L562" s="3" t="s">
        <v>1701</v>
      </c>
      <c r="M562" s="3" t="str">
        <f aca="false">PROPER(TRIM(SUBSTITUTE(Raw_Text_Fields!I563,CHAR(160)," ")))</f>
        <v>Standard Class</v>
      </c>
      <c r="N562" s="3" t="n">
        <v>4</v>
      </c>
      <c r="O562" s="5" t="n">
        <v>282.53</v>
      </c>
      <c r="P562" s="6" t="n">
        <v>0</v>
      </c>
      <c r="Q562" s="5" t="n">
        <v>1130.12</v>
      </c>
      <c r="R562" s="5" t="n">
        <v>848.62</v>
      </c>
      <c r="S562" s="5" t="n">
        <v>281.5</v>
      </c>
      <c r="T562" s="3" t="str">
        <f aca="false">PROPER(TRIM(SUBSTITUTE(Raw_Text_Fields!J563,CHAR(160)," ")))</f>
        <v>Paid</v>
      </c>
      <c r="U562" s="3" t="str">
        <f aca="false">PROPER(TRIM(SUBSTITUTE(Raw_Text_Fields!K563,CHAR(160)," ")))</f>
        <v>Cancelled</v>
      </c>
      <c r="V562" s="7" t="n">
        <f aca="false">IF(OR(P562&lt;0,P562&gt;0.5),0,P562)</f>
        <v>0</v>
      </c>
      <c r="W562" s="8" t="n">
        <f aca="false">N562*O562*(1-V562)</f>
        <v>1130.12</v>
      </c>
      <c r="X562" s="8" t="n">
        <f aca="false">W562-R562</f>
        <v>281.5</v>
      </c>
      <c r="Y562" s="7" t="n">
        <f aca="false">IFERROR(X562/W562,0)</f>
        <v>0.249088592361873</v>
      </c>
      <c r="Z562" s="9" t="n">
        <f aca="false">C562-B562</f>
        <v>6</v>
      </c>
      <c r="AA562" s="1" t="str">
        <f aca="false">IF(B562="","",TEXT(B562,"mmm"))</f>
        <v>Jan</v>
      </c>
      <c r="AB562" s="9" t="n">
        <f aca="false">IF(B562="","",YEAR(B562))</f>
        <v>2024</v>
      </c>
      <c r="AC562" s="3"/>
      <c r="AD562" s="3" t="str">
        <f aca="false">IF(LEFT(AC562&amp;IF(B562="","; Missing Order Date","")&amp;IF(C562="","; Missing Ship Date","")&amp;IF(P562&lt;0,"; Invalid Discount (Negative)","")&amp;IF(P562&gt;0.5,"; Invalid Discount (Too High)","")&amp;IF(Z562&lt;0,"; Invalid Shipping Record (Ship Before Order)","")&amp;IF(ABS(Q562-W562)&gt;1,"; Sales Mismatch","")&amp;IF(ABS(S562-X562)&gt;1,"; Profit Mismatch","")&amp;IF(COUNTIF($A$2:$A$913,A562)&gt;1,"; Duplicate Order ID Conflict",""),2)="; ",MID(AC562&amp;IF(B562="","; Missing Order Date","")&amp;IF(C562="","; Missing Ship Date","")&amp;IF(P562&lt;0,"; Invalid Discount (Negative)","")&amp;IF(P562&gt;0.5,"; Invalid Discount (Too High)","")&amp;IF(Z562&lt;0,"; Invalid Shipping Record (Ship Before Order)","")&amp;IF(ABS(Q562-W562)&gt;1,"; Sales Mismatch","")&amp;IF(ABS(S562-X562)&gt;1,"; Profit Mismatch","")&amp;IF(COUNTIF($A$2:$A$913,A562)&gt;1,"; Duplicate Order ID Conflict",""),3,500),AC562&amp;IF(B562="","; Missing Order Date","")&amp;IF(C562="","; Missing Ship Date","")&amp;IF(P562&lt;0,"; Invalid Discount (Negative)","")&amp;IF(P562&gt;0.5,"; Invalid Discount (Too High)","")&amp;IF(Z562&lt;0,"; Invalid Shipping Record (Ship Before Order)","")&amp;IF(ABS(Q562-W562)&gt;1,"; Sales Mismatch","")&amp;IF(ABS(S562-X562)&gt;1,"; Profit Mismatch","")&amp;IF(COUNTIF($A$2:$A$913,A562)&gt;1,"; Duplicate Order ID Conflict",""))</f>
        <v/>
      </c>
      <c r="AE562" s="10" t="str">
        <f aca="false">IF(OR(ISNUMBER(SEARCH("Invalid Discount",AD562)),ISNUMBER(SEARCH("Invalid Shipping Record",AD562)),ISNUMBER(SEARCH("Sales Mismatch",AD562)),ISNUMBER(SEARCH("Profit Mismatch",AD562)),ISNUMBER(SEARCH("Duplicate Order ID Conflict",AD562)),ISNUMBER(SEARCH("Missing Order Date",AD562)),ISNUMBER(SEARCH("Missing Ship Date",AD562))),"Invalid",IF(AD562&lt;&gt;"","Warning","Clean"))</f>
        <v>Clean</v>
      </c>
    </row>
    <row r="563" customFormat="false" ht="15" hidden="false" customHeight="true" outlineLevel="0" collapsed="false">
      <c r="A563" s="3" t="s">
        <v>1702</v>
      </c>
      <c r="B563" s="4" t="n">
        <v>45852</v>
      </c>
      <c r="C563" s="4" t="n">
        <v>45856</v>
      </c>
      <c r="D563" s="3" t="s">
        <v>1703</v>
      </c>
      <c r="E563" s="3" t="str">
        <f aca="false">PROPER(TRIM(SUBSTITUTE(Raw_Text_Fields!B564,CHAR(160)," ")))</f>
        <v>Aditi Sen</v>
      </c>
      <c r="F563" s="3" t="str">
        <f aca="false">PROPER(TRIM(SUBSTITUTE(Raw_Text_Fields!C564,CHAR(160)," ")))</f>
        <v>Consumer</v>
      </c>
      <c r="G563" s="3" t="str">
        <f aca="false">PROPER(TRIM(SUBSTITUTE(Raw_Text_Fields!D564,CHAR(160)," ")))</f>
        <v>North</v>
      </c>
      <c r="H563" s="3" t="str">
        <f aca="false">PROPER(TRIM(SUBSTITUTE(Raw_Text_Fields!E564,CHAR(160)," ")))</f>
        <v>Punjab</v>
      </c>
      <c r="I563" s="3" t="str">
        <f aca="false">PROPER(TRIM(SUBSTITUTE(Raw_Text_Fields!F564,CHAR(160)," ")))</f>
        <v>Ludhiana</v>
      </c>
      <c r="J563" s="3" t="str">
        <f aca="false">PROPER(TRIM(SUBSTITUTE(Raw_Text_Fields!G564,CHAR(160)," ")))</f>
        <v>Technology</v>
      </c>
      <c r="K563" s="3" t="str">
        <f aca="false">PROPER(TRIM(SUBSTITUTE(Raw_Text_Fields!H564,CHAR(160)," ")))</f>
        <v>Copiers</v>
      </c>
      <c r="L563" s="3" t="s">
        <v>1704</v>
      </c>
      <c r="M563" s="3" t="str">
        <f aca="false">PROPER(TRIM(SUBSTITUTE(Raw_Text_Fields!I564,CHAR(160)," ")))</f>
        <v>First Class</v>
      </c>
      <c r="N563" s="3" t="n">
        <v>4</v>
      </c>
      <c r="O563" s="5" t="n">
        <v>725.22</v>
      </c>
      <c r="P563" s="6" t="n">
        <v>0</v>
      </c>
      <c r="Q563" s="5" t="n">
        <v>2900.88</v>
      </c>
      <c r="R563" s="5" t="n">
        <v>2391.85</v>
      </c>
      <c r="S563" s="5" t="n">
        <v>509.03</v>
      </c>
      <c r="T563" s="3" t="str">
        <f aca="false">PROPER(TRIM(SUBSTITUTE(Raw_Text_Fields!J564,CHAR(160)," ")))</f>
        <v>Pending</v>
      </c>
      <c r="U563" s="3" t="str">
        <f aca="false">PROPER(TRIM(SUBSTITUTE(Raw_Text_Fields!K564,CHAR(160)," ")))</f>
        <v>Returned</v>
      </c>
      <c r="V563" s="7" t="n">
        <f aca="false">IF(OR(P563&lt;0,P563&gt;0.5),0,P563)</f>
        <v>0</v>
      </c>
      <c r="W563" s="8" t="n">
        <f aca="false">N563*O563*(1-V563)</f>
        <v>2900.88</v>
      </c>
      <c r="X563" s="8" t="n">
        <f aca="false">W563-R563</f>
        <v>509.03</v>
      </c>
      <c r="Y563" s="7" t="n">
        <f aca="false">IFERROR(X563/W563,0)</f>
        <v>0.175474338821323</v>
      </c>
      <c r="Z563" s="9" t="n">
        <f aca="false">C563-B563</f>
        <v>4</v>
      </c>
      <c r="AA563" s="1" t="str">
        <f aca="false">IF(B563="","",TEXT(B563,"mmm"))</f>
        <v>Jul</v>
      </c>
      <c r="AB563" s="9" t="n">
        <f aca="false">IF(B563="","",YEAR(B563))</f>
        <v>2025</v>
      </c>
      <c r="AC563" s="3"/>
      <c r="AD563" s="3" t="str">
        <f aca="false">IF(LEFT(AC563&amp;IF(B563="","; Missing Order Date","")&amp;IF(C563="","; Missing Ship Date","")&amp;IF(P563&lt;0,"; Invalid Discount (Negative)","")&amp;IF(P563&gt;0.5,"; Invalid Discount (Too High)","")&amp;IF(Z563&lt;0,"; Invalid Shipping Record (Ship Before Order)","")&amp;IF(ABS(Q563-W563)&gt;1,"; Sales Mismatch","")&amp;IF(ABS(S563-X563)&gt;1,"; Profit Mismatch","")&amp;IF(COUNTIF($A$2:$A$913,A563)&gt;1,"; Duplicate Order ID Conflict",""),2)="; ",MID(AC563&amp;IF(B563="","; Missing Order Date","")&amp;IF(C563="","; Missing Ship Date","")&amp;IF(P563&lt;0,"; Invalid Discount (Negative)","")&amp;IF(P563&gt;0.5,"; Invalid Discount (Too High)","")&amp;IF(Z563&lt;0,"; Invalid Shipping Record (Ship Before Order)","")&amp;IF(ABS(Q563-W563)&gt;1,"; Sales Mismatch","")&amp;IF(ABS(S563-X563)&gt;1,"; Profit Mismatch","")&amp;IF(COUNTIF($A$2:$A$913,A563)&gt;1,"; Duplicate Order ID Conflict",""),3,500),AC563&amp;IF(B563="","; Missing Order Date","")&amp;IF(C563="","; Missing Ship Date","")&amp;IF(P563&lt;0,"; Invalid Discount (Negative)","")&amp;IF(P563&gt;0.5,"; Invalid Discount (Too High)","")&amp;IF(Z563&lt;0,"; Invalid Shipping Record (Ship Before Order)","")&amp;IF(ABS(Q563-W563)&gt;1,"; Sales Mismatch","")&amp;IF(ABS(S563-X563)&gt;1,"; Profit Mismatch","")&amp;IF(COUNTIF($A$2:$A$913,A563)&gt;1,"; Duplicate Order ID Conflict",""))</f>
        <v/>
      </c>
      <c r="AE563" s="10" t="str">
        <f aca="false">IF(OR(ISNUMBER(SEARCH("Invalid Discount",AD563)),ISNUMBER(SEARCH("Invalid Shipping Record",AD563)),ISNUMBER(SEARCH("Sales Mismatch",AD563)),ISNUMBER(SEARCH("Profit Mismatch",AD563)),ISNUMBER(SEARCH("Duplicate Order ID Conflict",AD563)),ISNUMBER(SEARCH("Missing Order Date",AD563)),ISNUMBER(SEARCH("Missing Ship Date",AD563))),"Invalid",IF(AD563&lt;&gt;"","Warning","Clean"))</f>
        <v>Clean</v>
      </c>
    </row>
    <row r="564" customFormat="false" ht="15" hidden="false" customHeight="true" outlineLevel="0" collapsed="false">
      <c r="A564" s="3" t="s">
        <v>1705</v>
      </c>
      <c r="B564" s="4" t="n">
        <v>45422</v>
      </c>
      <c r="C564" s="4" t="n">
        <v>45428</v>
      </c>
      <c r="D564" s="3" t="s">
        <v>1706</v>
      </c>
      <c r="E564" s="3" t="str">
        <f aca="false">PROPER(TRIM(SUBSTITUTE(Raw_Text_Fields!B565,CHAR(160)," ")))</f>
        <v>Karan Malhotra</v>
      </c>
      <c r="F564" s="3" t="str">
        <f aca="false">PROPER(TRIM(SUBSTITUTE(Raw_Text_Fields!C565,CHAR(160)," ")))</f>
        <v>Consumer</v>
      </c>
      <c r="G564" s="3" t="str">
        <f aca="false">PROPER(TRIM(SUBSTITUTE(Raw_Text_Fields!D565,CHAR(160)," ")))</f>
        <v>North</v>
      </c>
      <c r="H564" s="3" t="str">
        <f aca="false">PROPER(TRIM(SUBSTITUTE(Raw_Text_Fields!E565,CHAR(160)," ")))</f>
        <v>Punjab</v>
      </c>
      <c r="I564" s="3" t="str">
        <f aca="false">PROPER(TRIM(SUBSTITUTE(Raw_Text_Fields!F565,CHAR(160)," ")))</f>
        <v>Ludhiana</v>
      </c>
      <c r="J564" s="3" t="str">
        <f aca="false">PROPER(TRIM(SUBSTITUTE(Raw_Text_Fields!G565,CHAR(160)," ")))</f>
        <v>Office Supplies</v>
      </c>
      <c r="K564" s="3" t="str">
        <f aca="false">PROPER(TRIM(SUBSTITUTE(Raw_Text_Fields!H565,CHAR(160)," ")))</f>
        <v>Binders</v>
      </c>
      <c r="L564" s="3" t="s">
        <v>1707</v>
      </c>
      <c r="M564" s="3" t="str">
        <f aca="false">PROPER(TRIM(SUBSTITUTE(Raw_Text_Fields!I565,CHAR(160)," ")))</f>
        <v>Same Day</v>
      </c>
      <c r="N564" s="3" t="n">
        <v>7</v>
      </c>
      <c r="O564" s="5" t="n">
        <v>121.54</v>
      </c>
      <c r="P564" s="6" t="n">
        <v>0.2</v>
      </c>
      <c r="Q564" s="5" t="n">
        <v>680.62</v>
      </c>
      <c r="R564" s="5" t="n">
        <v>463.49</v>
      </c>
      <c r="S564" s="5" t="n">
        <v>217.13</v>
      </c>
      <c r="T564" s="3" t="str">
        <f aca="false">PROPER(TRIM(SUBSTITUTE(Raw_Text_Fields!J565,CHAR(160)," ")))</f>
        <v>Failed</v>
      </c>
      <c r="U564" s="3" t="str">
        <f aca="false">PROPER(TRIM(SUBSTITUTE(Raw_Text_Fields!K565,CHAR(160)," ")))</f>
        <v>Returned</v>
      </c>
      <c r="V564" s="7" t="n">
        <f aca="false">IF(OR(P564&lt;0,P564&gt;0.5),0,P564)</f>
        <v>0.2</v>
      </c>
      <c r="W564" s="8" t="n">
        <f aca="false">N564*O564*(1-V564)</f>
        <v>680.624</v>
      </c>
      <c r="X564" s="8" t="n">
        <f aca="false">W564-R564</f>
        <v>217.134</v>
      </c>
      <c r="Y564" s="7" t="n">
        <f aca="false">IFERROR(X564/W564,0)</f>
        <v>0.319021956322434</v>
      </c>
      <c r="Z564" s="9" t="n">
        <f aca="false">C564-B564</f>
        <v>6</v>
      </c>
      <c r="AA564" s="1" t="str">
        <f aca="false">IF(B564="","",TEXT(B564,"mmm"))</f>
        <v>May</v>
      </c>
      <c r="AB564" s="9" t="n">
        <f aca="false">IF(B564="","",YEAR(B564))</f>
        <v>2024</v>
      </c>
      <c r="AC564" s="3"/>
      <c r="AD564" s="3" t="str">
        <f aca="false">IF(LEFT(AC564&amp;IF(B564="","; Missing Order Date","")&amp;IF(C564="","; Missing Ship Date","")&amp;IF(P564&lt;0,"; Invalid Discount (Negative)","")&amp;IF(P564&gt;0.5,"; Invalid Discount (Too High)","")&amp;IF(Z564&lt;0,"; Invalid Shipping Record (Ship Before Order)","")&amp;IF(ABS(Q564-W564)&gt;1,"; Sales Mismatch","")&amp;IF(ABS(S564-X564)&gt;1,"; Profit Mismatch","")&amp;IF(COUNTIF($A$2:$A$913,A564)&gt;1,"; Duplicate Order ID Conflict",""),2)="; ",MID(AC564&amp;IF(B564="","; Missing Order Date","")&amp;IF(C564="","; Missing Ship Date","")&amp;IF(P564&lt;0,"; Invalid Discount (Negative)","")&amp;IF(P564&gt;0.5,"; Invalid Discount (Too High)","")&amp;IF(Z564&lt;0,"; Invalid Shipping Record (Ship Before Order)","")&amp;IF(ABS(Q564-W564)&gt;1,"; Sales Mismatch","")&amp;IF(ABS(S564-X564)&gt;1,"; Profit Mismatch","")&amp;IF(COUNTIF($A$2:$A$913,A564)&gt;1,"; Duplicate Order ID Conflict",""),3,500),AC564&amp;IF(B564="","; Missing Order Date","")&amp;IF(C564="","; Missing Ship Date","")&amp;IF(P564&lt;0,"; Invalid Discount (Negative)","")&amp;IF(P564&gt;0.5,"; Invalid Discount (Too High)","")&amp;IF(Z564&lt;0,"; Invalid Shipping Record (Ship Before Order)","")&amp;IF(ABS(Q564-W564)&gt;1,"; Sales Mismatch","")&amp;IF(ABS(S564-X564)&gt;1,"; Profit Mismatch","")&amp;IF(COUNTIF($A$2:$A$913,A564)&gt;1,"; Duplicate Order ID Conflict",""))</f>
        <v/>
      </c>
      <c r="AE564" s="10" t="str">
        <f aca="false">IF(OR(ISNUMBER(SEARCH("Invalid Discount",AD564)),ISNUMBER(SEARCH("Invalid Shipping Record",AD564)),ISNUMBER(SEARCH("Sales Mismatch",AD564)),ISNUMBER(SEARCH("Profit Mismatch",AD564)),ISNUMBER(SEARCH("Duplicate Order ID Conflict",AD564)),ISNUMBER(SEARCH("Missing Order Date",AD564)),ISNUMBER(SEARCH("Missing Ship Date",AD564))),"Invalid",IF(AD564&lt;&gt;"","Warning","Clean"))</f>
        <v>Clean</v>
      </c>
    </row>
    <row r="565" customFormat="false" ht="15" hidden="false" customHeight="true" outlineLevel="0" collapsed="false">
      <c r="A565" s="3" t="s">
        <v>1708</v>
      </c>
      <c r="B565" s="4" t="n">
        <v>45418</v>
      </c>
      <c r="C565" s="4" t="n">
        <v>45424</v>
      </c>
      <c r="D565" s="3" t="s">
        <v>1709</v>
      </c>
      <c r="E565" s="3" t="str">
        <f aca="false">PROPER(TRIM(SUBSTITUTE(Raw_Text_Fields!B566,CHAR(160)," ")))</f>
        <v>Arjun Bose</v>
      </c>
      <c r="F565" s="3" t="str">
        <f aca="false">PROPER(TRIM(SUBSTITUTE(Raw_Text_Fields!C566,CHAR(160)," ")))</f>
        <v>Corporate</v>
      </c>
      <c r="G565" s="3" t="str">
        <f aca="false">PROPER(TRIM(SUBSTITUTE(Raw_Text_Fields!D566,CHAR(160)," ")))</f>
        <v>West</v>
      </c>
      <c r="H565" s="3" t="str">
        <f aca="false">PROPER(TRIM(SUBSTITUTE(Raw_Text_Fields!E566,CHAR(160)," ")))</f>
        <v>Goa</v>
      </c>
      <c r="I565" s="3" t="str">
        <f aca="false">PROPER(TRIM(SUBSTITUTE(Raw_Text_Fields!F566,CHAR(160)," ")))</f>
        <v>Panaji</v>
      </c>
      <c r="J565" s="3" t="str">
        <f aca="false">PROPER(TRIM(SUBSTITUTE(Raw_Text_Fields!G566,CHAR(160)," ")))</f>
        <v>Furniture</v>
      </c>
      <c r="K565" s="3" t="str">
        <f aca="false">PROPER(TRIM(SUBSTITUTE(Raw_Text_Fields!H566,CHAR(160)," ")))</f>
        <v>Tables</v>
      </c>
      <c r="L565" s="3" t="s">
        <v>1710</v>
      </c>
      <c r="M565" s="3" t="str">
        <f aca="false">PROPER(TRIM(SUBSTITUTE(Raw_Text_Fields!I566,CHAR(160)," ")))</f>
        <v>Standard Class</v>
      </c>
      <c r="N565" s="3" t="n">
        <v>9</v>
      </c>
      <c r="O565" s="5" t="n">
        <v>790.97</v>
      </c>
      <c r="P565" s="6" t="n">
        <v>0.2</v>
      </c>
      <c r="Q565" s="5" t="n">
        <v>5694.98</v>
      </c>
      <c r="R565" s="5" t="n">
        <v>4618.33</v>
      </c>
      <c r="S565" s="5" t="n">
        <v>1076.65</v>
      </c>
      <c r="T565" s="3" t="str">
        <f aca="false">PROPER(TRIM(SUBSTITUTE(Raw_Text_Fields!J566,CHAR(160)," ")))</f>
        <v>Pending</v>
      </c>
      <c r="U565" s="3" t="str">
        <f aca="false">PROPER(TRIM(SUBSTITUTE(Raw_Text_Fields!K566,CHAR(160)," ")))</f>
        <v>Cancelled</v>
      </c>
      <c r="V565" s="7" t="n">
        <f aca="false">IF(OR(P565&lt;0,P565&gt;0.5),0,P565)</f>
        <v>0.2</v>
      </c>
      <c r="W565" s="8" t="n">
        <f aca="false">N565*O565*(1-V565)</f>
        <v>5694.984</v>
      </c>
      <c r="X565" s="8" t="n">
        <f aca="false">W565-R565</f>
        <v>1076.654</v>
      </c>
      <c r="Y565" s="7" t="n">
        <f aca="false">IFERROR(X565/W565,0)</f>
        <v>0.189053033336002</v>
      </c>
      <c r="Z565" s="9" t="n">
        <f aca="false">C565-B565</f>
        <v>6</v>
      </c>
      <c r="AA565" s="1" t="str">
        <f aca="false">IF(B565="","",TEXT(B565,"mmm"))</f>
        <v>May</v>
      </c>
      <c r="AB565" s="9" t="n">
        <f aca="false">IF(B565="","",YEAR(B565))</f>
        <v>2024</v>
      </c>
      <c r="AC565" s="3"/>
      <c r="AD565" s="3" t="str">
        <f aca="false">IF(LEFT(AC565&amp;IF(B565="","; Missing Order Date","")&amp;IF(C565="","; Missing Ship Date","")&amp;IF(P565&lt;0,"; Invalid Discount (Negative)","")&amp;IF(P565&gt;0.5,"; Invalid Discount (Too High)","")&amp;IF(Z565&lt;0,"; Invalid Shipping Record (Ship Before Order)","")&amp;IF(ABS(Q565-W565)&gt;1,"; Sales Mismatch","")&amp;IF(ABS(S565-X565)&gt;1,"; Profit Mismatch","")&amp;IF(COUNTIF($A$2:$A$913,A565)&gt;1,"; Duplicate Order ID Conflict",""),2)="; ",MID(AC565&amp;IF(B565="","; Missing Order Date","")&amp;IF(C565="","; Missing Ship Date","")&amp;IF(P565&lt;0,"; Invalid Discount (Negative)","")&amp;IF(P565&gt;0.5,"; Invalid Discount (Too High)","")&amp;IF(Z565&lt;0,"; Invalid Shipping Record (Ship Before Order)","")&amp;IF(ABS(Q565-W565)&gt;1,"; Sales Mismatch","")&amp;IF(ABS(S565-X565)&gt;1,"; Profit Mismatch","")&amp;IF(COUNTIF($A$2:$A$913,A565)&gt;1,"; Duplicate Order ID Conflict",""),3,500),AC565&amp;IF(B565="","; Missing Order Date","")&amp;IF(C565="","; Missing Ship Date","")&amp;IF(P565&lt;0,"; Invalid Discount (Negative)","")&amp;IF(P565&gt;0.5,"; Invalid Discount (Too High)","")&amp;IF(Z565&lt;0,"; Invalid Shipping Record (Ship Before Order)","")&amp;IF(ABS(Q565-W565)&gt;1,"; Sales Mismatch","")&amp;IF(ABS(S565-X565)&gt;1,"; Profit Mismatch","")&amp;IF(COUNTIF($A$2:$A$913,A565)&gt;1,"; Duplicate Order ID Conflict",""))</f>
        <v/>
      </c>
      <c r="AE565" s="10" t="str">
        <f aca="false">IF(OR(ISNUMBER(SEARCH("Invalid Discount",AD565)),ISNUMBER(SEARCH("Invalid Shipping Record",AD565)),ISNUMBER(SEARCH("Sales Mismatch",AD565)),ISNUMBER(SEARCH("Profit Mismatch",AD565)),ISNUMBER(SEARCH("Duplicate Order ID Conflict",AD565)),ISNUMBER(SEARCH("Missing Order Date",AD565)),ISNUMBER(SEARCH("Missing Ship Date",AD565))),"Invalid",IF(AD565&lt;&gt;"","Warning","Clean"))</f>
        <v>Clean</v>
      </c>
    </row>
    <row r="566" customFormat="false" ht="15" hidden="false" customHeight="true" outlineLevel="0" collapsed="false">
      <c r="A566" s="3" t="s">
        <v>1711</v>
      </c>
      <c r="B566" s="4" t="n">
        <v>45606</v>
      </c>
      <c r="C566" s="4" t="n">
        <v>45610</v>
      </c>
      <c r="D566" s="3" t="s">
        <v>1712</v>
      </c>
      <c r="E566" s="3" t="str">
        <f aca="false">PROPER(TRIM(SUBSTITUTE(Raw_Text_Fields!B567,CHAR(160)," ")))</f>
        <v>Sneha Kapoor</v>
      </c>
      <c r="F566" s="3" t="str">
        <f aca="false">PROPER(TRIM(SUBSTITUTE(Raw_Text_Fields!C567,CHAR(160)," ")))</f>
        <v>Corporate</v>
      </c>
      <c r="G566" s="3" t="str">
        <f aca="false">PROPER(TRIM(SUBSTITUTE(Raw_Text_Fields!D567,CHAR(160)," ")))</f>
        <v>South</v>
      </c>
      <c r="H566" s="3" t="str">
        <f aca="false">PROPER(TRIM(SUBSTITUTE(Raw_Text_Fields!E567,CHAR(160)," ")))</f>
        <v>Andhra Pradesh</v>
      </c>
      <c r="I566" s="3" t="str">
        <f aca="false">PROPER(TRIM(SUBSTITUTE(Raw_Text_Fields!F567,CHAR(160)," ")))</f>
        <v>Vijayawada</v>
      </c>
      <c r="J566" s="3" t="str">
        <f aca="false">PROPER(TRIM(SUBSTITUTE(Raw_Text_Fields!G567,CHAR(160)," ")))</f>
        <v>Furniture</v>
      </c>
      <c r="K566" s="3" t="str">
        <f aca="false">PROPER(TRIM(SUBSTITUTE(Raw_Text_Fields!H567,CHAR(160)," ")))</f>
        <v>Tables</v>
      </c>
      <c r="L566" s="3" t="s">
        <v>1713</v>
      </c>
      <c r="M566" s="3" t="str">
        <f aca="false">PROPER(TRIM(SUBSTITUTE(Raw_Text_Fields!I567,CHAR(160)," ")))</f>
        <v>First Class</v>
      </c>
      <c r="N566" s="3" t="n">
        <v>2</v>
      </c>
      <c r="O566" s="5" t="n">
        <v>921.34</v>
      </c>
      <c r="P566" s="6" t="n">
        <v>0.2</v>
      </c>
      <c r="Q566" s="5" t="n">
        <v>1474.14</v>
      </c>
      <c r="R566" s="5" t="n">
        <v>968.46</v>
      </c>
      <c r="S566" s="5" t="n">
        <v>505.68</v>
      </c>
      <c r="T566" s="3" t="str">
        <f aca="false">PROPER(TRIM(SUBSTITUTE(Raw_Text_Fields!J567,CHAR(160)," ")))</f>
        <v>Paid</v>
      </c>
      <c r="U566" s="3" t="str">
        <f aca="false">PROPER(TRIM(SUBSTITUTE(Raw_Text_Fields!K567,CHAR(160)," ")))</f>
        <v>Completed</v>
      </c>
      <c r="V566" s="7" t="n">
        <f aca="false">IF(OR(P566&lt;0,P566&gt;0.5),0,P566)</f>
        <v>0.2</v>
      </c>
      <c r="W566" s="8" t="n">
        <f aca="false">N566*O566*(1-V566)</f>
        <v>1474.144</v>
      </c>
      <c r="X566" s="8" t="n">
        <f aca="false">W566-R566</f>
        <v>505.684</v>
      </c>
      <c r="Y566" s="7" t="n">
        <f aca="false">IFERROR(X566/W566,0)</f>
        <v>0.343035687151323</v>
      </c>
      <c r="Z566" s="9" t="n">
        <f aca="false">C566-B566</f>
        <v>4</v>
      </c>
      <c r="AA566" s="1" t="str">
        <f aca="false">IF(B566="","",TEXT(B566,"mmm"))</f>
        <v>Nov</v>
      </c>
      <c r="AB566" s="9" t="n">
        <f aca="false">IF(B566="","",YEAR(B566))</f>
        <v>2024</v>
      </c>
      <c r="AC566" s="3"/>
      <c r="AD566" s="3" t="str">
        <f aca="false">IF(LEFT(AC566&amp;IF(B566="","; Missing Order Date","")&amp;IF(C566="","; Missing Ship Date","")&amp;IF(P566&lt;0,"; Invalid Discount (Negative)","")&amp;IF(P566&gt;0.5,"; Invalid Discount (Too High)","")&amp;IF(Z566&lt;0,"; Invalid Shipping Record (Ship Before Order)","")&amp;IF(ABS(Q566-W566)&gt;1,"; Sales Mismatch","")&amp;IF(ABS(S566-X566)&gt;1,"; Profit Mismatch","")&amp;IF(COUNTIF($A$2:$A$913,A566)&gt;1,"; Duplicate Order ID Conflict",""),2)="; ",MID(AC566&amp;IF(B566="","; Missing Order Date","")&amp;IF(C566="","; Missing Ship Date","")&amp;IF(P566&lt;0,"; Invalid Discount (Negative)","")&amp;IF(P566&gt;0.5,"; Invalid Discount (Too High)","")&amp;IF(Z566&lt;0,"; Invalid Shipping Record (Ship Before Order)","")&amp;IF(ABS(Q566-W566)&gt;1,"; Sales Mismatch","")&amp;IF(ABS(S566-X566)&gt;1,"; Profit Mismatch","")&amp;IF(COUNTIF($A$2:$A$913,A566)&gt;1,"; Duplicate Order ID Conflict",""),3,500),AC566&amp;IF(B566="","; Missing Order Date","")&amp;IF(C566="","; Missing Ship Date","")&amp;IF(P566&lt;0,"; Invalid Discount (Negative)","")&amp;IF(P566&gt;0.5,"; Invalid Discount (Too High)","")&amp;IF(Z566&lt;0,"; Invalid Shipping Record (Ship Before Order)","")&amp;IF(ABS(Q566-W566)&gt;1,"; Sales Mismatch","")&amp;IF(ABS(S566-X566)&gt;1,"; Profit Mismatch","")&amp;IF(COUNTIF($A$2:$A$913,A566)&gt;1,"; Duplicate Order ID Conflict",""))</f>
        <v/>
      </c>
      <c r="AE566" s="10" t="str">
        <f aca="false">IF(OR(ISNUMBER(SEARCH("Invalid Discount",AD566)),ISNUMBER(SEARCH("Invalid Shipping Record",AD566)),ISNUMBER(SEARCH("Sales Mismatch",AD566)),ISNUMBER(SEARCH("Profit Mismatch",AD566)),ISNUMBER(SEARCH("Duplicate Order ID Conflict",AD566)),ISNUMBER(SEARCH("Missing Order Date",AD566)),ISNUMBER(SEARCH("Missing Ship Date",AD566))),"Invalid",IF(AD566&lt;&gt;"","Warning","Clean"))</f>
        <v>Clean</v>
      </c>
    </row>
    <row r="567" customFormat="false" ht="15" hidden="false" customHeight="true" outlineLevel="0" collapsed="false">
      <c r="A567" s="3" t="s">
        <v>1714</v>
      </c>
      <c r="B567" s="4" t="n">
        <v>45876</v>
      </c>
      <c r="C567" s="4" t="n">
        <v>45882</v>
      </c>
      <c r="D567" s="3" t="s">
        <v>1715</v>
      </c>
      <c r="E567" s="3" t="str">
        <f aca="false">PROPER(TRIM(SUBSTITUTE(Raw_Text_Fields!B568,CHAR(160)," ")))</f>
        <v>Mira Das</v>
      </c>
      <c r="F567" s="3" t="str">
        <f aca="false">PROPER(TRIM(SUBSTITUTE(Raw_Text_Fields!C568,CHAR(160)," ")))</f>
        <v>Corporate</v>
      </c>
      <c r="G567" s="3" t="str">
        <f aca="false">PROPER(TRIM(SUBSTITUTE(Raw_Text_Fields!D568,CHAR(160)," ")))</f>
        <v>North</v>
      </c>
      <c r="H567" s="3" t="str">
        <f aca="false">PROPER(TRIM(SUBSTITUTE(Raw_Text_Fields!E568,CHAR(160)," ")))</f>
        <v>Delhi</v>
      </c>
      <c r="I567" s="3" t="str">
        <f aca="false">PROPER(TRIM(SUBSTITUTE(Raw_Text_Fields!F568,CHAR(160)," ")))</f>
        <v>New Delhi</v>
      </c>
      <c r="J567" s="3" t="str">
        <f aca="false">PROPER(TRIM(SUBSTITUTE(Raw_Text_Fields!G568,CHAR(160)," ")))</f>
        <v>Technology</v>
      </c>
      <c r="K567" s="3" t="str">
        <f aca="false">PROPER(TRIM(SUBSTITUTE(Raw_Text_Fields!H568,CHAR(160)," ")))</f>
        <v>Phones</v>
      </c>
      <c r="L567" s="3" t="s">
        <v>1716</v>
      </c>
      <c r="M567" s="3" t="str">
        <f aca="false">PROPER(TRIM(SUBSTITUTE(Raw_Text_Fields!I568,CHAR(160)," ")))</f>
        <v>Standard Class</v>
      </c>
      <c r="N567" s="3" t="n">
        <v>6</v>
      </c>
      <c r="O567" s="5" t="n">
        <v>1921.86</v>
      </c>
      <c r="P567" s="6" t="n">
        <v>0.2</v>
      </c>
      <c r="Q567" s="5" t="n">
        <v>9224.93</v>
      </c>
      <c r="R567" s="5" t="n">
        <v>7005.2</v>
      </c>
      <c r="S567" s="5" t="n">
        <v>2219.73</v>
      </c>
      <c r="T567" s="3" t="str">
        <f aca="false">PROPER(TRIM(SUBSTITUTE(Raw_Text_Fields!J568,CHAR(160)," ")))</f>
        <v>Refunded</v>
      </c>
      <c r="U567" s="3" t="str">
        <f aca="false">PROPER(TRIM(SUBSTITUTE(Raw_Text_Fields!K568,CHAR(160)," ")))</f>
        <v>Cancelled</v>
      </c>
      <c r="V567" s="7" t="n">
        <f aca="false">IF(OR(P567&lt;0,P567&gt;0.5),0,P567)</f>
        <v>0.2</v>
      </c>
      <c r="W567" s="8" t="n">
        <f aca="false">N567*O567*(1-V567)</f>
        <v>9224.928</v>
      </c>
      <c r="X567" s="8" t="n">
        <f aca="false">W567-R567</f>
        <v>2219.728</v>
      </c>
      <c r="Y567" s="7" t="n">
        <f aca="false">IFERROR(X567/W567,0)</f>
        <v>0.24062279944082</v>
      </c>
      <c r="Z567" s="9" t="n">
        <f aca="false">C567-B567</f>
        <v>6</v>
      </c>
      <c r="AA567" s="1" t="str">
        <f aca="false">IF(B567="","",TEXT(B567,"mmm"))</f>
        <v>Aug</v>
      </c>
      <c r="AB567" s="9" t="n">
        <f aca="false">IF(B567="","",YEAR(B567))</f>
        <v>2025</v>
      </c>
      <c r="AC567" s="3"/>
      <c r="AD567" s="3" t="str">
        <f aca="false">IF(LEFT(AC567&amp;IF(B567="","; Missing Order Date","")&amp;IF(C567="","; Missing Ship Date","")&amp;IF(P567&lt;0,"; Invalid Discount (Negative)","")&amp;IF(P567&gt;0.5,"; Invalid Discount (Too High)","")&amp;IF(Z567&lt;0,"; Invalid Shipping Record (Ship Before Order)","")&amp;IF(ABS(Q567-W567)&gt;1,"; Sales Mismatch","")&amp;IF(ABS(S567-X567)&gt;1,"; Profit Mismatch","")&amp;IF(COUNTIF($A$2:$A$913,A567)&gt;1,"; Duplicate Order ID Conflict",""),2)="; ",MID(AC567&amp;IF(B567="","; Missing Order Date","")&amp;IF(C567="","; Missing Ship Date","")&amp;IF(P567&lt;0,"; Invalid Discount (Negative)","")&amp;IF(P567&gt;0.5,"; Invalid Discount (Too High)","")&amp;IF(Z567&lt;0,"; Invalid Shipping Record (Ship Before Order)","")&amp;IF(ABS(Q567-W567)&gt;1,"; Sales Mismatch","")&amp;IF(ABS(S567-X567)&gt;1,"; Profit Mismatch","")&amp;IF(COUNTIF($A$2:$A$913,A567)&gt;1,"; Duplicate Order ID Conflict",""),3,500),AC567&amp;IF(B567="","; Missing Order Date","")&amp;IF(C567="","; Missing Ship Date","")&amp;IF(P567&lt;0,"; Invalid Discount (Negative)","")&amp;IF(P567&gt;0.5,"; Invalid Discount (Too High)","")&amp;IF(Z567&lt;0,"; Invalid Shipping Record (Ship Before Order)","")&amp;IF(ABS(Q567-W567)&gt;1,"; Sales Mismatch","")&amp;IF(ABS(S567-X567)&gt;1,"; Profit Mismatch","")&amp;IF(COUNTIF($A$2:$A$913,A567)&gt;1,"; Duplicate Order ID Conflict",""))</f>
        <v/>
      </c>
      <c r="AE567" s="10" t="str">
        <f aca="false">IF(OR(ISNUMBER(SEARCH("Invalid Discount",AD567)),ISNUMBER(SEARCH("Invalid Shipping Record",AD567)),ISNUMBER(SEARCH("Sales Mismatch",AD567)),ISNUMBER(SEARCH("Profit Mismatch",AD567)),ISNUMBER(SEARCH("Duplicate Order ID Conflict",AD567)),ISNUMBER(SEARCH("Missing Order Date",AD567)),ISNUMBER(SEARCH("Missing Ship Date",AD567))),"Invalid",IF(AD567&lt;&gt;"","Warning","Clean"))</f>
        <v>Clean</v>
      </c>
    </row>
    <row r="568" customFormat="false" ht="15" hidden="false" customHeight="true" outlineLevel="0" collapsed="false">
      <c r="A568" s="3" t="s">
        <v>1717</v>
      </c>
      <c r="B568" s="4" t="n">
        <v>45515</v>
      </c>
      <c r="C568" s="4" t="n">
        <v>45523</v>
      </c>
      <c r="D568" s="3" t="s">
        <v>1718</v>
      </c>
      <c r="E568" s="3" t="str">
        <f aca="false">PROPER(TRIM(SUBSTITUTE(Raw_Text_Fields!B569,CHAR(160)," ")))</f>
        <v>Sneha Kapoor</v>
      </c>
      <c r="F568" s="3" t="str">
        <f aca="false">PROPER(TRIM(SUBSTITUTE(Raw_Text_Fields!C569,CHAR(160)," ")))</f>
        <v>Small Business</v>
      </c>
      <c r="G568" s="3" t="str">
        <f aca="false">PROPER(TRIM(SUBSTITUTE(Raw_Text_Fields!D569,CHAR(160)," ")))</f>
        <v>West</v>
      </c>
      <c r="H568" s="3" t="str">
        <f aca="false">PROPER(TRIM(SUBSTITUTE(Raw_Text_Fields!E569,CHAR(160)," ")))</f>
        <v>Maharashtra</v>
      </c>
      <c r="I568" s="3" t="str">
        <f aca="false">PROPER(TRIM(SUBSTITUTE(Raw_Text_Fields!F569,CHAR(160)," ")))</f>
        <v>Mumbai</v>
      </c>
      <c r="J568" s="3" t="str">
        <f aca="false">PROPER(TRIM(SUBSTITUTE(Raw_Text_Fields!G569,CHAR(160)," ")))</f>
        <v>Office Supplies</v>
      </c>
      <c r="K568" s="3" t="str">
        <f aca="false">PROPER(TRIM(SUBSTITUTE(Raw_Text_Fields!H569,CHAR(160)," ")))</f>
        <v>Paper</v>
      </c>
      <c r="L568" s="3" t="s">
        <v>1719</v>
      </c>
      <c r="M568" s="3" t="str">
        <f aca="false">PROPER(TRIM(SUBSTITUTE(Raw_Text_Fields!I569,CHAR(160)," ")))</f>
        <v>Same Day</v>
      </c>
      <c r="N568" s="3" t="n">
        <v>2</v>
      </c>
      <c r="O568" s="5" t="n">
        <v>2617.89</v>
      </c>
      <c r="P568" s="6" t="n">
        <v>0.1</v>
      </c>
      <c r="Q568" s="5" t="n">
        <v>4712.2</v>
      </c>
      <c r="R568" s="5" t="n">
        <v>3851.91</v>
      </c>
      <c r="S568" s="5" t="n">
        <v>860.29</v>
      </c>
      <c r="T568" s="3" t="str">
        <f aca="false">PROPER(TRIM(SUBSTITUTE(Raw_Text_Fields!J569,CHAR(160)," ")))</f>
        <v>Failed</v>
      </c>
      <c r="U568" s="3" t="str">
        <f aca="false">PROPER(TRIM(SUBSTITUTE(Raw_Text_Fields!K569,CHAR(160)," ")))</f>
        <v>Returned</v>
      </c>
      <c r="V568" s="7" t="n">
        <f aca="false">IF(OR(P568&lt;0,P568&gt;0.5),0,P568)</f>
        <v>0.1</v>
      </c>
      <c r="W568" s="8" t="n">
        <f aca="false">N568*O568*(1-V568)</f>
        <v>4712.202</v>
      </c>
      <c r="X568" s="8" t="n">
        <f aca="false">W568-R568</f>
        <v>860.292</v>
      </c>
      <c r="Y568" s="7" t="n">
        <f aca="false">IFERROR(X568/W568,0)</f>
        <v>0.182566876377541</v>
      </c>
      <c r="Z568" s="9" t="n">
        <f aca="false">C568-B568</f>
        <v>8</v>
      </c>
      <c r="AA568" s="1" t="str">
        <f aca="false">IF(B568="","",TEXT(B568,"mmm"))</f>
        <v>Aug</v>
      </c>
      <c r="AB568" s="9" t="n">
        <f aca="false">IF(B568="","",YEAR(B568))</f>
        <v>2024</v>
      </c>
      <c r="AC568" s="3"/>
      <c r="AD568" s="3" t="str">
        <f aca="false">IF(LEFT(AC568&amp;IF(B568="","; Missing Order Date","")&amp;IF(C568="","; Missing Ship Date","")&amp;IF(P568&lt;0,"; Invalid Discount (Negative)","")&amp;IF(P568&gt;0.5,"; Invalid Discount (Too High)","")&amp;IF(Z568&lt;0,"; Invalid Shipping Record (Ship Before Order)","")&amp;IF(ABS(Q568-W568)&gt;1,"; Sales Mismatch","")&amp;IF(ABS(S568-X568)&gt;1,"; Profit Mismatch","")&amp;IF(COUNTIF($A$2:$A$913,A568)&gt;1,"; Duplicate Order ID Conflict",""),2)="; ",MID(AC568&amp;IF(B568="","; Missing Order Date","")&amp;IF(C568="","; Missing Ship Date","")&amp;IF(P568&lt;0,"; Invalid Discount (Negative)","")&amp;IF(P568&gt;0.5,"; Invalid Discount (Too High)","")&amp;IF(Z568&lt;0,"; Invalid Shipping Record (Ship Before Order)","")&amp;IF(ABS(Q568-W568)&gt;1,"; Sales Mismatch","")&amp;IF(ABS(S568-X568)&gt;1,"; Profit Mismatch","")&amp;IF(COUNTIF($A$2:$A$913,A568)&gt;1,"; Duplicate Order ID Conflict",""),3,500),AC568&amp;IF(B568="","; Missing Order Date","")&amp;IF(C568="","; Missing Ship Date","")&amp;IF(P568&lt;0,"; Invalid Discount (Negative)","")&amp;IF(P568&gt;0.5,"; Invalid Discount (Too High)","")&amp;IF(Z568&lt;0,"; Invalid Shipping Record (Ship Before Order)","")&amp;IF(ABS(Q568-W568)&gt;1,"; Sales Mismatch","")&amp;IF(ABS(S568-X568)&gt;1,"; Profit Mismatch","")&amp;IF(COUNTIF($A$2:$A$913,A568)&gt;1,"; Duplicate Order ID Conflict",""))</f>
        <v/>
      </c>
      <c r="AE568" s="10" t="str">
        <f aca="false">IF(OR(ISNUMBER(SEARCH("Invalid Discount",AD568)),ISNUMBER(SEARCH("Invalid Shipping Record",AD568)),ISNUMBER(SEARCH("Sales Mismatch",AD568)),ISNUMBER(SEARCH("Profit Mismatch",AD568)),ISNUMBER(SEARCH("Duplicate Order ID Conflict",AD568)),ISNUMBER(SEARCH("Missing Order Date",AD568)),ISNUMBER(SEARCH("Missing Ship Date",AD568))),"Invalid",IF(AD568&lt;&gt;"","Warning","Clean"))</f>
        <v>Clean</v>
      </c>
    </row>
    <row r="569" customFormat="false" ht="15" hidden="false" customHeight="true" outlineLevel="0" collapsed="false">
      <c r="A569" s="3" t="s">
        <v>1720</v>
      </c>
      <c r="B569" s="4" t="n">
        <v>45328</v>
      </c>
      <c r="C569" s="4" t="n">
        <v>45332</v>
      </c>
      <c r="D569" s="3" t="s">
        <v>1721</v>
      </c>
      <c r="E569" s="3" t="str">
        <f aca="false">PROPER(TRIM(SUBSTITUTE(Raw_Text_Fields!B570,CHAR(160)," ")))</f>
        <v>Arjun Bose</v>
      </c>
      <c r="F569" s="3" t="str">
        <f aca="false">PROPER(TRIM(SUBSTITUTE(Raw_Text_Fields!C570,CHAR(160)," ")))</f>
        <v>Home Office</v>
      </c>
      <c r="G569" s="3" t="str">
        <f aca="false">PROPER(TRIM(SUBSTITUTE(Raw_Text_Fields!D570,CHAR(160)," ")))</f>
        <v>North</v>
      </c>
      <c r="H569" s="3" t="str">
        <f aca="false">PROPER(TRIM(SUBSTITUTE(Raw_Text_Fields!E570,CHAR(160)," ")))</f>
        <v>Uttar Pradesh</v>
      </c>
      <c r="I569" s="3" t="str">
        <f aca="false">PROPER(TRIM(SUBSTITUTE(Raw_Text_Fields!F570,CHAR(160)," ")))</f>
        <v>Noida</v>
      </c>
      <c r="J569" s="3" t="str">
        <f aca="false">PROPER(TRIM(SUBSTITUTE(Raw_Text_Fields!G570,CHAR(160)," ")))</f>
        <v>Furniture</v>
      </c>
      <c r="K569" s="3" t="str">
        <f aca="false">PROPER(TRIM(SUBSTITUTE(Raw_Text_Fields!H570,CHAR(160)," ")))</f>
        <v>Furnishings</v>
      </c>
      <c r="L569" s="3" t="s">
        <v>520</v>
      </c>
      <c r="M569" s="3" t="str">
        <f aca="false">PROPER(TRIM(SUBSTITUTE(Raw_Text_Fields!I570,CHAR(160)," ")))</f>
        <v>Same Day</v>
      </c>
      <c r="N569" s="3" t="n">
        <v>1</v>
      </c>
      <c r="O569" s="5" t="n">
        <v>1374.06</v>
      </c>
      <c r="P569" s="6" t="n">
        <v>0.05</v>
      </c>
      <c r="Q569" s="5" t="n">
        <v>1305.36</v>
      </c>
      <c r="R569" s="5" t="n">
        <v>731.89</v>
      </c>
      <c r="S569" s="5" t="n">
        <v>573.47</v>
      </c>
      <c r="T569" s="3" t="str">
        <f aca="false">PROPER(TRIM(SUBSTITUTE(Raw_Text_Fields!J570,CHAR(160)," ")))</f>
        <v>Paid</v>
      </c>
      <c r="U569" s="3" t="str">
        <f aca="false">PROPER(TRIM(SUBSTITUTE(Raw_Text_Fields!K570,CHAR(160)," ")))</f>
        <v>Completed</v>
      </c>
      <c r="V569" s="7" t="n">
        <f aca="false">IF(OR(P569&lt;0,P569&gt;0.5),0,P569)</f>
        <v>0.05</v>
      </c>
      <c r="W569" s="8" t="n">
        <f aca="false">N569*O569*(1-V569)</f>
        <v>1305.357</v>
      </c>
      <c r="X569" s="8" t="n">
        <f aca="false">W569-R569</f>
        <v>573.467</v>
      </c>
      <c r="Y569" s="7" t="n">
        <f aca="false">IFERROR(X569/W569,0)</f>
        <v>0.439318132893913</v>
      </c>
      <c r="Z569" s="9" t="n">
        <f aca="false">C569-B569</f>
        <v>4</v>
      </c>
      <c r="AA569" s="1" t="str">
        <f aca="false">IF(B569="","",TEXT(B569,"mmm"))</f>
        <v>Feb</v>
      </c>
      <c r="AB569" s="9" t="n">
        <f aca="false">IF(B569="","",YEAR(B569))</f>
        <v>2024</v>
      </c>
      <c r="AC569" s="3"/>
      <c r="AD569" s="3" t="str">
        <f aca="false">IF(LEFT(AC569&amp;IF(B569="","; Missing Order Date","")&amp;IF(C569="","; Missing Ship Date","")&amp;IF(P569&lt;0,"; Invalid Discount (Negative)","")&amp;IF(P569&gt;0.5,"; Invalid Discount (Too High)","")&amp;IF(Z569&lt;0,"; Invalid Shipping Record (Ship Before Order)","")&amp;IF(ABS(Q569-W569)&gt;1,"; Sales Mismatch","")&amp;IF(ABS(S569-X569)&gt;1,"; Profit Mismatch","")&amp;IF(COUNTIF($A$2:$A$913,A569)&gt;1,"; Duplicate Order ID Conflict",""),2)="; ",MID(AC569&amp;IF(B569="","; Missing Order Date","")&amp;IF(C569="","; Missing Ship Date","")&amp;IF(P569&lt;0,"; Invalid Discount (Negative)","")&amp;IF(P569&gt;0.5,"; Invalid Discount (Too High)","")&amp;IF(Z569&lt;0,"; Invalid Shipping Record (Ship Before Order)","")&amp;IF(ABS(Q569-W569)&gt;1,"; Sales Mismatch","")&amp;IF(ABS(S569-X569)&gt;1,"; Profit Mismatch","")&amp;IF(COUNTIF($A$2:$A$913,A569)&gt;1,"; Duplicate Order ID Conflict",""),3,500),AC569&amp;IF(B569="","; Missing Order Date","")&amp;IF(C569="","; Missing Ship Date","")&amp;IF(P569&lt;0,"; Invalid Discount (Negative)","")&amp;IF(P569&gt;0.5,"; Invalid Discount (Too High)","")&amp;IF(Z569&lt;0,"; Invalid Shipping Record (Ship Before Order)","")&amp;IF(ABS(Q569-W569)&gt;1,"; Sales Mismatch","")&amp;IF(ABS(S569-X569)&gt;1,"; Profit Mismatch","")&amp;IF(COUNTIF($A$2:$A$913,A569)&gt;1,"; Duplicate Order ID Conflict",""))</f>
        <v/>
      </c>
      <c r="AE569" s="10" t="str">
        <f aca="false">IF(OR(ISNUMBER(SEARCH("Invalid Discount",AD569)),ISNUMBER(SEARCH("Invalid Shipping Record",AD569)),ISNUMBER(SEARCH("Sales Mismatch",AD569)),ISNUMBER(SEARCH("Profit Mismatch",AD569)),ISNUMBER(SEARCH("Duplicate Order ID Conflict",AD569)),ISNUMBER(SEARCH("Missing Order Date",AD569)),ISNUMBER(SEARCH("Missing Ship Date",AD569))),"Invalid",IF(AD569&lt;&gt;"","Warning","Clean"))</f>
        <v>Clean</v>
      </c>
    </row>
    <row r="570" customFormat="false" ht="15" hidden="false" customHeight="true" outlineLevel="0" collapsed="false">
      <c r="A570" s="3" t="s">
        <v>1722</v>
      </c>
      <c r="B570" s="4" t="n">
        <v>45312</v>
      </c>
      <c r="C570" s="4" t="n">
        <v>45315</v>
      </c>
      <c r="D570" s="3" t="s">
        <v>1723</v>
      </c>
      <c r="E570" s="3" t="str">
        <f aca="false">PROPER(TRIM(SUBSTITUTE(Raw_Text_Fields!B571,CHAR(160)," ")))</f>
        <v>Kabir Singh</v>
      </c>
      <c r="F570" s="3" t="str">
        <f aca="false">PROPER(TRIM(SUBSTITUTE(Raw_Text_Fields!C571,CHAR(160)," ")))</f>
        <v>Corporate</v>
      </c>
      <c r="G570" s="3" t="str">
        <f aca="false">PROPER(TRIM(SUBSTITUTE(Raw_Text_Fields!D571,CHAR(160)," ")))</f>
        <v>North</v>
      </c>
      <c r="H570" s="3" t="str">
        <f aca="false">PROPER(TRIM(SUBSTITUTE(Raw_Text_Fields!E571,CHAR(160)," ")))</f>
        <v>Punjab</v>
      </c>
      <c r="I570" s="3" t="str">
        <f aca="false">PROPER(TRIM(SUBSTITUTE(Raw_Text_Fields!F571,CHAR(160)," ")))</f>
        <v>Ludhiana</v>
      </c>
      <c r="J570" s="3" t="str">
        <f aca="false">PROPER(TRIM(SUBSTITUTE(Raw_Text_Fields!G571,CHAR(160)," ")))</f>
        <v>Technology</v>
      </c>
      <c r="K570" s="3" t="str">
        <f aca="false">PROPER(TRIM(SUBSTITUTE(Raw_Text_Fields!H571,CHAR(160)," ")))</f>
        <v>Machines</v>
      </c>
      <c r="L570" s="3" t="s">
        <v>1724</v>
      </c>
      <c r="M570" s="3" t="str">
        <f aca="false">PROPER(TRIM(SUBSTITUTE(Raw_Text_Fields!I571,CHAR(160)," ")))</f>
        <v>Same Day</v>
      </c>
      <c r="N570" s="3" t="n">
        <v>1</v>
      </c>
      <c r="O570" s="5" t="n">
        <v>3806.3</v>
      </c>
      <c r="P570" s="6" t="n">
        <v>0.25</v>
      </c>
      <c r="Q570" s="5" t="n">
        <v>2854.73</v>
      </c>
      <c r="R570" s="5" t="n">
        <v>1968.12</v>
      </c>
      <c r="S570" s="5" t="n">
        <v>886.61</v>
      </c>
      <c r="T570" s="3" t="str">
        <f aca="false">PROPER(TRIM(SUBSTITUTE(Raw_Text_Fields!J571,CHAR(160)," ")))</f>
        <v>Paid</v>
      </c>
      <c r="U570" s="3" t="str">
        <f aca="false">PROPER(TRIM(SUBSTITUTE(Raw_Text_Fields!K571,CHAR(160)," ")))</f>
        <v>Completed</v>
      </c>
      <c r="V570" s="7" t="n">
        <f aca="false">IF(OR(P570&lt;0,P570&gt;0.5),0,P570)</f>
        <v>0.25</v>
      </c>
      <c r="W570" s="8" t="n">
        <f aca="false">N570*O570*(1-V570)</f>
        <v>2854.725</v>
      </c>
      <c r="X570" s="8" t="n">
        <f aca="false">W570-R570</f>
        <v>886.605000000001</v>
      </c>
      <c r="Y570" s="7" t="n">
        <f aca="false">IFERROR(X570/W570,0)</f>
        <v>0.310574573733022</v>
      </c>
      <c r="Z570" s="9" t="n">
        <f aca="false">C570-B570</f>
        <v>3</v>
      </c>
      <c r="AA570" s="1" t="str">
        <f aca="false">IF(B570="","",TEXT(B570,"mmm"))</f>
        <v>Jan</v>
      </c>
      <c r="AB570" s="9" t="n">
        <f aca="false">IF(B570="","",YEAR(B570))</f>
        <v>2024</v>
      </c>
      <c r="AC570" s="3"/>
      <c r="AD570" s="3" t="str">
        <f aca="false">IF(LEFT(AC570&amp;IF(B570="","; Missing Order Date","")&amp;IF(C570="","; Missing Ship Date","")&amp;IF(P570&lt;0,"; Invalid Discount (Negative)","")&amp;IF(P570&gt;0.5,"; Invalid Discount (Too High)","")&amp;IF(Z570&lt;0,"; Invalid Shipping Record (Ship Before Order)","")&amp;IF(ABS(Q570-W570)&gt;1,"; Sales Mismatch","")&amp;IF(ABS(S570-X570)&gt;1,"; Profit Mismatch","")&amp;IF(COUNTIF($A$2:$A$913,A570)&gt;1,"; Duplicate Order ID Conflict",""),2)="; ",MID(AC570&amp;IF(B570="","; Missing Order Date","")&amp;IF(C570="","; Missing Ship Date","")&amp;IF(P570&lt;0,"; Invalid Discount (Negative)","")&amp;IF(P570&gt;0.5,"; Invalid Discount (Too High)","")&amp;IF(Z570&lt;0,"; Invalid Shipping Record (Ship Before Order)","")&amp;IF(ABS(Q570-W570)&gt;1,"; Sales Mismatch","")&amp;IF(ABS(S570-X570)&gt;1,"; Profit Mismatch","")&amp;IF(COUNTIF($A$2:$A$913,A570)&gt;1,"; Duplicate Order ID Conflict",""),3,500),AC570&amp;IF(B570="","; Missing Order Date","")&amp;IF(C570="","; Missing Ship Date","")&amp;IF(P570&lt;0,"; Invalid Discount (Negative)","")&amp;IF(P570&gt;0.5,"; Invalid Discount (Too High)","")&amp;IF(Z570&lt;0,"; Invalid Shipping Record (Ship Before Order)","")&amp;IF(ABS(Q570-W570)&gt;1,"; Sales Mismatch","")&amp;IF(ABS(S570-X570)&gt;1,"; Profit Mismatch","")&amp;IF(COUNTIF($A$2:$A$913,A570)&gt;1,"; Duplicate Order ID Conflict",""))</f>
        <v/>
      </c>
      <c r="AE570" s="10" t="str">
        <f aca="false">IF(OR(ISNUMBER(SEARCH("Invalid Discount",AD570)),ISNUMBER(SEARCH("Invalid Shipping Record",AD570)),ISNUMBER(SEARCH("Sales Mismatch",AD570)),ISNUMBER(SEARCH("Profit Mismatch",AD570)),ISNUMBER(SEARCH("Duplicate Order ID Conflict",AD570)),ISNUMBER(SEARCH("Missing Order Date",AD570)),ISNUMBER(SEARCH("Missing Ship Date",AD570))),"Invalid",IF(AD570&lt;&gt;"","Warning","Clean"))</f>
        <v>Clean</v>
      </c>
    </row>
    <row r="571" customFormat="false" ht="15" hidden="false" customHeight="true" outlineLevel="0" collapsed="false">
      <c r="A571" s="3" t="s">
        <v>1725</v>
      </c>
      <c r="B571" s="4" t="n">
        <v>45908</v>
      </c>
      <c r="C571" s="4" t="n">
        <v>45910</v>
      </c>
      <c r="D571" s="3" t="s">
        <v>1726</v>
      </c>
      <c r="E571" s="3" t="str">
        <f aca="false">PROPER(TRIM(SUBSTITUTE(Raw_Text_Fields!B572,CHAR(160)," ")))</f>
        <v>Rahul Verma</v>
      </c>
      <c r="F571" s="3" t="str">
        <f aca="false">PROPER(TRIM(SUBSTITUTE(Raw_Text_Fields!C572,CHAR(160)," ")))</f>
        <v>Home Office</v>
      </c>
      <c r="G571" s="3" t="str">
        <f aca="false">PROPER(TRIM(SUBSTITUTE(Raw_Text_Fields!D572,CHAR(160)," ")))</f>
        <v>West</v>
      </c>
      <c r="H571" s="3" t="str">
        <f aca="false">PROPER(TRIM(SUBSTITUTE(Raw_Text_Fields!E572,CHAR(160)," ")))</f>
        <v>Maharashtra</v>
      </c>
      <c r="I571" s="3" t="str">
        <f aca="false">PROPER(TRIM(SUBSTITUTE(Raw_Text_Fields!F572,CHAR(160)," ")))</f>
        <v>Mumbai</v>
      </c>
      <c r="J571" s="3" t="str">
        <f aca="false">PROPER(TRIM(SUBSTITUTE(Raw_Text_Fields!G572,CHAR(160)," ")))</f>
        <v>Furniture</v>
      </c>
      <c r="K571" s="3" t="str">
        <f aca="false">PROPER(TRIM(SUBSTITUTE(Raw_Text_Fields!H572,CHAR(160)," ")))</f>
        <v>Furnishings</v>
      </c>
      <c r="L571" s="3" t="s">
        <v>1727</v>
      </c>
      <c r="M571" s="3" t="str">
        <f aca="false">PROPER(TRIM(SUBSTITUTE(Raw_Text_Fields!I572,CHAR(160)," ")))</f>
        <v>Standard Class</v>
      </c>
      <c r="N571" s="3" t="n">
        <v>6</v>
      </c>
      <c r="O571" s="5" t="n">
        <v>3251.17</v>
      </c>
      <c r="P571" s="6" t="n">
        <v>0.25</v>
      </c>
      <c r="Q571" s="5" t="n">
        <v>14630.26</v>
      </c>
      <c r="R571" s="5" t="n">
        <v>11906.36</v>
      </c>
      <c r="S571" s="5" t="n">
        <v>2723.9</v>
      </c>
      <c r="T571" s="3" t="str">
        <f aca="false">PROPER(TRIM(SUBSTITUTE(Raw_Text_Fields!J572,CHAR(160)," ")))</f>
        <v>Refunded</v>
      </c>
      <c r="U571" s="3" t="str">
        <f aca="false">PROPER(TRIM(SUBSTITUTE(Raw_Text_Fields!K572,CHAR(160)," ")))</f>
        <v>Returned</v>
      </c>
      <c r="V571" s="7" t="n">
        <f aca="false">IF(OR(P571&lt;0,P571&gt;0.5),0,P571)</f>
        <v>0.25</v>
      </c>
      <c r="W571" s="8" t="n">
        <f aca="false">N571*O571*(1-V571)</f>
        <v>14630.265</v>
      </c>
      <c r="X571" s="8" t="n">
        <f aca="false">W571-R571</f>
        <v>2723.905</v>
      </c>
      <c r="Y571" s="7" t="n">
        <f aca="false">IFERROR(X571/W571,0)</f>
        <v>0.186182888689986</v>
      </c>
      <c r="Z571" s="9" t="n">
        <f aca="false">C571-B571</f>
        <v>2</v>
      </c>
      <c r="AA571" s="1" t="str">
        <f aca="false">IF(B571="","",TEXT(B571,"mmm"))</f>
        <v>Sep</v>
      </c>
      <c r="AB571" s="9" t="n">
        <f aca="false">IF(B571="","",YEAR(B571))</f>
        <v>2025</v>
      </c>
      <c r="AC571" s="3"/>
      <c r="AD571" s="3" t="str">
        <f aca="false">IF(LEFT(AC571&amp;IF(B571="","; Missing Order Date","")&amp;IF(C571="","; Missing Ship Date","")&amp;IF(P571&lt;0,"; Invalid Discount (Negative)","")&amp;IF(P571&gt;0.5,"; Invalid Discount (Too High)","")&amp;IF(Z571&lt;0,"; Invalid Shipping Record (Ship Before Order)","")&amp;IF(ABS(Q571-W571)&gt;1,"; Sales Mismatch","")&amp;IF(ABS(S571-X571)&gt;1,"; Profit Mismatch","")&amp;IF(COUNTIF($A$2:$A$913,A571)&gt;1,"; Duplicate Order ID Conflict",""),2)="; ",MID(AC571&amp;IF(B571="","; Missing Order Date","")&amp;IF(C571="","; Missing Ship Date","")&amp;IF(P571&lt;0,"; Invalid Discount (Negative)","")&amp;IF(P571&gt;0.5,"; Invalid Discount (Too High)","")&amp;IF(Z571&lt;0,"; Invalid Shipping Record (Ship Before Order)","")&amp;IF(ABS(Q571-W571)&gt;1,"; Sales Mismatch","")&amp;IF(ABS(S571-X571)&gt;1,"; Profit Mismatch","")&amp;IF(COUNTIF($A$2:$A$913,A571)&gt;1,"; Duplicate Order ID Conflict",""),3,500),AC571&amp;IF(B571="","; Missing Order Date","")&amp;IF(C571="","; Missing Ship Date","")&amp;IF(P571&lt;0,"; Invalid Discount (Negative)","")&amp;IF(P571&gt;0.5,"; Invalid Discount (Too High)","")&amp;IF(Z571&lt;0,"; Invalid Shipping Record (Ship Before Order)","")&amp;IF(ABS(Q571-W571)&gt;1,"; Sales Mismatch","")&amp;IF(ABS(S571-X571)&gt;1,"; Profit Mismatch","")&amp;IF(COUNTIF($A$2:$A$913,A571)&gt;1,"; Duplicate Order ID Conflict",""))</f>
        <v/>
      </c>
      <c r="AE571" s="10" t="str">
        <f aca="false">IF(OR(ISNUMBER(SEARCH("Invalid Discount",AD571)),ISNUMBER(SEARCH("Invalid Shipping Record",AD571)),ISNUMBER(SEARCH("Sales Mismatch",AD571)),ISNUMBER(SEARCH("Profit Mismatch",AD571)),ISNUMBER(SEARCH("Duplicate Order ID Conflict",AD571)),ISNUMBER(SEARCH("Missing Order Date",AD571)),ISNUMBER(SEARCH("Missing Ship Date",AD571))),"Invalid",IF(AD571&lt;&gt;"","Warning","Clean"))</f>
        <v>Clean</v>
      </c>
    </row>
    <row r="572" customFormat="false" ht="15" hidden="false" customHeight="true" outlineLevel="0" collapsed="false">
      <c r="A572" s="3" t="s">
        <v>1728</v>
      </c>
      <c r="B572" s="4" t="n">
        <v>45887</v>
      </c>
      <c r="C572" s="4" t="n">
        <v>45891</v>
      </c>
      <c r="D572" s="3" t="s">
        <v>1729</v>
      </c>
      <c r="E572" s="3" t="str">
        <f aca="false">PROPER(TRIM(SUBSTITUTE(Raw_Text_Fields!B573,CHAR(160)," ")))</f>
        <v>Arjun Bose</v>
      </c>
      <c r="F572" s="3" t="str">
        <f aca="false">PROPER(TRIM(SUBSTITUTE(Raw_Text_Fields!C573,CHAR(160)," ")))</f>
        <v>Consumer</v>
      </c>
      <c r="G572" s="3" t="str">
        <f aca="false">PROPER(TRIM(SUBSTITUTE(Raw_Text_Fields!D573,CHAR(160)," ")))</f>
        <v>East</v>
      </c>
      <c r="H572" s="3" t="str">
        <f aca="false">PROPER(TRIM(SUBSTITUTE(Raw_Text_Fields!E573,CHAR(160)," ")))</f>
        <v>Jharkhand</v>
      </c>
      <c r="I572" s="3" t="str">
        <f aca="false">PROPER(TRIM(SUBSTITUTE(Raw_Text_Fields!F573,CHAR(160)," ")))</f>
        <v>Ranchi</v>
      </c>
      <c r="J572" s="3" t="str">
        <f aca="false">PROPER(TRIM(SUBSTITUTE(Raw_Text_Fields!G573,CHAR(160)," ")))</f>
        <v>Furniture</v>
      </c>
      <c r="K572" s="3" t="str">
        <f aca="false">PROPER(TRIM(SUBSTITUTE(Raw_Text_Fields!H573,CHAR(160)," ")))</f>
        <v>Furnishings</v>
      </c>
      <c r="L572" s="3" t="s">
        <v>1730</v>
      </c>
      <c r="M572" s="3" t="str">
        <f aca="false">PROPER(TRIM(SUBSTITUTE(Raw_Text_Fields!I573,CHAR(160)," ")))</f>
        <v>Second Class</v>
      </c>
      <c r="N572" s="3" t="n">
        <v>3</v>
      </c>
      <c r="O572" s="5" t="n">
        <v>3946.44</v>
      </c>
      <c r="P572" s="6" t="n">
        <v>0.25</v>
      </c>
      <c r="Q572" s="5" t="n">
        <v>8879.49</v>
      </c>
      <c r="R572" s="5" t="n">
        <v>6344.57</v>
      </c>
      <c r="S572" s="5" t="n">
        <v>2534.92</v>
      </c>
      <c r="T572" s="3" t="str">
        <f aca="false">PROPER(TRIM(SUBSTITUTE(Raw_Text_Fields!J573,CHAR(160)," ")))</f>
        <v>Failed</v>
      </c>
      <c r="U572" s="3" t="str">
        <f aca="false">PROPER(TRIM(SUBSTITUTE(Raw_Text_Fields!K573,CHAR(160)," ")))</f>
        <v>Returned</v>
      </c>
      <c r="V572" s="7" t="n">
        <f aca="false">IF(OR(P572&lt;0,P572&gt;0.5),0,P572)</f>
        <v>0.25</v>
      </c>
      <c r="W572" s="8" t="n">
        <f aca="false">N572*O572*(1-V572)</f>
        <v>8879.49</v>
      </c>
      <c r="X572" s="8" t="n">
        <f aca="false">W572-R572</f>
        <v>2534.92</v>
      </c>
      <c r="Y572" s="7" t="n">
        <f aca="false">IFERROR(X572/W572,0)</f>
        <v>0.285480359795439</v>
      </c>
      <c r="Z572" s="9" t="n">
        <f aca="false">C572-B572</f>
        <v>4</v>
      </c>
      <c r="AA572" s="1" t="str">
        <f aca="false">IF(B572="","",TEXT(B572,"mmm"))</f>
        <v>Aug</v>
      </c>
      <c r="AB572" s="9" t="n">
        <f aca="false">IF(B572="","",YEAR(B572))</f>
        <v>2025</v>
      </c>
      <c r="AC572" s="3"/>
      <c r="AD572" s="3" t="str">
        <f aca="false">IF(LEFT(AC572&amp;IF(B572="","; Missing Order Date","")&amp;IF(C572="","; Missing Ship Date","")&amp;IF(P572&lt;0,"; Invalid Discount (Negative)","")&amp;IF(P572&gt;0.5,"; Invalid Discount (Too High)","")&amp;IF(Z572&lt;0,"; Invalid Shipping Record (Ship Before Order)","")&amp;IF(ABS(Q572-W572)&gt;1,"; Sales Mismatch","")&amp;IF(ABS(S572-X572)&gt;1,"; Profit Mismatch","")&amp;IF(COUNTIF($A$2:$A$913,A572)&gt;1,"; Duplicate Order ID Conflict",""),2)="; ",MID(AC572&amp;IF(B572="","; Missing Order Date","")&amp;IF(C572="","; Missing Ship Date","")&amp;IF(P572&lt;0,"; Invalid Discount (Negative)","")&amp;IF(P572&gt;0.5,"; Invalid Discount (Too High)","")&amp;IF(Z572&lt;0,"; Invalid Shipping Record (Ship Before Order)","")&amp;IF(ABS(Q572-W572)&gt;1,"; Sales Mismatch","")&amp;IF(ABS(S572-X572)&gt;1,"; Profit Mismatch","")&amp;IF(COUNTIF($A$2:$A$913,A572)&gt;1,"; Duplicate Order ID Conflict",""),3,500),AC572&amp;IF(B572="","; Missing Order Date","")&amp;IF(C572="","; Missing Ship Date","")&amp;IF(P572&lt;0,"; Invalid Discount (Negative)","")&amp;IF(P572&gt;0.5,"; Invalid Discount (Too High)","")&amp;IF(Z572&lt;0,"; Invalid Shipping Record (Ship Before Order)","")&amp;IF(ABS(Q572-W572)&gt;1,"; Sales Mismatch","")&amp;IF(ABS(S572-X572)&gt;1,"; Profit Mismatch","")&amp;IF(COUNTIF($A$2:$A$913,A572)&gt;1,"; Duplicate Order ID Conflict",""))</f>
        <v/>
      </c>
      <c r="AE572" s="10" t="str">
        <f aca="false">IF(OR(ISNUMBER(SEARCH("Invalid Discount",AD572)),ISNUMBER(SEARCH("Invalid Shipping Record",AD572)),ISNUMBER(SEARCH("Sales Mismatch",AD572)),ISNUMBER(SEARCH("Profit Mismatch",AD572)),ISNUMBER(SEARCH("Duplicate Order ID Conflict",AD572)),ISNUMBER(SEARCH("Missing Order Date",AD572)),ISNUMBER(SEARCH("Missing Ship Date",AD572))),"Invalid",IF(AD572&lt;&gt;"","Warning","Clean"))</f>
        <v>Clean</v>
      </c>
    </row>
    <row r="573" customFormat="false" ht="15" hidden="false" customHeight="true" outlineLevel="0" collapsed="false">
      <c r="A573" s="3" t="s">
        <v>1731</v>
      </c>
      <c r="B573" s="4" t="n">
        <v>45698</v>
      </c>
      <c r="C573" s="4" t="n">
        <v>45702</v>
      </c>
      <c r="D573" s="3" t="s">
        <v>1732</v>
      </c>
      <c r="E573" s="3" t="str">
        <f aca="false">PROPER(TRIM(SUBSTITUTE(Raw_Text_Fields!B574,CHAR(160)," ")))</f>
        <v>Priya Menon</v>
      </c>
      <c r="F573" s="3" t="str">
        <f aca="false">PROPER(TRIM(SUBSTITUTE(Raw_Text_Fields!C574,CHAR(160)," ")))</f>
        <v>Small Business</v>
      </c>
      <c r="G573" s="3" t="str">
        <f aca="false">PROPER(TRIM(SUBSTITUTE(Raw_Text_Fields!D574,CHAR(160)," ")))</f>
        <v>North</v>
      </c>
      <c r="H573" s="3" t="str">
        <f aca="false">PROPER(TRIM(SUBSTITUTE(Raw_Text_Fields!E574,CHAR(160)," ")))</f>
        <v>Uttar Pradesh</v>
      </c>
      <c r="I573" s="3" t="str">
        <f aca="false">PROPER(TRIM(SUBSTITUTE(Raw_Text_Fields!F574,CHAR(160)," ")))</f>
        <v>Noida</v>
      </c>
      <c r="J573" s="3" t="str">
        <f aca="false">PROPER(TRIM(SUBSTITUTE(Raw_Text_Fields!G574,CHAR(160)," ")))</f>
        <v>Technology</v>
      </c>
      <c r="K573" s="3" t="str">
        <f aca="false">PROPER(TRIM(SUBSTITUTE(Raw_Text_Fields!H574,CHAR(160)," ")))</f>
        <v>Phones</v>
      </c>
      <c r="L573" s="3" t="s">
        <v>1733</v>
      </c>
      <c r="M573" s="3" t="str">
        <f aca="false">PROPER(TRIM(SUBSTITUTE(Raw_Text_Fields!I574,CHAR(160)," ")))</f>
        <v>Unknown</v>
      </c>
      <c r="N573" s="3" t="n">
        <v>5</v>
      </c>
      <c r="O573" s="5" t="n">
        <v>4276.29</v>
      </c>
      <c r="P573" s="6" t="n">
        <v>0</v>
      </c>
      <c r="Q573" s="5" t="n">
        <v>21381.45</v>
      </c>
      <c r="R573" s="5" t="n">
        <v>13240.21</v>
      </c>
      <c r="S573" s="5" t="n">
        <v>8141.24</v>
      </c>
      <c r="T573" s="3" t="str">
        <f aca="false">PROPER(TRIM(SUBSTITUTE(Raw_Text_Fields!J574,CHAR(160)," ")))</f>
        <v>Failed</v>
      </c>
      <c r="U573" s="3" t="str">
        <f aca="false">PROPER(TRIM(SUBSTITUTE(Raw_Text_Fields!K574,CHAR(160)," ")))</f>
        <v>Returned</v>
      </c>
      <c r="V573" s="7" t="n">
        <f aca="false">IF(OR(P573&lt;0,P573&gt;0.5),0,P573)</f>
        <v>0</v>
      </c>
      <c r="W573" s="8" t="n">
        <f aca="false">N573*O573*(1-V573)</f>
        <v>21381.45</v>
      </c>
      <c r="X573" s="8" t="n">
        <f aca="false">W573-R573</f>
        <v>8141.24</v>
      </c>
      <c r="Y573" s="7" t="n">
        <f aca="false">IFERROR(X573/W573,0)</f>
        <v>0.380761828594413</v>
      </c>
      <c r="Z573" s="9" t="n">
        <f aca="false">C573-B573</f>
        <v>4</v>
      </c>
      <c r="AA573" s="1" t="str">
        <f aca="false">IF(B573="","",TEXT(B573,"mmm"))</f>
        <v>Feb</v>
      </c>
      <c r="AB573" s="9" t="n">
        <f aca="false">IF(B573="","",YEAR(B573))</f>
        <v>2025</v>
      </c>
      <c r="AC573" s="3" t="s">
        <v>137</v>
      </c>
      <c r="AD573" s="3" t="str">
        <f aca="false">IF(LEFT(AC573&amp;IF(B573="","; Missing Order Date","")&amp;IF(C573="","; Missing Ship Date","")&amp;IF(P573&lt;0,"; Invalid Discount (Negative)","")&amp;IF(P573&gt;0.5,"; Invalid Discount (Too High)","")&amp;IF(Z573&lt;0,"; Invalid Shipping Record (Ship Before Order)","")&amp;IF(ABS(Q573-W573)&gt;1,"; Sales Mismatch","")&amp;IF(ABS(S573-X573)&gt;1,"; Profit Mismatch","")&amp;IF(COUNTIF($A$2:$A$913,A573)&gt;1,"; Duplicate Order ID Conflict",""),2)="; ",MID(AC573&amp;IF(B573="","; Missing Order Date","")&amp;IF(C573="","; Missing Ship Date","")&amp;IF(P573&lt;0,"; Invalid Discount (Negative)","")&amp;IF(P573&gt;0.5,"; Invalid Discount (Too High)","")&amp;IF(Z573&lt;0,"; Invalid Shipping Record (Ship Before Order)","")&amp;IF(ABS(Q573-W573)&gt;1,"; Sales Mismatch","")&amp;IF(ABS(S573-X573)&gt;1,"; Profit Mismatch","")&amp;IF(COUNTIF($A$2:$A$913,A573)&gt;1,"; Duplicate Order ID Conflict",""),3,500),AC573&amp;IF(B573="","; Missing Order Date","")&amp;IF(C573="","; Missing Ship Date","")&amp;IF(P573&lt;0,"; Invalid Discount (Negative)","")&amp;IF(P573&gt;0.5,"; Invalid Discount (Too High)","")&amp;IF(Z573&lt;0,"; Invalid Shipping Record (Ship Before Order)","")&amp;IF(ABS(Q573-W573)&gt;1,"; Sales Mismatch","")&amp;IF(ABS(S573-X573)&gt;1,"; Profit Mismatch","")&amp;IF(COUNTIF($A$2:$A$913,A573)&gt;1,"; Duplicate Order ID Conflict",""))</f>
        <v>Missing Ship Mode (filled Unknown); Duplicate Order ID Conflict</v>
      </c>
      <c r="AE573" s="10" t="str">
        <f aca="false">IF(OR(ISNUMBER(SEARCH("Invalid Discount",AD573)),ISNUMBER(SEARCH("Invalid Shipping Record",AD573)),ISNUMBER(SEARCH("Sales Mismatch",AD573)),ISNUMBER(SEARCH("Profit Mismatch",AD573)),ISNUMBER(SEARCH("Duplicate Order ID Conflict",AD573)),ISNUMBER(SEARCH("Missing Order Date",AD573)),ISNUMBER(SEARCH("Missing Ship Date",AD573))),"Invalid",IF(AD573&lt;&gt;"","Warning","Clean"))</f>
        <v>Invalid</v>
      </c>
    </row>
    <row r="574" customFormat="false" ht="15" hidden="false" customHeight="true" outlineLevel="0" collapsed="false">
      <c r="A574" s="3" t="s">
        <v>1734</v>
      </c>
      <c r="B574" s="4" t="n">
        <v>45293</v>
      </c>
      <c r="C574" s="4" t="n">
        <v>45300</v>
      </c>
      <c r="D574" s="3" t="s">
        <v>1735</v>
      </c>
      <c r="E574" s="3" t="str">
        <f aca="false">PROPER(TRIM(SUBSTITUTE(Raw_Text_Fields!B575,CHAR(160)," ")))</f>
        <v>Diya Patel</v>
      </c>
      <c r="F574" s="3" t="str">
        <f aca="false">PROPER(TRIM(SUBSTITUTE(Raw_Text_Fields!C575,CHAR(160)," ")))</f>
        <v>Corporate</v>
      </c>
      <c r="G574" s="3" t="str">
        <f aca="false">PROPER(TRIM(SUBSTITUTE(Raw_Text_Fields!D575,CHAR(160)," ")))</f>
        <v>North</v>
      </c>
      <c r="H574" s="3" t="str">
        <f aca="false">PROPER(TRIM(SUBSTITUTE(Raw_Text_Fields!E575,CHAR(160)," ")))</f>
        <v>Delhi</v>
      </c>
      <c r="I574" s="3" t="str">
        <f aca="false">PROPER(TRIM(SUBSTITUTE(Raw_Text_Fields!F575,CHAR(160)," ")))</f>
        <v>New Delhi</v>
      </c>
      <c r="J574" s="3" t="str">
        <f aca="false">PROPER(TRIM(SUBSTITUTE(Raw_Text_Fields!G575,CHAR(160)," ")))</f>
        <v>Technology</v>
      </c>
      <c r="K574" s="3" t="str">
        <f aca="false">PROPER(TRIM(SUBSTITUTE(Raw_Text_Fields!H575,CHAR(160)," ")))</f>
        <v>Phones</v>
      </c>
      <c r="L574" s="3" t="s">
        <v>1736</v>
      </c>
      <c r="M574" s="3" t="str">
        <f aca="false">PROPER(TRIM(SUBSTITUTE(Raw_Text_Fields!I575,CHAR(160)," ")))</f>
        <v>Standard Class</v>
      </c>
      <c r="N574" s="3" t="n">
        <v>3</v>
      </c>
      <c r="O574" s="5" t="n">
        <v>739.56</v>
      </c>
      <c r="P574" s="6" t="n">
        <v>0.2</v>
      </c>
      <c r="Q574" s="5" t="n">
        <v>1774.94</v>
      </c>
      <c r="R574" s="5" t="n">
        <v>1007.4</v>
      </c>
      <c r="S574" s="5" t="n">
        <v>767.54</v>
      </c>
      <c r="T574" s="3" t="str">
        <f aca="false">PROPER(TRIM(SUBSTITUTE(Raw_Text_Fields!J575,CHAR(160)," ")))</f>
        <v>Paid</v>
      </c>
      <c r="U574" s="3" t="str">
        <f aca="false">PROPER(TRIM(SUBSTITUTE(Raw_Text_Fields!K575,CHAR(160)," ")))</f>
        <v>Completed</v>
      </c>
      <c r="V574" s="7" t="n">
        <f aca="false">IF(OR(P574&lt;0,P574&gt;0.5),0,P574)</f>
        <v>0.2</v>
      </c>
      <c r="W574" s="8" t="n">
        <f aca="false">N574*O574*(1-V574)</f>
        <v>1774.944</v>
      </c>
      <c r="X574" s="8" t="n">
        <f aca="false">W574-R574</f>
        <v>767.544</v>
      </c>
      <c r="Y574" s="7" t="n">
        <f aca="false">IFERROR(X574/W574,0)</f>
        <v>0.43243279787982</v>
      </c>
      <c r="Z574" s="9" t="n">
        <f aca="false">C574-B574</f>
        <v>7</v>
      </c>
      <c r="AA574" s="1" t="str">
        <f aca="false">IF(B574="","",TEXT(B574,"mmm"))</f>
        <v>Jan</v>
      </c>
      <c r="AB574" s="9" t="n">
        <f aca="false">IF(B574="","",YEAR(B574))</f>
        <v>2024</v>
      </c>
      <c r="AC574" s="3"/>
      <c r="AD574" s="3" t="str">
        <f aca="false">IF(LEFT(AC574&amp;IF(B574="","; Missing Order Date","")&amp;IF(C574="","; Missing Ship Date","")&amp;IF(P574&lt;0,"; Invalid Discount (Negative)","")&amp;IF(P574&gt;0.5,"; Invalid Discount (Too High)","")&amp;IF(Z574&lt;0,"; Invalid Shipping Record (Ship Before Order)","")&amp;IF(ABS(Q574-W574)&gt;1,"; Sales Mismatch","")&amp;IF(ABS(S574-X574)&gt;1,"; Profit Mismatch","")&amp;IF(COUNTIF($A$2:$A$913,A574)&gt;1,"; Duplicate Order ID Conflict",""),2)="; ",MID(AC574&amp;IF(B574="","; Missing Order Date","")&amp;IF(C574="","; Missing Ship Date","")&amp;IF(P574&lt;0,"; Invalid Discount (Negative)","")&amp;IF(P574&gt;0.5,"; Invalid Discount (Too High)","")&amp;IF(Z574&lt;0,"; Invalid Shipping Record (Ship Before Order)","")&amp;IF(ABS(Q574-W574)&gt;1,"; Sales Mismatch","")&amp;IF(ABS(S574-X574)&gt;1,"; Profit Mismatch","")&amp;IF(COUNTIF($A$2:$A$913,A574)&gt;1,"; Duplicate Order ID Conflict",""),3,500),AC574&amp;IF(B574="","; Missing Order Date","")&amp;IF(C574="","; Missing Ship Date","")&amp;IF(P574&lt;0,"; Invalid Discount (Negative)","")&amp;IF(P574&gt;0.5,"; Invalid Discount (Too High)","")&amp;IF(Z574&lt;0,"; Invalid Shipping Record (Ship Before Order)","")&amp;IF(ABS(Q574-W574)&gt;1,"; Sales Mismatch","")&amp;IF(ABS(S574-X574)&gt;1,"; Profit Mismatch","")&amp;IF(COUNTIF($A$2:$A$913,A574)&gt;1,"; Duplicate Order ID Conflict",""))</f>
        <v/>
      </c>
      <c r="AE574" s="10" t="str">
        <f aca="false">IF(OR(ISNUMBER(SEARCH("Invalid Discount",AD574)),ISNUMBER(SEARCH("Invalid Shipping Record",AD574)),ISNUMBER(SEARCH("Sales Mismatch",AD574)),ISNUMBER(SEARCH("Profit Mismatch",AD574)),ISNUMBER(SEARCH("Duplicate Order ID Conflict",AD574)),ISNUMBER(SEARCH("Missing Order Date",AD574)),ISNUMBER(SEARCH("Missing Ship Date",AD574))),"Invalid",IF(AD574&lt;&gt;"","Warning","Clean"))</f>
        <v>Clean</v>
      </c>
    </row>
    <row r="575" customFormat="false" ht="15" hidden="false" customHeight="true" outlineLevel="0" collapsed="false">
      <c r="A575" s="3" t="s">
        <v>1737</v>
      </c>
      <c r="B575" s="4" t="n">
        <v>45922</v>
      </c>
      <c r="C575" s="4" t="n">
        <v>45926</v>
      </c>
      <c r="D575" s="3" t="s">
        <v>1738</v>
      </c>
      <c r="E575" s="3" t="str">
        <f aca="false">PROPER(TRIM(SUBSTITUTE(Raw_Text_Fields!B576,CHAR(160)," ")))</f>
        <v>Isha Nair</v>
      </c>
      <c r="F575" s="3" t="str">
        <f aca="false">PROPER(TRIM(SUBSTITUTE(Raw_Text_Fields!C576,CHAR(160)," ")))</f>
        <v>Consumer</v>
      </c>
      <c r="G575" s="3" t="str">
        <f aca="false">PROPER(TRIM(SUBSTITUTE(Raw_Text_Fields!D576,CHAR(160)," ")))</f>
        <v>South</v>
      </c>
      <c r="H575" s="3" t="str">
        <f aca="false">PROPER(TRIM(SUBSTITUTE(Raw_Text_Fields!E576,CHAR(160)," ")))</f>
        <v>Andhra Pradesh</v>
      </c>
      <c r="I575" s="3" t="str">
        <f aca="false">PROPER(TRIM(SUBSTITUTE(Raw_Text_Fields!F576,CHAR(160)," ")))</f>
        <v>Vijayawada</v>
      </c>
      <c r="J575" s="3" t="str">
        <f aca="false">PROPER(TRIM(SUBSTITUTE(Raw_Text_Fields!G576,CHAR(160)," ")))</f>
        <v>Technology</v>
      </c>
      <c r="K575" s="3" t="str">
        <f aca="false">PROPER(TRIM(SUBSTITUTE(Raw_Text_Fields!H576,CHAR(160)," ")))</f>
        <v>Phones</v>
      </c>
      <c r="L575" s="3" t="s">
        <v>1739</v>
      </c>
      <c r="M575" s="3" t="str">
        <f aca="false">PROPER(TRIM(SUBSTITUTE(Raw_Text_Fields!I576,CHAR(160)," ")))</f>
        <v>Standard Class</v>
      </c>
      <c r="N575" s="3" t="n">
        <v>1</v>
      </c>
      <c r="O575" s="5" t="n">
        <v>573.65</v>
      </c>
      <c r="P575" s="6" t="n">
        <v>0</v>
      </c>
      <c r="Q575" s="5" t="n">
        <v>573.65</v>
      </c>
      <c r="R575" s="5" t="n">
        <v>322.67</v>
      </c>
      <c r="S575" s="5" t="n">
        <v>250.98</v>
      </c>
      <c r="T575" s="3" t="str">
        <f aca="false">PROPER(TRIM(SUBSTITUTE(Raw_Text_Fields!J576,CHAR(160)," ")))</f>
        <v>Paid</v>
      </c>
      <c r="U575" s="3" t="str">
        <f aca="false">PROPER(TRIM(SUBSTITUTE(Raw_Text_Fields!K576,CHAR(160)," ")))</f>
        <v>Completed</v>
      </c>
      <c r="V575" s="7" t="n">
        <f aca="false">IF(OR(P575&lt;0,P575&gt;0.5),0,P575)</f>
        <v>0</v>
      </c>
      <c r="W575" s="8" t="n">
        <f aca="false">N575*O575*(1-V575)</f>
        <v>573.65</v>
      </c>
      <c r="X575" s="8" t="n">
        <f aca="false">W575-R575</f>
        <v>250.98</v>
      </c>
      <c r="Y575" s="7" t="n">
        <f aca="false">IFERROR(X575/W575,0)</f>
        <v>0.43751416368866</v>
      </c>
      <c r="Z575" s="9" t="n">
        <f aca="false">C575-B575</f>
        <v>4</v>
      </c>
      <c r="AA575" s="1" t="str">
        <f aca="false">IF(B575="","",TEXT(B575,"mmm"))</f>
        <v>Sep</v>
      </c>
      <c r="AB575" s="9" t="n">
        <f aca="false">IF(B575="","",YEAR(B575))</f>
        <v>2025</v>
      </c>
      <c r="AC575" s="3"/>
      <c r="AD575" s="3" t="str">
        <f aca="false">IF(LEFT(AC575&amp;IF(B575="","; Missing Order Date","")&amp;IF(C575="","; Missing Ship Date","")&amp;IF(P575&lt;0,"; Invalid Discount (Negative)","")&amp;IF(P575&gt;0.5,"; Invalid Discount (Too High)","")&amp;IF(Z575&lt;0,"; Invalid Shipping Record (Ship Before Order)","")&amp;IF(ABS(Q575-W575)&gt;1,"; Sales Mismatch","")&amp;IF(ABS(S575-X575)&gt;1,"; Profit Mismatch","")&amp;IF(COUNTIF($A$2:$A$913,A575)&gt;1,"; Duplicate Order ID Conflict",""),2)="; ",MID(AC575&amp;IF(B575="","; Missing Order Date","")&amp;IF(C575="","; Missing Ship Date","")&amp;IF(P575&lt;0,"; Invalid Discount (Negative)","")&amp;IF(P575&gt;0.5,"; Invalid Discount (Too High)","")&amp;IF(Z575&lt;0,"; Invalid Shipping Record (Ship Before Order)","")&amp;IF(ABS(Q575-W575)&gt;1,"; Sales Mismatch","")&amp;IF(ABS(S575-X575)&gt;1,"; Profit Mismatch","")&amp;IF(COUNTIF($A$2:$A$913,A575)&gt;1,"; Duplicate Order ID Conflict",""),3,500),AC575&amp;IF(B575="","; Missing Order Date","")&amp;IF(C575="","; Missing Ship Date","")&amp;IF(P575&lt;0,"; Invalid Discount (Negative)","")&amp;IF(P575&gt;0.5,"; Invalid Discount (Too High)","")&amp;IF(Z575&lt;0,"; Invalid Shipping Record (Ship Before Order)","")&amp;IF(ABS(Q575-W575)&gt;1,"; Sales Mismatch","")&amp;IF(ABS(S575-X575)&gt;1,"; Profit Mismatch","")&amp;IF(COUNTIF($A$2:$A$913,A575)&gt;1,"; Duplicate Order ID Conflict",""))</f>
        <v/>
      </c>
      <c r="AE575" s="10" t="str">
        <f aca="false">IF(OR(ISNUMBER(SEARCH("Invalid Discount",AD575)),ISNUMBER(SEARCH("Invalid Shipping Record",AD575)),ISNUMBER(SEARCH("Sales Mismatch",AD575)),ISNUMBER(SEARCH("Profit Mismatch",AD575)),ISNUMBER(SEARCH("Duplicate Order ID Conflict",AD575)),ISNUMBER(SEARCH("Missing Order Date",AD575)),ISNUMBER(SEARCH("Missing Ship Date",AD575))),"Invalid",IF(AD575&lt;&gt;"","Warning","Clean"))</f>
        <v>Clean</v>
      </c>
    </row>
    <row r="576" customFormat="false" ht="15" hidden="false" customHeight="true" outlineLevel="0" collapsed="false">
      <c r="A576" s="3" t="s">
        <v>1740</v>
      </c>
      <c r="B576" s="4" t="n">
        <v>45342</v>
      </c>
      <c r="C576" s="4" t="n">
        <v>45347</v>
      </c>
      <c r="D576" s="3" t="s">
        <v>724</v>
      </c>
      <c r="E576" s="3" t="str">
        <f aca="false">PROPER(TRIM(SUBSTITUTE(Raw_Text_Fields!B577,CHAR(160)," ")))</f>
        <v>Diya Patel</v>
      </c>
      <c r="F576" s="3" t="str">
        <f aca="false">PROPER(TRIM(SUBSTITUTE(Raw_Text_Fields!C577,CHAR(160)," ")))</f>
        <v>Home Office</v>
      </c>
      <c r="G576" s="3" t="str">
        <f aca="false">PROPER(TRIM(SUBSTITUTE(Raw_Text_Fields!D577,CHAR(160)," ")))</f>
        <v>North</v>
      </c>
      <c r="H576" s="3" t="str">
        <f aca="false">PROPER(TRIM(SUBSTITUTE(Raw_Text_Fields!E577,CHAR(160)," ")))</f>
        <v>Punjab</v>
      </c>
      <c r="I576" s="3" t="str">
        <f aca="false">PROPER(TRIM(SUBSTITUTE(Raw_Text_Fields!F577,CHAR(160)," ")))</f>
        <v>Ludhiana</v>
      </c>
      <c r="J576" s="3" t="str">
        <f aca="false">PROPER(TRIM(SUBSTITUTE(Raw_Text_Fields!G577,CHAR(160)," ")))</f>
        <v>Technology</v>
      </c>
      <c r="K576" s="3" t="str">
        <f aca="false">PROPER(TRIM(SUBSTITUTE(Raw_Text_Fields!H577,CHAR(160)," ")))</f>
        <v>Machines</v>
      </c>
      <c r="L576" s="3" t="s">
        <v>1741</v>
      </c>
      <c r="M576" s="3" t="str">
        <f aca="false">PROPER(TRIM(SUBSTITUTE(Raw_Text_Fields!I577,CHAR(160)," ")))</f>
        <v>Standard Class</v>
      </c>
      <c r="N576" s="3" t="n">
        <v>4</v>
      </c>
      <c r="O576" s="5" t="n">
        <v>1355.8</v>
      </c>
      <c r="P576" s="6" t="n">
        <v>0</v>
      </c>
      <c r="Q576" s="5" t="n">
        <v>5423.2</v>
      </c>
      <c r="R576" s="5" t="n">
        <v>4072.44</v>
      </c>
      <c r="S576" s="5" t="n">
        <v>1350.76</v>
      </c>
      <c r="T576" s="3" t="str">
        <f aca="false">PROPER(TRIM(SUBSTITUTE(Raw_Text_Fields!J577,CHAR(160)," ")))</f>
        <v>Paid</v>
      </c>
      <c r="U576" s="3" t="str">
        <f aca="false">PROPER(TRIM(SUBSTITUTE(Raw_Text_Fields!K577,CHAR(160)," ")))</f>
        <v>Completed</v>
      </c>
      <c r="V576" s="7" t="n">
        <f aca="false">IF(OR(P576&lt;0,P576&gt;0.5),0,P576)</f>
        <v>0</v>
      </c>
      <c r="W576" s="8" t="n">
        <f aca="false">N576*O576*(1-V576)</f>
        <v>5423.2</v>
      </c>
      <c r="X576" s="8" t="n">
        <f aca="false">W576-R576</f>
        <v>1350.76</v>
      </c>
      <c r="Y576" s="7" t="n">
        <f aca="false">IFERROR(X576/W576,0)</f>
        <v>0.24907065938929</v>
      </c>
      <c r="Z576" s="9" t="n">
        <f aca="false">C576-B576</f>
        <v>5</v>
      </c>
      <c r="AA576" s="1" t="str">
        <f aca="false">IF(B576="","",TEXT(B576,"mmm"))</f>
        <v>Feb</v>
      </c>
      <c r="AB576" s="9" t="n">
        <f aca="false">IF(B576="","",YEAR(B576))</f>
        <v>2024</v>
      </c>
      <c r="AC576" s="3"/>
      <c r="AD576" s="3" t="str">
        <f aca="false">IF(LEFT(AC576&amp;IF(B576="","; Missing Order Date","")&amp;IF(C576="","; Missing Ship Date","")&amp;IF(P576&lt;0,"; Invalid Discount (Negative)","")&amp;IF(P576&gt;0.5,"; Invalid Discount (Too High)","")&amp;IF(Z576&lt;0,"; Invalid Shipping Record (Ship Before Order)","")&amp;IF(ABS(Q576-W576)&gt;1,"; Sales Mismatch","")&amp;IF(ABS(S576-X576)&gt;1,"; Profit Mismatch","")&amp;IF(COUNTIF($A$2:$A$913,A576)&gt;1,"; Duplicate Order ID Conflict",""),2)="; ",MID(AC576&amp;IF(B576="","; Missing Order Date","")&amp;IF(C576="","; Missing Ship Date","")&amp;IF(P576&lt;0,"; Invalid Discount (Negative)","")&amp;IF(P576&gt;0.5,"; Invalid Discount (Too High)","")&amp;IF(Z576&lt;0,"; Invalid Shipping Record (Ship Before Order)","")&amp;IF(ABS(Q576-W576)&gt;1,"; Sales Mismatch","")&amp;IF(ABS(S576-X576)&gt;1,"; Profit Mismatch","")&amp;IF(COUNTIF($A$2:$A$913,A576)&gt;1,"; Duplicate Order ID Conflict",""),3,500),AC576&amp;IF(B576="","; Missing Order Date","")&amp;IF(C576="","; Missing Ship Date","")&amp;IF(P576&lt;0,"; Invalid Discount (Negative)","")&amp;IF(P576&gt;0.5,"; Invalid Discount (Too High)","")&amp;IF(Z576&lt;0,"; Invalid Shipping Record (Ship Before Order)","")&amp;IF(ABS(Q576-W576)&gt;1,"; Sales Mismatch","")&amp;IF(ABS(S576-X576)&gt;1,"; Profit Mismatch","")&amp;IF(COUNTIF($A$2:$A$913,A576)&gt;1,"; Duplicate Order ID Conflict",""))</f>
        <v/>
      </c>
      <c r="AE576" s="10" t="str">
        <f aca="false">IF(OR(ISNUMBER(SEARCH("Invalid Discount",AD576)),ISNUMBER(SEARCH("Invalid Shipping Record",AD576)),ISNUMBER(SEARCH("Sales Mismatch",AD576)),ISNUMBER(SEARCH("Profit Mismatch",AD576)),ISNUMBER(SEARCH("Duplicate Order ID Conflict",AD576)),ISNUMBER(SEARCH("Missing Order Date",AD576)),ISNUMBER(SEARCH("Missing Ship Date",AD576))),"Invalid",IF(AD576&lt;&gt;"","Warning","Clean"))</f>
        <v>Clean</v>
      </c>
    </row>
    <row r="577" customFormat="false" ht="15" hidden="false" customHeight="true" outlineLevel="0" collapsed="false">
      <c r="A577" s="3" t="s">
        <v>1742</v>
      </c>
      <c r="B577" s="4" t="n">
        <v>45727</v>
      </c>
      <c r="C577" s="4" t="n">
        <v>45730</v>
      </c>
      <c r="D577" s="3" t="s">
        <v>1743</v>
      </c>
      <c r="E577" s="3" t="str">
        <f aca="false">PROPER(TRIM(SUBSTITUTE(Raw_Text_Fields!B578,CHAR(160)," ")))</f>
        <v>Sneha Kapoor</v>
      </c>
      <c r="F577" s="3" t="str">
        <f aca="false">PROPER(TRIM(SUBSTITUTE(Raw_Text_Fields!C578,CHAR(160)," ")))</f>
        <v>Home Office</v>
      </c>
      <c r="G577" s="3" t="str">
        <f aca="false">PROPER(TRIM(SUBSTITUTE(Raw_Text_Fields!D578,CHAR(160)," ")))</f>
        <v>South</v>
      </c>
      <c r="H577" s="3" t="str">
        <f aca="false">PROPER(TRIM(SUBSTITUTE(Raw_Text_Fields!E578,CHAR(160)," ")))</f>
        <v>Kerala</v>
      </c>
      <c r="I577" s="3" t="str">
        <f aca="false">PROPER(TRIM(SUBSTITUTE(Raw_Text_Fields!F578,CHAR(160)," ")))</f>
        <v>Kochi</v>
      </c>
      <c r="J577" s="3" t="str">
        <f aca="false">PROPER(TRIM(SUBSTITUTE(Raw_Text_Fields!G578,CHAR(160)," ")))</f>
        <v>Furniture</v>
      </c>
      <c r="K577" s="3" t="str">
        <f aca="false">PROPER(TRIM(SUBSTITUTE(Raw_Text_Fields!H578,CHAR(160)," ")))</f>
        <v>Furnishings</v>
      </c>
      <c r="L577" s="3" t="s">
        <v>1744</v>
      </c>
      <c r="M577" s="3" t="str">
        <f aca="false">PROPER(TRIM(SUBSTITUTE(Raw_Text_Fields!I578,CHAR(160)," ")))</f>
        <v>Same Day</v>
      </c>
      <c r="N577" s="3" t="n">
        <v>4</v>
      </c>
      <c r="O577" s="5" t="n">
        <v>1244.82</v>
      </c>
      <c r="P577" s="6" t="n">
        <v>0.2</v>
      </c>
      <c r="Q577" s="5" t="n">
        <v>3983.42</v>
      </c>
      <c r="R577" s="5" t="n">
        <v>3174.91</v>
      </c>
      <c r="S577" s="5" t="n">
        <v>808.51</v>
      </c>
      <c r="T577" s="3" t="str">
        <f aca="false">PROPER(TRIM(SUBSTITUTE(Raw_Text_Fields!J578,CHAR(160)," ")))</f>
        <v>Failed</v>
      </c>
      <c r="U577" s="3" t="str">
        <f aca="false">PROPER(TRIM(SUBSTITUTE(Raw_Text_Fields!K578,CHAR(160)," ")))</f>
        <v>Returned</v>
      </c>
      <c r="V577" s="7" t="n">
        <f aca="false">IF(OR(P577&lt;0,P577&gt;0.5),0,P577)</f>
        <v>0.2</v>
      </c>
      <c r="W577" s="8" t="n">
        <f aca="false">N577*O577*(1-V577)</f>
        <v>3983.424</v>
      </c>
      <c r="X577" s="8" t="n">
        <f aca="false">W577-R577</f>
        <v>808.514</v>
      </c>
      <c r="Y577" s="7" t="n">
        <f aca="false">IFERROR(X577/W577,0)</f>
        <v>0.202969606047461</v>
      </c>
      <c r="Z577" s="9" t="n">
        <f aca="false">C577-B577</f>
        <v>3</v>
      </c>
      <c r="AA577" s="1" t="str">
        <f aca="false">IF(B577="","",TEXT(B577,"mmm"))</f>
        <v>Mar</v>
      </c>
      <c r="AB577" s="9" t="n">
        <f aca="false">IF(B577="","",YEAR(B577))</f>
        <v>2025</v>
      </c>
      <c r="AC577" s="3"/>
      <c r="AD577" s="3" t="str">
        <f aca="false">IF(LEFT(AC577&amp;IF(B577="","; Missing Order Date","")&amp;IF(C577="","; Missing Ship Date","")&amp;IF(P577&lt;0,"; Invalid Discount (Negative)","")&amp;IF(P577&gt;0.5,"; Invalid Discount (Too High)","")&amp;IF(Z577&lt;0,"; Invalid Shipping Record (Ship Before Order)","")&amp;IF(ABS(Q577-W577)&gt;1,"; Sales Mismatch","")&amp;IF(ABS(S577-X577)&gt;1,"; Profit Mismatch","")&amp;IF(COUNTIF($A$2:$A$913,A577)&gt;1,"; Duplicate Order ID Conflict",""),2)="; ",MID(AC577&amp;IF(B577="","; Missing Order Date","")&amp;IF(C577="","; Missing Ship Date","")&amp;IF(P577&lt;0,"; Invalid Discount (Negative)","")&amp;IF(P577&gt;0.5,"; Invalid Discount (Too High)","")&amp;IF(Z577&lt;0,"; Invalid Shipping Record (Ship Before Order)","")&amp;IF(ABS(Q577-W577)&gt;1,"; Sales Mismatch","")&amp;IF(ABS(S577-X577)&gt;1,"; Profit Mismatch","")&amp;IF(COUNTIF($A$2:$A$913,A577)&gt;1,"; Duplicate Order ID Conflict",""),3,500),AC577&amp;IF(B577="","; Missing Order Date","")&amp;IF(C577="","; Missing Ship Date","")&amp;IF(P577&lt;0,"; Invalid Discount (Negative)","")&amp;IF(P577&gt;0.5,"; Invalid Discount (Too High)","")&amp;IF(Z577&lt;0,"; Invalid Shipping Record (Ship Before Order)","")&amp;IF(ABS(Q577-W577)&gt;1,"; Sales Mismatch","")&amp;IF(ABS(S577-X577)&gt;1,"; Profit Mismatch","")&amp;IF(COUNTIF($A$2:$A$913,A577)&gt;1,"; Duplicate Order ID Conflict",""))</f>
        <v/>
      </c>
      <c r="AE577" s="10" t="str">
        <f aca="false">IF(OR(ISNUMBER(SEARCH("Invalid Discount",AD577)),ISNUMBER(SEARCH("Invalid Shipping Record",AD577)),ISNUMBER(SEARCH("Sales Mismatch",AD577)),ISNUMBER(SEARCH("Profit Mismatch",AD577)),ISNUMBER(SEARCH("Duplicate Order ID Conflict",AD577)),ISNUMBER(SEARCH("Missing Order Date",AD577)),ISNUMBER(SEARCH("Missing Ship Date",AD577))),"Invalid",IF(AD577&lt;&gt;"","Warning","Clean"))</f>
        <v>Clean</v>
      </c>
    </row>
    <row r="578" customFormat="false" ht="15" hidden="false" customHeight="true" outlineLevel="0" collapsed="false">
      <c r="A578" s="3" t="s">
        <v>1745</v>
      </c>
      <c r="B578" s="4" t="n">
        <v>45339</v>
      </c>
      <c r="C578" s="4" t="n">
        <v>45345</v>
      </c>
      <c r="D578" s="3" t="s">
        <v>1746</v>
      </c>
      <c r="E578" s="3" t="str">
        <f aca="false">PROPER(TRIM(SUBSTITUTE(Raw_Text_Fields!B579,CHAR(160)," ")))</f>
        <v>Rohan Mehta</v>
      </c>
      <c r="F578" s="3" t="str">
        <f aca="false">PROPER(TRIM(SUBSTITUTE(Raw_Text_Fields!C579,CHAR(160)," ")))</f>
        <v>Home Office</v>
      </c>
      <c r="G578" s="3" t="str">
        <f aca="false">PROPER(TRIM(SUBSTITUTE(Raw_Text_Fields!D579,CHAR(160)," ")))</f>
        <v>Unknown</v>
      </c>
      <c r="H578" s="3" t="str">
        <f aca="false">PROPER(TRIM(SUBSTITUTE(Raw_Text_Fields!E579,CHAR(160)," ")))</f>
        <v>Bihar</v>
      </c>
      <c r="I578" s="3" t="str">
        <f aca="false">PROPER(TRIM(SUBSTITUTE(Raw_Text_Fields!F579,CHAR(160)," ")))</f>
        <v>Patna</v>
      </c>
      <c r="J578" s="3" t="str">
        <f aca="false">PROPER(TRIM(SUBSTITUTE(Raw_Text_Fields!G579,CHAR(160)," ")))</f>
        <v>Office Supplies</v>
      </c>
      <c r="K578" s="3" t="str">
        <f aca="false">PROPER(TRIM(SUBSTITUTE(Raw_Text_Fields!H579,CHAR(160)," ")))</f>
        <v>Binders</v>
      </c>
      <c r="L578" s="3" t="s">
        <v>1747</v>
      </c>
      <c r="M578" s="3" t="str">
        <f aca="false">PROPER(TRIM(SUBSTITUTE(Raw_Text_Fields!I579,CHAR(160)," ")))</f>
        <v>Standard Class</v>
      </c>
      <c r="N578" s="3" t="n">
        <v>9</v>
      </c>
      <c r="O578" s="5" t="n">
        <v>2614.46</v>
      </c>
      <c r="P578" s="6" t="n">
        <v>0</v>
      </c>
      <c r="Q578" s="5" t="n">
        <v>23530.14</v>
      </c>
      <c r="R578" s="5" t="n">
        <v>19537.79</v>
      </c>
      <c r="S578" s="5" t="n">
        <v>3992.35</v>
      </c>
      <c r="T578" s="3" t="str">
        <f aca="false">PROPER(TRIM(SUBSTITUTE(Raw_Text_Fields!J579,CHAR(160)," ")))</f>
        <v>Refunded</v>
      </c>
      <c r="U578" s="3" t="str">
        <f aca="false">PROPER(TRIM(SUBSTITUTE(Raw_Text_Fields!K579,CHAR(160)," ")))</f>
        <v>Returned</v>
      </c>
      <c r="V578" s="7" t="n">
        <f aca="false">IF(OR(P578&lt;0,P578&gt;0.5),0,P578)</f>
        <v>0</v>
      </c>
      <c r="W578" s="8" t="n">
        <f aca="false">N578*O578*(1-V578)</f>
        <v>23530.14</v>
      </c>
      <c r="X578" s="8" t="n">
        <f aca="false">W578-R578</f>
        <v>3992.35</v>
      </c>
      <c r="Y578" s="7" t="n">
        <f aca="false">IFERROR(X578/W578,0)</f>
        <v>0.169669623725146</v>
      </c>
      <c r="Z578" s="9" t="n">
        <f aca="false">C578-B578</f>
        <v>6</v>
      </c>
      <c r="AA578" s="1" t="str">
        <f aca="false">IF(B578="","",TEXT(B578,"mmm"))</f>
        <v>Feb</v>
      </c>
      <c r="AB578" s="9" t="n">
        <f aca="false">IF(B578="","",YEAR(B578))</f>
        <v>2024</v>
      </c>
      <c r="AC578" s="3" t="s">
        <v>372</v>
      </c>
      <c r="AD578" s="3" t="str">
        <f aca="false">IF(LEFT(AC578&amp;IF(B578="","; Missing Order Date","")&amp;IF(C578="","; Missing Ship Date","")&amp;IF(P578&lt;0,"; Invalid Discount (Negative)","")&amp;IF(P578&gt;0.5,"; Invalid Discount (Too High)","")&amp;IF(Z578&lt;0,"; Invalid Shipping Record (Ship Before Order)","")&amp;IF(ABS(Q578-W578)&gt;1,"; Sales Mismatch","")&amp;IF(ABS(S578-X578)&gt;1,"; Profit Mismatch","")&amp;IF(COUNTIF($A$2:$A$913,A578)&gt;1,"; Duplicate Order ID Conflict",""),2)="; ",MID(AC578&amp;IF(B578="","; Missing Order Date","")&amp;IF(C578="","; Missing Ship Date","")&amp;IF(P578&lt;0,"; Invalid Discount (Negative)","")&amp;IF(P578&gt;0.5,"; Invalid Discount (Too High)","")&amp;IF(Z578&lt;0,"; Invalid Shipping Record (Ship Before Order)","")&amp;IF(ABS(Q578-W578)&gt;1,"; Sales Mismatch","")&amp;IF(ABS(S578-X578)&gt;1,"; Profit Mismatch","")&amp;IF(COUNTIF($A$2:$A$913,A578)&gt;1,"; Duplicate Order ID Conflict",""),3,500),AC578&amp;IF(B578="","; Missing Order Date","")&amp;IF(C578="","; Missing Ship Date","")&amp;IF(P578&lt;0,"; Invalid Discount (Negative)","")&amp;IF(P578&gt;0.5,"; Invalid Discount (Too High)","")&amp;IF(Z578&lt;0,"; Invalid Shipping Record (Ship Before Order)","")&amp;IF(ABS(Q578-W578)&gt;1,"; Sales Mismatch","")&amp;IF(ABS(S578-X578)&gt;1,"; Profit Mismatch","")&amp;IF(COUNTIF($A$2:$A$913,A578)&gt;1,"; Duplicate Order ID Conflict",""))</f>
        <v>Missing Region (filled Unknown)</v>
      </c>
      <c r="AE578" s="10" t="str">
        <f aca="false">IF(OR(ISNUMBER(SEARCH("Invalid Discount",AD578)),ISNUMBER(SEARCH("Invalid Shipping Record",AD578)),ISNUMBER(SEARCH("Sales Mismatch",AD578)),ISNUMBER(SEARCH("Profit Mismatch",AD578)),ISNUMBER(SEARCH("Duplicate Order ID Conflict",AD578)),ISNUMBER(SEARCH("Missing Order Date",AD578)),ISNUMBER(SEARCH("Missing Ship Date",AD578))),"Invalid",IF(AD578&lt;&gt;"","Warning","Clean"))</f>
        <v>Warning</v>
      </c>
    </row>
    <row r="579" customFormat="false" ht="15" hidden="false" customHeight="true" outlineLevel="0" collapsed="false">
      <c r="A579" s="3" t="s">
        <v>1748</v>
      </c>
      <c r="B579" s="4" t="n">
        <v>45897</v>
      </c>
      <c r="C579" s="4" t="n">
        <v>45903</v>
      </c>
      <c r="D579" s="3" t="s">
        <v>1749</v>
      </c>
      <c r="E579" s="3" t="str">
        <f aca="false">PROPER(TRIM(SUBSTITUTE(Raw_Text_Fields!B580,CHAR(160)," ")))</f>
        <v>Priya Menon</v>
      </c>
      <c r="F579" s="3" t="str">
        <f aca="false">PROPER(TRIM(SUBSTITUTE(Raw_Text_Fields!C580,CHAR(160)," ")))</f>
        <v>Corporate</v>
      </c>
      <c r="G579" s="3" t="str">
        <f aca="false">PROPER(TRIM(SUBSTITUTE(Raw_Text_Fields!D580,CHAR(160)," ")))</f>
        <v>West</v>
      </c>
      <c r="H579" s="3" t="str">
        <f aca="false">PROPER(TRIM(SUBSTITUTE(Raw_Text_Fields!E580,CHAR(160)," ")))</f>
        <v>Madhya Pradesh</v>
      </c>
      <c r="I579" s="3" t="str">
        <f aca="false">PROPER(TRIM(SUBSTITUTE(Raw_Text_Fields!F580,CHAR(160)," ")))</f>
        <v>Indore</v>
      </c>
      <c r="J579" s="3" t="str">
        <f aca="false">PROPER(TRIM(SUBSTITUTE(Raw_Text_Fields!G580,CHAR(160)," ")))</f>
        <v>Furniture</v>
      </c>
      <c r="K579" s="3" t="str">
        <f aca="false">PROPER(TRIM(SUBSTITUTE(Raw_Text_Fields!H580,CHAR(160)," ")))</f>
        <v>Furnishings</v>
      </c>
      <c r="L579" s="3" t="s">
        <v>1750</v>
      </c>
      <c r="M579" s="3" t="str">
        <f aca="false">PROPER(TRIM(SUBSTITUTE(Raw_Text_Fields!I580,CHAR(160)," ")))</f>
        <v>Standard Class</v>
      </c>
      <c r="N579" s="3" t="n">
        <v>7</v>
      </c>
      <c r="O579" s="5" t="n">
        <v>268.45</v>
      </c>
      <c r="P579" s="6" t="n">
        <v>0</v>
      </c>
      <c r="Q579" s="5" t="n">
        <v>1879.15</v>
      </c>
      <c r="R579" s="5" t="n">
        <v>1134.9</v>
      </c>
      <c r="S579" s="5" t="n">
        <v>744.25</v>
      </c>
      <c r="T579" s="3" t="str">
        <f aca="false">PROPER(TRIM(SUBSTITUTE(Raw_Text_Fields!J580,CHAR(160)," ")))</f>
        <v>Paid</v>
      </c>
      <c r="U579" s="3" t="str">
        <f aca="false">PROPER(TRIM(SUBSTITUTE(Raw_Text_Fields!K580,CHAR(160)," ")))</f>
        <v>Completed</v>
      </c>
      <c r="V579" s="7" t="n">
        <f aca="false">IF(OR(P579&lt;0,P579&gt;0.5),0,P579)</f>
        <v>0</v>
      </c>
      <c r="W579" s="8" t="n">
        <f aca="false">N579*O579*(1-V579)</f>
        <v>1879.15</v>
      </c>
      <c r="X579" s="8" t="n">
        <f aca="false">W579-R579</f>
        <v>744.25</v>
      </c>
      <c r="Y579" s="7" t="n">
        <f aca="false">IFERROR(X579/W579,0)</f>
        <v>0.396056727775856</v>
      </c>
      <c r="Z579" s="9" t="n">
        <f aca="false">C579-B579</f>
        <v>6</v>
      </c>
      <c r="AA579" s="1" t="str">
        <f aca="false">IF(B579="","",TEXT(B579,"mmm"))</f>
        <v>Aug</v>
      </c>
      <c r="AB579" s="9" t="n">
        <f aca="false">IF(B579="","",YEAR(B579))</f>
        <v>2025</v>
      </c>
      <c r="AC579" s="3"/>
      <c r="AD579" s="3" t="str">
        <f aca="false">IF(LEFT(AC579&amp;IF(B579="","; Missing Order Date","")&amp;IF(C579="","; Missing Ship Date","")&amp;IF(P579&lt;0,"; Invalid Discount (Negative)","")&amp;IF(P579&gt;0.5,"; Invalid Discount (Too High)","")&amp;IF(Z579&lt;0,"; Invalid Shipping Record (Ship Before Order)","")&amp;IF(ABS(Q579-W579)&gt;1,"; Sales Mismatch","")&amp;IF(ABS(S579-X579)&gt;1,"; Profit Mismatch","")&amp;IF(COUNTIF($A$2:$A$913,A579)&gt;1,"; Duplicate Order ID Conflict",""),2)="; ",MID(AC579&amp;IF(B579="","; Missing Order Date","")&amp;IF(C579="","; Missing Ship Date","")&amp;IF(P579&lt;0,"; Invalid Discount (Negative)","")&amp;IF(P579&gt;0.5,"; Invalid Discount (Too High)","")&amp;IF(Z579&lt;0,"; Invalid Shipping Record (Ship Before Order)","")&amp;IF(ABS(Q579-W579)&gt;1,"; Sales Mismatch","")&amp;IF(ABS(S579-X579)&gt;1,"; Profit Mismatch","")&amp;IF(COUNTIF($A$2:$A$913,A579)&gt;1,"; Duplicate Order ID Conflict",""),3,500),AC579&amp;IF(B579="","; Missing Order Date","")&amp;IF(C579="","; Missing Ship Date","")&amp;IF(P579&lt;0,"; Invalid Discount (Negative)","")&amp;IF(P579&gt;0.5,"; Invalid Discount (Too High)","")&amp;IF(Z579&lt;0,"; Invalid Shipping Record (Ship Before Order)","")&amp;IF(ABS(Q579-W579)&gt;1,"; Sales Mismatch","")&amp;IF(ABS(S579-X579)&gt;1,"; Profit Mismatch","")&amp;IF(COUNTIF($A$2:$A$913,A579)&gt;1,"; Duplicate Order ID Conflict",""))</f>
        <v/>
      </c>
      <c r="AE579" s="10" t="str">
        <f aca="false">IF(OR(ISNUMBER(SEARCH("Invalid Discount",AD579)),ISNUMBER(SEARCH("Invalid Shipping Record",AD579)),ISNUMBER(SEARCH("Sales Mismatch",AD579)),ISNUMBER(SEARCH("Profit Mismatch",AD579)),ISNUMBER(SEARCH("Duplicate Order ID Conflict",AD579)),ISNUMBER(SEARCH("Missing Order Date",AD579)),ISNUMBER(SEARCH("Missing Ship Date",AD579))),"Invalid",IF(AD579&lt;&gt;"","Warning","Clean"))</f>
        <v>Clean</v>
      </c>
    </row>
    <row r="580" customFormat="false" ht="15" hidden="false" customHeight="true" outlineLevel="0" collapsed="false">
      <c r="A580" s="3" t="s">
        <v>1751</v>
      </c>
      <c r="B580" s="4" t="n">
        <v>45343</v>
      </c>
      <c r="C580" s="4" t="n">
        <v>45345</v>
      </c>
      <c r="D580" s="3" t="s">
        <v>220</v>
      </c>
      <c r="E580" s="3" t="str">
        <f aca="false">PROPER(TRIM(SUBSTITUTE(Raw_Text_Fields!B581,CHAR(160)," ")))</f>
        <v>Neha Gupta</v>
      </c>
      <c r="F580" s="3" t="str">
        <f aca="false">PROPER(TRIM(SUBSTITUTE(Raw_Text_Fields!C581,CHAR(160)," ")))</f>
        <v>Small Business</v>
      </c>
      <c r="G580" s="3" t="str">
        <f aca="false">PROPER(TRIM(SUBSTITUTE(Raw_Text_Fields!D581,CHAR(160)," ")))</f>
        <v>West</v>
      </c>
      <c r="H580" s="3" t="str">
        <f aca="false">PROPER(TRIM(SUBSTITUTE(Raw_Text_Fields!E581,CHAR(160)," ")))</f>
        <v>Gujarat</v>
      </c>
      <c r="I580" s="3" t="str">
        <f aca="false">PROPER(TRIM(SUBSTITUTE(Raw_Text_Fields!F581,CHAR(160)," ")))</f>
        <v>Ahmedabad</v>
      </c>
      <c r="J580" s="3" t="str">
        <f aca="false">PROPER(TRIM(SUBSTITUTE(Raw_Text_Fields!G581,CHAR(160)," ")))</f>
        <v>Technology</v>
      </c>
      <c r="K580" s="3" t="str">
        <f aca="false">PROPER(TRIM(SUBSTITUTE(Raw_Text_Fields!H581,CHAR(160)," ")))</f>
        <v>Copiers</v>
      </c>
      <c r="L580" s="3" t="s">
        <v>1752</v>
      </c>
      <c r="M580" s="3" t="str">
        <f aca="false">PROPER(TRIM(SUBSTITUTE(Raw_Text_Fields!I581,CHAR(160)," ")))</f>
        <v>First Class</v>
      </c>
      <c r="N580" s="3" t="n">
        <v>6</v>
      </c>
      <c r="O580" s="5" t="n">
        <v>2633.65</v>
      </c>
      <c r="P580" s="6" t="n">
        <v>0.05</v>
      </c>
      <c r="Q580" s="5" t="n">
        <v>15011.81</v>
      </c>
      <c r="R580" s="5" t="n">
        <v>9660.36</v>
      </c>
      <c r="S580" s="5" t="n">
        <v>5351.45</v>
      </c>
      <c r="T580" s="3" t="str">
        <f aca="false">PROPER(TRIM(SUBSTITUTE(Raw_Text_Fields!J581,CHAR(160)," ")))</f>
        <v>Paid</v>
      </c>
      <c r="U580" s="3" t="str">
        <f aca="false">PROPER(TRIM(SUBSTITUTE(Raw_Text_Fields!K581,CHAR(160)," ")))</f>
        <v>Completed</v>
      </c>
      <c r="V580" s="7" t="n">
        <f aca="false">IF(OR(P580&lt;0,P580&gt;0.5),0,P580)</f>
        <v>0.05</v>
      </c>
      <c r="W580" s="8" t="n">
        <f aca="false">N580*O580*(1-V580)</f>
        <v>15011.805</v>
      </c>
      <c r="X580" s="8" t="n">
        <f aca="false">W580-R580</f>
        <v>5351.445</v>
      </c>
      <c r="Y580" s="7" t="n">
        <f aca="false">IFERROR(X580/W580,0)</f>
        <v>0.356482448313178</v>
      </c>
      <c r="Z580" s="9" t="n">
        <f aca="false">C580-B580</f>
        <v>2</v>
      </c>
      <c r="AA580" s="1" t="str">
        <f aca="false">IF(B580="","",TEXT(B580,"mmm"))</f>
        <v>Feb</v>
      </c>
      <c r="AB580" s="9" t="n">
        <f aca="false">IF(B580="","",YEAR(B580))</f>
        <v>2024</v>
      </c>
      <c r="AC580" s="3"/>
      <c r="AD580" s="3" t="str">
        <f aca="false">IF(LEFT(AC580&amp;IF(B580="","; Missing Order Date","")&amp;IF(C580="","; Missing Ship Date","")&amp;IF(P580&lt;0,"; Invalid Discount (Negative)","")&amp;IF(P580&gt;0.5,"; Invalid Discount (Too High)","")&amp;IF(Z580&lt;0,"; Invalid Shipping Record (Ship Before Order)","")&amp;IF(ABS(Q580-W580)&gt;1,"; Sales Mismatch","")&amp;IF(ABS(S580-X580)&gt;1,"; Profit Mismatch","")&amp;IF(COUNTIF($A$2:$A$913,A580)&gt;1,"; Duplicate Order ID Conflict",""),2)="; ",MID(AC580&amp;IF(B580="","; Missing Order Date","")&amp;IF(C580="","; Missing Ship Date","")&amp;IF(P580&lt;0,"; Invalid Discount (Negative)","")&amp;IF(P580&gt;0.5,"; Invalid Discount (Too High)","")&amp;IF(Z580&lt;0,"; Invalid Shipping Record (Ship Before Order)","")&amp;IF(ABS(Q580-W580)&gt;1,"; Sales Mismatch","")&amp;IF(ABS(S580-X580)&gt;1,"; Profit Mismatch","")&amp;IF(COUNTIF($A$2:$A$913,A580)&gt;1,"; Duplicate Order ID Conflict",""),3,500),AC580&amp;IF(B580="","; Missing Order Date","")&amp;IF(C580="","; Missing Ship Date","")&amp;IF(P580&lt;0,"; Invalid Discount (Negative)","")&amp;IF(P580&gt;0.5,"; Invalid Discount (Too High)","")&amp;IF(Z580&lt;0,"; Invalid Shipping Record (Ship Before Order)","")&amp;IF(ABS(Q580-W580)&gt;1,"; Sales Mismatch","")&amp;IF(ABS(S580-X580)&gt;1,"; Profit Mismatch","")&amp;IF(COUNTIF($A$2:$A$913,A580)&gt;1,"; Duplicate Order ID Conflict",""))</f>
        <v/>
      </c>
      <c r="AE580" s="10" t="str">
        <f aca="false">IF(OR(ISNUMBER(SEARCH("Invalid Discount",AD580)),ISNUMBER(SEARCH("Invalid Shipping Record",AD580)),ISNUMBER(SEARCH("Sales Mismatch",AD580)),ISNUMBER(SEARCH("Profit Mismatch",AD580)),ISNUMBER(SEARCH("Duplicate Order ID Conflict",AD580)),ISNUMBER(SEARCH("Missing Order Date",AD580)),ISNUMBER(SEARCH("Missing Ship Date",AD580))),"Invalid",IF(AD580&lt;&gt;"","Warning","Clean"))</f>
        <v>Clean</v>
      </c>
    </row>
    <row r="581" customFormat="false" ht="15" hidden="false" customHeight="true" outlineLevel="0" collapsed="false">
      <c r="A581" s="3" t="s">
        <v>1753</v>
      </c>
      <c r="B581" s="4" t="n">
        <v>45462</v>
      </c>
      <c r="C581" s="4" t="n">
        <v>45467</v>
      </c>
      <c r="D581" s="3" t="s">
        <v>1754</v>
      </c>
      <c r="E581" s="3" t="str">
        <f aca="false">PROPER(TRIM(SUBSTITUTE(Raw_Text_Fields!B582,CHAR(160)," ")))</f>
        <v>Aarav Sharma</v>
      </c>
      <c r="F581" s="3" t="str">
        <f aca="false">PROPER(TRIM(SUBSTITUTE(Raw_Text_Fields!C582,CHAR(160)," ")))</f>
        <v>Small Business</v>
      </c>
      <c r="G581" s="3" t="str">
        <f aca="false">PROPER(TRIM(SUBSTITUTE(Raw_Text_Fields!D582,CHAR(160)," ")))</f>
        <v>South</v>
      </c>
      <c r="H581" s="3" t="str">
        <f aca="false">PROPER(TRIM(SUBSTITUTE(Raw_Text_Fields!E582,CHAR(160)," ")))</f>
        <v>Tamil Nadu</v>
      </c>
      <c r="I581" s="3" t="str">
        <f aca="false">PROPER(TRIM(SUBSTITUTE(Raw_Text_Fields!F582,CHAR(160)," ")))</f>
        <v>Chennai</v>
      </c>
      <c r="J581" s="3" t="str">
        <f aca="false">PROPER(TRIM(SUBSTITUTE(Raw_Text_Fields!G582,CHAR(160)," ")))</f>
        <v>Office Supplies</v>
      </c>
      <c r="K581" s="3" t="str">
        <f aca="false">PROPER(TRIM(SUBSTITUTE(Raw_Text_Fields!H582,CHAR(160)," ")))</f>
        <v>Storage</v>
      </c>
      <c r="L581" s="3" t="s">
        <v>1755</v>
      </c>
      <c r="M581" s="3" t="str">
        <f aca="false">PROPER(TRIM(SUBSTITUTE(Raw_Text_Fields!I582,CHAR(160)," ")))</f>
        <v>Same Day</v>
      </c>
      <c r="N581" s="3" t="n">
        <v>1</v>
      </c>
      <c r="O581" s="5" t="n">
        <v>3202.41</v>
      </c>
      <c r="P581" s="6" t="n">
        <v>0</v>
      </c>
      <c r="Q581" s="5" t="n">
        <v>3202.41</v>
      </c>
      <c r="R581" s="5" t="n">
        <v>2608.44</v>
      </c>
      <c r="S581" s="5" t="n">
        <v>593.97</v>
      </c>
      <c r="T581" s="3" t="str">
        <f aca="false">PROPER(TRIM(SUBSTITUTE(Raw_Text_Fields!J582,CHAR(160)," ")))</f>
        <v>Paid</v>
      </c>
      <c r="U581" s="3" t="str">
        <f aca="false">PROPER(TRIM(SUBSTITUTE(Raw_Text_Fields!K582,CHAR(160)," ")))</f>
        <v>Completed</v>
      </c>
      <c r="V581" s="7" t="n">
        <f aca="false">IF(OR(P581&lt;0,P581&gt;0.5),0,P581)</f>
        <v>0</v>
      </c>
      <c r="W581" s="8" t="n">
        <f aca="false">N581*O581*(1-V581)</f>
        <v>3202.41</v>
      </c>
      <c r="X581" s="8" t="n">
        <f aca="false">W581-R581</f>
        <v>593.97</v>
      </c>
      <c r="Y581" s="7" t="n">
        <f aca="false">IFERROR(X581/W581,0)</f>
        <v>0.185475938433867</v>
      </c>
      <c r="Z581" s="9" t="n">
        <f aca="false">C581-B581</f>
        <v>5</v>
      </c>
      <c r="AA581" s="1" t="str">
        <f aca="false">IF(B581="","",TEXT(B581,"mmm"))</f>
        <v>Jun</v>
      </c>
      <c r="AB581" s="9" t="n">
        <f aca="false">IF(B581="","",YEAR(B581))</f>
        <v>2024</v>
      </c>
      <c r="AC581" s="3"/>
      <c r="AD581" s="3" t="str">
        <f aca="false">IF(LEFT(AC581&amp;IF(B581="","; Missing Order Date","")&amp;IF(C581="","; Missing Ship Date","")&amp;IF(P581&lt;0,"; Invalid Discount (Negative)","")&amp;IF(P581&gt;0.5,"; Invalid Discount (Too High)","")&amp;IF(Z581&lt;0,"; Invalid Shipping Record (Ship Before Order)","")&amp;IF(ABS(Q581-W581)&gt;1,"; Sales Mismatch","")&amp;IF(ABS(S581-X581)&gt;1,"; Profit Mismatch","")&amp;IF(COUNTIF($A$2:$A$913,A581)&gt;1,"; Duplicate Order ID Conflict",""),2)="; ",MID(AC581&amp;IF(B581="","; Missing Order Date","")&amp;IF(C581="","; Missing Ship Date","")&amp;IF(P581&lt;0,"; Invalid Discount (Negative)","")&amp;IF(P581&gt;0.5,"; Invalid Discount (Too High)","")&amp;IF(Z581&lt;0,"; Invalid Shipping Record (Ship Before Order)","")&amp;IF(ABS(Q581-W581)&gt;1,"; Sales Mismatch","")&amp;IF(ABS(S581-X581)&gt;1,"; Profit Mismatch","")&amp;IF(COUNTIF($A$2:$A$913,A581)&gt;1,"; Duplicate Order ID Conflict",""),3,500),AC581&amp;IF(B581="","; Missing Order Date","")&amp;IF(C581="","; Missing Ship Date","")&amp;IF(P581&lt;0,"; Invalid Discount (Negative)","")&amp;IF(P581&gt;0.5,"; Invalid Discount (Too High)","")&amp;IF(Z581&lt;0,"; Invalid Shipping Record (Ship Before Order)","")&amp;IF(ABS(Q581-W581)&gt;1,"; Sales Mismatch","")&amp;IF(ABS(S581-X581)&gt;1,"; Profit Mismatch","")&amp;IF(COUNTIF($A$2:$A$913,A581)&gt;1,"; Duplicate Order ID Conflict",""))</f>
        <v/>
      </c>
      <c r="AE581" s="10" t="str">
        <f aca="false">IF(OR(ISNUMBER(SEARCH("Invalid Discount",AD581)),ISNUMBER(SEARCH("Invalid Shipping Record",AD581)),ISNUMBER(SEARCH("Sales Mismatch",AD581)),ISNUMBER(SEARCH("Profit Mismatch",AD581)),ISNUMBER(SEARCH("Duplicate Order ID Conflict",AD581)),ISNUMBER(SEARCH("Missing Order Date",AD581)),ISNUMBER(SEARCH("Missing Ship Date",AD581))),"Invalid",IF(AD581&lt;&gt;"","Warning","Clean"))</f>
        <v>Clean</v>
      </c>
    </row>
    <row r="582" customFormat="false" ht="15" hidden="false" customHeight="true" outlineLevel="0" collapsed="false">
      <c r="A582" s="3" t="s">
        <v>1756</v>
      </c>
      <c r="B582" s="4" t="n">
        <v>45722</v>
      </c>
      <c r="C582" s="4" t="n">
        <v>45729</v>
      </c>
      <c r="D582" s="3" t="s">
        <v>1757</v>
      </c>
      <c r="E582" s="3" t="str">
        <f aca="false">PROPER(TRIM(SUBSTITUTE(Raw_Text_Fields!B583,CHAR(160)," ")))</f>
        <v>Kabir Singh</v>
      </c>
      <c r="F582" s="3" t="str">
        <f aca="false">PROPER(TRIM(SUBSTITUTE(Raw_Text_Fields!C583,CHAR(160)," ")))</f>
        <v>Consumer</v>
      </c>
      <c r="G582" s="3" t="str">
        <f aca="false">PROPER(TRIM(SUBSTITUTE(Raw_Text_Fields!D583,CHAR(160)," ")))</f>
        <v>South</v>
      </c>
      <c r="H582" s="3" t="str">
        <f aca="false">PROPER(TRIM(SUBSTITUTE(Raw_Text_Fields!E583,CHAR(160)," ")))</f>
        <v>Kerala</v>
      </c>
      <c r="I582" s="3" t="str">
        <f aca="false">PROPER(TRIM(SUBSTITUTE(Raw_Text_Fields!F583,CHAR(160)," ")))</f>
        <v>Kochi</v>
      </c>
      <c r="J582" s="3" t="str">
        <f aca="false">PROPER(TRIM(SUBSTITUTE(Raw_Text_Fields!G583,CHAR(160)," ")))</f>
        <v>Furniture</v>
      </c>
      <c r="K582" s="3" t="str">
        <f aca="false">PROPER(TRIM(SUBSTITUTE(Raw_Text_Fields!H583,CHAR(160)," ")))</f>
        <v>Chairs</v>
      </c>
      <c r="L582" s="3" t="s">
        <v>1758</v>
      </c>
      <c r="M582" s="3" t="str">
        <f aca="false">PROPER(TRIM(SUBSTITUTE(Raw_Text_Fields!I583,CHAR(160)," ")))</f>
        <v>Standard Class</v>
      </c>
      <c r="N582" s="3" t="n">
        <v>3</v>
      </c>
      <c r="O582" s="5" t="n">
        <v>163.72</v>
      </c>
      <c r="P582" s="6" t="n">
        <v>0.15</v>
      </c>
      <c r="Q582" s="5" t="n">
        <v>417.49</v>
      </c>
      <c r="R582" s="5" t="n">
        <v>261.67</v>
      </c>
      <c r="S582" s="5" t="n">
        <v>155.82</v>
      </c>
      <c r="T582" s="3" t="str">
        <f aca="false">PROPER(TRIM(SUBSTITUTE(Raw_Text_Fields!J583,CHAR(160)," ")))</f>
        <v>Failed</v>
      </c>
      <c r="U582" s="3" t="str">
        <f aca="false">PROPER(TRIM(SUBSTITUTE(Raw_Text_Fields!K583,CHAR(160)," ")))</f>
        <v>Returned</v>
      </c>
      <c r="V582" s="7" t="n">
        <f aca="false">IF(OR(P582&lt;0,P582&gt;0.5),0,P582)</f>
        <v>0.15</v>
      </c>
      <c r="W582" s="8" t="n">
        <f aca="false">N582*O582*(1-V582)</f>
        <v>417.486</v>
      </c>
      <c r="X582" s="8" t="n">
        <f aca="false">W582-R582</f>
        <v>155.816</v>
      </c>
      <c r="Y582" s="7" t="n">
        <f aca="false">IFERROR(X582/W582,0)</f>
        <v>0.373224491360189</v>
      </c>
      <c r="Z582" s="9" t="n">
        <f aca="false">C582-B582</f>
        <v>7</v>
      </c>
      <c r="AA582" s="1" t="str">
        <f aca="false">IF(B582="","",TEXT(B582,"mmm"))</f>
        <v>Mar</v>
      </c>
      <c r="AB582" s="9" t="n">
        <f aca="false">IF(B582="","",YEAR(B582))</f>
        <v>2025</v>
      </c>
      <c r="AC582" s="3"/>
      <c r="AD582" s="3" t="str">
        <f aca="false">IF(LEFT(AC582&amp;IF(B582="","; Missing Order Date","")&amp;IF(C582="","; Missing Ship Date","")&amp;IF(P582&lt;0,"; Invalid Discount (Negative)","")&amp;IF(P582&gt;0.5,"; Invalid Discount (Too High)","")&amp;IF(Z582&lt;0,"; Invalid Shipping Record (Ship Before Order)","")&amp;IF(ABS(Q582-W582)&gt;1,"; Sales Mismatch","")&amp;IF(ABS(S582-X582)&gt;1,"; Profit Mismatch","")&amp;IF(COUNTIF($A$2:$A$913,A582)&gt;1,"; Duplicate Order ID Conflict",""),2)="; ",MID(AC582&amp;IF(B582="","; Missing Order Date","")&amp;IF(C582="","; Missing Ship Date","")&amp;IF(P582&lt;0,"; Invalid Discount (Negative)","")&amp;IF(P582&gt;0.5,"; Invalid Discount (Too High)","")&amp;IF(Z582&lt;0,"; Invalid Shipping Record (Ship Before Order)","")&amp;IF(ABS(Q582-W582)&gt;1,"; Sales Mismatch","")&amp;IF(ABS(S582-X582)&gt;1,"; Profit Mismatch","")&amp;IF(COUNTIF($A$2:$A$913,A582)&gt;1,"; Duplicate Order ID Conflict",""),3,500),AC582&amp;IF(B582="","; Missing Order Date","")&amp;IF(C582="","; Missing Ship Date","")&amp;IF(P582&lt;0,"; Invalid Discount (Negative)","")&amp;IF(P582&gt;0.5,"; Invalid Discount (Too High)","")&amp;IF(Z582&lt;0,"; Invalid Shipping Record (Ship Before Order)","")&amp;IF(ABS(Q582-W582)&gt;1,"; Sales Mismatch","")&amp;IF(ABS(S582-X582)&gt;1,"; Profit Mismatch","")&amp;IF(COUNTIF($A$2:$A$913,A582)&gt;1,"; Duplicate Order ID Conflict",""))</f>
        <v/>
      </c>
      <c r="AE582" s="10" t="str">
        <f aca="false">IF(OR(ISNUMBER(SEARCH("Invalid Discount",AD582)),ISNUMBER(SEARCH("Invalid Shipping Record",AD582)),ISNUMBER(SEARCH("Sales Mismatch",AD582)),ISNUMBER(SEARCH("Profit Mismatch",AD582)),ISNUMBER(SEARCH("Duplicate Order ID Conflict",AD582)),ISNUMBER(SEARCH("Missing Order Date",AD582)),ISNUMBER(SEARCH("Missing Ship Date",AD582))),"Invalid",IF(AD582&lt;&gt;"","Warning","Clean"))</f>
        <v>Clean</v>
      </c>
    </row>
    <row r="583" customFormat="false" ht="15" hidden="false" customHeight="true" outlineLevel="0" collapsed="false">
      <c r="A583" s="3" t="s">
        <v>1759</v>
      </c>
      <c r="B583" s="4" t="n">
        <v>45878</v>
      </c>
      <c r="C583" s="4" t="n">
        <v>45879</v>
      </c>
      <c r="D583" s="3" t="s">
        <v>1760</v>
      </c>
      <c r="E583" s="3" t="str">
        <f aca="false">PROPER(TRIM(SUBSTITUTE(Raw_Text_Fields!B584,CHAR(160)," ")))</f>
        <v>Neha Gupta</v>
      </c>
      <c r="F583" s="3" t="str">
        <f aca="false">PROPER(TRIM(SUBSTITUTE(Raw_Text_Fields!C584,CHAR(160)," ")))</f>
        <v>Consumer</v>
      </c>
      <c r="G583" s="3" t="str">
        <f aca="false">PROPER(TRIM(SUBSTITUTE(Raw_Text_Fields!D584,CHAR(160)," ")))</f>
        <v>North</v>
      </c>
      <c r="H583" s="3" t="str">
        <f aca="false">PROPER(TRIM(SUBSTITUTE(Raw_Text_Fields!E584,CHAR(160)," ")))</f>
        <v>Delhi</v>
      </c>
      <c r="I583" s="3" t="str">
        <f aca="false">PROPER(TRIM(SUBSTITUTE(Raw_Text_Fields!F584,CHAR(160)," ")))</f>
        <v>New Delhi</v>
      </c>
      <c r="J583" s="3" t="str">
        <f aca="false">PROPER(TRIM(SUBSTITUTE(Raw_Text_Fields!G584,CHAR(160)," ")))</f>
        <v>Office Supplies</v>
      </c>
      <c r="K583" s="3" t="str">
        <f aca="false">PROPER(TRIM(SUBSTITUTE(Raw_Text_Fields!H584,CHAR(160)," ")))</f>
        <v>Art</v>
      </c>
      <c r="L583" s="3" t="s">
        <v>1761</v>
      </c>
      <c r="M583" s="3" t="str">
        <f aca="false">PROPER(TRIM(SUBSTITUTE(Raw_Text_Fields!I584,CHAR(160)," ")))</f>
        <v>Second Class</v>
      </c>
      <c r="N583" s="3" t="n">
        <v>4</v>
      </c>
      <c r="O583" s="5" t="n">
        <v>4080.95</v>
      </c>
      <c r="P583" s="6" t="n">
        <v>0</v>
      </c>
      <c r="Q583" s="5" t="n">
        <v>16323.8</v>
      </c>
      <c r="R583" s="5" t="n">
        <v>9965.79</v>
      </c>
      <c r="S583" s="5" t="n">
        <v>6358.01</v>
      </c>
      <c r="T583" s="3" t="str">
        <f aca="false">PROPER(TRIM(SUBSTITUTE(Raw_Text_Fields!J584,CHAR(160)," ")))</f>
        <v>Refunded</v>
      </c>
      <c r="U583" s="3" t="str">
        <f aca="false">PROPER(TRIM(SUBSTITUTE(Raw_Text_Fields!K584,CHAR(160)," ")))</f>
        <v>Returned</v>
      </c>
      <c r="V583" s="7" t="n">
        <f aca="false">IF(OR(P583&lt;0,P583&gt;0.5),0,P583)</f>
        <v>0</v>
      </c>
      <c r="W583" s="8" t="n">
        <f aca="false">N583*O583*(1-V583)</f>
        <v>16323.8</v>
      </c>
      <c r="X583" s="8" t="n">
        <f aca="false">W583-R583</f>
        <v>6358.01</v>
      </c>
      <c r="Y583" s="7" t="n">
        <f aca="false">IFERROR(X583/W583,0)</f>
        <v>0.38949325524694</v>
      </c>
      <c r="Z583" s="9" t="n">
        <f aca="false">C583-B583</f>
        <v>1</v>
      </c>
      <c r="AA583" s="1" t="str">
        <f aca="false">IF(B583="","",TEXT(B583,"mmm"))</f>
        <v>Aug</v>
      </c>
      <c r="AB583" s="9" t="n">
        <f aca="false">IF(B583="","",YEAR(B583))</f>
        <v>2025</v>
      </c>
      <c r="AC583" s="3"/>
      <c r="AD583" s="3" t="str">
        <f aca="false">IF(LEFT(AC583&amp;IF(B583="","; Missing Order Date","")&amp;IF(C583="","; Missing Ship Date","")&amp;IF(P583&lt;0,"; Invalid Discount (Negative)","")&amp;IF(P583&gt;0.5,"; Invalid Discount (Too High)","")&amp;IF(Z583&lt;0,"; Invalid Shipping Record (Ship Before Order)","")&amp;IF(ABS(Q583-W583)&gt;1,"; Sales Mismatch","")&amp;IF(ABS(S583-X583)&gt;1,"; Profit Mismatch","")&amp;IF(COUNTIF($A$2:$A$913,A583)&gt;1,"; Duplicate Order ID Conflict",""),2)="; ",MID(AC583&amp;IF(B583="","; Missing Order Date","")&amp;IF(C583="","; Missing Ship Date","")&amp;IF(P583&lt;0,"; Invalid Discount (Negative)","")&amp;IF(P583&gt;0.5,"; Invalid Discount (Too High)","")&amp;IF(Z583&lt;0,"; Invalid Shipping Record (Ship Before Order)","")&amp;IF(ABS(Q583-W583)&gt;1,"; Sales Mismatch","")&amp;IF(ABS(S583-X583)&gt;1,"; Profit Mismatch","")&amp;IF(COUNTIF($A$2:$A$913,A583)&gt;1,"; Duplicate Order ID Conflict",""),3,500),AC583&amp;IF(B583="","; Missing Order Date","")&amp;IF(C583="","; Missing Ship Date","")&amp;IF(P583&lt;0,"; Invalid Discount (Negative)","")&amp;IF(P583&gt;0.5,"; Invalid Discount (Too High)","")&amp;IF(Z583&lt;0,"; Invalid Shipping Record (Ship Before Order)","")&amp;IF(ABS(Q583-W583)&gt;1,"; Sales Mismatch","")&amp;IF(ABS(S583-X583)&gt;1,"; Profit Mismatch","")&amp;IF(COUNTIF($A$2:$A$913,A583)&gt;1,"; Duplicate Order ID Conflict",""))</f>
        <v/>
      </c>
      <c r="AE583" s="10" t="str">
        <f aca="false">IF(OR(ISNUMBER(SEARCH("Invalid Discount",AD583)),ISNUMBER(SEARCH("Invalid Shipping Record",AD583)),ISNUMBER(SEARCH("Sales Mismatch",AD583)),ISNUMBER(SEARCH("Profit Mismatch",AD583)),ISNUMBER(SEARCH("Duplicate Order ID Conflict",AD583)),ISNUMBER(SEARCH("Missing Order Date",AD583)),ISNUMBER(SEARCH("Missing Ship Date",AD583))),"Invalid",IF(AD583&lt;&gt;"","Warning","Clean"))</f>
        <v>Clean</v>
      </c>
    </row>
    <row r="584" customFormat="false" ht="15" hidden="false" customHeight="true" outlineLevel="0" collapsed="false">
      <c r="A584" s="3" t="s">
        <v>1762</v>
      </c>
      <c r="B584" s="4" t="n">
        <v>45580</v>
      </c>
      <c r="C584" s="4" t="n">
        <v>45585</v>
      </c>
      <c r="D584" s="3" t="s">
        <v>1763</v>
      </c>
      <c r="E584" s="3" t="str">
        <f aca="false">PROPER(TRIM(SUBSTITUTE(Raw_Text_Fields!B585,CHAR(160)," ")))</f>
        <v>Ananya Rao</v>
      </c>
      <c r="F584" s="3" t="str">
        <f aca="false">PROPER(TRIM(SUBSTITUTE(Raw_Text_Fields!C585,CHAR(160)," ")))</f>
        <v>Consumer</v>
      </c>
      <c r="G584" s="3" t="str">
        <f aca="false">PROPER(TRIM(SUBSTITUTE(Raw_Text_Fields!D585,CHAR(160)," ")))</f>
        <v>East</v>
      </c>
      <c r="H584" s="3" t="str">
        <f aca="false">PROPER(TRIM(SUBSTITUTE(Raw_Text_Fields!E585,CHAR(160)," ")))</f>
        <v>Odisha</v>
      </c>
      <c r="I584" s="3" t="str">
        <f aca="false">PROPER(TRIM(SUBSTITUTE(Raw_Text_Fields!F585,CHAR(160)," ")))</f>
        <v>Bhubaneswar</v>
      </c>
      <c r="J584" s="3" t="str">
        <f aca="false">PROPER(TRIM(SUBSTITUTE(Raw_Text_Fields!G585,CHAR(160)," ")))</f>
        <v>Office Supplies</v>
      </c>
      <c r="K584" s="3" t="str">
        <f aca="false">PROPER(TRIM(SUBSTITUTE(Raw_Text_Fields!H585,CHAR(160)," ")))</f>
        <v>Art</v>
      </c>
      <c r="L584" s="3" t="s">
        <v>1764</v>
      </c>
      <c r="M584" s="3" t="str">
        <f aca="false">PROPER(TRIM(SUBSTITUTE(Raw_Text_Fields!I585,CHAR(160)," ")))</f>
        <v>First Class</v>
      </c>
      <c r="N584" s="3" t="n">
        <v>5</v>
      </c>
      <c r="O584" s="5" t="n">
        <v>671.24</v>
      </c>
      <c r="P584" s="6" t="n">
        <v>0</v>
      </c>
      <c r="Q584" s="5" t="n">
        <v>3356.2</v>
      </c>
      <c r="R584" s="5" t="n">
        <v>2205.72</v>
      </c>
      <c r="S584" s="5" t="n">
        <v>1150.48</v>
      </c>
      <c r="T584" s="3" t="str">
        <f aca="false">PROPER(TRIM(SUBSTITUTE(Raw_Text_Fields!J585,CHAR(160)," ")))</f>
        <v>Pending</v>
      </c>
      <c r="U584" s="3" t="str">
        <f aca="false">PROPER(TRIM(SUBSTITUTE(Raw_Text_Fields!K585,CHAR(160)," ")))</f>
        <v>Returned</v>
      </c>
      <c r="V584" s="7" t="n">
        <f aca="false">IF(OR(P584&lt;0,P584&gt;0.5),0,P584)</f>
        <v>0</v>
      </c>
      <c r="W584" s="8" t="n">
        <f aca="false">N584*O584*(1-V584)</f>
        <v>3356.2</v>
      </c>
      <c r="X584" s="8" t="n">
        <f aca="false">W584-R584</f>
        <v>1150.48</v>
      </c>
      <c r="Y584" s="7" t="n">
        <f aca="false">IFERROR(X584/W584,0)</f>
        <v>0.34279244383529</v>
      </c>
      <c r="Z584" s="9" t="n">
        <f aca="false">C584-B584</f>
        <v>5</v>
      </c>
      <c r="AA584" s="1" t="str">
        <f aca="false">IF(B584="","",TEXT(B584,"mmm"))</f>
        <v>Oct</v>
      </c>
      <c r="AB584" s="9" t="n">
        <f aca="false">IF(B584="","",YEAR(B584))</f>
        <v>2024</v>
      </c>
      <c r="AC584" s="3"/>
      <c r="AD584" s="3" t="str">
        <f aca="false">IF(LEFT(AC584&amp;IF(B584="","; Missing Order Date","")&amp;IF(C584="","; Missing Ship Date","")&amp;IF(P584&lt;0,"; Invalid Discount (Negative)","")&amp;IF(P584&gt;0.5,"; Invalid Discount (Too High)","")&amp;IF(Z584&lt;0,"; Invalid Shipping Record (Ship Before Order)","")&amp;IF(ABS(Q584-W584)&gt;1,"; Sales Mismatch","")&amp;IF(ABS(S584-X584)&gt;1,"; Profit Mismatch","")&amp;IF(COUNTIF($A$2:$A$913,A584)&gt;1,"; Duplicate Order ID Conflict",""),2)="; ",MID(AC584&amp;IF(B584="","; Missing Order Date","")&amp;IF(C584="","; Missing Ship Date","")&amp;IF(P584&lt;0,"; Invalid Discount (Negative)","")&amp;IF(P584&gt;0.5,"; Invalid Discount (Too High)","")&amp;IF(Z584&lt;0,"; Invalid Shipping Record (Ship Before Order)","")&amp;IF(ABS(Q584-W584)&gt;1,"; Sales Mismatch","")&amp;IF(ABS(S584-X584)&gt;1,"; Profit Mismatch","")&amp;IF(COUNTIF($A$2:$A$913,A584)&gt;1,"; Duplicate Order ID Conflict",""),3,500),AC584&amp;IF(B584="","; Missing Order Date","")&amp;IF(C584="","; Missing Ship Date","")&amp;IF(P584&lt;0,"; Invalid Discount (Negative)","")&amp;IF(P584&gt;0.5,"; Invalid Discount (Too High)","")&amp;IF(Z584&lt;0,"; Invalid Shipping Record (Ship Before Order)","")&amp;IF(ABS(Q584-W584)&gt;1,"; Sales Mismatch","")&amp;IF(ABS(S584-X584)&gt;1,"; Profit Mismatch","")&amp;IF(COUNTIF($A$2:$A$913,A584)&gt;1,"; Duplicate Order ID Conflict",""))</f>
        <v/>
      </c>
      <c r="AE584" s="10" t="str">
        <f aca="false">IF(OR(ISNUMBER(SEARCH("Invalid Discount",AD584)),ISNUMBER(SEARCH("Invalid Shipping Record",AD584)),ISNUMBER(SEARCH("Sales Mismatch",AD584)),ISNUMBER(SEARCH("Profit Mismatch",AD584)),ISNUMBER(SEARCH("Duplicate Order ID Conflict",AD584)),ISNUMBER(SEARCH("Missing Order Date",AD584)),ISNUMBER(SEARCH("Missing Ship Date",AD584))),"Invalid",IF(AD584&lt;&gt;"","Warning","Clean"))</f>
        <v>Clean</v>
      </c>
    </row>
    <row r="585" customFormat="false" ht="15" hidden="false" customHeight="true" outlineLevel="0" collapsed="false">
      <c r="A585" s="3" t="s">
        <v>1765</v>
      </c>
      <c r="B585" s="4" t="n">
        <v>45350</v>
      </c>
      <c r="C585" s="4" t="n">
        <v>45350</v>
      </c>
      <c r="D585" s="3" t="s">
        <v>1766</v>
      </c>
      <c r="E585" s="3" t="str">
        <f aca="false">PROPER(TRIM(SUBSTITUTE(Raw_Text_Fields!B586,CHAR(160)," ")))</f>
        <v>Rohan Mehta</v>
      </c>
      <c r="F585" s="3" t="str">
        <f aca="false">PROPER(TRIM(SUBSTITUTE(Raw_Text_Fields!C586,CHAR(160)," ")))</f>
        <v>Small Business</v>
      </c>
      <c r="G585" s="3" t="str">
        <f aca="false">PROPER(TRIM(SUBSTITUTE(Raw_Text_Fields!D586,CHAR(160)," ")))</f>
        <v>East</v>
      </c>
      <c r="H585" s="3" t="str">
        <f aca="false">PROPER(TRIM(SUBSTITUTE(Raw_Text_Fields!E586,CHAR(160)," ")))</f>
        <v>West Bengal</v>
      </c>
      <c r="I585" s="3" t="str">
        <f aca="false">PROPER(TRIM(SUBSTITUTE(Raw_Text_Fields!F586,CHAR(160)," ")))</f>
        <v>Kolkata</v>
      </c>
      <c r="J585" s="3" t="str">
        <f aca="false">PROPER(TRIM(SUBSTITUTE(Raw_Text_Fields!G586,CHAR(160)," ")))</f>
        <v>Office Supplies</v>
      </c>
      <c r="K585" s="3" t="str">
        <f aca="false">PROPER(TRIM(SUBSTITUTE(Raw_Text_Fields!H586,CHAR(160)," ")))</f>
        <v>Storage</v>
      </c>
      <c r="L585" s="3" t="s">
        <v>1767</v>
      </c>
      <c r="M585" s="3" t="str">
        <f aca="false">PROPER(TRIM(SUBSTITUTE(Raw_Text_Fields!I586,CHAR(160)," ")))</f>
        <v>First Class</v>
      </c>
      <c r="N585" s="3" t="n">
        <v>1</v>
      </c>
      <c r="O585" s="5" t="n">
        <v>2626.84</v>
      </c>
      <c r="P585" s="6" t="n">
        <v>0.2</v>
      </c>
      <c r="Q585" s="5" t="n">
        <v>2101.47</v>
      </c>
      <c r="R585" s="5" t="n">
        <v>1217.83</v>
      </c>
      <c r="S585" s="5" t="n">
        <v>883.64</v>
      </c>
      <c r="T585" s="3" t="str">
        <f aca="false">PROPER(TRIM(SUBSTITUTE(Raw_Text_Fields!J586,CHAR(160)," ")))</f>
        <v>Failed</v>
      </c>
      <c r="U585" s="3" t="str">
        <f aca="false">PROPER(TRIM(SUBSTITUTE(Raw_Text_Fields!K586,CHAR(160)," ")))</f>
        <v>Returned</v>
      </c>
      <c r="V585" s="7" t="n">
        <f aca="false">IF(OR(P585&lt;0,P585&gt;0.5),0,P585)</f>
        <v>0.2</v>
      </c>
      <c r="W585" s="8" t="n">
        <f aca="false">N585*O585*(1-V585)</f>
        <v>2101.472</v>
      </c>
      <c r="X585" s="8" t="n">
        <f aca="false">W585-R585</f>
        <v>883.642</v>
      </c>
      <c r="Y585" s="7" t="n">
        <f aca="false">IFERROR(X585/W585,0)</f>
        <v>0.420487163283641</v>
      </c>
      <c r="Z585" s="9" t="n">
        <f aca="false">C585-B585</f>
        <v>0</v>
      </c>
      <c r="AA585" s="1" t="str">
        <f aca="false">IF(B585="","",TEXT(B585,"mmm"))</f>
        <v>Feb</v>
      </c>
      <c r="AB585" s="9" t="n">
        <f aca="false">IF(B585="","",YEAR(B585))</f>
        <v>2024</v>
      </c>
      <c r="AC585" s="3"/>
      <c r="AD585" s="3" t="str">
        <f aca="false">IF(LEFT(AC585&amp;IF(B585="","; Missing Order Date","")&amp;IF(C585="","; Missing Ship Date","")&amp;IF(P585&lt;0,"; Invalid Discount (Negative)","")&amp;IF(P585&gt;0.5,"; Invalid Discount (Too High)","")&amp;IF(Z585&lt;0,"; Invalid Shipping Record (Ship Before Order)","")&amp;IF(ABS(Q585-W585)&gt;1,"; Sales Mismatch","")&amp;IF(ABS(S585-X585)&gt;1,"; Profit Mismatch","")&amp;IF(COUNTIF($A$2:$A$913,A585)&gt;1,"; Duplicate Order ID Conflict",""),2)="; ",MID(AC585&amp;IF(B585="","; Missing Order Date","")&amp;IF(C585="","; Missing Ship Date","")&amp;IF(P585&lt;0,"; Invalid Discount (Negative)","")&amp;IF(P585&gt;0.5,"; Invalid Discount (Too High)","")&amp;IF(Z585&lt;0,"; Invalid Shipping Record (Ship Before Order)","")&amp;IF(ABS(Q585-W585)&gt;1,"; Sales Mismatch","")&amp;IF(ABS(S585-X585)&gt;1,"; Profit Mismatch","")&amp;IF(COUNTIF($A$2:$A$913,A585)&gt;1,"; Duplicate Order ID Conflict",""),3,500),AC585&amp;IF(B585="","; Missing Order Date","")&amp;IF(C585="","; Missing Ship Date","")&amp;IF(P585&lt;0,"; Invalid Discount (Negative)","")&amp;IF(P585&gt;0.5,"; Invalid Discount (Too High)","")&amp;IF(Z585&lt;0,"; Invalid Shipping Record (Ship Before Order)","")&amp;IF(ABS(Q585-W585)&gt;1,"; Sales Mismatch","")&amp;IF(ABS(S585-X585)&gt;1,"; Profit Mismatch","")&amp;IF(COUNTIF($A$2:$A$913,A585)&gt;1,"; Duplicate Order ID Conflict",""))</f>
        <v/>
      </c>
      <c r="AE585" s="10" t="str">
        <f aca="false">IF(OR(ISNUMBER(SEARCH("Invalid Discount",AD585)),ISNUMBER(SEARCH("Invalid Shipping Record",AD585)),ISNUMBER(SEARCH("Sales Mismatch",AD585)),ISNUMBER(SEARCH("Profit Mismatch",AD585)),ISNUMBER(SEARCH("Duplicate Order ID Conflict",AD585)),ISNUMBER(SEARCH("Missing Order Date",AD585)),ISNUMBER(SEARCH("Missing Ship Date",AD585))),"Invalid",IF(AD585&lt;&gt;"","Warning","Clean"))</f>
        <v>Clean</v>
      </c>
    </row>
    <row r="586" customFormat="false" ht="15" hidden="false" customHeight="true" outlineLevel="0" collapsed="false">
      <c r="A586" s="3" t="s">
        <v>1768</v>
      </c>
      <c r="B586" s="4" t="n">
        <v>45508</v>
      </c>
      <c r="C586" s="4" t="n">
        <v>45514</v>
      </c>
      <c r="D586" s="3" t="s">
        <v>1769</v>
      </c>
      <c r="E586" s="3" t="str">
        <f aca="false">PROPER(TRIM(SUBSTITUTE(Raw_Text_Fields!B587,CHAR(160)," ")))</f>
        <v>Vikram Iyer</v>
      </c>
      <c r="F586" s="3" t="str">
        <f aca="false">PROPER(TRIM(SUBSTITUTE(Raw_Text_Fields!C587,CHAR(160)," ")))</f>
        <v>Consumer</v>
      </c>
      <c r="G586" s="3" t="str">
        <f aca="false">PROPER(TRIM(SUBSTITUTE(Raw_Text_Fields!D587,CHAR(160)," ")))</f>
        <v>East</v>
      </c>
      <c r="H586" s="3" t="str">
        <f aca="false">PROPER(TRIM(SUBSTITUTE(Raw_Text_Fields!E587,CHAR(160)," ")))</f>
        <v>Bihar</v>
      </c>
      <c r="I586" s="3" t="str">
        <f aca="false">PROPER(TRIM(SUBSTITUTE(Raw_Text_Fields!F587,CHAR(160)," ")))</f>
        <v>Patna</v>
      </c>
      <c r="J586" s="3" t="str">
        <f aca="false">PROPER(TRIM(SUBSTITUTE(Raw_Text_Fields!G587,CHAR(160)," ")))</f>
        <v>Office Supplies</v>
      </c>
      <c r="K586" s="3" t="str">
        <f aca="false">PROPER(TRIM(SUBSTITUTE(Raw_Text_Fields!H587,CHAR(160)," ")))</f>
        <v>Art</v>
      </c>
      <c r="L586" s="3" t="s">
        <v>1770</v>
      </c>
      <c r="M586" s="3" t="str">
        <f aca="false">PROPER(TRIM(SUBSTITUTE(Raw_Text_Fields!I587,CHAR(160)," ")))</f>
        <v>Same Day</v>
      </c>
      <c r="N586" s="3" t="n">
        <v>1</v>
      </c>
      <c r="O586" s="5" t="n">
        <v>984.93</v>
      </c>
      <c r="P586" s="6" t="n">
        <v>0.15</v>
      </c>
      <c r="Q586" s="5" t="n">
        <v>837.19</v>
      </c>
      <c r="R586" s="5" t="n">
        <v>583.79</v>
      </c>
      <c r="S586" s="5" t="n">
        <v>253.4</v>
      </c>
      <c r="T586" s="3" t="str">
        <f aca="false">PROPER(TRIM(SUBSTITUTE(Raw_Text_Fields!J587,CHAR(160)," ")))</f>
        <v>Pending</v>
      </c>
      <c r="U586" s="3" t="str">
        <f aca="false">PROPER(TRIM(SUBSTITUTE(Raw_Text_Fields!K587,CHAR(160)," ")))</f>
        <v>Returned</v>
      </c>
      <c r="V586" s="7" t="n">
        <f aca="false">IF(OR(P586&lt;0,P586&gt;0.5),0,P586)</f>
        <v>0.15</v>
      </c>
      <c r="W586" s="8" t="n">
        <f aca="false">N586*O586*(1-V586)</f>
        <v>837.1905</v>
      </c>
      <c r="X586" s="8" t="n">
        <f aca="false">W586-R586</f>
        <v>253.4005</v>
      </c>
      <c r="Y586" s="7" t="n">
        <f aca="false">IFERROR(X586/W586,0)</f>
        <v>0.302679617124179</v>
      </c>
      <c r="Z586" s="9" t="n">
        <f aca="false">C586-B586</f>
        <v>6</v>
      </c>
      <c r="AA586" s="1" t="str">
        <f aca="false">IF(B586="","",TEXT(B586,"mmm"))</f>
        <v>Aug</v>
      </c>
      <c r="AB586" s="9" t="n">
        <f aca="false">IF(B586="","",YEAR(B586))</f>
        <v>2024</v>
      </c>
      <c r="AC586" s="3"/>
      <c r="AD586" s="3" t="str">
        <f aca="false">IF(LEFT(AC586&amp;IF(B586="","; Missing Order Date","")&amp;IF(C586="","; Missing Ship Date","")&amp;IF(P586&lt;0,"; Invalid Discount (Negative)","")&amp;IF(P586&gt;0.5,"; Invalid Discount (Too High)","")&amp;IF(Z586&lt;0,"; Invalid Shipping Record (Ship Before Order)","")&amp;IF(ABS(Q586-W586)&gt;1,"; Sales Mismatch","")&amp;IF(ABS(S586-X586)&gt;1,"; Profit Mismatch","")&amp;IF(COUNTIF($A$2:$A$913,A586)&gt;1,"; Duplicate Order ID Conflict",""),2)="; ",MID(AC586&amp;IF(B586="","; Missing Order Date","")&amp;IF(C586="","; Missing Ship Date","")&amp;IF(P586&lt;0,"; Invalid Discount (Negative)","")&amp;IF(P586&gt;0.5,"; Invalid Discount (Too High)","")&amp;IF(Z586&lt;0,"; Invalid Shipping Record (Ship Before Order)","")&amp;IF(ABS(Q586-W586)&gt;1,"; Sales Mismatch","")&amp;IF(ABS(S586-X586)&gt;1,"; Profit Mismatch","")&amp;IF(COUNTIF($A$2:$A$913,A586)&gt;1,"; Duplicate Order ID Conflict",""),3,500),AC586&amp;IF(B586="","; Missing Order Date","")&amp;IF(C586="","; Missing Ship Date","")&amp;IF(P586&lt;0,"; Invalid Discount (Negative)","")&amp;IF(P586&gt;0.5,"; Invalid Discount (Too High)","")&amp;IF(Z586&lt;0,"; Invalid Shipping Record (Ship Before Order)","")&amp;IF(ABS(Q586-W586)&gt;1,"; Sales Mismatch","")&amp;IF(ABS(S586-X586)&gt;1,"; Profit Mismatch","")&amp;IF(COUNTIF($A$2:$A$913,A586)&gt;1,"; Duplicate Order ID Conflict",""))</f>
        <v/>
      </c>
      <c r="AE586" s="10" t="str">
        <f aca="false">IF(OR(ISNUMBER(SEARCH("Invalid Discount",AD586)),ISNUMBER(SEARCH("Invalid Shipping Record",AD586)),ISNUMBER(SEARCH("Sales Mismatch",AD586)),ISNUMBER(SEARCH("Profit Mismatch",AD586)),ISNUMBER(SEARCH("Duplicate Order ID Conflict",AD586)),ISNUMBER(SEARCH("Missing Order Date",AD586)),ISNUMBER(SEARCH("Missing Ship Date",AD586))),"Invalid",IF(AD586&lt;&gt;"","Warning","Clean"))</f>
        <v>Clean</v>
      </c>
    </row>
    <row r="587" customFormat="false" ht="15" hidden="false" customHeight="true" outlineLevel="0" collapsed="false">
      <c r="A587" s="3" t="s">
        <v>1771</v>
      </c>
      <c r="B587" s="4" t="n">
        <v>45830</v>
      </c>
      <c r="C587" s="4" t="n">
        <v>45833</v>
      </c>
      <c r="D587" s="3" t="s">
        <v>1772</v>
      </c>
      <c r="E587" s="3" t="str">
        <f aca="false">PROPER(TRIM(SUBSTITUTE(Raw_Text_Fields!B588,CHAR(160)," ")))</f>
        <v>Diya Patel</v>
      </c>
      <c r="F587" s="3" t="str">
        <f aca="false">PROPER(TRIM(SUBSTITUTE(Raw_Text_Fields!C588,CHAR(160)," ")))</f>
        <v>Small Business</v>
      </c>
      <c r="G587" s="3" t="str">
        <f aca="false">PROPER(TRIM(SUBSTITUTE(Raw_Text_Fields!D588,CHAR(160)," ")))</f>
        <v>West</v>
      </c>
      <c r="H587" s="3" t="str">
        <f aca="false">PROPER(TRIM(SUBSTITUTE(Raw_Text_Fields!E588,CHAR(160)," ")))</f>
        <v>Maharashtra</v>
      </c>
      <c r="I587" s="3" t="str">
        <f aca="false">PROPER(TRIM(SUBSTITUTE(Raw_Text_Fields!F588,CHAR(160)," ")))</f>
        <v>Mumbai</v>
      </c>
      <c r="J587" s="3" t="str">
        <f aca="false">PROPER(TRIM(SUBSTITUTE(Raw_Text_Fields!G588,CHAR(160)," ")))</f>
        <v>Technology</v>
      </c>
      <c r="K587" s="3" t="str">
        <f aca="false">PROPER(TRIM(SUBSTITUTE(Raw_Text_Fields!H588,CHAR(160)," ")))</f>
        <v>Phones</v>
      </c>
      <c r="L587" s="3" t="s">
        <v>1773</v>
      </c>
      <c r="M587" s="3" t="str">
        <f aca="false">PROPER(TRIM(SUBSTITUTE(Raw_Text_Fields!I588,CHAR(160)," ")))</f>
        <v>First Class</v>
      </c>
      <c r="N587" s="3" t="n">
        <v>8</v>
      </c>
      <c r="O587" s="5" t="n">
        <v>3453.66</v>
      </c>
      <c r="P587" s="6" t="n">
        <v>0</v>
      </c>
      <c r="Q587" s="5" t="n">
        <v>27629.28</v>
      </c>
      <c r="R587" s="5" t="n">
        <v>22026.48</v>
      </c>
      <c r="S587" s="5" t="n">
        <v>5602.8</v>
      </c>
      <c r="T587" s="3" t="str">
        <f aca="false">PROPER(TRIM(SUBSTITUTE(Raw_Text_Fields!J588,CHAR(160)," ")))</f>
        <v>Paid</v>
      </c>
      <c r="U587" s="3" t="str">
        <f aca="false">PROPER(TRIM(SUBSTITUTE(Raw_Text_Fields!K588,CHAR(160)," ")))</f>
        <v>Completed</v>
      </c>
      <c r="V587" s="7" t="n">
        <f aca="false">IF(OR(P587&lt;0,P587&gt;0.5),0,P587)</f>
        <v>0</v>
      </c>
      <c r="W587" s="8" t="n">
        <f aca="false">N587*O587*(1-V587)</f>
        <v>27629.28</v>
      </c>
      <c r="X587" s="8" t="n">
        <f aca="false">W587-R587</f>
        <v>5602.8</v>
      </c>
      <c r="Y587" s="7" t="n">
        <f aca="false">IFERROR(X587/W587,0)</f>
        <v>0.202784871701326</v>
      </c>
      <c r="Z587" s="9" t="n">
        <f aca="false">C587-B587</f>
        <v>3</v>
      </c>
      <c r="AA587" s="1" t="str">
        <f aca="false">IF(B587="","",TEXT(B587,"mmm"))</f>
        <v>Jun</v>
      </c>
      <c r="AB587" s="9" t="n">
        <f aca="false">IF(B587="","",YEAR(B587))</f>
        <v>2025</v>
      </c>
      <c r="AC587" s="3"/>
      <c r="AD587" s="3" t="str">
        <f aca="false">IF(LEFT(AC587&amp;IF(B587="","; Missing Order Date","")&amp;IF(C587="","; Missing Ship Date","")&amp;IF(P587&lt;0,"; Invalid Discount (Negative)","")&amp;IF(P587&gt;0.5,"; Invalid Discount (Too High)","")&amp;IF(Z587&lt;0,"; Invalid Shipping Record (Ship Before Order)","")&amp;IF(ABS(Q587-W587)&gt;1,"; Sales Mismatch","")&amp;IF(ABS(S587-X587)&gt;1,"; Profit Mismatch","")&amp;IF(COUNTIF($A$2:$A$913,A587)&gt;1,"; Duplicate Order ID Conflict",""),2)="; ",MID(AC587&amp;IF(B587="","; Missing Order Date","")&amp;IF(C587="","; Missing Ship Date","")&amp;IF(P587&lt;0,"; Invalid Discount (Negative)","")&amp;IF(P587&gt;0.5,"; Invalid Discount (Too High)","")&amp;IF(Z587&lt;0,"; Invalid Shipping Record (Ship Before Order)","")&amp;IF(ABS(Q587-W587)&gt;1,"; Sales Mismatch","")&amp;IF(ABS(S587-X587)&gt;1,"; Profit Mismatch","")&amp;IF(COUNTIF($A$2:$A$913,A587)&gt;1,"; Duplicate Order ID Conflict",""),3,500),AC587&amp;IF(B587="","; Missing Order Date","")&amp;IF(C587="","; Missing Ship Date","")&amp;IF(P587&lt;0,"; Invalid Discount (Negative)","")&amp;IF(P587&gt;0.5,"; Invalid Discount (Too High)","")&amp;IF(Z587&lt;0,"; Invalid Shipping Record (Ship Before Order)","")&amp;IF(ABS(Q587-W587)&gt;1,"; Sales Mismatch","")&amp;IF(ABS(S587-X587)&gt;1,"; Profit Mismatch","")&amp;IF(COUNTIF($A$2:$A$913,A587)&gt;1,"; Duplicate Order ID Conflict",""))</f>
        <v/>
      </c>
      <c r="AE587" s="10" t="str">
        <f aca="false">IF(OR(ISNUMBER(SEARCH("Invalid Discount",AD587)),ISNUMBER(SEARCH("Invalid Shipping Record",AD587)),ISNUMBER(SEARCH("Sales Mismatch",AD587)),ISNUMBER(SEARCH("Profit Mismatch",AD587)),ISNUMBER(SEARCH("Duplicate Order ID Conflict",AD587)),ISNUMBER(SEARCH("Missing Order Date",AD587)),ISNUMBER(SEARCH("Missing Ship Date",AD587))),"Invalid",IF(AD587&lt;&gt;"","Warning","Clean"))</f>
        <v>Clean</v>
      </c>
    </row>
    <row r="588" customFormat="false" ht="15" hidden="false" customHeight="true" outlineLevel="0" collapsed="false">
      <c r="A588" s="3" t="s">
        <v>1774</v>
      </c>
      <c r="B588" s="4" t="n">
        <v>45759</v>
      </c>
      <c r="C588" s="4" t="n">
        <v>45759</v>
      </c>
      <c r="D588" s="3" t="s">
        <v>1775</v>
      </c>
      <c r="E588" s="3" t="str">
        <f aca="false">PROPER(TRIM(SUBSTITUTE(Raw_Text_Fields!B589,CHAR(160)," ")))</f>
        <v>Mira Das</v>
      </c>
      <c r="F588" s="3" t="str">
        <f aca="false">PROPER(TRIM(SUBSTITUTE(Raw_Text_Fields!C589,CHAR(160)," ")))</f>
        <v>Home Office</v>
      </c>
      <c r="G588" s="3" t="str">
        <f aca="false">PROPER(TRIM(SUBSTITUTE(Raw_Text_Fields!D589,CHAR(160)," ")))</f>
        <v>North</v>
      </c>
      <c r="H588" s="3" t="str">
        <f aca="false">PROPER(TRIM(SUBSTITUTE(Raw_Text_Fields!E589,CHAR(160)," ")))</f>
        <v>Punjab</v>
      </c>
      <c r="I588" s="3" t="str">
        <f aca="false">PROPER(TRIM(SUBSTITUTE(Raw_Text_Fields!F589,CHAR(160)," ")))</f>
        <v>Ludhiana</v>
      </c>
      <c r="J588" s="3" t="str">
        <f aca="false">PROPER(TRIM(SUBSTITUTE(Raw_Text_Fields!G589,CHAR(160)," ")))</f>
        <v>Office Supplies</v>
      </c>
      <c r="K588" s="3" t="str">
        <f aca="false">PROPER(TRIM(SUBSTITUTE(Raw_Text_Fields!H589,CHAR(160)," ")))</f>
        <v>Binders</v>
      </c>
      <c r="L588" s="3" t="s">
        <v>1776</v>
      </c>
      <c r="M588" s="3" t="str">
        <f aca="false">PROPER(TRIM(SUBSTITUTE(Raw_Text_Fields!I589,CHAR(160)," ")))</f>
        <v>Second Class</v>
      </c>
      <c r="N588" s="3" t="n">
        <v>7</v>
      </c>
      <c r="O588" s="5" t="n">
        <v>1334.2</v>
      </c>
      <c r="P588" s="6" t="n">
        <v>0.2</v>
      </c>
      <c r="Q588" s="5" t="n">
        <v>7471.52</v>
      </c>
      <c r="R588" s="5" t="n">
        <v>6184.32</v>
      </c>
      <c r="S588" s="5" t="n">
        <v>1287.2</v>
      </c>
      <c r="T588" s="3" t="str">
        <f aca="false">PROPER(TRIM(SUBSTITUTE(Raw_Text_Fields!J589,CHAR(160)," ")))</f>
        <v>Paid</v>
      </c>
      <c r="U588" s="3" t="str">
        <f aca="false">PROPER(TRIM(SUBSTITUTE(Raw_Text_Fields!K589,CHAR(160)," ")))</f>
        <v>Completed</v>
      </c>
      <c r="V588" s="7" t="n">
        <f aca="false">IF(OR(P588&lt;0,P588&gt;0.5),0,P588)</f>
        <v>0.2</v>
      </c>
      <c r="W588" s="8" t="n">
        <f aca="false">N588*O588*(1-V588)</f>
        <v>7471.52</v>
      </c>
      <c r="X588" s="8" t="n">
        <f aca="false">W588-R588</f>
        <v>1287.2</v>
      </c>
      <c r="Y588" s="7" t="n">
        <f aca="false">IFERROR(X588/W588,0)</f>
        <v>0.172280874574384</v>
      </c>
      <c r="Z588" s="9" t="n">
        <f aca="false">C588-B588</f>
        <v>0</v>
      </c>
      <c r="AA588" s="1" t="str">
        <f aca="false">IF(B588="","",TEXT(B588,"mmm"))</f>
        <v>Apr</v>
      </c>
      <c r="AB588" s="9" t="n">
        <f aca="false">IF(B588="","",YEAR(B588))</f>
        <v>2025</v>
      </c>
      <c r="AC588" s="3"/>
      <c r="AD588" s="3" t="str">
        <f aca="false">IF(LEFT(AC588&amp;IF(B588="","; Missing Order Date","")&amp;IF(C588="","; Missing Ship Date","")&amp;IF(P588&lt;0,"; Invalid Discount (Negative)","")&amp;IF(P588&gt;0.5,"; Invalid Discount (Too High)","")&amp;IF(Z588&lt;0,"; Invalid Shipping Record (Ship Before Order)","")&amp;IF(ABS(Q588-W588)&gt;1,"; Sales Mismatch","")&amp;IF(ABS(S588-X588)&gt;1,"; Profit Mismatch","")&amp;IF(COUNTIF($A$2:$A$913,A588)&gt;1,"; Duplicate Order ID Conflict",""),2)="; ",MID(AC588&amp;IF(B588="","; Missing Order Date","")&amp;IF(C588="","; Missing Ship Date","")&amp;IF(P588&lt;0,"; Invalid Discount (Negative)","")&amp;IF(P588&gt;0.5,"; Invalid Discount (Too High)","")&amp;IF(Z588&lt;0,"; Invalid Shipping Record (Ship Before Order)","")&amp;IF(ABS(Q588-W588)&gt;1,"; Sales Mismatch","")&amp;IF(ABS(S588-X588)&gt;1,"; Profit Mismatch","")&amp;IF(COUNTIF($A$2:$A$913,A588)&gt;1,"; Duplicate Order ID Conflict",""),3,500),AC588&amp;IF(B588="","; Missing Order Date","")&amp;IF(C588="","; Missing Ship Date","")&amp;IF(P588&lt;0,"; Invalid Discount (Negative)","")&amp;IF(P588&gt;0.5,"; Invalid Discount (Too High)","")&amp;IF(Z588&lt;0,"; Invalid Shipping Record (Ship Before Order)","")&amp;IF(ABS(Q588-W588)&gt;1,"; Sales Mismatch","")&amp;IF(ABS(S588-X588)&gt;1,"; Profit Mismatch","")&amp;IF(COUNTIF($A$2:$A$913,A588)&gt;1,"; Duplicate Order ID Conflict",""))</f>
        <v/>
      </c>
      <c r="AE588" s="10" t="str">
        <f aca="false">IF(OR(ISNUMBER(SEARCH("Invalid Discount",AD588)),ISNUMBER(SEARCH("Invalid Shipping Record",AD588)),ISNUMBER(SEARCH("Sales Mismatch",AD588)),ISNUMBER(SEARCH("Profit Mismatch",AD588)),ISNUMBER(SEARCH("Duplicate Order ID Conflict",AD588)),ISNUMBER(SEARCH("Missing Order Date",AD588)),ISNUMBER(SEARCH("Missing Ship Date",AD588))),"Invalid",IF(AD588&lt;&gt;"","Warning","Clean"))</f>
        <v>Clean</v>
      </c>
    </row>
    <row r="589" customFormat="false" ht="15" hidden="false" customHeight="true" outlineLevel="0" collapsed="false">
      <c r="A589" s="3" t="s">
        <v>1777</v>
      </c>
      <c r="B589" s="4" t="n">
        <v>45861</v>
      </c>
      <c r="C589" s="4" t="n">
        <v>45869</v>
      </c>
      <c r="D589" s="3" t="s">
        <v>1778</v>
      </c>
      <c r="E589" s="3" t="str">
        <f aca="false">PROPER(TRIM(SUBSTITUTE(Raw_Text_Fields!B590,CHAR(160)," ")))</f>
        <v>Kabir Singh</v>
      </c>
      <c r="F589" s="3" t="str">
        <f aca="false">PROPER(TRIM(SUBSTITUTE(Raw_Text_Fields!C590,CHAR(160)," ")))</f>
        <v>Home Office</v>
      </c>
      <c r="G589" s="3" t="str">
        <f aca="false">PROPER(TRIM(SUBSTITUTE(Raw_Text_Fields!D590,CHAR(160)," ")))</f>
        <v>West</v>
      </c>
      <c r="H589" s="3" t="str">
        <f aca="false">PROPER(TRIM(SUBSTITUTE(Raw_Text_Fields!E590,CHAR(160)," ")))</f>
        <v>Madhya Pradesh</v>
      </c>
      <c r="I589" s="3" t="str">
        <f aca="false">PROPER(TRIM(SUBSTITUTE(Raw_Text_Fields!F590,CHAR(160)," ")))</f>
        <v>Indore</v>
      </c>
      <c r="J589" s="3" t="str">
        <f aca="false">PROPER(TRIM(SUBSTITUTE(Raw_Text_Fields!G590,CHAR(160)," ")))</f>
        <v>Technology</v>
      </c>
      <c r="K589" s="3" t="str">
        <f aca="false">PROPER(TRIM(SUBSTITUTE(Raw_Text_Fields!H590,CHAR(160)," ")))</f>
        <v>Accessories</v>
      </c>
      <c r="L589" s="3" t="s">
        <v>1779</v>
      </c>
      <c r="M589" s="3" t="str">
        <f aca="false">PROPER(TRIM(SUBSTITUTE(Raw_Text_Fields!I590,CHAR(160)," ")))</f>
        <v>First Class</v>
      </c>
      <c r="N589" s="3" t="n">
        <v>1</v>
      </c>
      <c r="O589" s="5" t="n">
        <v>4253.84</v>
      </c>
      <c r="P589" s="6" t="n">
        <v>0.15</v>
      </c>
      <c r="Q589" s="5" t="n">
        <v>3615.76</v>
      </c>
      <c r="R589" s="5" t="n">
        <v>2951.52</v>
      </c>
      <c r="S589" s="5" t="n">
        <v>664.24</v>
      </c>
      <c r="T589" s="3" t="str">
        <f aca="false">PROPER(TRIM(SUBSTITUTE(Raw_Text_Fields!J590,CHAR(160)," ")))</f>
        <v>Refunded</v>
      </c>
      <c r="U589" s="3" t="str">
        <f aca="false">PROPER(TRIM(SUBSTITUTE(Raw_Text_Fields!K590,CHAR(160)," ")))</f>
        <v>Cancelled</v>
      </c>
      <c r="V589" s="7" t="n">
        <f aca="false">IF(OR(P589&lt;0,P589&gt;0.5),0,P589)</f>
        <v>0.15</v>
      </c>
      <c r="W589" s="8" t="n">
        <f aca="false">N589*O589*(1-V589)</f>
        <v>3615.764</v>
      </c>
      <c r="X589" s="8" t="n">
        <f aca="false">W589-R589</f>
        <v>664.244</v>
      </c>
      <c r="Y589" s="7" t="n">
        <f aca="false">IFERROR(X589/W589,0)</f>
        <v>0.183707786238261</v>
      </c>
      <c r="Z589" s="9" t="n">
        <f aca="false">C589-B589</f>
        <v>8</v>
      </c>
      <c r="AA589" s="1" t="str">
        <f aca="false">IF(B589="","",TEXT(B589,"mmm"))</f>
        <v>Jul</v>
      </c>
      <c r="AB589" s="9" t="n">
        <f aca="false">IF(B589="","",YEAR(B589))</f>
        <v>2025</v>
      </c>
      <c r="AC589" s="3"/>
      <c r="AD589" s="3" t="str">
        <f aca="false">IF(LEFT(AC589&amp;IF(B589="","; Missing Order Date","")&amp;IF(C589="","; Missing Ship Date","")&amp;IF(P589&lt;0,"; Invalid Discount (Negative)","")&amp;IF(P589&gt;0.5,"; Invalid Discount (Too High)","")&amp;IF(Z589&lt;0,"; Invalid Shipping Record (Ship Before Order)","")&amp;IF(ABS(Q589-W589)&gt;1,"; Sales Mismatch","")&amp;IF(ABS(S589-X589)&gt;1,"; Profit Mismatch","")&amp;IF(COUNTIF($A$2:$A$913,A589)&gt;1,"; Duplicate Order ID Conflict",""),2)="; ",MID(AC589&amp;IF(B589="","; Missing Order Date","")&amp;IF(C589="","; Missing Ship Date","")&amp;IF(P589&lt;0,"; Invalid Discount (Negative)","")&amp;IF(P589&gt;0.5,"; Invalid Discount (Too High)","")&amp;IF(Z589&lt;0,"; Invalid Shipping Record (Ship Before Order)","")&amp;IF(ABS(Q589-W589)&gt;1,"; Sales Mismatch","")&amp;IF(ABS(S589-X589)&gt;1,"; Profit Mismatch","")&amp;IF(COUNTIF($A$2:$A$913,A589)&gt;1,"; Duplicate Order ID Conflict",""),3,500),AC589&amp;IF(B589="","; Missing Order Date","")&amp;IF(C589="","; Missing Ship Date","")&amp;IF(P589&lt;0,"; Invalid Discount (Negative)","")&amp;IF(P589&gt;0.5,"; Invalid Discount (Too High)","")&amp;IF(Z589&lt;0,"; Invalid Shipping Record (Ship Before Order)","")&amp;IF(ABS(Q589-W589)&gt;1,"; Sales Mismatch","")&amp;IF(ABS(S589-X589)&gt;1,"; Profit Mismatch","")&amp;IF(COUNTIF($A$2:$A$913,A589)&gt;1,"; Duplicate Order ID Conflict",""))</f>
        <v/>
      </c>
      <c r="AE589" s="10" t="str">
        <f aca="false">IF(OR(ISNUMBER(SEARCH("Invalid Discount",AD589)),ISNUMBER(SEARCH("Invalid Shipping Record",AD589)),ISNUMBER(SEARCH("Sales Mismatch",AD589)),ISNUMBER(SEARCH("Profit Mismatch",AD589)),ISNUMBER(SEARCH("Duplicate Order ID Conflict",AD589)),ISNUMBER(SEARCH("Missing Order Date",AD589)),ISNUMBER(SEARCH("Missing Ship Date",AD589))),"Invalid",IF(AD589&lt;&gt;"","Warning","Clean"))</f>
        <v>Clean</v>
      </c>
    </row>
    <row r="590" customFormat="false" ht="15" hidden="false" customHeight="true" outlineLevel="0" collapsed="false">
      <c r="A590" s="3" t="s">
        <v>1780</v>
      </c>
      <c r="B590" s="4" t="n">
        <v>45727</v>
      </c>
      <c r="C590" s="4" t="n">
        <v>45731</v>
      </c>
      <c r="D590" s="3" t="s">
        <v>1781</v>
      </c>
      <c r="E590" s="3" t="str">
        <f aca="false">PROPER(TRIM(SUBSTITUTE(Raw_Text_Fields!B591,CHAR(160)," ")))</f>
        <v>Aarav Sharma</v>
      </c>
      <c r="F590" s="3" t="str">
        <f aca="false">PROPER(TRIM(SUBSTITUTE(Raw_Text_Fields!C591,CHAR(160)," ")))</f>
        <v>Home Office</v>
      </c>
      <c r="G590" s="3" t="str">
        <f aca="false">PROPER(TRIM(SUBSTITUTE(Raw_Text_Fields!D591,CHAR(160)," ")))</f>
        <v>South</v>
      </c>
      <c r="H590" s="3" t="str">
        <f aca="false">PROPER(TRIM(SUBSTITUTE(Raw_Text_Fields!E591,CHAR(160)," ")))</f>
        <v>Karnataka</v>
      </c>
      <c r="I590" s="3" t="str">
        <f aca="false">PROPER(TRIM(SUBSTITUTE(Raw_Text_Fields!F591,CHAR(160)," ")))</f>
        <v>Bengaluru</v>
      </c>
      <c r="J590" s="3" t="str">
        <f aca="false">PROPER(TRIM(SUBSTITUTE(Raw_Text_Fields!G591,CHAR(160)," ")))</f>
        <v>Technology</v>
      </c>
      <c r="K590" s="3" t="str">
        <f aca="false">PROPER(TRIM(SUBSTITUTE(Raw_Text_Fields!H591,CHAR(160)," ")))</f>
        <v>Accessories</v>
      </c>
      <c r="L590" s="3" t="s">
        <v>1782</v>
      </c>
      <c r="M590" s="3" t="str">
        <f aca="false">PROPER(TRIM(SUBSTITUTE(Raw_Text_Fields!I591,CHAR(160)," ")))</f>
        <v>Second Class</v>
      </c>
      <c r="N590" s="3" t="n">
        <v>8</v>
      </c>
      <c r="O590" s="5" t="n">
        <v>4446.36</v>
      </c>
      <c r="P590" s="6" t="n">
        <v>0.1</v>
      </c>
      <c r="Q590" s="5" t="n">
        <v>32013.79</v>
      </c>
      <c r="R590" s="5" t="n">
        <v>20896.88</v>
      </c>
      <c r="S590" s="5" t="n">
        <v>11116.91</v>
      </c>
      <c r="T590" s="3" t="str">
        <f aca="false">PROPER(TRIM(SUBSTITUTE(Raw_Text_Fields!J591,CHAR(160)," ")))</f>
        <v>Refunded</v>
      </c>
      <c r="U590" s="3" t="str">
        <f aca="false">PROPER(TRIM(SUBSTITUTE(Raw_Text_Fields!K591,CHAR(160)," ")))</f>
        <v>Cancelled</v>
      </c>
      <c r="V590" s="7" t="n">
        <f aca="false">IF(OR(P590&lt;0,P590&gt;0.5),0,P590)</f>
        <v>0.1</v>
      </c>
      <c r="W590" s="8" t="n">
        <f aca="false">N590*O590*(1-V590)</f>
        <v>32013.792</v>
      </c>
      <c r="X590" s="8" t="n">
        <f aca="false">W590-R590</f>
        <v>11116.912</v>
      </c>
      <c r="Y590" s="7" t="n">
        <f aca="false">IFERROR(X590/W590,0)</f>
        <v>0.347253833597719</v>
      </c>
      <c r="Z590" s="9" t="n">
        <f aca="false">C590-B590</f>
        <v>4</v>
      </c>
      <c r="AA590" s="1" t="str">
        <f aca="false">IF(B590="","",TEXT(B590,"mmm"))</f>
        <v>Mar</v>
      </c>
      <c r="AB590" s="9" t="n">
        <f aca="false">IF(B590="","",YEAR(B590))</f>
        <v>2025</v>
      </c>
      <c r="AC590" s="3"/>
      <c r="AD590" s="3" t="str">
        <f aca="false">IF(LEFT(AC590&amp;IF(B590="","; Missing Order Date","")&amp;IF(C590="","; Missing Ship Date","")&amp;IF(P590&lt;0,"; Invalid Discount (Negative)","")&amp;IF(P590&gt;0.5,"; Invalid Discount (Too High)","")&amp;IF(Z590&lt;0,"; Invalid Shipping Record (Ship Before Order)","")&amp;IF(ABS(Q590-W590)&gt;1,"; Sales Mismatch","")&amp;IF(ABS(S590-X590)&gt;1,"; Profit Mismatch","")&amp;IF(COUNTIF($A$2:$A$913,A590)&gt;1,"; Duplicate Order ID Conflict",""),2)="; ",MID(AC590&amp;IF(B590="","; Missing Order Date","")&amp;IF(C590="","; Missing Ship Date","")&amp;IF(P590&lt;0,"; Invalid Discount (Negative)","")&amp;IF(P590&gt;0.5,"; Invalid Discount (Too High)","")&amp;IF(Z590&lt;0,"; Invalid Shipping Record (Ship Before Order)","")&amp;IF(ABS(Q590-W590)&gt;1,"; Sales Mismatch","")&amp;IF(ABS(S590-X590)&gt;1,"; Profit Mismatch","")&amp;IF(COUNTIF($A$2:$A$913,A590)&gt;1,"; Duplicate Order ID Conflict",""),3,500),AC590&amp;IF(B590="","; Missing Order Date","")&amp;IF(C590="","; Missing Ship Date","")&amp;IF(P590&lt;0,"; Invalid Discount (Negative)","")&amp;IF(P590&gt;0.5,"; Invalid Discount (Too High)","")&amp;IF(Z590&lt;0,"; Invalid Shipping Record (Ship Before Order)","")&amp;IF(ABS(Q590-W590)&gt;1,"; Sales Mismatch","")&amp;IF(ABS(S590-X590)&gt;1,"; Profit Mismatch","")&amp;IF(COUNTIF($A$2:$A$913,A590)&gt;1,"; Duplicate Order ID Conflict",""))</f>
        <v/>
      </c>
      <c r="AE590" s="10" t="str">
        <f aca="false">IF(OR(ISNUMBER(SEARCH("Invalid Discount",AD590)),ISNUMBER(SEARCH("Invalid Shipping Record",AD590)),ISNUMBER(SEARCH("Sales Mismatch",AD590)),ISNUMBER(SEARCH("Profit Mismatch",AD590)),ISNUMBER(SEARCH("Duplicate Order ID Conflict",AD590)),ISNUMBER(SEARCH("Missing Order Date",AD590)),ISNUMBER(SEARCH("Missing Ship Date",AD590))),"Invalid",IF(AD590&lt;&gt;"","Warning","Clean"))</f>
        <v>Clean</v>
      </c>
    </row>
    <row r="591" customFormat="false" ht="15" hidden="false" customHeight="true" outlineLevel="0" collapsed="false">
      <c r="A591" s="3" t="s">
        <v>1783</v>
      </c>
      <c r="B591" s="4" t="n">
        <v>45632</v>
      </c>
      <c r="C591" s="4" t="n">
        <v>45638</v>
      </c>
      <c r="D591" s="3" t="s">
        <v>1784</v>
      </c>
      <c r="E591" s="3" t="str">
        <f aca="false">PROPER(TRIM(SUBSTITUTE(Raw_Text_Fields!B592,CHAR(160)," ")))</f>
        <v>Rohan Mehta</v>
      </c>
      <c r="F591" s="3" t="str">
        <f aca="false">PROPER(TRIM(SUBSTITUTE(Raw_Text_Fields!C592,CHAR(160)," ")))</f>
        <v>Corporate</v>
      </c>
      <c r="G591" s="3" t="str">
        <f aca="false">PROPER(TRIM(SUBSTITUTE(Raw_Text_Fields!D592,CHAR(160)," ")))</f>
        <v>North</v>
      </c>
      <c r="H591" s="3" t="str">
        <f aca="false">PROPER(TRIM(SUBSTITUTE(Raw_Text_Fields!E592,CHAR(160)," ")))</f>
        <v>Uttar Pradesh</v>
      </c>
      <c r="I591" s="3" t="str">
        <f aca="false">PROPER(TRIM(SUBSTITUTE(Raw_Text_Fields!F592,CHAR(160)," ")))</f>
        <v>Noida</v>
      </c>
      <c r="J591" s="3" t="str">
        <f aca="false">PROPER(TRIM(SUBSTITUTE(Raw_Text_Fields!G592,CHAR(160)," ")))</f>
        <v>Technology</v>
      </c>
      <c r="K591" s="3" t="str">
        <f aca="false">PROPER(TRIM(SUBSTITUTE(Raw_Text_Fields!H592,CHAR(160)," ")))</f>
        <v>Phones</v>
      </c>
      <c r="L591" s="3" t="s">
        <v>1785</v>
      </c>
      <c r="M591" s="3" t="str">
        <f aca="false">PROPER(TRIM(SUBSTITUTE(Raw_Text_Fields!I592,CHAR(160)," ")))</f>
        <v>First Class</v>
      </c>
      <c r="N591" s="3" t="n">
        <v>3</v>
      </c>
      <c r="O591" s="5" t="n">
        <v>524.75</v>
      </c>
      <c r="P591" s="6" t="n">
        <v>0</v>
      </c>
      <c r="Q591" s="5" t="n">
        <v>1574.25</v>
      </c>
      <c r="R591" s="5" t="n">
        <v>1326.12</v>
      </c>
      <c r="S591" s="5" t="n">
        <v>248.13</v>
      </c>
      <c r="T591" s="3" t="str">
        <f aca="false">PROPER(TRIM(SUBSTITUTE(Raw_Text_Fields!J592,CHAR(160)," ")))</f>
        <v>Paid</v>
      </c>
      <c r="U591" s="3" t="str">
        <f aca="false">PROPER(TRIM(SUBSTITUTE(Raw_Text_Fields!K592,CHAR(160)," ")))</f>
        <v>Completed</v>
      </c>
      <c r="V591" s="7" t="n">
        <f aca="false">IF(OR(P591&lt;0,P591&gt;0.5),0,P591)</f>
        <v>0</v>
      </c>
      <c r="W591" s="8" t="n">
        <f aca="false">N591*O591*(1-V591)</f>
        <v>1574.25</v>
      </c>
      <c r="X591" s="8" t="n">
        <f aca="false">W591-R591</f>
        <v>248.13</v>
      </c>
      <c r="Y591" s="7" t="n">
        <f aca="false">IFERROR(X591/W591,0)</f>
        <v>0.157617913292044</v>
      </c>
      <c r="Z591" s="9" t="n">
        <f aca="false">C591-B591</f>
        <v>6</v>
      </c>
      <c r="AA591" s="1" t="str">
        <f aca="false">IF(B591="","",TEXT(B591,"mmm"))</f>
        <v>Dec</v>
      </c>
      <c r="AB591" s="9" t="n">
        <f aca="false">IF(B591="","",YEAR(B591))</f>
        <v>2024</v>
      </c>
      <c r="AC591" s="3"/>
      <c r="AD591" s="3" t="str">
        <f aca="false">IF(LEFT(AC591&amp;IF(B591="","; Missing Order Date","")&amp;IF(C591="","; Missing Ship Date","")&amp;IF(P591&lt;0,"; Invalid Discount (Negative)","")&amp;IF(P591&gt;0.5,"; Invalid Discount (Too High)","")&amp;IF(Z591&lt;0,"; Invalid Shipping Record (Ship Before Order)","")&amp;IF(ABS(Q591-W591)&gt;1,"; Sales Mismatch","")&amp;IF(ABS(S591-X591)&gt;1,"; Profit Mismatch","")&amp;IF(COUNTIF($A$2:$A$913,A591)&gt;1,"; Duplicate Order ID Conflict",""),2)="; ",MID(AC591&amp;IF(B591="","; Missing Order Date","")&amp;IF(C591="","; Missing Ship Date","")&amp;IF(P591&lt;0,"; Invalid Discount (Negative)","")&amp;IF(P591&gt;0.5,"; Invalid Discount (Too High)","")&amp;IF(Z591&lt;0,"; Invalid Shipping Record (Ship Before Order)","")&amp;IF(ABS(Q591-W591)&gt;1,"; Sales Mismatch","")&amp;IF(ABS(S591-X591)&gt;1,"; Profit Mismatch","")&amp;IF(COUNTIF($A$2:$A$913,A591)&gt;1,"; Duplicate Order ID Conflict",""),3,500),AC591&amp;IF(B591="","; Missing Order Date","")&amp;IF(C591="","; Missing Ship Date","")&amp;IF(P591&lt;0,"; Invalid Discount (Negative)","")&amp;IF(P591&gt;0.5,"; Invalid Discount (Too High)","")&amp;IF(Z591&lt;0,"; Invalid Shipping Record (Ship Before Order)","")&amp;IF(ABS(Q591-W591)&gt;1,"; Sales Mismatch","")&amp;IF(ABS(S591-X591)&gt;1,"; Profit Mismatch","")&amp;IF(COUNTIF($A$2:$A$913,A591)&gt;1,"; Duplicate Order ID Conflict",""))</f>
        <v/>
      </c>
      <c r="AE591" s="10" t="str">
        <f aca="false">IF(OR(ISNUMBER(SEARCH("Invalid Discount",AD591)),ISNUMBER(SEARCH("Invalid Shipping Record",AD591)),ISNUMBER(SEARCH("Sales Mismatch",AD591)),ISNUMBER(SEARCH("Profit Mismatch",AD591)),ISNUMBER(SEARCH("Duplicate Order ID Conflict",AD591)),ISNUMBER(SEARCH("Missing Order Date",AD591)),ISNUMBER(SEARCH("Missing Ship Date",AD591))),"Invalid",IF(AD591&lt;&gt;"","Warning","Clean"))</f>
        <v>Clean</v>
      </c>
    </row>
    <row r="592" customFormat="false" ht="15" hidden="false" customHeight="true" outlineLevel="0" collapsed="false">
      <c r="A592" s="3" t="s">
        <v>1786</v>
      </c>
      <c r="B592" s="4" t="n">
        <v>45441</v>
      </c>
      <c r="C592" s="4" t="n">
        <v>45441</v>
      </c>
      <c r="D592" s="3" t="s">
        <v>1787</v>
      </c>
      <c r="E592" s="3" t="str">
        <f aca="false">PROPER(TRIM(SUBSTITUTE(Raw_Text_Fields!B593,CHAR(160)," ")))</f>
        <v>Aarav Sharma</v>
      </c>
      <c r="F592" s="3" t="str">
        <f aca="false">PROPER(TRIM(SUBSTITUTE(Raw_Text_Fields!C593,CHAR(160)," ")))</f>
        <v>Home Office</v>
      </c>
      <c r="G592" s="3" t="str">
        <f aca="false">PROPER(TRIM(SUBSTITUTE(Raw_Text_Fields!D593,CHAR(160)," ")))</f>
        <v>North</v>
      </c>
      <c r="H592" s="3" t="str">
        <f aca="false">PROPER(TRIM(SUBSTITUTE(Raw_Text_Fields!E593,CHAR(160)," ")))</f>
        <v>Delhi</v>
      </c>
      <c r="I592" s="3" t="str">
        <f aca="false">PROPER(TRIM(SUBSTITUTE(Raw_Text_Fields!F593,CHAR(160)," ")))</f>
        <v>New Delhi</v>
      </c>
      <c r="J592" s="3" t="str">
        <f aca="false">PROPER(TRIM(SUBSTITUTE(Raw_Text_Fields!G593,CHAR(160)," ")))</f>
        <v>Furniture</v>
      </c>
      <c r="K592" s="3" t="str">
        <f aca="false">PROPER(TRIM(SUBSTITUTE(Raw_Text_Fields!H593,CHAR(160)," ")))</f>
        <v>Chairs</v>
      </c>
      <c r="L592" s="3" t="s">
        <v>1788</v>
      </c>
      <c r="M592" s="3" t="str">
        <f aca="false">PROPER(TRIM(SUBSTITUTE(Raw_Text_Fields!I593,CHAR(160)," ")))</f>
        <v>Same Day</v>
      </c>
      <c r="N592" s="3" t="n">
        <v>6</v>
      </c>
      <c r="O592" s="5" t="n">
        <v>3430.35</v>
      </c>
      <c r="P592" s="6" t="n">
        <v>0</v>
      </c>
      <c r="Q592" s="5" t="n">
        <v>20582.1</v>
      </c>
      <c r="R592" s="5" t="n">
        <v>15897.65</v>
      </c>
      <c r="S592" s="5" t="n">
        <v>4684.45</v>
      </c>
      <c r="T592" s="3" t="str">
        <f aca="false">PROPER(TRIM(SUBSTITUTE(Raw_Text_Fields!J593,CHAR(160)," ")))</f>
        <v>Pending</v>
      </c>
      <c r="U592" s="3" t="str">
        <f aca="false">PROPER(TRIM(SUBSTITUTE(Raw_Text_Fields!K593,CHAR(160)," ")))</f>
        <v>Cancelled</v>
      </c>
      <c r="V592" s="7" t="n">
        <f aca="false">IF(OR(P592&lt;0,P592&gt;0.5),0,P592)</f>
        <v>0</v>
      </c>
      <c r="W592" s="8" t="n">
        <f aca="false">N592*O592*(1-V592)</f>
        <v>20582.1</v>
      </c>
      <c r="X592" s="8" t="n">
        <f aca="false">W592-R592</f>
        <v>4684.45</v>
      </c>
      <c r="Y592" s="7" t="n">
        <f aca="false">IFERROR(X592/W592,0)</f>
        <v>0.227598252850778</v>
      </c>
      <c r="Z592" s="9" t="n">
        <f aca="false">C592-B592</f>
        <v>0</v>
      </c>
      <c r="AA592" s="1" t="str">
        <f aca="false">IF(B592="","",TEXT(B592,"mmm"))</f>
        <v>May</v>
      </c>
      <c r="AB592" s="9" t="n">
        <f aca="false">IF(B592="","",YEAR(B592))</f>
        <v>2024</v>
      </c>
      <c r="AC592" s="3"/>
      <c r="AD592" s="3" t="str">
        <f aca="false">IF(LEFT(AC592&amp;IF(B592="","; Missing Order Date","")&amp;IF(C592="","; Missing Ship Date","")&amp;IF(P592&lt;0,"; Invalid Discount (Negative)","")&amp;IF(P592&gt;0.5,"; Invalid Discount (Too High)","")&amp;IF(Z592&lt;0,"; Invalid Shipping Record (Ship Before Order)","")&amp;IF(ABS(Q592-W592)&gt;1,"; Sales Mismatch","")&amp;IF(ABS(S592-X592)&gt;1,"; Profit Mismatch","")&amp;IF(COUNTIF($A$2:$A$913,A592)&gt;1,"; Duplicate Order ID Conflict",""),2)="; ",MID(AC592&amp;IF(B592="","; Missing Order Date","")&amp;IF(C592="","; Missing Ship Date","")&amp;IF(P592&lt;0,"; Invalid Discount (Negative)","")&amp;IF(P592&gt;0.5,"; Invalid Discount (Too High)","")&amp;IF(Z592&lt;0,"; Invalid Shipping Record (Ship Before Order)","")&amp;IF(ABS(Q592-W592)&gt;1,"; Sales Mismatch","")&amp;IF(ABS(S592-X592)&gt;1,"; Profit Mismatch","")&amp;IF(COUNTIF($A$2:$A$913,A592)&gt;1,"; Duplicate Order ID Conflict",""),3,500),AC592&amp;IF(B592="","; Missing Order Date","")&amp;IF(C592="","; Missing Ship Date","")&amp;IF(P592&lt;0,"; Invalid Discount (Negative)","")&amp;IF(P592&gt;0.5,"; Invalid Discount (Too High)","")&amp;IF(Z592&lt;0,"; Invalid Shipping Record (Ship Before Order)","")&amp;IF(ABS(Q592-W592)&gt;1,"; Sales Mismatch","")&amp;IF(ABS(S592-X592)&gt;1,"; Profit Mismatch","")&amp;IF(COUNTIF($A$2:$A$913,A592)&gt;1,"; Duplicate Order ID Conflict",""))</f>
        <v/>
      </c>
      <c r="AE592" s="10" t="str">
        <f aca="false">IF(OR(ISNUMBER(SEARCH("Invalid Discount",AD592)),ISNUMBER(SEARCH("Invalid Shipping Record",AD592)),ISNUMBER(SEARCH("Sales Mismatch",AD592)),ISNUMBER(SEARCH("Profit Mismatch",AD592)),ISNUMBER(SEARCH("Duplicate Order ID Conflict",AD592)),ISNUMBER(SEARCH("Missing Order Date",AD592)),ISNUMBER(SEARCH("Missing Ship Date",AD592))),"Invalid",IF(AD592&lt;&gt;"","Warning","Clean"))</f>
        <v>Clean</v>
      </c>
    </row>
    <row r="593" customFormat="false" ht="15" hidden="false" customHeight="true" outlineLevel="0" collapsed="false">
      <c r="A593" s="3" t="s">
        <v>1789</v>
      </c>
      <c r="B593" s="4" t="n">
        <v>45344</v>
      </c>
      <c r="C593" s="4" t="n">
        <v>45346</v>
      </c>
      <c r="D593" s="3" t="s">
        <v>1790</v>
      </c>
      <c r="E593" s="3" t="str">
        <f aca="false">PROPER(TRIM(SUBSTITUTE(Raw_Text_Fields!B594,CHAR(160)," ")))</f>
        <v>Sneha Kapoor</v>
      </c>
      <c r="F593" s="3" t="str">
        <f aca="false">PROPER(TRIM(SUBSTITUTE(Raw_Text_Fields!C594,CHAR(160)," ")))</f>
        <v>Consumer</v>
      </c>
      <c r="G593" s="3" t="str">
        <f aca="false">PROPER(TRIM(SUBSTITUTE(Raw_Text_Fields!D594,CHAR(160)," ")))</f>
        <v>South</v>
      </c>
      <c r="H593" s="3" t="str">
        <f aca="false">PROPER(TRIM(SUBSTITUTE(Raw_Text_Fields!E594,CHAR(160)," ")))</f>
        <v>Karnataka</v>
      </c>
      <c r="I593" s="3" t="str">
        <f aca="false">PROPER(TRIM(SUBSTITUTE(Raw_Text_Fields!F594,CHAR(160)," ")))</f>
        <v>Bengaluru</v>
      </c>
      <c r="J593" s="3" t="str">
        <f aca="false">PROPER(TRIM(SUBSTITUTE(Raw_Text_Fields!G594,CHAR(160)," ")))</f>
        <v>Technology</v>
      </c>
      <c r="K593" s="3" t="str">
        <f aca="false">PROPER(TRIM(SUBSTITUTE(Raw_Text_Fields!H594,CHAR(160)," ")))</f>
        <v>Copiers</v>
      </c>
      <c r="L593" s="3" t="s">
        <v>1791</v>
      </c>
      <c r="M593" s="3" t="str">
        <f aca="false">PROPER(TRIM(SUBSTITUTE(Raw_Text_Fields!I594,CHAR(160)," ")))</f>
        <v>First Class</v>
      </c>
      <c r="N593" s="3" t="n">
        <v>3</v>
      </c>
      <c r="O593" s="5" t="n">
        <v>3545.08</v>
      </c>
      <c r="P593" s="6" t="n">
        <v>0</v>
      </c>
      <c r="Q593" s="5" t="n">
        <v>10635.24</v>
      </c>
      <c r="R593" s="5" t="n">
        <v>6031.88</v>
      </c>
      <c r="S593" s="5" t="n">
        <v>4603.36</v>
      </c>
      <c r="T593" s="3" t="str">
        <f aca="false">PROPER(TRIM(SUBSTITUTE(Raw_Text_Fields!J594,CHAR(160)," ")))</f>
        <v>Failed</v>
      </c>
      <c r="U593" s="3" t="str">
        <f aca="false">PROPER(TRIM(SUBSTITUTE(Raw_Text_Fields!K594,CHAR(160)," ")))</f>
        <v>Returned</v>
      </c>
      <c r="V593" s="7" t="n">
        <f aca="false">IF(OR(P593&lt;0,P593&gt;0.5),0,P593)</f>
        <v>0</v>
      </c>
      <c r="W593" s="8" t="n">
        <f aca="false">N593*O593*(1-V593)</f>
        <v>10635.24</v>
      </c>
      <c r="X593" s="8" t="n">
        <f aca="false">W593-R593</f>
        <v>4603.36</v>
      </c>
      <c r="Y593" s="7" t="n">
        <f aca="false">IFERROR(X593/W593,0)</f>
        <v>0.432840255603071</v>
      </c>
      <c r="Z593" s="9" t="n">
        <f aca="false">C593-B593</f>
        <v>2</v>
      </c>
      <c r="AA593" s="1" t="str">
        <f aca="false">IF(B593="","",TEXT(B593,"mmm"))</f>
        <v>Feb</v>
      </c>
      <c r="AB593" s="9" t="n">
        <f aca="false">IF(B593="","",YEAR(B593))</f>
        <v>2024</v>
      </c>
      <c r="AC593" s="3"/>
      <c r="AD593" s="3" t="str">
        <f aca="false">IF(LEFT(AC593&amp;IF(B593="","; Missing Order Date","")&amp;IF(C593="","; Missing Ship Date","")&amp;IF(P593&lt;0,"; Invalid Discount (Negative)","")&amp;IF(P593&gt;0.5,"; Invalid Discount (Too High)","")&amp;IF(Z593&lt;0,"; Invalid Shipping Record (Ship Before Order)","")&amp;IF(ABS(Q593-W593)&gt;1,"; Sales Mismatch","")&amp;IF(ABS(S593-X593)&gt;1,"; Profit Mismatch","")&amp;IF(COUNTIF($A$2:$A$913,A593)&gt;1,"; Duplicate Order ID Conflict",""),2)="; ",MID(AC593&amp;IF(B593="","; Missing Order Date","")&amp;IF(C593="","; Missing Ship Date","")&amp;IF(P593&lt;0,"; Invalid Discount (Negative)","")&amp;IF(P593&gt;0.5,"; Invalid Discount (Too High)","")&amp;IF(Z593&lt;0,"; Invalid Shipping Record (Ship Before Order)","")&amp;IF(ABS(Q593-W593)&gt;1,"; Sales Mismatch","")&amp;IF(ABS(S593-X593)&gt;1,"; Profit Mismatch","")&amp;IF(COUNTIF($A$2:$A$913,A593)&gt;1,"; Duplicate Order ID Conflict",""),3,500),AC593&amp;IF(B593="","; Missing Order Date","")&amp;IF(C593="","; Missing Ship Date","")&amp;IF(P593&lt;0,"; Invalid Discount (Negative)","")&amp;IF(P593&gt;0.5,"; Invalid Discount (Too High)","")&amp;IF(Z593&lt;0,"; Invalid Shipping Record (Ship Before Order)","")&amp;IF(ABS(Q593-W593)&gt;1,"; Sales Mismatch","")&amp;IF(ABS(S593-X593)&gt;1,"; Profit Mismatch","")&amp;IF(COUNTIF($A$2:$A$913,A593)&gt;1,"; Duplicate Order ID Conflict",""))</f>
        <v/>
      </c>
      <c r="AE593" s="10" t="str">
        <f aca="false">IF(OR(ISNUMBER(SEARCH("Invalid Discount",AD593)),ISNUMBER(SEARCH("Invalid Shipping Record",AD593)),ISNUMBER(SEARCH("Sales Mismatch",AD593)),ISNUMBER(SEARCH("Profit Mismatch",AD593)),ISNUMBER(SEARCH("Duplicate Order ID Conflict",AD593)),ISNUMBER(SEARCH("Missing Order Date",AD593)),ISNUMBER(SEARCH("Missing Ship Date",AD593))),"Invalid",IF(AD593&lt;&gt;"","Warning","Clean"))</f>
        <v>Clean</v>
      </c>
    </row>
    <row r="594" customFormat="false" ht="15" hidden="false" customHeight="true" outlineLevel="0" collapsed="false">
      <c r="A594" s="3" t="s">
        <v>1792</v>
      </c>
      <c r="B594" s="4" t="n">
        <v>45355</v>
      </c>
      <c r="C594" s="4" t="n">
        <v>45360</v>
      </c>
      <c r="D594" s="3" t="s">
        <v>1793</v>
      </c>
      <c r="E594" s="3" t="str">
        <f aca="false">PROPER(TRIM(SUBSTITUTE(Raw_Text_Fields!B595,CHAR(160)," ")))</f>
        <v>Mira Das</v>
      </c>
      <c r="F594" s="3" t="str">
        <f aca="false">PROPER(TRIM(SUBSTITUTE(Raw_Text_Fields!C595,CHAR(160)," ")))</f>
        <v>Consumer</v>
      </c>
      <c r="G594" s="3" t="str">
        <f aca="false">PROPER(TRIM(SUBSTITUTE(Raw_Text_Fields!D595,CHAR(160)," ")))</f>
        <v>East</v>
      </c>
      <c r="H594" s="3" t="str">
        <f aca="false">PROPER(TRIM(SUBSTITUTE(Raw_Text_Fields!E595,CHAR(160)," ")))</f>
        <v>West Bengal</v>
      </c>
      <c r="I594" s="3" t="str">
        <f aca="false">PROPER(TRIM(SUBSTITUTE(Raw_Text_Fields!F595,CHAR(160)," ")))</f>
        <v>Kolkata</v>
      </c>
      <c r="J594" s="3" t="str">
        <f aca="false">PROPER(TRIM(SUBSTITUTE(Raw_Text_Fields!G595,CHAR(160)," ")))</f>
        <v>Technology</v>
      </c>
      <c r="K594" s="3" t="str">
        <f aca="false">PROPER(TRIM(SUBSTITUTE(Raw_Text_Fields!H595,CHAR(160)," ")))</f>
        <v>Accessories</v>
      </c>
      <c r="L594" s="3" t="s">
        <v>1794</v>
      </c>
      <c r="M594" s="3" t="str">
        <f aca="false">PROPER(TRIM(SUBSTITUTE(Raw_Text_Fields!I595,CHAR(160)," ")))</f>
        <v>Same Day</v>
      </c>
      <c r="N594" s="3" t="n">
        <v>8</v>
      </c>
      <c r="O594" s="5" t="n">
        <v>4401.41</v>
      </c>
      <c r="P594" s="6" t="n">
        <v>0.15</v>
      </c>
      <c r="Q594" s="5" t="n">
        <v>29929.59</v>
      </c>
      <c r="R594" s="5" t="n">
        <v>22436.03</v>
      </c>
      <c r="S594" s="5" t="n">
        <v>7493.56</v>
      </c>
      <c r="T594" s="3" t="str">
        <f aca="false">PROPER(TRIM(SUBSTITUTE(Raw_Text_Fields!J595,CHAR(160)," ")))</f>
        <v>Paid</v>
      </c>
      <c r="U594" s="3" t="str">
        <f aca="false">PROPER(TRIM(SUBSTITUTE(Raw_Text_Fields!K595,CHAR(160)," ")))</f>
        <v>Completed</v>
      </c>
      <c r="V594" s="7" t="n">
        <f aca="false">IF(OR(P594&lt;0,P594&gt;0.5),0,P594)</f>
        <v>0.15</v>
      </c>
      <c r="W594" s="8" t="n">
        <f aca="false">N594*O594*(1-V594)</f>
        <v>29929.588</v>
      </c>
      <c r="X594" s="8" t="n">
        <f aca="false">W594-R594</f>
        <v>7493.558</v>
      </c>
      <c r="Y594" s="7" t="n">
        <f aca="false">IFERROR(X594/W594,0)</f>
        <v>0.250372908574619</v>
      </c>
      <c r="Z594" s="9" t="n">
        <f aca="false">C594-B594</f>
        <v>5</v>
      </c>
      <c r="AA594" s="1" t="str">
        <f aca="false">IF(B594="","",TEXT(B594,"mmm"))</f>
        <v>Mar</v>
      </c>
      <c r="AB594" s="9" t="n">
        <f aca="false">IF(B594="","",YEAR(B594))</f>
        <v>2024</v>
      </c>
      <c r="AC594" s="3"/>
      <c r="AD594" s="3" t="str">
        <f aca="false">IF(LEFT(AC594&amp;IF(B594="","; Missing Order Date","")&amp;IF(C594="","; Missing Ship Date","")&amp;IF(P594&lt;0,"; Invalid Discount (Negative)","")&amp;IF(P594&gt;0.5,"; Invalid Discount (Too High)","")&amp;IF(Z594&lt;0,"; Invalid Shipping Record (Ship Before Order)","")&amp;IF(ABS(Q594-W594)&gt;1,"; Sales Mismatch","")&amp;IF(ABS(S594-X594)&gt;1,"; Profit Mismatch","")&amp;IF(COUNTIF($A$2:$A$913,A594)&gt;1,"; Duplicate Order ID Conflict",""),2)="; ",MID(AC594&amp;IF(B594="","; Missing Order Date","")&amp;IF(C594="","; Missing Ship Date","")&amp;IF(P594&lt;0,"; Invalid Discount (Negative)","")&amp;IF(P594&gt;0.5,"; Invalid Discount (Too High)","")&amp;IF(Z594&lt;0,"; Invalid Shipping Record (Ship Before Order)","")&amp;IF(ABS(Q594-W594)&gt;1,"; Sales Mismatch","")&amp;IF(ABS(S594-X594)&gt;1,"; Profit Mismatch","")&amp;IF(COUNTIF($A$2:$A$913,A594)&gt;1,"; Duplicate Order ID Conflict",""),3,500),AC594&amp;IF(B594="","; Missing Order Date","")&amp;IF(C594="","; Missing Ship Date","")&amp;IF(P594&lt;0,"; Invalid Discount (Negative)","")&amp;IF(P594&gt;0.5,"; Invalid Discount (Too High)","")&amp;IF(Z594&lt;0,"; Invalid Shipping Record (Ship Before Order)","")&amp;IF(ABS(Q594-W594)&gt;1,"; Sales Mismatch","")&amp;IF(ABS(S594-X594)&gt;1,"; Profit Mismatch","")&amp;IF(COUNTIF($A$2:$A$913,A594)&gt;1,"; Duplicate Order ID Conflict",""))</f>
        <v/>
      </c>
      <c r="AE594" s="10" t="str">
        <f aca="false">IF(OR(ISNUMBER(SEARCH("Invalid Discount",AD594)),ISNUMBER(SEARCH("Invalid Shipping Record",AD594)),ISNUMBER(SEARCH("Sales Mismatch",AD594)),ISNUMBER(SEARCH("Profit Mismatch",AD594)),ISNUMBER(SEARCH("Duplicate Order ID Conflict",AD594)),ISNUMBER(SEARCH("Missing Order Date",AD594)),ISNUMBER(SEARCH("Missing Ship Date",AD594))),"Invalid",IF(AD594&lt;&gt;"","Warning","Clean"))</f>
        <v>Clean</v>
      </c>
    </row>
    <row r="595" customFormat="false" ht="15" hidden="false" customHeight="true" outlineLevel="0" collapsed="false">
      <c r="A595" s="3" t="s">
        <v>1795</v>
      </c>
      <c r="B595" s="4" t="n">
        <v>45927</v>
      </c>
      <c r="C595" s="4" t="n">
        <v>45929</v>
      </c>
      <c r="D595" s="3" t="s">
        <v>1587</v>
      </c>
      <c r="E595" s="3" t="str">
        <f aca="false">PROPER(TRIM(SUBSTITUTE(Raw_Text_Fields!B596,CHAR(160)," ")))</f>
        <v>Arjun Bose</v>
      </c>
      <c r="F595" s="3" t="str">
        <f aca="false">PROPER(TRIM(SUBSTITUTE(Raw_Text_Fields!C596,CHAR(160)," ")))</f>
        <v>Home Office</v>
      </c>
      <c r="G595" s="3" t="str">
        <f aca="false">PROPER(TRIM(SUBSTITUTE(Raw_Text_Fields!D596,CHAR(160)," ")))</f>
        <v>North</v>
      </c>
      <c r="H595" s="3" t="str">
        <f aca="false">PROPER(TRIM(SUBSTITUTE(Raw_Text_Fields!E596,CHAR(160)," ")))</f>
        <v>Uttar Pradesh</v>
      </c>
      <c r="I595" s="3" t="str">
        <f aca="false">PROPER(TRIM(SUBSTITUTE(Raw_Text_Fields!F596,CHAR(160)," ")))</f>
        <v>Noida</v>
      </c>
      <c r="J595" s="3" t="str">
        <f aca="false">PROPER(TRIM(SUBSTITUTE(Raw_Text_Fields!G596,CHAR(160)," ")))</f>
        <v>Furniture</v>
      </c>
      <c r="K595" s="3" t="str">
        <f aca="false">PROPER(TRIM(SUBSTITUTE(Raw_Text_Fields!H596,CHAR(160)," ")))</f>
        <v>Tables</v>
      </c>
      <c r="L595" s="3" t="s">
        <v>1796</v>
      </c>
      <c r="M595" s="3" t="str">
        <f aca="false">PROPER(TRIM(SUBSTITUTE(Raw_Text_Fields!I596,CHAR(160)," ")))</f>
        <v>Second Class</v>
      </c>
      <c r="N595" s="3" t="n">
        <v>9</v>
      </c>
      <c r="O595" s="5" t="n">
        <v>4100.11</v>
      </c>
      <c r="P595" s="6" t="n">
        <v>0.25</v>
      </c>
      <c r="Q595" s="5" t="n">
        <v>27675.74</v>
      </c>
      <c r="R595" s="5" t="n">
        <v>15571.08</v>
      </c>
      <c r="S595" s="5" t="n">
        <v>12104.66</v>
      </c>
      <c r="T595" s="3" t="str">
        <f aca="false">PROPER(TRIM(SUBSTITUTE(Raw_Text_Fields!J596,CHAR(160)," ")))</f>
        <v>Paid</v>
      </c>
      <c r="U595" s="3" t="str">
        <f aca="false">PROPER(TRIM(SUBSTITUTE(Raw_Text_Fields!K596,CHAR(160)," ")))</f>
        <v>Completed</v>
      </c>
      <c r="V595" s="7" t="n">
        <f aca="false">IF(OR(P595&lt;0,P595&gt;0.5),0,P595)</f>
        <v>0.25</v>
      </c>
      <c r="W595" s="8" t="n">
        <f aca="false">N595*O595*(1-V595)</f>
        <v>27675.7425</v>
      </c>
      <c r="X595" s="8" t="n">
        <f aca="false">W595-R595</f>
        <v>12104.6625</v>
      </c>
      <c r="Y595" s="7" t="n">
        <f aca="false">IFERROR(X595/W595,0)</f>
        <v>0.437374444425475</v>
      </c>
      <c r="Z595" s="9" t="n">
        <f aca="false">C595-B595</f>
        <v>2</v>
      </c>
      <c r="AA595" s="1" t="str">
        <f aca="false">IF(B595="","",TEXT(B595,"mmm"))</f>
        <v>Sep</v>
      </c>
      <c r="AB595" s="9" t="n">
        <f aca="false">IF(B595="","",YEAR(B595))</f>
        <v>2025</v>
      </c>
      <c r="AC595" s="3"/>
      <c r="AD595" s="3" t="str">
        <f aca="false">IF(LEFT(AC595&amp;IF(B595="","; Missing Order Date","")&amp;IF(C595="","; Missing Ship Date","")&amp;IF(P595&lt;0,"; Invalid Discount (Negative)","")&amp;IF(P595&gt;0.5,"; Invalid Discount (Too High)","")&amp;IF(Z595&lt;0,"; Invalid Shipping Record (Ship Before Order)","")&amp;IF(ABS(Q595-W595)&gt;1,"; Sales Mismatch","")&amp;IF(ABS(S595-X595)&gt;1,"; Profit Mismatch","")&amp;IF(COUNTIF($A$2:$A$913,A595)&gt;1,"; Duplicate Order ID Conflict",""),2)="; ",MID(AC595&amp;IF(B595="","; Missing Order Date","")&amp;IF(C595="","; Missing Ship Date","")&amp;IF(P595&lt;0,"; Invalid Discount (Negative)","")&amp;IF(P595&gt;0.5,"; Invalid Discount (Too High)","")&amp;IF(Z595&lt;0,"; Invalid Shipping Record (Ship Before Order)","")&amp;IF(ABS(Q595-W595)&gt;1,"; Sales Mismatch","")&amp;IF(ABS(S595-X595)&gt;1,"; Profit Mismatch","")&amp;IF(COUNTIF($A$2:$A$913,A595)&gt;1,"; Duplicate Order ID Conflict",""),3,500),AC595&amp;IF(B595="","; Missing Order Date","")&amp;IF(C595="","; Missing Ship Date","")&amp;IF(P595&lt;0,"; Invalid Discount (Negative)","")&amp;IF(P595&gt;0.5,"; Invalid Discount (Too High)","")&amp;IF(Z595&lt;0,"; Invalid Shipping Record (Ship Before Order)","")&amp;IF(ABS(Q595-W595)&gt;1,"; Sales Mismatch","")&amp;IF(ABS(S595-X595)&gt;1,"; Profit Mismatch","")&amp;IF(COUNTIF($A$2:$A$913,A595)&gt;1,"; Duplicate Order ID Conflict",""))</f>
        <v/>
      </c>
      <c r="AE595" s="10" t="str">
        <f aca="false">IF(OR(ISNUMBER(SEARCH("Invalid Discount",AD595)),ISNUMBER(SEARCH("Invalid Shipping Record",AD595)),ISNUMBER(SEARCH("Sales Mismatch",AD595)),ISNUMBER(SEARCH("Profit Mismatch",AD595)),ISNUMBER(SEARCH("Duplicate Order ID Conflict",AD595)),ISNUMBER(SEARCH("Missing Order Date",AD595)),ISNUMBER(SEARCH("Missing Ship Date",AD595))),"Invalid",IF(AD595&lt;&gt;"","Warning","Clean"))</f>
        <v>Clean</v>
      </c>
    </row>
    <row r="596" customFormat="false" ht="15" hidden="false" customHeight="true" outlineLevel="0" collapsed="false">
      <c r="A596" s="3" t="s">
        <v>1797</v>
      </c>
      <c r="B596" s="4" t="n">
        <v>45554</v>
      </c>
      <c r="C596" s="4" t="n">
        <v>45556</v>
      </c>
      <c r="D596" s="3" t="s">
        <v>1798</v>
      </c>
      <c r="E596" s="3" t="str">
        <f aca="false">PROPER(TRIM(SUBSTITUTE(Raw_Text_Fields!B597,CHAR(160)," ")))</f>
        <v>Karan Malhotra</v>
      </c>
      <c r="F596" s="3" t="str">
        <f aca="false">PROPER(TRIM(SUBSTITUTE(Raw_Text_Fields!C597,CHAR(160)," ")))</f>
        <v>Small Business</v>
      </c>
      <c r="G596" s="3" t="str">
        <f aca="false">PROPER(TRIM(SUBSTITUTE(Raw_Text_Fields!D597,CHAR(160)," ")))</f>
        <v>East</v>
      </c>
      <c r="H596" s="3" t="str">
        <f aca="false">PROPER(TRIM(SUBSTITUTE(Raw_Text_Fields!E597,CHAR(160)," ")))</f>
        <v>West Bengal</v>
      </c>
      <c r="I596" s="3" t="str">
        <f aca="false">PROPER(TRIM(SUBSTITUTE(Raw_Text_Fields!F597,CHAR(160)," ")))</f>
        <v>Kolkata</v>
      </c>
      <c r="J596" s="3" t="str">
        <f aca="false">PROPER(TRIM(SUBSTITUTE(Raw_Text_Fields!G597,CHAR(160)," ")))</f>
        <v>Furniture</v>
      </c>
      <c r="K596" s="3" t="str">
        <f aca="false">PROPER(TRIM(SUBSTITUTE(Raw_Text_Fields!H597,CHAR(160)," ")))</f>
        <v>Chairs</v>
      </c>
      <c r="L596" s="3" t="s">
        <v>1799</v>
      </c>
      <c r="M596" s="3" t="str">
        <f aca="false">PROPER(TRIM(SUBSTITUTE(Raw_Text_Fields!I597,CHAR(160)," ")))</f>
        <v>First Class</v>
      </c>
      <c r="N596" s="3" t="n">
        <v>3</v>
      </c>
      <c r="O596" s="5" t="n">
        <v>3981.76</v>
      </c>
      <c r="P596" s="6" t="n">
        <v>0</v>
      </c>
      <c r="Q596" s="5" t="n">
        <v>11945.28</v>
      </c>
      <c r="R596" s="5" t="n">
        <v>9700.31</v>
      </c>
      <c r="S596" s="5" t="n">
        <v>2244.97</v>
      </c>
      <c r="T596" s="3" t="str">
        <f aca="false">PROPER(TRIM(SUBSTITUTE(Raw_Text_Fields!J597,CHAR(160)," ")))</f>
        <v>Paid</v>
      </c>
      <c r="U596" s="3" t="str">
        <f aca="false">PROPER(TRIM(SUBSTITUTE(Raw_Text_Fields!K597,CHAR(160)," ")))</f>
        <v>Completed</v>
      </c>
      <c r="V596" s="7" t="n">
        <f aca="false">IF(OR(P596&lt;0,P596&gt;0.5),0,P596)</f>
        <v>0</v>
      </c>
      <c r="W596" s="8" t="n">
        <f aca="false">N596*O596*(1-V596)</f>
        <v>11945.28</v>
      </c>
      <c r="X596" s="8" t="n">
        <f aca="false">W596-R596</f>
        <v>2244.97</v>
      </c>
      <c r="Y596" s="7" t="n">
        <f aca="false">IFERROR(X596/W596,0)</f>
        <v>0.187937829837392</v>
      </c>
      <c r="Z596" s="9" t="n">
        <f aca="false">C596-B596</f>
        <v>2</v>
      </c>
      <c r="AA596" s="1" t="str">
        <f aca="false">IF(B596="","",TEXT(B596,"mmm"))</f>
        <v>Sep</v>
      </c>
      <c r="AB596" s="9" t="n">
        <f aca="false">IF(B596="","",YEAR(B596))</f>
        <v>2024</v>
      </c>
      <c r="AC596" s="3"/>
      <c r="AD596" s="3" t="str">
        <f aca="false">IF(LEFT(AC596&amp;IF(B596="","; Missing Order Date","")&amp;IF(C596="","; Missing Ship Date","")&amp;IF(P596&lt;0,"; Invalid Discount (Negative)","")&amp;IF(P596&gt;0.5,"; Invalid Discount (Too High)","")&amp;IF(Z596&lt;0,"; Invalid Shipping Record (Ship Before Order)","")&amp;IF(ABS(Q596-W596)&gt;1,"; Sales Mismatch","")&amp;IF(ABS(S596-X596)&gt;1,"; Profit Mismatch","")&amp;IF(COUNTIF($A$2:$A$913,A596)&gt;1,"; Duplicate Order ID Conflict",""),2)="; ",MID(AC596&amp;IF(B596="","; Missing Order Date","")&amp;IF(C596="","; Missing Ship Date","")&amp;IF(P596&lt;0,"; Invalid Discount (Negative)","")&amp;IF(P596&gt;0.5,"; Invalid Discount (Too High)","")&amp;IF(Z596&lt;0,"; Invalid Shipping Record (Ship Before Order)","")&amp;IF(ABS(Q596-W596)&gt;1,"; Sales Mismatch","")&amp;IF(ABS(S596-X596)&gt;1,"; Profit Mismatch","")&amp;IF(COUNTIF($A$2:$A$913,A596)&gt;1,"; Duplicate Order ID Conflict",""),3,500),AC596&amp;IF(B596="","; Missing Order Date","")&amp;IF(C596="","; Missing Ship Date","")&amp;IF(P596&lt;0,"; Invalid Discount (Negative)","")&amp;IF(P596&gt;0.5,"; Invalid Discount (Too High)","")&amp;IF(Z596&lt;0,"; Invalid Shipping Record (Ship Before Order)","")&amp;IF(ABS(Q596-W596)&gt;1,"; Sales Mismatch","")&amp;IF(ABS(S596-X596)&gt;1,"; Profit Mismatch","")&amp;IF(COUNTIF($A$2:$A$913,A596)&gt;1,"; Duplicate Order ID Conflict",""))</f>
        <v/>
      </c>
      <c r="AE596" s="10" t="str">
        <f aca="false">IF(OR(ISNUMBER(SEARCH("Invalid Discount",AD596)),ISNUMBER(SEARCH("Invalid Shipping Record",AD596)),ISNUMBER(SEARCH("Sales Mismatch",AD596)),ISNUMBER(SEARCH("Profit Mismatch",AD596)),ISNUMBER(SEARCH("Duplicate Order ID Conflict",AD596)),ISNUMBER(SEARCH("Missing Order Date",AD596)),ISNUMBER(SEARCH("Missing Ship Date",AD596))),"Invalid",IF(AD596&lt;&gt;"","Warning","Clean"))</f>
        <v>Clean</v>
      </c>
    </row>
    <row r="597" customFormat="false" ht="15" hidden="false" customHeight="true" outlineLevel="0" collapsed="false">
      <c r="A597" s="3" t="s">
        <v>1800</v>
      </c>
      <c r="B597" s="4" t="n">
        <v>45699</v>
      </c>
      <c r="C597" s="4" t="n">
        <v>45704</v>
      </c>
      <c r="D597" s="3" t="s">
        <v>1801</v>
      </c>
      <c r="E597" s="3" t="str">
        <f aca="false">PROPER(TRIM(SUBSTITUTE(Raw_Text_Fields!B598,CHAR(160)," ")))</f>
        <v>Mira Das</v>
      </c>
      <c r="F597" s="3" t="str">
        <f aca="false">PROPER(TRIM(SUBSTITUTE(Raw_Text_Fields!C598,CHAR(160)," ")))</f>
        <v>Corporate</v>
      </c>
      <c r="G597" s="3" t="str">
        <f aca="false">PROPER(TRIM(SUBSTITUTE(Raw_Text_Fields!D598,CHAR(160)," ")))</f>
        <v>North</v>
      </c>
      <c r="H597" s="3" t="str">
        <f aca="false">PROPER(TRIM(SUBSTITUTE(Raw_Text_Fields!E598,CHAR(160)," ")))</f>
        <v>Uttar Pradesh</v>
      </c>
      <c r="I597" s="3" t="str">
        <f aca="false">PROPER(TRIM(SUBSTITUTE(Raw_Text_Fields!F598,CHAR(160)," ")))</f>
        <v>Noida</v>
      </c>
      <c r="J597" s="3" t="str">
        <f aca="false">PROPER(TRIM(SUBSTITUTE(Raw_Text_Fields!G598,CHAR(160)," ")))</f>
        <v>Technology</v>
      </c>
      <c r="K597" s="3" t="str">
        <f aca="false">PROPER(TRIM(SUBSTITUTE(Raw_Text_Fields!H598,CHAR(160)," ")))</f>
        <v>Phones</v>
      </c>
      <c r="L597" s="3" t="s">
        <v>1802</v>
      </c>
      <c r="M597" s="3" t="str">
        <f aca="false">PROPER(TRIM(SUBSTITUTE(Raw_Text_Fields!I598,CHAR(160)," ")))</f>
        <v>First Class</v>
      </c>
      <c r="N597" s="3" t="n">
        <v>8</v>
      </c>
      <c r="O597" s="5" t="n">
        <v>1825.56</v>
      </c>
      <c r="P597" s="6" t="n">
        <v>0.1</v>
      </c>
      <c r="Q597" s="5" t="n">
        <v>13144.03</v>
      </c>
      <c r="R597" s="5" t="n">
        <v>9764</v>
      </c>
      <c r="S597" s="5" t="n">
        <v>3380.03</v>
      </c>
      <c r="T597" s="3" t="str">
        <f aca="false">PROPER(TRIM(SUBSTITUTE(Raw_Text_Fields!J598,CHAR(160)," ")))</f>
        <v>Paid</v>
      </c>
      <c r="U597" s="3" t="str">
        <f aca="false">PROPER(TRIM(SUBSTITUTE(Raw_Text_Fields!K598,CHAR(160)," ")))</f>
        <v>Completed</v>
      </c>
      <c r="V597" s="7" t="n">
        <f aca="false">IF(OR(P597&lt;0,P597&gt;0.5),0,P597)</f>
        <v>0.1</v>
      </c>
      <c r="W597" s="8" t="n">
        <f aca="false">N597*O597*(1-V597)</f>
        <v>13144.032</v>
      </c>
      <c r="X597" s="8" t="n">
        <f aca="false">W597-R597</f>
        <v>3380.032</v>
      </c>
      <c r="Y597" s="7" t="n">
        <f aca="false">IFERROR(X597/W597,0)</f>
        <v>0.25715336055177</v>
      </c>
      <c r="Z597" s="9" t="n">
        <f aca="false">C597-B597</f>
        <v>5</v>
      </c>
      <c r="AA597" s="1" t="str">
        <f aca="false">IF(B597="","",TEXT(B597,"mmm"))</f>
        <v>Feb</v>
      </c>
      <c r="AB597" s="9" t="n">
        <f aca="false">IF(B597="","",YEAR(B597))</f>
        <v>2025</v>
      </c>
      <c r="AC597" s="3"/>
      <c r="AD597" s="3" t="str">
        <f aca="false">IF(LEFT(AC597&amp;IF(B597="","; Missing Order Date","")&amp;IF(C597="","; Missing Ship Date","")&amp;IF(P597&lt;0,"; Invalid Discount (Negative)","")&amp;IF(P597&gt;0.5,"; Invalid Discount (Too High)","")&amp;IF(Z597&lt;0,"; Invalid Shipping Record (Ship Before Order)","")&amp;IF(ABS(Q597-W597)&gt;1,"; Sales Mismatch","")&amp;IF(ABS(S597-X597)&gt;1,"; Profit Mismatch","")&amp;IF(COUNTIF($A$2:$A$913,A597)&gt;1,"; Duplicate Order ID Conflict",""),2)="; ",MID(AC597&amp;IF(B597="","; Missing Order Date","")&amp;IF(C597="","; Missing Ship Date","")&amp;IF(P597&lt;0,"; Invalid Discount (Negative)","")&amp;IF(P597&gt;0.5,"; Invalid Discount (Too High)","")&amp;IF(Z597&lt;0,"; Invalid Shipping Record (Ship Before Order)","")&amp;IF(ABS(Q597-W597)&gt;1,"; Sales Mismatch","")&amp;IF(ABS(S597-X597)&gt;1,"; Profit Mismatch","")&amp;IF(COUNTIF($A$2:$A$913,A597)&gt;1,"; Duplicate Order ID Conflict",""),3,500),AC597&amp;IF(B597="","; Missing Order Date","")&amp;IF(C597="","; Missing Ship Date","")&amp;IF(P597&lt;0,"; Invalid Discount (Negative)","")&amp;IF(P597&gt;0.5,"; Invalid Discount (Too High)","")&amp;IF(Z597&lt;0,"; Invalid Shipping Record (Ship Before Order)","")&amp;IF(ABS(Q597-W597)&gt;1,"; Sales Mismatch","")&amp;IF(ABS(S597-X597)&gt;1,"; Profit Mismatch","")&amp;IF(COUNTIF($A$2:$A$913,A597)&gt;1,"; Duplicate Order ID Conflict",""))</f>
        <v/>
      </c>
      <c r="AE597" s="10" t="str">
        <f aca="false">IF(OR(ISNUMBER(SEARCH("Invalid Discount",AD597)),ISNUMBER(SEARCH("Invalid Shipping Record",AD597)),ISNUMBER(SEARCH("Sales Mismatch",AD597)),ISNUMBER(SEARCH("Profit Mismatch",AD597)),ISNUMBER(SEARCH("Duplicate Order ID Conflict",AD597)),ISNUMBER(SEARCH("Missing Order Date",AD597)),ISNUMBER(SEARCH("Missing Ship Date",AD597))),"Invalid",IF(AD597&lt;&gt;"","Warning","Clean"))</f>
        <v>Clean</v>
      </c>
    </row>
    <row r="598" customFormat="false" ht="15" hidden="false" customHeight="true" outlineLevel="0" collapsed="false">
      <c r="A598" s="3" t="s">
        <v>1803</v>
      </c>
      <c r="B598" s="4" t="n">
        <v>45392</v>
      </c>
      <c r="C598" s="4" t="n">
        <v>45398</v>
      </c>
      <c r="D598" s="3" t="s">
        <v>1804</v>
      </c>
      <c r="E598" s="3" t="str">
        <f aca="false">PROPER(TRIM(SUBSTITUTE(Raw_Text_Fields!B599,CHAR(160)," ")))</f>
        <v>Aditi Sen</v>
      </c>
      <c r="F598" s="3" t="str">
        <f aca="false">PROPER(TRIM(SUBSTITUTE(Raw_Text_Fields!C599,CHAR(160)," ")))</f>
        <v>Consumer</v>
      </c>
      <c r="G598" s="3" t="str">
        <f aca="false">PROPER(TRIM(SUBSTITUTE(Raw_Text_Fields!D599,CHAR(160)," ")))</f>
        <v>South</v>
      </c>
      <c r="H598" s="3" t="str">
        <f aca="false">PROPER(TRIM(SUBSTITUTE(Raw_Text_Fields!E599,CHAR(160)," ")))</f>
        <v>Kerala</v>
      </c>
      <c r="I598" s="3" t="str">
        <f aca="false">PROPER(TRIM(SUBSTITUTE(Raw_Text_Fields!F599,CHAR(160)," ")))</f>
        <v>Kochi</v>
      </c>
      <c r="J598" s="3" t="str">
        <f aca="false">PROPER(TRIM(SUBSTITUTE(Raw_Text_Fields!G599,CHAR(160)," ")))</f>
        <v>Furniture</v>
      </c>
      <c r="K598" s="3" t="str">
        <f aca="false">PROPER(TRIM(SUBSTITUTE(Raw_Text_Fields!H599,CHAR(160)," ")))</f>
        <v>Chairs</v>
      </c>
      <c r="L598" s="3" t="s">
        <v>1805</v>
      </c>
      <c r="M598" s="3" t="str">
        <f aca="false">PROPER(TRIM(SUBSTITUTE(Raw_Text_Fields!I599,CHAR(160)," ")))</f>
        <v>Second Class</v>
      </c>
      <c r="N598" s="3" t="n">
        <v>9</v>
      </c>
      <c r="O598" s="5" t="n">
        <v>2723.26</v>
      </c>
      <c r="P598" s="6" t="n">
        <v>0.25</v>
      </c>
      <c r="Q598" s="5" t="n">
        <v>18382.01</v>
      </c>
      <c r="R598" s="5" t="n">
        <v>13108.2</v>
      </c>
      <c r="S598" s="5" t="n">
        <v>5273.81</v>
      </c>
      <c r="T598" s="3" t="str">
        <f aca="false">PROPER(TRIM(SUBSTITUTE(Raw_Text_Fields!J599,CHAR(160)," ")))</f>
        <v>Paid</v>
      </c>
      <c r="U598" s="3" t="str">
        <f aca="false">PROPER(TRIM(SUBSTITUTE(Raw_Text_Fields!K599,CHAR(160)," ")))</f>
        <v>Completed</v>
      </c>
      <c r="V598" s="7" t="n">
        <f aca="false">IF(OR(P598&lt;0,P598&gt;0.5),0,P598)</f>
        <v>0.25</v>
      </c>
      <c r="W598" s="8" t="n">
        <f aca="false">N598*O598*(1-V598)</f>
        <v>18382.005</v>
      </c>
      <c r="X598" s="8" t="n">
        <f aca="false">W598-R598</f>
        <v>5273.805</v>
      </c>
      <c r="Y598" s="7" t="n">
        <f aca="false">IFERROR(X598/W598,0)</f>
        <v>0.286900422451196</v>
      </c>
      <c r="Z598" s="9" t="n">
        <f aca="false">C598-B598</f>
        <v>6</v>
      </c>
      <c r="AA598" s="1" t="str">
        <f aca="false">IF(B598="","",TEXT(B598,"mmm"))</f>
        <v>Apr</v>
      </c>
      <c r="AB598" s="9" t="n">
        <f aca="false">IF(B598="","",YEAR(B598))</f>
        <v>2024</v>
      </c>
      <c r="AC598" s="3"/>
      <c r="AD598" s="3" t="str">
        <f aca="false">IF(LEFT(AC598&amp;IF(B598="","; Missing Order Date","")&amp;IF(C598="","; Missing Ship Date","")&amp;IF(P598&lt;0,"; Invalid Discount (Negative)","")&amp;IF(P598&gt;0.5,"; Invalid Discount (Too High)","")&amp;IF(Z598&lt;0,"; Invalid Shipping Record (Ship Before Order)","")&amp;IF(ABS(Q598-W598)&gt;1,"; Sales Mismatch","")&amp;IF(ABS(S598-X598)&gt;1,"; Profit Mismatch","")&amp;IF(COUNTIF($A$2:$A$913,A598)&gt;1,"; Duplicate Order ID Conflict",""),2)="; ",MID(AC598&amp;IF(B598="","; Missing Order Date","")&amp;IF(C598="","; Missing Ship Date","")&amp;IF(P598&lt;0,"; Invalid Discount (Negative)","")&amp;IF(P598&gt;0.5,"; Invalid Discount (Too High)","")&amp;IF(Z598&lt;0,"; Invalid Shipping Record (Ship Before Order)","")&amp;IF(ABS(Q598-W598)&gt;1,"; Sales Mismatch","")&amp;IF(ABS(S598-X598)&gt;1,"; Profit Mismatch","")&amp;IF(COUNTIF($A$2:$A$913,A598)&gt;1,"; Duplicate Order ID Conflict",""),3,500),AC598&amp;IF(B598="","; Missing Order Date","")&amp;IF(C598="","; Missing Ship Date","")&amp;IF(P598&lt;0,"; Invalid Discount (Negative)","")&amp;IF(P598&gt;0.5,"; Invalid Discount (Too High)","")&amp;IF(Z598&lt;0,"; Invalid Shipping Record (Ship Before Order)","")&amp;IF(ABS(Q598-W598)&gt;1,"; Sales Mismatch","")&amp;IF(ABS(S598-X598)&gt;1,"; Profit Mismatch","")&amp;IF(COUNTIF($A$2:$A$913,A598)&gt;1,"; Duplicate Order ID Conflict",""))</f>
        <v/>
      </c>
      <c r="AE598" s="10" t="str">
        <f aca="false">IF(OR(ISNUMBER(SEARCH("Invalid Discount",AD598)),ISNUMBER(SEARCH("Invalid Shipping Record",AD598)),ISNUMBER(SEARCH("Sales Mismatch",AD598)),ISNUMBER(SEARCH("Profit Mismatch",AD598)),ISNUMBER(SEARCH("Duplicate Order ID Conflict",AD598)),ISNUMBER(SEARCH("Missing Order Date",AD598)),ISNUMBER(SEARCH("Missing Ship Date",AD598))),"Invalid",IF(AD598&lt;&gt;"","Warning","Clean"))</f>
        <v>Clean</v>
      </c>
    </row>
    <row r="599" customFormat="false" ht="15" hidden="false" customHeight="true" outlineLevel="0" collapsed="false">
      <c r="A599" s="3" t="s">
        <v>1806</v>
      </c>
      <c r="B599" s="4" t="n">
        <v>45846</v>
      </c>
      <c r="C599" s="4" t="n">
        <v>45846</v>
      </c>
      <c r="D599" s="3" t="s">
        <v>1807</v>
      </c>
      <c r="E599" s="3" t="str">
        <f aca="false">PROPER(TRIM(SUBSTITUTE(Raw_Text_Fields!B600,CHAR(160)," ")))</f>
        <v>Aditi Sen</v>
      </c>
      <c r="F599" s="3" t="str">
        <f aca="false">PROPER(TRIM(SUBSTITUTE(Raw_Text_Fields!C600,CHAR(160)," ")))</f>
        <v>Consumer</v>
      </c>
      <c r="G599" s="3" t="str">
        <f aca="false">PROPER(TRIM(SUBSTITUTE(Raw_Text_Fields!D600,CHAR(160)," ")))</f>
        <v>South</v>
      </c>
      <c r="H599" s="3" t="str">
        <f aca="false">PROPER(TRIM(SUBSTITUTE(Raw_Text_Fields!E600,CHAR(160)," ")))</f>
        <v>Telangana</v>
      </c>
      <c r="I599" s="3" t="str">
        <f aca="false">PROPER(TRIM(SUBSTITUTE(Raw_Text_Fields!F600,CHAR(160)," ")))</f>
        <v>Hyderabad</v>
      </c>
      <c r="J599" s="3" t="str">
        <f aca="false">PROPER(TRIM(SUBSTITUTE(Raw_Text_Fields!G600,CHAR(160)," ")))</f>
        <v>Technology</v>
      </c>
      <c r="K599" s="3" t="str">
        <f aca="false">PROPER(TRIM(SUBSTITUTE(Raw_Text_Fields!H600,CHAR(160)," ")))</f>
        <v>Copiers</v>
      </c>
      <c r="L599" s="3" t="s">
        <v>1808</v>
      </c>
      <c r="M599" s="3" t="str">
        <f aca="false">PROPER(TRIM(SUBSTITUTE(Raw_Text_Fields!I600,CHAR(160)," ")))</f>
        <v>Same Day</v>
      </c>
      <c r="N599" s="3" t="n">
        <v>9</v>
      </c>
      <c r="O599" s="5" t="n">
        <v>274.88</v>
      </c>
      <c r="P599" s="6" t="n">
        <v>0.25</v>
      </c>
      <c r="Q599" s="5" t="n">
        <v>1855.44</v>
      </c>
      <c r="R599" s="5" t="n">
        <v>1262.74</v>
      </c>
      <c r="S599" s="5" t="n">
        <v>592.7</v>
      </c>
      <c r="T599" s="3" t="str">
        <f aca="false">PROPER(TRIM(SUBSTITUTE(Raw_Text_Fields!J600,CHAR(160)," ")))</f>
        <v>Paid</v>
      </c>
      <c r="U599" s="3" t="str">
        <f aca="false">PROPER(TRIM(SUBSTITUTE(Raw_Text_Fields!K600,CHAR(160)," ")))</f>
        <v>Completed</v>
      </c>
      <c r="V599" s="7" t="n">
        <f aca="false">IF(OR(P599&lt;0,P599&gt;0.5),0,P599)</f>
        <v>0.25</v>
      </c>
      <c r="W599" s="8" t="n">
        <f aca="false">N599*O599*(1-V599)</f>
        <v>1855.44</v>
      </c>
      <c r="X599" s="8" t="n">
        <f aca="false">W599-R599</f>
        <v>592.7</v>
      </c>
      <c r="Y599" s="7" t="n">
        <f aca="false">IFERROR(X599/W599,0)</f>
        <v>0.319439054887251</v>
      </c>
      <c r="Z599" s="9" t="n">
        <f aca="false">C599-B599</f>
        <v>0</v>
      </c>
      <c r="AA599" s="1" t="str">
        <f aca="false">IF(B599="","",TEXT(B599,"mmm"))</f>
        <v>Jul</v>
      </c>
      <c r="AB599" s="9" t="n">
        <f aca="false">IF(B599="","",YEAR(B599))</f>
        <v>2025</v>
      </c>
      <c r="AC599" s="3"/>
      <c r="AD599" s="3" t="str">
        <f aca="false">IF(LEFT(AC599&amp;IF(B599="","; Missing Order Date","")&amp;IF(C599="","; Missing Ship Date","")&amp;IF(P599&lt;0,"; Invalid Discount (Negative)","")&amp;IF(P599&gt;0.5,"; Invalid Discount (Too High)","")&amp;IF(Z599&lt;0,"; Invalid Shipping Record (Ship Before Order)","")&amp;IF(ABS(Q599-W599)&gt;1,"; Sales Mismatch","")&amp;IF(ABS(S599-X599)&gt;1,"; Profit Mismatch","")&amp;IF(COUNTIF($A$2:$A$913,A599)&gt;1,"; Duplicate Order ID Conflict",""),2)="; ",MID(AC599&amp;IF(B599="","; Missing Order Date","")&amp;IF(C599="","; Missing Ship Date","")&amp;IF(P599&lt;0,"; Invalid Discount (Negative)","")&amp;IF(P599&gt;0.5,"; Invalid Discount (Too High)","")&amp;IF(Z599&lt;0,"; Invalid Shipping Record (Ship Before Order)","")&amp;IF(ABS(Q599-W599)&gt;1,"; Sales Mismatch","")&amp;IF(ABS(S599-X599)&gt;1,"; Profit Mismatch","")&amp;IF(COUNTIF($A$2:$A$913,A599)&gt;1,"; Duplicate Order ID Conflict",""),3,500),AC599&amp;IF(B599="","; Missing Order Date","")&amp;IF(C599="","; Missing Ship Date","")&amp;IF(P599&lt;0,"; Invalid Discount (Negative)","")&amp;IF(P599&gt;0.5,"; Invalid Discount (Too High)","")&amp;IF(Z599&lt;0,"; Invalid Shipping Record (Ship Before Order)","")&amp;IF(ABS(Q599-W599)&gt;1,"; Sales Mismatch","")&amp;IF(ABS(S599-X599)&gt;1,"; Profit Mismatch","")&amp;IF(COUNTIF($A$2:$A$913,A599)&gt;1,"; Duplicate Order ID Conflict",""))</f>
        <v/>
      </c>
      <c r="AE599" s="10" t="str">
        <f aca="false">IF(OR(ISNUMBER(SEARCH("Invalid Discount",AD599)),ISNUMBER(SEARCH("Invalid Shipping Record",AD599)),ISNUMBER(SEARCH("Sales Mismatch",AD599)),ISNUMBER(SEARCH("Profit Mismatch",AD599)),ISNUMBER(SEARCH("Duplicate Order ID Conflict",AD599)),ISNUMBER(SEARCH("Missing Order Date",AD599)),ISNUMBER(SEARCH("Missing Ship Date",AD599))),"Invalid",IF(AD599&lt;&gt;"","Warning","Clean"))</f>
        <v>Clean</v>
      </c>
    </row>
    <row r="600" customFormat="false" ht="15" hidden="false" customHeight="true" outlineLevel="0" collapsed="false">
      <c r="A600" s="3" t="s">
        <v>1809</v>
      </c>
      <c r="B600" s="4" t="n">
        <v>45521</v>
      </c>
      <c r="C600" s="4" t="n">
        <v>45528</v>
      </c>
      <c r="D600" s="3" t="s">
        <v>1810</v>
      </c>
      <c r="E600" s="3" t="str">
        <f aca="false">PROPER(TRIM(SUBSTITUTE(Raw_Text_Fields!B601,CHAR(160)," ")))</f>
        <v>Ananya Rao</v>
      </c>
      <c r="F600" s="3" t="str">
        <f aca="false">PROPER(TRIM(SUBSTITUTE(Raw_Text_Fields!C601,CHAR(160)," ")))</f>
        <v>Corporate</v>
      </c>
      <c r="G600" s="3" t="str">
        <f aca="false">PROPER(TRIM(SUBSTITUTE(Raw_Text_Fields!D601,CHAR(160)," ")))</f>
        <v>East</v>
      </c>
      <c r="H600" s="3" t="str">
        <f aca="false">PROPER(TRIM(SUBSTITUTE(Raw_Text_Fields!E601,CHAR(160)," ")))</f>
        <v>West Bengal</v>
      </c>
      <c r="I600" s="3" t="str">
        <f aca="false">PROPER(TRIM(SUBSTITUTE(Raw_Text_Fields!F601,CHAR(160)," ")))</f>
        <v>Kolkata</v>
      </c>
      <c r="J600" s="3" t="str">
        <f aca="false">PROPER(TRIM(SUBSTITUTE(Raw_Text_Fields!G601,CHAR(160)," ")))</f>
        <v>Technology</v>
      </c>
      <c r="K600" s="3" t="str">
        <f aca="false">PROPER(TRIM(SUBSTITUTE(Raw_Text_Fields!H601,CHAR(160)," ")))</f>
        <v>Copiers</v>
      </c>
      <c r="L600" s="3" t="s">
        <v>1811</v>
      </c>
      <c r="M600" s="3" t="str">
        <f aca="false">PROPER(TRIM(SUBSTITUTE(Raw_Text_Fields!I601,CHAR(160)," ")))</f>
        <v>Same Day</v>
      </c>
      <c r="N600" s="3" t="n">
        <v>3</v>
      </c>
      <c r="O600" s="5" t="n">
        <v>1490.69</v>
      </c>
      <c r="P600" s="6" t="n">
        <v>0.25</v>
      </c>
      <c r="Q600" s="5" t="n">
        <v>3354.05</v>
      </c>
      <c r="R600" s="5" t="n">
        <v>2672.67</v>
      </c>
      <c r="S600" s="5" t="n">
        <v>681.38</v>
      </c>
      <c r="T600" s="3" t="str">
        <f aca="false">PROPER(TRIM(SUBSTITUTE(Raw_Text_Fields!J601,CHAR(160)," ")))</f>
        <v>Paid</v>
      </c>
      <c r="U600" s="3" t="str">
        <f aca="false">PROPER(TRIM(SUBSTITUTE(Raw_Text_Fields!K601,CHAR(160)," ")))</f>
        <v>Completed</v>
      </c>
      <c r="V600" s="7" t="n">
        <f aca="false">IF(OR(P600&lt;0,P600&gt;0.5),0,P600)</f>
        <v>0.25</v>
      </c>
      <c r="W600" s="8" t="n">
        <f aca="false">N600*O600*(1-V600)</f>
        <v>3354.0525</v>
      </c>
      <c r="X600" s="8" t="n">
        <f aca="false">W600-R600</f>
        <v>681.3825</v>
      </c>
      <c r="Y600" s="7" t="n">
        <f aca="false">IFERROR(X600/W600,0)</f>
        <v>0.203152007906853</v>
      </c>
      <c r="Z600" s="9" t="n">
        <f aca="false">C600-B600</f>
        <v>7</v>
      </c>
      <c r="AA600" s="1" t="str">
        <f aca="false">IF(B600="","",TEXT(B600,"mmm"))</f>
        <v>Aug</v>
      </c>
      <c r="AB600" s="9" t="n">
        <f aca="false">IF(B600="","",YEAR(B600))</f>
        <v>2024</v>
      </c>
      <c r="AC600" s="3"/>
      <c r="AD600" s="3" t="str">
        <f aca="false">IF(LEFT(AC600&amp;IF(B600="","; Missing Order Date","")&amp;IF(C600="","; Missing Ship Date","")&amp;IF(P600&lt;0,"; Invalid Discount (Negative)","")&amp;IF(P600&gt;0.5,"; Invalid Discount (Too High)","")&amp;IF(Z600&lt;0,"; Invalid Shipping Record (Ship Before Order)","")&amp;IF(ABS(Q600-W600)&gt;1,"; Sales Mismatch","")&amp;IF(ABS(S600-X600)&gt;1,"; Profit Mismatch","")&amp;IF(COUNTIF($A$2:$A$913,A600)&gt;1,"; Duplicate Order ID Conflict",""),2)="; ",MID(AC600&amp;IF(B600="","; Missing Order Date","")&amp;IF(C600="","; Missing Ship Date","")&amp;IF(P600&lt;0,"; Invalid Discount (Negative)","")&amp;IF(P600&gt;0.5,"; Invalid Discount (Too High)","")&amp;IF(Z600&lt;0,"; Invalid Shipping Record (Ship Before Order)","")&amp;IF(ABS(Q600-W600)&gt;1,"; Sales Mismatch","")&amp;IF(ABS(S600-X600)&gt;1,"; Profit Mismatch","")&amp;IF(COUNTIF($A$2:$A$913,A600)&gt;1,"; Duplicate Order ID Conflict",""),3,500),AC600&amp;IF(B600="","; Missing Order Date","")&amp;IF(C600="","; Missing Ship Date","")&amp;IF(P600&lt;0,"; Invalid Discount (Negative)","")&amp;IF(P600&gt;0.5,"; Invalid Discount (Too High)","")&amp;IF(Z600&lt;0,"; Invalid Shipping Record (Ship Before Order)","")&amp;IF(ABS(Q600-W600)&gt;1,"; Sales Mismatch","")&amp;IF(ABS(S600-X600)&gt;1,"; Profit Mismatch","")&amp;IF(COUNTIF($A$2:$A$913,A600)&gt;1,"; Duplicate Order ID Conflict",""))</f>
        <v/>
      </c>
      <c r="AE600" s="10" t="str">
        <f aca="false">IF(OR(ISNUMBER(SEARCH("Invalid Discount",AD600)),ISNUMBER(SEARCH("Invalid Shipping Record",AD600)),ISNUMBER(SEARCH("Sales Mismatch",AD600)),ISNUMBER(SEARCH("Profit Mismatch",AD600)),ISNUMBER(SEARCH("Duplicate Order ID Conflict",AD600)),ISNUMBER(SEARCH("Missing Order Date",AD600)),ISNUMBER(SEARCH("Missing Ship Date",AD600))),"Invalid",IF(AD600&lt;&gt;"","Warning","Clean"))</f>
        <v>Clean</v>
      </c>
    </row>
    <row r="601" customFormat="false" ht="15" hidden="false" customHeight="true" outlineLevel="0" collapsed="false">
      <c r="A601" s="3" t="s">
        <v>1812</v>
      </c>
      <c r="B601" s="4" t="n">
        <v>45523</v>
      </c>
      <c r="C601" s="4" t="n">
        <v>45525</v>
      </c>
      <c r="D601" s="3" t="s">
        <v>1813</v>
      </c>
      <c r="E601" s="3" t="str">
        <f aca="false">PROPER(TRIM(SUBSTITUTE(Raw_Text_Fields!B602,CHAR(160)," ")))</f>
        <v>Arjun Bose</v>
      </c>
      <c r="F601" s="3" t="str">
        <f aca="false">PROPER(TRIM(SUBSTITUTE(Raw_Text_Fields!C602,CHAR(160)," ")))</f>
        <v>Consumer</v>
      </c>
      <c r="G601" s="3" t="str">
        <f aca="false">PROPER(TRIM(SUBSTITUTE(Raw_Text_Fields!D602,CHAR(160)," ")))</f>
        <v>North</v>
      </c>
      <c r="H601" s="3" t="str">
        <f aca="false">PROPER(TRIM(SUBSTITUTE(Raw_Text_Fields!E602,CHAR(160)," ")))</f>
        <v>Punjab</v>
      </c>
      <c r="I601" s="3" t="str">
        <f aca="false">PROPER(TRIM(SUBSTITUTE(Raw_Text_Fields!F602,CHAR(160)," ")))</f>
        <v>Ludhiana</v>
      </c>
      <c r="J601" s="3" t="str">
        <f aca="false">PROPER(TRIM(SUBSTITUTE(Raw_Text_Fields!G602,CHAR(160)," ")))</f>
        <v>Technology</v>
      </c>
      <c r="K601" s="3" t="str">
        <f aca="false">PROPER(TRIM(SUBSTITUTE(Raw_Text_Fields!H602,CHAR(160)," ")))</f>
        <v>Phones</v>
      </c>
      <c r="L601" s="3" t="s">
        <v>1814</v>
      </c>
      <c r="M601" s="3" t="str">
        <f aca="false">PROPER(TRIM(SUBSTITUTE(Raw_Text_Fields!I602,CHAR(160)," ")))</f>
        <v>First Class</v>
      </c>
      <c r="N601" s="3" t="n">
        <v>3</v>
      </c>
      <c r="O601" s="5" t="n">
        <v>1103.54</v>
      </c>
      <c r="P601" s="6" t="n">
        <v>0.25</v>
      </c>
      <c r="Q601" s="5" t="n">
        <v>2482.97</v>
      </c>
      <c r="R601" s="5" t="n">
        <v>1621.72</v>
      </c>
      <c r="S601" s="5" t="n">
        <v>861.25</v>
      </c>
      <c r="T601" s="3" t="str">
        <f aca="false">PROPER(TRIM(SUBSTITUTE(Raw_Text_Fields!J602,CHAR(160)," ")))</f>
        <v>Paid</v>
      </c>
      <c r="U601" s="3" t="str">
        <f aca="false">PROPER(TRIM(SUBSTITUTE(Raw_Text_Fields!K602,CHAR(160)," ")))</f>
        <v>Completed</v>
      </c>
      <c r="V601" s="7" t="n">
        <f aca="false">IF(OR(P601&lt;0,P601&gt;0.5),0,P601)</f>
        <v>0.25</v>
      </c>
      <c r="W601" s="8" t="n">
        <f aca="false">N601*O601*(1-V601)</f>
        <v>2482.965</v>
      </c>
      <c r="X601" s="8" t="n">
        <f aca="false">W601-R601</f>
        <v>861.245</v>
      </c>
      <c r="Y601" s="7" t="n">
        <f aca="false">IFERROR(X601/W601,0)</f>
        <v>0.346861514358841</v>
      </c>
      <c r="Z601" s="9" t="n">
        <f aca="false">C601-B601</f>
        <v>2</v>
      </c>
      <c r="AA601" s="1" t="str">
        <f aca="false">IF(B601="","",TEXT(B601,"mmm"))</f>
        <v>Aug</v>
      </c>
      <c r="AB601" s="9" t="n">
        <f aca="false">IF(B601="","",YEAR(B601))</f>
        <v>2024</v>
      </c>
      <c r="AC601" s="3"/>
      <c r="AD601" s="3" t="str">
        <f aca="false">IF(LEFT(AC601&amp;IF(B601="","; Missing Order Date","")&amp;IF(C601="","; Missing Ship Date","")&amp;IF(P601&lt;0,"; Invalid Discount (Negative)","")&amp;IF(P601&gt;0.5,"; Invalid Discount (Too High)","")&amp;IF(Z601&lt;0,"; Invalid Shipping Record (Ship Before Order)","")&amp;IF(ABS(Q601-W601)&gt;1,"; Sales Mismatch","")&amp;IF(ABS(S601-X601)&gt;1,"; Profit Mismatch","")&amp;IF(COUNTIF($A$2:$A$913,A601)&gt;1,"; Duplicate Order ID Conflict",""),2)="; ",MID(AC601&amp;IF(B601="","; Missing Order Date","")&amp;IF(C601="","; Missing Ship Date","")&amp;IF(P601&lt;0,"; Invalid Discount (Negative)","")&amp;IF(P601&gt;0.5,"; Invalid Discount (Too High)","")&amp;IF(Z601&lt;0,"; Invalid Shipping Record (Ship Before Order)","")&amp;IF(ABS(Q601-W601)&gt;1,"; Sales Mismatch","")&amp;IF(ABS(S601-X601)&gt;1,"; Profit Mismatch","")&amp;IF(COUNTIF($A$2:$A$913,A601)&gt;1,"; Duplicate Order ID Conflict",""),3,500),AC601&amp;IF(B601="","; Missing Order Date","")&amp;IF(C601="","; Missing Ship Date","")&amp;IF(P601&lt;0,"; Invalid Discount (Negative)","")&amp;IF(P601&gt;0.5,"; Invalid Discount (Too High)","")&amp;IF(Z601&lt;0,"; Invalid Shipping Record (Ship Before Order)","")&amp;IF(ABS(Q601-W601)&gt;1,"; Sales Mismatch","")&amp;IF(ABS(S601-X601)&gt;1,"; Profit Mismatch","")&amp;IF(COUNTIF($A$2:$A$913,A601)&gt;1,"; Duplicate Order ID Conflict",""))</f>
        <v/>
      </c>
      <c r="AE601" s="10" t="str">
        <f aca="false">IF(OR(ISNUMBER(SEARCH("Invalid Discount",AD601)),ISNUMBER(SEARCH("Invalid Shipping Record",AD601)),ISNUMBER(SEARCH("Sales Mismatch",AD601)),ISNUMBER(SEARCH("Profit Mismatch",AD601)),ISNUMBER(SEARCH("Duplicate Order ID Conflict",AD601)),ISNUMBER(SEARCH("Missing Order Date",AD601)),ISNUMBER(SEARCH("Missing Ship Date",AD601))),"Invalid",IF(AD601&lt;&gt;"","Warning","Clean"))</f>
        <v>Clean</v>
      </c>
    </row>
    <row r="602" customFormat="false" ht="15" hidden="false" customHeight="true" outlineLevel="0" collapsed="false">
      <c r="A602" s="3" t="s">
        <v>1815</v>
      </c>
      <c r="B602" s="4" t="n">
        <v>45721</v>
      </c>
      <c r="C602" s="4" t="n">
        <v>45728</v>
      </c>
      <c r="D602" s="3" t="s">
        <v>1816</v>
      </c>
      <c r="E602" s="3" t="str">
        <f aca="false">PROPER(TRIM(SUBSTITUTE(Raw_Text_Fields!B603,CHAR(160)," ")))</f>
        <v>Ananya Rao</v>
      </c>
      <c r="F602" s="3" t="str">
        <f aca="false">PROPER(TRIM(SUBSTITUTE(Raw_Text_Fields!C603,CHAR(160)," ")))</f>
        <v>Corporate</v>
      </c>
      <c r="G602" s="3" t="str">
        <f aca="false">PROPER(TRIM(SUBSTITUTE(Raw_Text_Fields!D603,CHAR(160)," ")))</f>
        <v>West</v>
      </c>
      <c r="H602" s="3" t="str">
        <f aca="false">PROPER(TRIM(SUBSTITUTE(Raw_Text_Fields!E603,CHAR(160)," ")))</f>
        <v>Madhya Pradesh</v>
      </c>
      <c r="I602" s="3" t="str">
        <f aca="false">PROPER(TRIM(SUBSTITUTE(Raw_Text_Fields!F603,CHAR(160)," ")))</f>
        <v>Indore</v>
      </c>
      <c r="J602" s="3" t="str">
        <f aca="false">PROPER(TRIM(SUBSTITUTE(Raw_Text_Fields!G603,CHAR(160)," ")))</f>
        <v>Office Supplies</v>
      </c>
      <c r="K602" s="3" t="str">
        <f aca="false">PROPER(TRIM(SUBSTITUTE(Raw_Text_Fields!H603,CHAR(160)," ")))</f>
        <v>Storage</v>
      </c>
      <c r="L602" s="3" t="s">
        <v>1817</v>
      </c>
      <c r="M602" s="3" t="str">
        <f aca="false">PROPER(TRIM(SUBSTITUTE(Raw_Text_Fields!I603,CHAR(160)," ")))</f>
        <v>Same Day</v>
      </c>
      <c r="N602" s="3" t="n">
        <v>3</v>
      </c>
      <c r="O602" s="5" t="n">
        <v>3682.75</v>
      </c>
      <c r="P602" s="6" t="n">
        <v>0</v>
      </c>
      <c r="Q602" s="5" t="n">
        <v>11048.25</v>
      </c>
      <c r="R602" s="5" t="n">
        <v>9062.72</v>
      </c>
      <c r="S602" s="5" t="n">
        <v>1985.53</v>
      </c>
      <c r="T602" s="3" t="str">
        <f aca="false">PROPER(TRIM(SUBSTITUTE(Raw_Text_Fields!J603,CHAR(160)," ")))</f>
        <v>Paid</v>
      </c>
      <c r="U602" s="3" t="str">
        <f aca="false">PROPER(TRIM(SUBSTITUTE(Raw_Text_Fields!K603,CHAR(160)," ")))</f>
        <v>Completed</v>
      </c>
      <c r="V602" s="7" t="n">
        <f aca="false">IF(OR(P602&lt;0,P602&gt;0.5),0,P602)</f>
        <v>0</v>
      </c>
      <c r="W602" s="8" t="n">
        <f aca="false">N602*O602*(1-V602)</f>
        <v>11048.25</v>
      </c>
      <c r="X602" s="8" t="n">
        <f aca="false">W602-R602</f>
        <v>1985.53</v>
      </c>
      <c r="Y602" s="7" t="n">
        <f aca="false">IFERROR(X602/W602,0)</f>
        <v>0.17971443441269</v>
      </c>
      <c r="Z602" s="9" t="n">
        <f aca="false">C602-B602</f>
        <v>7</v>
      </c>
      <c r="AA602" s="1" t="str">
        <f aca="false">IF(B602="","",TEXT(B602,"mmm"))</f>
        <v>Mar</v>
      </c>
      <c r="AB602" s="9" t="n">
        <f aca="false">IF(B602="","",YEAR(B602))</f>
        <v>2025</v>
      </c>
      <c r="AC602" s="3" t="s">
        <v>130</v>
      </c>
      <c r="AD602" s="3" t="str">
        <f aca="false">IF(LEFT(AC602&amp;IF(B602="","; Missing Order Date","")&amp;IF(C602="","; Missing Ship Date","")&amp;IF(P602&lt;0,"; Invalid Discount (Negative)","")&amp;IF(P602&gt;0.5,"; Invalid Discount (Too High)","")&amp;IF(Z602&lt;0,"; Invalid Shipping Record (Ship Before Order)","")&amp;IF(ABS(Q602-W602)&gt;1,"; Sales Mismatch","")&amp;IF(ABS(S602-X602)&gt;1,"; Profit Mismatch","")&amp;IF(COUNTIF($A$2:$A$913,A602)&gt;1,"; Duplicate Order ID Conflict",""),2)="; ",MID(AC602&amp;IF(B602="","; Missing Order Date","")&amp;IF(C602="","; Missing Ship Date","")&amp;IF(P602&lt;0,"; Invalid Discount (Negative)","")&amp;IF(P602&gt;0.5,"; Invalid Discount (Too High)","")&amp;IF(Z602&lt;0,"; Invalid Shipping Record (Ship Before Order)","")&amp;IF(ABS(Q602-W602)&gt;1,"; Sales Mismatch","")&amp;IF(ABS(S602-X602)&gt;1,"; Profit Mismatch","")&amp;IF(COUNTIF($A$2:$A$913,A602)&gt;1,"; Duplicate Order ID Conflict",""),3,500),AC602&amp;IF(B602="","; Missing Order Date","")&amp;IF(C602="","; Missing Ship Date","")&amp;IF(P602&lt;0,"; Invalid Discount (Negative)","")&amp;IF(P602&gt;0.5,"; Invalid Discount (Too High)","")&amp;IF(Z602&lt;0,"; Invalid Shipping Record (Ship Before Order)","")&amp;IF(ABS(Q602-W602)&gt;1,"; Sales Mismatch","")&amp;IF(ABS(S602-X602)&gt;1,"; Profit Mismatch","")&amp;IF(COUNTIF($A$2:$A$913,A602)&gt;1,"; Duplicate Order ID Conflict",""))</f>
        <v>Missing Discount (defaulted 0)</v>
      </c>
      <c r="AE602" s="10" t="str">
        <f aca="false">IF(OR(ISNUMBER(SEARCH("Invalid Discount",AD602)),ISNUMBER(SEARCH("Invalid Shipping Record",AD602)),ISNUMBER(SEARCH("Sales Mismatch",AD602)),ISNUMBER(SEARCH("Profit Mismatch",AD602)),ISNUMBER(SEARCH("Duplicate Order ID Conflict",AD602)),ISNUMBER(SEARCH("Missing Order Date",AD602)),ISNUMBER(SEARCH("Missing Ship Date",AD602))),"Invalid",IF(AD602&lt;&gt;"","Warning","Clean"))</f>
        <v>Warning</v>
      </c>
    </row>
    <row r="603" customFormat="false" ht="15" hidden="false" customHeight="true" outlineLevel="0" collapsed="false">
      <c r="A603" s="3" t="s">
        <v>1818</v>
      </c>
      <c r="B603" s="4" t="n">
        <v>45317</v>
      </c>
      <c r="C603" s="4" t="n">
        <v>45322</v>
      </c>
      <c r="D603" s="3" t="s">
        <v>1819</v>
      </c>
      <c r="E603" s="3" t="str">
        <f aca="false">PROPER(TRIM(SUBSTITUTE(Raw_Text_Fields!B604,CHAR(160)," ")))</f>
        <v>Ananya Rao</v>
      </c>
      <c r="F603" s="3" t="str">
        <f aca="false">PROPER(TRIM(SUBSTITUTE(Raw_Text_Fields!C604,CHAR(160)," ")))</f>
        <v>Home Office</v>
      </c>
      <c r="G603" s="3" t="str">
        <f aca="false">PROPER(TRIM(SUBSTITUTE(Raw_Text_Fields!D604,CHAR(160)," ")))</f>
        <v>East</v>
      </c>
      <c r="H603" s="3" t="str">
        <f aca="false">PROPER(TRIM(SUBSTITUTE(Raw_Text_Fields!E604,CHAR(160)," ")))</f>
        <v>West Bengal</v>
      </c>
      <c r="I603" s="3" t="str">
        <f aca="false">PROPER(TRIM(SUBSTITUTE(Raw_Text_Fields!F604,CHAR(160)," ")))</f>
        <v>Kolkata</v>
      </c>
      <c r="J603" s="3" t="str">
        <f aca="false">PROPER(TRIM(SUBSTITUTE(Raw_Text_Fields!G604,CHAR(160)," ")))</f>
        <v>Office Supplies</v>
      </c>
      <c r="K603" s="3" t="str">
        <f aca="false">PROPER(TRIM(SUBSTITUTE(Raw_Text_Fields!H604,CHAR(160)," ")))</f>
        <v>Paper</v>
      </c>
      <c r="L603" s="3" t="s">
        <v>1820</v>
      </c>
      <c r="M603" s="3" t="str">
        <f aca="false">PROPER(TRIM(SUBSTITUTE(Raw_Text_Fields!I604,CHAR(160)," ")))</f>
        <v>Second Class</v>
      </c>
      <c r="N603" s="3" t="n">
        <v>5</v>
      </c>
      <c r="O603" s="5" t="n">
        <v>1615.03</v>
      </c>
      <c r="P603" s="6" t="n">
        <v>0.2</v>
      </c>
      <c r="Q603" s="5" t="n">
        <v>6460.12</v>
      </c>
      <c r="R603" s="5" t="n">
        <v>3604.03</v>
      </c>
      <c r="S603" s="5" t="n">
        <v>2856.09</v>
      </c>
      <c r="T603" s="3" t="str">
        <f aca="false">PROPER(TRIM(SUBSTITUTE(Raw_Text_Fields!J604,CHAR(160)," ")))</f>
        <v>Paid</v>
      </c>
      <c r="U603" s="3" t="str">
        <f aca="false">PROPER(TRIM(SUBSTITUTE(Raw_Text_Fields!K604,CHAR(160)," ")))</f>
        <v>Completed</v>
      </c>
      <c r="V603" s="7" t="n">
        <f aca="false">IF(OR(P603&lt;0,P603&gt;0.5),0,P603)</f>
        <v>0.2</v>
      </c>
      <c r="W603" s="8" t="n">
        <f aca="false">N603*O603*(1-V603)</f>
        <v>6460.12</v>
      </c>
      <c r="X603" s="8" t="n">
        <f aca="false">W603-R603</f>
        <v>2856.09</v>
      </c>
      <c r="Y603" s="7" t="n">
        <f aca="false">IFERROR(X603/W603,0)</f>
        <v>0.44211098245853</v>
      </c>
      <c r="Z603" s="9" t="n">
        <f aca="false">C603-B603</f>
        <v>5</v>
      </c>
      <c r="AA603" s="1" t="str">
        <f aca="false">IF(B603="","",TEXT(B603,"mmm"))</f>
        <v>Jan</v>
      </c>
      <c r="AB603" s="9" t="n">
        <f aca="false">IF(B603="","",YEAR(B603))</f>
        <v>2024</v>
      </c>
      <c r="AC603" s="3"/>
      <c r="AD603" s="3" t="str">
        <f aca="false">IF(LEFT(AC603&amp;IF(B603="","; Missing Order Date","")&amp;IF(C603="","; Missing Ship Date","")&amp;IF(P603&lt;0,"; Invalid Discount (Negative)","")&amp;IF(P603&gt;0.5,"; Invalid Discount (Too High)","")&amp;IF(Z603&lt;0,"; Invalid Shipping Record (Ship Before Order)","")&amp;IF(ABS(Q603-W603)&gt;1,"; Sales Mismatch","")&amp;IF(ABS(S603-X603)&gt;1,"; Profit Mismatch","")&amp;IF(COUNTIF($A$2:$A$913,A603)&gt;1,"; Duplicate Order ID Conflict",""),2)="; ",MID(AC603&amp;IF(B603="","; Missing Order Date","")&amp;IF(C603="","; Missing Ship Date","")&amp;IF(P603&lt;0,"; Invalid Discount (Negative)","")&amp;IF(P603&gt;0.5,"; Invalid Discount (Too High)","")&amp;IF(Z603&lt;0,"; Invalid Shipping Record (Ship Before Order)","")&amp;IF(ABS(Q603-W603)&gt;1,"; Sales Mismatch","")&amp;IF(ABS(S603-X603)&gt;1,"; Profit Mismatch","")&amp;IF(COUNTIF($A$2:$A$913,A603)&gt;1,"; Duplicate Order ID Conflict",""),3,500),AC603&amp;IF(B603="","; Missing Order Date","")&amp;IF(C603="","; Missing Ship Date","")&amp;IF(P603&lt;0,"; Invalid Discount (Negative)","")&amp;IF(P603&gt;0.5,"; Invalid Discount (Too High)","")&amp;IF(Z603&lt;0,"; Invalid Shipping Record (Ship Before Order)","")&amp;IF(ABS(Q603-W603)&gt;1,"; Sales Mismatch","")&amp;IF(ABS(S603-X603)&gt;1,"; Profit Mismatch","")&amp;IF(COUNTIF($A$2:$A$913,A603)&gt;1,"; Duplicate Order ID Conflict",""))</f>
        <v/>
      </c>
      <c r="AE603" s="10" t="str">
        <f aca="false">IF(OR(ISNUMBER(SEARCH("Invalid Discount",AD603)),ISNUMBER(SEARCH("Invalid Shipping Record",AD603)),ISNUMBER(SEARCH("Sales Mismatch",AD603)),ISNUMBER(SEARCH("Profit Mismatch",AD603)),ISNUMBER(SEARCH("Duplicate Order ID Conflict",AD603)),ISNUMBER(SEARCH("Missing Order Date",AD603)),ISNUMBER(SEARCH("Missing Ship Date",AD603))),"Invalid",IF(AD603&lt;&gt;"","Warning","Clean"))</f>
        <v>Clean</v>
      </c>
    </row>
    <row r="604" customFormat="false" ht="15" hidden="false" customHeight="true" outlineLevel="0" collapsed="false">
      <c r="A604" s="3" t="s">
        <v>1821</v>
      </c>
      <c r="B604" s="4" t="n">
        <v>45588</v>
      </c>
      <c r="C604" s="4" t="n">
        <v>45595</v>
      </c>
      <c r="D604" s="3" t="s">
        <v>1822</v>
      </c>
      <c r="E604" s="3" t="str">
        <f aca="false">PROPER(TRIM(SUBSTITUTE(Raw_Text_Fields!B605,CHAR(160)," ")))</f>
        <v>Aarav Sharma</v>
      </c>
      <c r="F604" s="3" t="str">
        <f aca="false">PROPER(TRIM(SUBSTITUTE(Raw_Text_Fields!C605,CHAR(160)," ")))</f>
        <v>Consumer</v>
      </c>
      <c r="G604" s="3" t="str">
        <f aca="false">PROPER(TRIM(SUBSTITUTE(Raw_Text_Fields!D605,CHAR(160)," ")))</f>
        <v>East</v>
      </c>
      <c r="H604" s="3" t="str">
        <f aca="false">PROPER(TRIM(SUBSTITUTE(Raw_Text_Fields!E605,CHAR(160)," ")))</f>
        <v>Jharkhand</v>
      </c>
      <c r="I604" s="3" t="str">
        <f aca="false">PROPER(TRIM(SUBSTITUTE(Raw_Text_Fields!F605,CHAR(160)," ")))</f>
        <v>Ranchi</v>
      </c>
      <c r="J604" s="3" t="str">
        <f aca="false">PROPER(TRIM(SUBSTITUTE(Raw_Text_Fields!G605,CHAR(160)," ")))</f>
        <v>Technology</v>
      </c>
      <c r="K604" s="3" t="str">
        <f aca="false">PROPER(TRIM(SUBSTITUTE(Raw_Text_Fields!H605,CHAR(160)," ")))</f>
        <v>Copiers</v>
      </c>
      <c r="L604" s="3" t="s">
        <v>1823</v>
      </c>
      <c r="M604" s="3" t="str">
        <f aca="false">PROPER(TRIM(SUBSTITUTE(Raw_Text_Fields!I605,CHAR(160)," ")))</f>
        <v>Second Class</v>
      </c>
      <c r="N604" s="3" t="n">
        <v>9</v>
      </c>
      <c r="O604" s="5" t="n">
        <v>3423.82</v>
      </c>
      <c r="P604" s="6" t="n">
        <v>0.15</v>
      </c>
      <c r="Q604" s="5" t="n">
        <v>26192.22</v>
      </c>
      <c r="R604" s="5" t="n">
        <v>20795.55</v>
      </c>
      <c r="S604" s="5" t="n">
        <v>5396.67</v>
      </c>
      <c r="T604" s="3" t="str">
        <f aca="false">PROPER(TRIM(SUBSTITUTE(Raw_Text_Fields!J605,CHAR(160)," ")))</f>
        <v>Paid</v>
      </c>
      <c r="U604" s="3" t="str">
        <f aca="false">PROPER(TRIM(SUBSTITUTE(Raw_Text_Fields!K605,CHAR(160)," ")))</f>
        <v>Completed</v>
      </c>
      <c r="V604" s="7" t="n">
        <f aca="false">IF(OR(P604&lt;0,P604&gt;0.5),0,P604)</f>
        <v>0.15</v>
      </c>
      <c r="W604" s="8" t="n">
        <f aca="false">N604*O604*(1-V604)</f>
        <v>26192.223</v>
      </c>
      <c r="X604" s="8" t="n">
        <f aca="false">W604-R604</f>
        <v>5396.673</v>
      </c>
      <c r="Y604" s="7" t="n">
        <f aca="false">IFERROR(X604/W604,0)</f>
        <v>0.20604104508426</v>
      </c>
      <c r="Z604" s="9" t="n">
        <f aca="false">C604-B604</f>
        <v>7</v>
      </c>
      <c r="AA604" s="1" t="str">
        <f aca="false">IF(B604="","",TEXT(B604,"mmm"))</f>
        <v>Oct</v>
      </c>
      <c r="AB604" s="9" t="n">
        <f aca="false">IF(B604="","",YEAR(B604))</f>
        <v>2024</v>
      </c>
      <c r="AC604" s="3"/>
      <c r="AD604" s="3" t="str">
        <f aca="false">IF(LEFT(AC604&amp;IF(B604="","; Missing Order Date","")&amp;IF(C604="","; Missing Ship Date","")&amp;IF(P604&lt;0,"; Invalid Discount (Negative)","")&amp;IF(P604&gt;0.5,"; Invalid Discount (Too High)","")&amp;IF(Z604&lt;0,"; Invalid Shipping Record (Ship Before Order)","")&amp;IF(ABS(Q604-W604)&gt;1,"; Sales Mismatch","")&amp;IF(ABS(S604-X604)&gt;1,"; Profit Mismatch","")&amp;IF(COUNTIF($A$2:$A$913,A604)&gt;1,"; Duplicate Order ID Conflict",""),2)="; ",MID(AC604&amp;IF(B604="","; Missing Order Date","")&amp;IF(C604="","; Missing Ship Date","")&amp;IF(P604&lt;0,"; Invalid Discount (Negative)","")&amp;IF(P604&gt;0.5,"; Invalid Discount (Too High)","")&amp;IF(Z604&lt;0,"; Invalid Shipping Record (Ship Before Order)","")&amp;IF(ABS(Q604-W604)&gt;1,"; Sales Mismatch","")&amp;IF(ABS(S604-X604)&gt;1,"; Profit Mismatch","")&amp;IF(COUNTIF($A$2:$A$913,A604)&gt;1,"; Duplicate Order ID Conflict",""),3,500),AC604&amp;IF(B604="","; Missing Order Date","")&amp;IF(C604="","; Missing Ship Date","")&amp;IF(P604&lt;0,"; Invalid Discount (Negative)","")&amp;IF(P604&gt;0.5,"; Invalid Discount (Too High)","")&amp;IF(Z604&lt;0,"; Invalid Shipping Record (Ship Before Order)","")&amp;IF(ABS(Q604-W604)&gt;1,"; Sales Mismatch","")&amp;IF(ABS(S604-X604)&gt;1,"; Profit Mismatch","")&amp;IF(COUNTIF($A$2:$A$913,A604)&gt;1,"; Duplicate Order ID Conflict",""))</f>
        <v/>
      </c>
      <c r="AE604" s="10" t="str">
        <f aca="false">IF(OR(ISNUMBER(SEARCH("Invalid Discount",AD604)),ISNUMBER(SEARCH("Invalid Shipping Record",AD604)),ISNUMBER(SEARCH("Sales Mismatch",AD604)),ISNUMBER(SEARCH("Profit Mismatch",AD604)),ISNUMBER(SEARCH("Duplicate Order ID Conflict",AD604)),ISNUMBER(SEARCH("Missing Order Date",AD604)),ISNUMBER(SEARCH("Missing Ship Date",AD604))),"Invalid",IF(AD604&lt;&gt;"","Warning","Clean"))</f>
        <v>Clean</v>
      </c>
    </row>
    <row r="605" customFormat="false" ht="15" hidden="false" customHeight="true" outlineLevel="0" collapsed="false">
      <c r="A605" s="3" t="s">
        <v>1824</v>
      </c>
      <c r="B605" s="4" t="n">
        <v>45660</v>
      </c>
      <c r="C605" s="4" t="n">
        <v>45668</v>
      </c>
      <c r="D605" s="3" t="s">
        <v>259</v>
      </c>
      <c r="E605" s="3" t="str">
        <f aca="false">PROPER(TRIM(SUBSTITUTE(Raw_Text_Fields!B606,CHAR(160)," ")))</f>
        <v>Vikram Iyer</v>
      </c>
      <c r="F605" s="3" t="str">
        <f aca="false">PROPER(TRIM(SUBSTITUTE(Raw_Text_Fields!C606,CHAR(160)," ")))</f>
        <v>Corporate</v>
      </c>
      <c r="G605" s="3" t="str">
        <f aca="false">PROPER(TRIM(SUBSTITUTE(Raw_Text_Fields!D606,CHAR(160)," ")))</f>
        <v>East</v>
      </c>
      <c r="H605" s="3" t="str">
        <f aca="false">PROPER(TRIM(SUBSTITUTE(Raw_Text_Fields!E606,CHAR(160)," ")))</f>
        <v>Bihar</v>
      </c>
      <c r="I605" s="3" t="str">
        <f aca="false">PROPER(TRIM(SUBSTITUTE(Raw_Text_Fields!F606,CHAR(160)," ")))</f>
        <v>Patna</v>
      </c>
      <c r="J605" s="3" t="str">
        <f aca="false">PROPER(TRIM(SUBSTITUTE(Raw_Text_Fields!G606,CHAR(160)," ")))</f>
        <v>Technology</v>
      </c>
      <c r="K605" s="3" t="str">
        <f aca="false">PROPER(TRIM(SUBSTITUTE(Raw_Text_Fields!H606,CHAR(160)," ")))</f>
        <v>Accessories</v>
      </c>
      <c r="L605" s="3" t="s">
        <v>1825</v>
      </c>
      <c r="M605" s="3" t="str">
        <f aca="false">PROPER(TRIM(SUBSTITUTE(Raw_Text_Fields!I606,CHAR(160)," ")))</f>
        <v>First Class</v>
      </c>
      <c r="N605" s="3" t="n">
        <v>8</v>
      </c>
      <c r="O605" s="5" t="n">
        <v>2574.29</v>
      </c>
      <c r="P605" s="6" t="n">
        <v>0.05</v>
      </c>
      <c r="Q605" s="5" t="n">
        <v>19564.6</v>
      </c>
      <c r="R605" s="5" t="n">
        <v>11154.59</v>
      </c>
      <c r="S605" s="5" t="n">
        <v>8410.01</v>
      </c>
      <c r="T605" s="3" t="str">
        <f aca="false">PROPER(TRIM(SUBSTITUTE(Raw_Text_Fields!J606,CHAR(160)," ")))</f>
        <v>Pending</v>
      </c>
      <c r="U605" s="3" t="str">
        <f aca="false">PROPER(TRIM(SUBSTITUTE(Raw_Text_Fields!K606,CHAR(160)," ")))</f>
        <v>Cancelled</v>
      </c>
      <c r="V605" s="7" t="n">
        <f aca="false">IF(OR(P605&lt;0,P605&gt;0.5),0,P605)</f>
        <v>0.05</v>
      </c>
      <c r="W605" s="8" t="n">
        <f aca="false">N605*O605*(1-V605)</f>
        <v>19564.604</v>
      </c>
      <c r="X605" s="8" t="n">
        <f aca="false">W605-R605</f>
        <v>8410.014</v>
      </c>
      <c r="Y605" s="7" t="n">
        <f aca="false">IFERROR(X605/W605,0)</f>
        <v>0.429858636545876</v>
      </c>
      <c r="Z605" s="9" t="n">
        <f aca="false">C605-B605</f>
        <v>8</v>
      </c>
      <c r="AA605" s="1" t="str">
        <f aca="false">IF(B605="","",TEXT(B605,"mmm"))</f>
        <v>Jan</v>
      </c>
      <c r="AB605" s="9" t="n">
        <f aca="false">IF(B605="","",YEAR(B605))</f>
        <v>2025</v>
      </c>
      <c r="AC605" s="3"/>
      <c r="AD605" s="3" t="str">
        <f aca="false">IF(LEFT(AC605&amp;IF(B605="","; Missing Order Date","")&amp;IF(C605="","; Missing Ship Date","")&amp;IF(P605&lt;0,"; Invalid Discount (Negative)","")&amp;IF(P605&gt;0.5,"; Invalid Discount (Too High)","")&amp;IF(Z605&lt;0,"; Invalid Shipping Record (Ship Before Order)","")&amp;IF(ABS(Q605-W605)&gt;1,"; Sales Mismatch","")&amp;IF(ABS(S605-X605)&gt;1,"; Profit Mismatch","")&amp;IF(COUNTIF($A$2:$A$913,A605)&gt;1,"; Duplicate Order ID Conflict",""),2)="; ",MID(AC605&amp;IF(B605="","; Missing Order Date","")&amp;IF(C605="","; Missing Ship Date","")&amp;IF(P605&lt;0,"; Invalid Discount (Negative)","")&amp;IF(P605&gt;0.5,"; Invalid Discount (Too High)","")&amp;IF(Z605&lt;0,"; Invalid Shipping Record (Ship Before Order)","")&amp;IF(ABS(Q605-W605)&gt;1,"; Sales Mismatch","")&amp;IF(ABS(S605-X605)&gt;1,"; Profit Mismatch","")&amp;IF(COUNTIF($A$2:$A$913,A605)&gt;1,"; Duplicate Order ID Conflict",""),3,500),AC605&amp;IF(B605="","; Missing Order Date","")&amp;IF(C605="","; Missing Ship Date","")&amp;IF(P605&lt;0,"; Invalid Discount (Negative)","")&amp;IF(P605&gt;0.5,"; Invalid Discount (Too High)","")&amp;IF(Z605&lt;0,"; Invalid Shipping Record (Ship Before Order)","")&amp;IF(ABS(Q605-W605)&gt;1,"; Sales Mismatch","")&amp;IF(ABS(S605-X605)&gt;1,"; Profit Mismatch","")&amp;IF(COUNTIF($A$2:$A$913,A605)&gt;1,"; Duplicate Order ID Conflict",""))</f>
        <v/>
      </c>
      <c r="AE605" s="10" t="str">
        <f aca="false">IF(OR(ISNUMBER(SEARCH("Invalid Discount",AD605)),ISNUMBER(SEARCH("Invalid Shipping Record",AD605)),ISNUMBER(SEARCH("Sales Mismatch",AD605)),ISNUMBER(SEARCH("Profit Mismatch",AD605)),ISNUMBER(SEARCH("Duplicate Order ID Conflict",AD605)),ISNUMBER(SEARCH("Missing Order Date",AD605)),ISNUMBER(SEARCH("Missing Ship Date",AD605))),"Invalid",IF(AD605&lt;&gt;"","Warning","Clean"))</f>
        <v>Clean</v>
      </c>
    </row>
    <row r="606" customFormat="false" ht="15" hidden="false" customHeight="true" outlineLevel="0" collapsed="false">
      <c r="A606" s="3" t="s">
        <v>1826</v>
      </c>
      <c r="B606" s="4" t="n">
        <v>45693</v>
      </c>
      <c r="C606" s="4" t="n">
        <v>45694</v>
      </c>
      <c r="D606" s="3" t="s">
        <v>1827</v>
      </c>
      <c r="E606" s="3" t="str">
        <f aca="false">PROPER(TRIM(SUBSTITUTE(Raw_Text_Fields!B607,CHAR(160)," ")))</f>
        <v>Ananya Rao</v>
      </c>
      <c r="F606" s="3" t="str">
        <f aca="false">PROPER(TRIM(SUBSTITUTE(Raw_Text_Fields!C607,CHAR(160)," ")))</f>
        <v>Consumer</v>
      </c>
      <c r="G606" s="3" t="str">
        <f aca="false">PROPER(TRIM(SUBSTITUTE(Raw_Text_Fields!D607,CHAR(160)," ")))</f>
        <v>West</v>
      </c>
      <c r="H606" s="3" t="str">
        <f aca="false">PROPER(TRIM(SUBSTITUTE(Raw_Text_Fields!E607,CHAR(160)," ")))</f>
        <v>Madhya Pradesh</v>
      </c>
      <c r="I606" s="3" t="str">
        <f aca="false">PROPER(TRIM(SUBSTITUTE(Raw_Text_Fields!F607,CHAR(160)," ")))</f>
        <v>Indore</v>
      </c>
      <c r="J606" s="3" t="str">
        <f aca="false">PROPER(TRIM(SUBSTITUTE(Raw_Text_Fields!G607,CHAR(160)," ")))</f>
        <v>Office Supplies</v>
      </c>
      <c r="K606" s="3" t="str">
        <f aca="false">PROPER(TRIM(SUBSTITUTE(Raw_Text_Fields!H607,CHAR(160)," ")))</f>
        <v>Binders</v>
      </c>
      <c r="L606" s="3" t="s">
        <v>1828</v>
      </c>
      <c r="M606" s="3" t="str">
        <f aca="false">PROPER(TRIM(SUBSTITUTE(Raw_Text_Fields!I607,CHAR(160)," ")))</f>
        <v>Same Day</v>
      </c>
      <c r="N606" s="3" t="n">
        <v>3</v>
      </c>
      <c r="O606" s="5" t="n">
        <v>1076.3</v>
      </c>
      <c r="P606" s="6" t="n">
        <v>0</v>
      </c>
      <c r="Q606" s="5" t="n">
        <v>3228.9</v>
      </c>
      <c r="R606" s="5" t="n">
        <v>1853.23</v>
      </c>
      <c r="S606" s="5" t="n">
        <v>1375.67</v>
      </c>
      <c r="T606" s="3" t="str">
        <f aca="false">PROPER(TRIM(SUBSTITUTE(Raw_Text_Fields!J607,CHAR(160)," ")))</f>
        <v>Paid</v>
      </c>
      <c r="U606" s="3" t="str">
        <f aca="false">PROPER(TRIM(SUBSTITUTE(Raw_Text_Fields!K607,CHAR(160)," ")))</f>
        <v>Completed</v>
      </c>
      <c r="V606" s="7" t="n">
        <f aca="false">IF(OR(P606&lt;0,P606&gt;0.5),0,P606)</f>
        <v>0</v>
      </c>
      <c r="W606" s="8" t="n">
        <f aca="false">N606*O606*(1-V606)</f>
        <v>3228.9</v>
      </c>
      <c r="X606" s="8" t="n">
        <f aca="false">W606-R606</f>
        <v>1375.67</v>
      </c>
      <c r="Y606" s="7" t="n">
        <f aca="false">IFERROR(X606/W606,0)</f>
        <v>0.42604911889498</v>
      </c>
      <c r="Z606" s="9" t="n">
        <f aca="false">C606-B606</f>
        <v>1</v>
      </c>
      <c r="AA606" s="1" t="str">
        <f aca="false">IF(B606="","",TEXT(B606,"mmm"))</f>
        <v>Feb</v>
      </c>
      <c r="AB606" s="9" t="n">
        <f aca="false">IF(B606="","",YEAR(B606))</f>
        <v>2025</v>
      </c>
      <c r="AC606" s="3"/>
      <c r="AD606" s="3" t="str">
        <f aca="false">IF(LEFT(AC606&amp;IF(B606="","; Missing Order Date","")&amp;IF(C606="","; Missing Ship Date","")&amp;IF(P606&lt;0,"; Invalid Discount (Negative)","")&amp;IF(P606&gt;0.5,"; Invalid Discount (Too High)","")&amp;IF(Z606&lt;0,"; Invalid Shipping Record (Ship Before Order)","")&amp;IF(ABS(Q606-W606)&gt;1,"; Sales Mismatch","")&amp;IF(ABS(S606-X606)&gt;1,"; Profit Mismatch","")&amp;IF(COUNTIF($A$2:$A$913,A606)&gt;1,"; Duplicate Order ID Conflict",""),2)="; ",MID(AC606&amp;IF(B606="","; Missing Order Date","")&amp;IF(C606="","; Missing Ship Date","")&amp;IF(P606&lt;0,"; Invalid Discount (Negative)","")&amp;IF(P606&gt;0.5,"; Invalid Discount (Too High)","")&amp;IF(Z606&lt;0,"; Invalid Shipping Record (Ship Before Order)","")&amp;IF(ABS(Q606-W606)&gt;1,"; Sales Mismatch","")&amp;IF(ABS(S606-X606)&gt;1,"; Profit Mismatch","")&amp;IF(COUNTIF($A$2:$A$913,A606)&gt;1,"; Duplicate Order ID Conflict",""),3,500),AC606&amp;IF(B606="","; Missing Order Date","")&amp;IF(C606="","; Missing Ship Date","")&amp;IF(P606&lt;0,"; Invalid Discount (Negative)","")&amp;IF(P606&gt;0.5,"; Invalid Discount (Too High)","")&amp;IF(Z606&lt;0,"; Invalid Shipping Record (Ship Before Order)","")&amp;IF(ABS(Q606-W606)&gt;1,"; Sales Mismatch","")&amp;IF(ABS(S606-X606)&gt;1,"; Profit Mismatch","")&amp;IF(COUNTIF($A$2:$A$913,A606)&gt;1,"; Duplicate Order ID Conflict",""))</f>
        <v/>
      </c>
      <c r="AE606" s="10" t="str">
        <f aca="false">IF(OR(ISNUMBER(SEARCH("Invalid Discount",AD606)),ISNUMBER(SEARCH("Invalid Shipping Record",AD606)),ISNUMBER(SEARCH("Sales Mismatch",AD606)),ISNUMBER(SEARCH("Profit Mismatch",AD606)),ISNUMBER(SEARCH("Duplicate Order ID Conflict",AD606)),ISNUMBER(SEARCH("Missing Order Date",AD606)),ISNUMBER(SEARCH("Missing Ship Date",AD606))),"Invalid",IF(AD606&lt;&gt;"","Warning","Clean"))</f>
        <v>Clean</v>
      </c>
    </row>
    <row r="607" customFormat="false" ht="15" hidden="false" customHeight="true" outlineLevel="0" collapsed="false">
      <c r="A607" s="3" t="s">
        <v>1829</v>
      </c>
      <c r="B607" s="4" t="n">
        <v>45847</v>
      </c>
      <c r="C607" s="4" t="n">
        <v>45851</v>
      </c>
      <c r="D607" s="3" t="s">
        <v>1830</v>
      </c>
      <c r="E607" s="3" t="str">
        <f aca="false">PROPER(TRIM(SUBSTITUTE(Raw_Text_Fields!B608,CHAR(160)," ")))</f>
        <v>Kabir Singh</v>
      </c>
      <c r="F607" s="3" t="str">
        <f aca="false">PROPER(TRIM(SUBSTITUTE(Raw_Text_Fields!C608,CHAR(160)," ")))</f>
        <v>Corporate</v>
      </c>
      <c r="G607" s="3" t="str">
        <f aca="false">PROPER(TRIM(SUBSTITUTE(Raw_Text_Fields!D608,CHAR(160)," ")))</f>
        <v>West</v>
      </c>
      <c r="H607" s="3" t="str">
        <f aca="false">PROPER(TRIM(SUBSTITUTE(Raw_Text_Fields!E608,CHAR(160)," ")))</f>
        <v>Goa</v>
      </c>
      <c r="I607" s="3" t="str">
        <f aca="false">PROPER(TRIM(SUBSTITUTE(Raw_Text_Fields!F608,CHAR(160)," ")))</f>
        <v>Panaji</v>
      </c>
      <c r="J607" s="3" t="str">
        <f aca="false">PROPER(TRIM(SUBSTITUTE(Raw_Text_Fields!G608,CHAR(160)," ")))</f>
        <v>Furniture</v>
      </c>
      <c r="K607" s="3" t="str">
        <f aca="false">PROPER(TRIM(SUBSTITUTE(Raw_Text_Fields!H608,CHAR(160)," ")))</f>
        <v>Furnishings</v>
      </c>
      <c r="L607" s="3" t="s">
        <v>1831</v>
      </c>
      <c r="M607" s="3" t="str">
        <f aca="false">PROPER(TRIM(SUBSTITUTE(Raw_Text_Fields!I608,CHAR(160)," ")))</f>
        <v>Second Class</v>
      </c>
      <c r="N607" s="3" t="n">
        <v>5</v>
      </c>
      <c r="O607" s="5" t="n">
        <v>1680.01</v>
      </c>
      <c r="P607" s="6" t="n">
        <v>0.85</v>
      </c>
      <c r="Q607" s="5" t="n">
        <v>7560.04</v>
      </c>
      <c r="R607" s="5" t="n">
        <v>6448.05</v>
      </c>
      <c r="S607" s="5" t="n">
        <v>1111.99</v>
      </c>
      <c r="T607" s="3" t="str">
        <f aca="false">PROPER(TRIM(SUBSTITUTE(Raw_Text_Fields!J608,CHAR(160)," ")))</f>
        <v>Paid</v>
      </c>
      <c r="U607" s="3" t="str">
        <f aca="false">PROPER(TRIM(SUBSTITUTE(Raw_Text_Fields!K608,CHAR(160)," ")))</f>
        <v>Cancelled</v>
      </c>
      <c r="V607" s="7" t="n">
        <f aca="false">IF(OR(P607&lt;0,P607&gt;0.5),0,P607)</f>
        <v>0</v>
      </c>
      <c r="W607" s="8" t="n">
        <f aca="false">N607*O607*(1-V607)</f>
        <v>8400.05</v>
      </c>
      <c r="X607" s="8" t="n">
        <f aca="false">W607-R607</f>
        <v>1952</v>
      </c>
      <c r="Y607" s="7" t="n">
        <f aca="false">IFERROR(X607/W607,0)</f>
        <v>0.232379569169231</v>
      </c>
      <c r="Z607" s="9" t="n">
        <f aca="false">C607-B607</f>
        <v>4</v>
      </c>
      <c r="AA607" s="1" t="str">
        <f aca="false">IF(B607="","",TEXT(B607,"mmm"))</f>
        <v>Jul</v>
      </c>
      <c r="AB607" s="9" t="n">
        <f aca="false">IF(B607="","",YEAR(B607))</f>
        <v>2025</v>
      </c>
      <c r="AC607" s="3"/>
      <c r="AD607" s="3" t="str">
        <f aca="false">IF(LEFT(AC607&amp;IF(B607="","; Missing Order Date","")&amp;IF(C607="","; Missing Ship Date","")&amp;IF(P607&lt;0,"; Invalid Discount (Negative)","")&amp;IF(P607&gt;0.5,"; Invalid Discount (Too High)","")&amp;IF(Z607&lt;0,"; Invalid Shipping Record (Ship Before Order)","")&amp;IF(ABS(Q607-W607)&gt;1,"; Sales Mismatch","")&amp;IF(ABS(S607-X607)&gt;1,"; Profit Mismatch","")&amp;IF(COUNTIF($A$2:$A$913,A607)&gt;1,"; Duplicate Order ID Conflict",""),2)="; ",MID(AC607&amp;IF(B607="","; Missing Order Date","")&amp;IF(C607="","; Missing Ship Date","")&amp;IF(P607&lt;0,"; Invalid Discount (Negative)","")&amp;IF(P607&gt;0.5,"; Invalid Discount (Too High)","")&amp;IF(Z607&lt;0,"; Invalid Shipping Record (Ship Before Order)","")&amp;IF(ABS(Q607-W607)&gt;1,"; Sales Mismatch","")&amp;IF(ABS(S607-X607)&gt;1,"; Profit Mismatch","")&amp;IF(COUNTIF($A$2:$A$913,A607)&gt;1,"; Duplicate Order ID Conflict",""),3,500),AC607&amp;IF(B607="","; Missing Order Date","")&amp;IF(C607="","; Missing Ship Date","")&amp;IF(P607&lt;0,"; Invalid Discount (Negative)","")&amp;IF(P607&gt;0.5,"; Invalid Discount (Too High)","")&amp;IF(Z607&lt;0,"; Invalid Shipping Record (Ship Before Order)","")&amp;IF(ABS(Q607-W607)&gt;1,"; Sales Mismatch","")&amp;IF(ABS(S607-X607)&gt;1,"; Profit Mismatch","")&amp;IF(COUNTIF($A$2:$A$913,A607)&gt;1,"; Duplicate Order ID Conflict",""))</f>
        <v>Invalid Discount (Too High); Sales Mismatch; Profit Mismatch</v>
      </c>
      <c r="AE607" s="10" t="str">
        <f aca="false">IF(OR(ISNUMBER(SEARCH("Invalid Discount",AD607)),ISNUMBER(SEARCH("Invalid Shipping Record",AD607)),ISNUMBER(SEARCH("Sales Mismatch",AD607)),ISNUMBER(SEARCH("Profit Mismatch",AD607)),ISNUMBER(SEARCH("Duplicate Order ID Conflict",AD607)),ISNUMBER(SEARCH("Missing Order Date",AD607)),ISNUMBER(SEARCH("Missing Ship Date",AD607))),"Invalid",IF(AD607&lt;&gt;"","Warning","Clean"))</f>
        <v>Invalid</v>
      </c>
    </row>
    <row r="608" customFormat="false" ht="15" hidden="false" customHeight="true" outlineLevel="0" collapsed="false">
      <c r="A608" s="3" t="s">
        <v>1832</v>
      </c>
      <c r="B608" s="4" t="n">
        <v>45710</v>
      </c>
      <c r="C608" s="4" t="n">
        <v>45716</v>
      </c>
      <c r="D608" s="3" t="s">
        <v>1833</v>
      </c>
      <c r="E608" s="3" t="str">
        <f aca="false">PROPER(TRIM(SUBSTITUTE(Raw_Text_Fields!B609,CHAR(160)," ")))</f>
        <v>Rahul Verma</v>
      </c>
      <c r="F608" s="3" t="str">
        <f aca="false">PROPER(TRIM(SUBSTITUTE(Raw_Text_Fields!C609,CHAR(160)," ")))</f>
        <v>Home Office</v>
      </c>
      <c r="G608" s="3" t="str">
        <f aca="false">PROPER(TRIM(SUBSTITUTE(Raw_Text_Fields!D609,CHAR(160)," ")))</f>
        <v>West</v>
      </c>
      <c r="H608" s="3" t="str">
        <f aca="false">PROPER(TRIM(SUBSTITUTE(Raw_Text_Fields!E609,CHAR(160)," ")))</f>
        <v>Madhya Pradesh</v>
      </c>
      <c r="I608" s="3" t="str">
        <f aca="false">PROPER(TRIM(SUBSTITUTE(Raw_Text_Fields!F609,CHAR(160)," ")))</f>
        <v>Indore</v>
      </c>
      <c r="J608" s="3" t="str">
        <f aca="false">PROPER(TRIM(SUBSTITUTE(Raw_Text_Fields!G609,CHAR(160)," ")))</f>
        <v>Technology</v>
      </c>
      <c r="K608" s="3" t="str">
        <f aca="false">PROPER(TRIM(SUBSTITUTE(Raw_Text_Fields!H609,CHAR(160)," ")))</f>
        <v>Copiers</v>
      </c>
      <c r="L608" s="3" t="s">
        <v>1834</v>
      </c>
      <c r="M608" s="3" t="str">
        <f aca="false">PROPER(TRIM(SUBSTITUTE(Raw_Text_Fields!I609,CHAR(160)," ")))</f>
        <v>Same Day</v>
      </c>
      <c r="N608" s="3" t="n">
        <v>3</v>
      </c>
      <c r="O608" s="5" t="n">
        <v>3890.81</v>
      </c>
      <c r="P608" s="6" t="n">
        <v>0.25</v>
      </c>
      <c r="Q608" s="5" t="n">
        <v>8754.32</v>
      </c>
      <c r="R608" s="5" t="n">
        <v>6238.9</v>
      </c>
      <c r="S608" s="5" t="n">
        <v>2515.42</v>
      </c>
      <c r="T608" s="3" t="str">
        <f aca="false">PROPER(TRIM(SUBSTITUTE(Raw_Text_Fields!J609,CHAR(160)," ")))</f>
        <v>Paid</v>
      </c>
      <c r="U608" s="3" t="str">
        <f aca="false">PROPER(TRIM(SUBSTITUTE(Raw_Text_Fields!K609,CHAR(160)," ")))</f>
        <v>Completed</v>
      </c>
      <c r="V608" s="7" t="n">
        <f aca="false">IF(OR(P608&lt;0,P608&gt;0.5),0,P608)</f>
        <v>0.25</v>
      </c>
      <c r="W608" s="8" t="n">
        <f aca="false">N608*O608*(1-V608)</f>
        <v>8754.3225</v>
      </c>
      <c r="X608" s="8" t="n">
        <f aca="false">W608-R608</f>
        <v>2515.4225</v>
      </c>
      <c r="Y608" s="7" t="n">
        <f aca="false">IFERROR(X608/W608,0)</f>
        <v>0.287334913695492</v>
      </c>
      <c r="Z608" s="9" t="n">
        <f aca="false">C608-B608</f>
        <v>6</v>
      </c>
      <c r="AA608" s="1" t="str">
        <f aca="false">IF(B608="","",TEXT(B608,"mmm"))</f>
        <v>Feb</v>
      </c>
      <c r="AB608" s="9" t="n">
        <f aca="false">IF(B608="","",YEAR(B608))</f>
        <v>2025</v>
      </c>
      <c r="AC608" s="3"/>
      <c r="AD608" s="3" t="str">
        <f aca="false">IF(LEFT(AC608&amp;IF(B608="","; Missing Order Date","")&amp;IF(C608="","; Missing Ship Date","")&amp;IF(P608&lt;0,"; Invalid Discount (Negative)","")&amp;IF(P608&gt;0.5,"; Invalid Discount (Too High)","")&amp;IF(Z608&lt;0,"; Invalid Shipping Record (Ship Before Order)","")&amp;IF(ABS(Q608-W608)&gt;1,"; Sales Mismatch","")&amp;IF(ABS(S608-X608)&gt;1,"; Profit Mismatch","")&amp;IF(COUNTIF($A$2:$A$913,A608)&gt;1,"; Duplicate Order ID Conflict",""),2)="; ",MID(AC608&amp;IF(B608="","; Missing Order Date","")&amp;IF(C608="","; Missing Ship Date","")&amp;IF(P608&lt;0,"; Invalid Discount (Negative)","")&amp;IF(P608&gt;0.5,"; Invalid Discount (Too High)","")&amp;IF(Z608&lt;0,"; Invalid Shipping Record (Ship Before Order)","")&amp;IF(ABS(Q608-W608)&gt;1,"; Sales Mismatch","")&amp;IF(ABS(S608-X608)&gt;1,"; Profit Mismatch","")&amp;IF(COUNTIF($A$2:$A$913,A608)&gt;1,"; Duplicate Order ID Conflict",""),3,500),AC608&amp;IF(B608="","; Missing Order Date","")&amp;IF(C608="","; Missing Ship Date","")&amp;IF(P608&lt;0,"; Invalid Discount (Negative)","")&amp;IF(P608&gt;0.5,"; Invalid Discount (Too High)","")&amp;IF(Z608&lt;0,"; Invalid Shipping Record (Ship Before Order)","")&amp;IF(ABS(Q608-W608)&gt;1,"; Sales Mismatch","")&amp;IF(ABS(S608-X608)&gt;1,"; Profit Mismatch","")&amp;IF(COUNTIF($A$2:$A$913,A608)&gt;1,"; Duplicate Order ID Conflict",""))</f>
        <v/>
      </c>
      <c r="AE608" s="10" t="str">
        <f aca="false">IF(OR(ISNUMBER(SEARCH("Invalid Discount",AD608)),ISNUMBER(SEARCH("Invalid Shipping Record",AD608)),ISNUMBER(SEARCH("Sales Mismatch",AD608)),ISNUMBER(SEARCH("Profit Mismatch",AD608)),ISNUMBER(SEARCH("Duplicate Order ID Conflict",AD608)),ISNUMBER(SEARCH("Missing Order Date",AD608)),ISNUMBER(SEARCH("Missing Ship Date",AD608))),"Invalid",IF(AD608&lt;&gt;"","Warning","Clean"))</f>
        <v>Clean</v>
      </c>
    </row>
    <row r="609" customFormat="false" ht="15" hidden="false" customHeight="true" outlineLevel="0" collapsed="false">
      <c r="A609" s="3" t="s">
        <v>1835</v>
      </c>
      <c r="B609" s="4" t="n">
        <v>45704</v>
      </c>
      <c r="C609" s="4" t="n">
        <v>45710</v>
      </c>
      <c r="D609" s="3" t="s">
        <v>1836</v>
      </c>
      <c r="E609" s="3" t="str">
        <f aca="false">PROPER(TRIM(SUBSTITUTE(Raw_Text_Fields!B610,CHAR(160)," ")))</f>
        <v>Sneha Kapoor</v>
      </c>
      <c r="F609" s="3" t="str">
        <f aca="false">PROPER(TRIM(SUBSTITUTE(Raw_Text_Fields!C610,CHAR(160)," ")))</f>
        <v>Home Office</v>
      </c>
      <c r="G609" s="3" t="str">
        <f aca="false">PROPER(TRIM(SUBSTITUTE(Raw_Text_Fields!D610,CHAR(160)," ")))</f>
        <v>East</v>
      </c>
      <c r="H609" s="3" t="str">
        <f aca="false">PROPER(TRIM(SUBSTITUTE(Raw_Text_Fields!E610,CHAR(160)," ")))</f>
        <v>Bihar</v>
      </c>
      <c r="I609" s="3" t="str">
        <f aca="false">PROPER(TRIM(SUBSTITUTE(Raw_Text_Fields!F610,CHAR(160)," ")))</f>
        <v>Patna</v>
      </c>
      <c r="J609" s="3" t="str">
        <f aca="false">PROPER(TRIM(SUBSTITUTE(Raw_Text_Fields!G610,CHAR(160)," ")))</f>
        <v>Office Supplies</v>
      </c>
      <c r="K609" s="3" t="str">
        <f aca="false">PROPER(TRIM(SUBSTITUTE(Raw_Text_Fields!H610,CHAR(160)," ")))</f>
        <v>Storage</v>
      </c>
      <c r="L609" s="3" t="s">
        <v>1837</v>
      </c>
      <c r="M609" s="3" t="str">
        <f aca="false">PROPER(TRIM(SUBSTITUTE(Raw_Text_Fields!I610,CHAR(160)," ")))</f>
        <v>Same Day</v>
      </c>
      <c r="N609" s="3" t="n">
        <v>5</v>
      </c>
      <c r="O609" s="5" t="n">
        <v>954.67</v>
      </c>
      <c r="P609" s="6" t="n">
        <v>0.15</v>
      </c>
      <c r="Q609" s="5" t="n">
        <v>4057.35</v>
      </c>
      <c r="R609" s="5" t="n">
        <v>2862.03</v>
      </c>
      <c r="S609" s="5" t="n">
        <v>1195.32</v>
      </c>
      <c r="T609" s="3" t="str">
        <f aca="false">PROPER(TRIM(SUBSTITUTE(Raw_Text_Fields!J610,CHAR(160)," ")))</f>
        <v>Paid</v>
      </c>
      <c r="U609" s="3" t="str">
        <f aca="false">PROPER(TRIM(SUBSTITUTE(Raw_Text_Fields!K610,CHAR(160)," ")))</f>
        <v>Completed</v>
      </c>
      <c r="V609" s="7" t="n">
        <f aca="false">IF(OR(P609&lt;0,P609&gt;0.5),0,P609)</f>
        <v>0.15</v>
      </c>
      <c r="W609" s="8" t="n">
        <f aca="false">N609*O609*(1-V609)</f>
        <v>4057.3475</v>
      </c>
      <c r="X609" s="8" t="n">
        <f aca="false">W609-R609</f>
        <v>1195.3175</v>
      </c>
      <c r="Y609" s="7" t="n">
        <f aca="false">IFERROR(X609/W609,0)</f>
        <v>0.29460565061287</v>
      </c>
      <c r="Z609" s="9" t="n">
        <f aca="false">C609-B609</f>
        <v>6</v>
      </c>
      <c r="AA609" s="1" t="str">
        <f aca="false">IF(B609="","",TEXT(B609,"mmm"))</f>
        <v>Feb</v>
      </c>
      <c r="AB609" s="9" t="n">
        <f aca="false">IF(B609="","",YEAR(B609))</f>
        <v>2025</v>
      </c>
      <c r="AC609" s="3"/>
      <c r="AD609" s="3" t="str">
        <f aca="false">IF(LEFT(AC609&amp;IF(B609="","; Missing Order Date","")&amp;IF(C609="","; Missing Ship Date","")&amp;IF(P609&lt;0,"; Invalid Discount (Negative)","")&amp;IF(P609&gt;0.5,"; Invalid Discount (Too High)","")&amp;IF(Z609&lt;0,"; Invalid Shipping Record (Ship Before Order)","")&amp;IF(ABS(Q609-W609)&gt;1,"; Sales Mismatch","")&amp;IF(ABS(S609-X609)&gt;1,"; Profit Mismatch","")&amp;IF(COUNTIF($A$2:$A$913,A609)&gt;1,"; Duplicate Order ID Conflict",""),2)="; ",MID(AC609&amp;IF(B609="","; Missing Order Date","")&amp;IF(C609="","; Missing Ship Date","")&amp;IF(P609&lt;0,"; Invalid Discount (Negative)","")&amp;IF(P609&gt;0.5,"; Invalid Discount (Too High)","")&amp;IF(Z609&lt;0,"; Invalid Shipping Record (Ship Before Order)","")&amp;IF(ABS(Q609-W609)&gt;1,"; Sales Mismatch","")&amp;IF(ABS(S609-X609)&gt;1,"; Profit Mismatch","")&amp;IF(COUNTIF($A$2:$A$913,A609)&gt;1,"; Duplicate Order ID Conflict",""),3,500),AC609&amp;IF(B609="","; Missing Order Date","")&amp;IF(C609="","; Missing Ship Date","")&amp;IF(P609&lt;0,"; Invalid Discount (Negative)","")&amp;IF(P609&gt;0.5,"; Invalid Discount (Too High)","")&amp;IF(Z609&lt;0,"; Invalid Shipping Record (Ship Before Order)","")&amp;IF(ABS(Q609-W609)&gt;1,"; Sales Mismatch","")&amp;IF(ABS(S609-X609)&gt;1,"; Profit Mismatch","")&amp;IF(COUNTIF($A$2:$A$913,A609)&gt;1,"; Duplicate Order ID Conflict",""))</f>
        <v/>
      </c>
      <c r="AE609" s="10" t="str">
        <f aca="false">IF(OR(ISNUMBER(SEARCH("Invalid Discount",AD609)),ISNUMBER(SEARCH("Invalid Shipping Record",AD609)),ISNUMBER(SEARCH("Sales Mismatch",AD609)),ISNUMBER(SEARCH("Profit Mismatch",AD609)),ISNUMBER(SEARCH("Duplicate Order ID Conflict",AD609)),ISNUMBER(SEARCH("Missing Order Date",AD609)),ISNUMBER(SEARCH("Missing Ship Date",AD609))),"Invalid",IF(AD609&lt;&gt;"","Warning","Clean"))</f>
        <v>Clean</v>
      </c>
    </row>
    <row r="610" customFormat="false" ht="15" hidden="false" customHeight="true" outlineLevel="0" collapsed="false">
      <c r="A610" s="3" t="s">
        <v>1838</v>
      </c>
      <c r="B610" s="4" t="n">
        <v>45464</v>
      </c>
      <c r="C610" s="4" t="n">
        <v>45466</v>
      </c>
      <c r="D610" s="3" t="s">
        <v>1616</v>
      </c>
      <c r="E610" s="3" t="str">
        <f aca="false">PROPER(TRIM(SUBSTITUTE(Raw_Text_Fields!B611,CHAR(160)," ")))</f>
        <v>Karan Malhotra</v>
      </c>
      <c r="F610" s="3" t="str">
        <f aca="false">PROPER(TRIM(SUBSTITUTE(Raw_Text_Fields!C611,CHAR(160)," ")))</f>
        <v>Home Office</v>
      </c>
      <c r="G610" s="3" t="str">
        <f aca="false">PROPER(TRIM(SUBSTITUTE(Raw_Text_Fields!D611,CHAR(160)," ")))</f>
        <v>West</v>
      </c>
      <c r="H610" s="3" t="str">
        <f aca="false">PROPER(TRIM(SUBSTITUTE(Raw_Text_Fields!E611,CHAR(160)," ")))</f>
        <v>Goa</v>
      </c>
      <c r="I610" s="3" t="str">
        <f aca="false">PROPER(TRIM(SUBSTITUTE(Raw_Text_Fields!F611,CHAR(160)," ")))</f>
        <v>Panaji</v>
      </c>
      <c r="J610" s="3" t="str">
        <f aca="false">PROPER(TRIM(SUBSTITUTE(Raw_Text_Fields!G611,CHAR(160)," ")))</f>
        <v>Furniture</v>
      </c>
      <c r="K610" s="3" t="str">
        <f aca="false">PROPER(TRIM(SUBSTITUTE(Raw_Text_Fields!H611,CHAR(160)," ")))</f>
        <v>Furnishings</v>
      </c>
      <c r="L610" s="3" t="s">
        <v>1839</v>
      </c>
      <c r="M610" s="3" t="str">
        <f aca="false">PROPER(TRIM(SUBSTITUTE(Raw_Text_Fields!I611,CHAR(160)," ")))</f>
        <v>Second Class</v>
      </c>
      <c r="N610" s="3" t="n">
        <v>9</v>
      </c>
      <c r="O610" s="5" t="n">
        <v>2153.75</v>
      </c>
      <c r="P610" s="6" t="n">
        <v>0</v>
      </c>
      <c r="Q610" s="5" t="n">
        <v>19383.75</v>
      </c>
      <c r="R610" s="5" t="n">
        <v>11667.43</v>
      </c>
      <c r="S610" s="5" t="n">
        <v>7716.32</v>
      </c>
      <c r="T610" s="3" t="str">
        <f aca="false">PROPER(TRIM(SUBSTITUTE(Raw_Text_Fields!J611,CHAR(160)," ")))</f>
        <v>Paid</v>
      </c>
      <c r="U610" s="3" t="str">
        <f aca="false">PROPER(TRIM(SUBSTITUTE(Raw_Text_Fields!K611,CHAR(160)," ")))</f>
        <v>Completed</v>
      </c>
      <c r="V610" s="7" t="n">
        <f aca="false">IF(OR(P610&lt;0,P610&gt;0.5),0,P610)</f>
        <v>0</v>
      </c>
      <c r="W610" s="8" t="n">
        <f aca="false">N610*O610*(1-V610)</f>
        <v>19383.75</v>
      </c>
      <c r="X610" s="8" t="n">
        <f aca="false">W610-R610</f>
        <v>7716.32</v>
      </c>
      <c r="Y610" s="7" t="n">
        <f aca="false">IFERROR(X610/W610,0)</f>
        <v>0.398081898497453</v>
      </c>
      <c r="Z610" s="9" t="n">
        <f aca="false">C610-B610</f>
        <v>2</v>
      </c>
      <c r="AA610" s="1" t="str">
        <f aca="false">IF(B610="","",TEXT(B610,"mmm"))</f>
        <v>Jun</v>
      </c>
      <c r="AB610" s="9" t="n">
        <f aca="false">IF(B610="","",YEAR(B610))</f>
        <v>2024</v>
      </c>
      <c r="AC610" s="3"/>
      <c r="AD610" s="3" t="str">
        <f aca="false">IF(LEFT(AC610&amp;IF(B610="","; Missing Order Date","")&amp;IF(C610="","; Missing Ship Date","")&amp;IF(P610&lt;0,"; Invalid Discount (Negative)","")&amp;IF(P610&gt;0.5,"; Invalid Discount (Too High)","")&amp;IF(Z610&lt;0,"; Invalid Shipping Record (Ship Before Order)","")&amp;IF(ABS(Q610-W610)&gt;1,"; Sales Mismatch","")&amp;IF(ABS(S610-X610)&gt;1,"; Profit Mismatch","")&amp;IF(COUNTIF($A$2:$A$913,A610)&gt;1,"; Duplicate Order ID Conflict",""),2)="; ",MID(AC610&amp;IF(B610="","; Missing Order Date","")&amp;IF(C610="","; Missing Ship Date","")&amp;IF(P610&lt;0,"; Invalid Discount (Negative)","")&amp;IF(P610&gt;0.5,"; Invalid Discount (Too High)","")&amp;IF(Z610&lt;0,"; Invalid Shipping Record (Ship Before Order)","")&amp;IF(ABS(Q610-W610)&gt;1,"; Sales Mismatch","")&amp;IF(ABS(S610-X610)&gt;1,"; Profit Mismatch","")&amp;IF(COUNTIF($A$2:$A$913,A610)&gt;1,"; Duplicate Order ID Conflict",""),3,500),AC610&amp;IF(B610="","; Missing Order Date","")&amp;IF(C610="","; Missing Ship Date","")&amp;IF(P610&lt;0,"; Invalid Discount (Negative)","")&amp;IF(P610&gt;0.5,"; Invalid Discount (Too High)","")&amp;IF(Z610&lt;0,"; Invalid Shipping Record (Ship Before Order)","")&amp;IF(ABS(Q610-W610)&gt;1,"; Sales Mismatch","")&amp;IF(ABS(S610-X610)&gt;1,"; Profit Mismatch","")&amp;IF(COUNTIF($A$2:$A$913,A610)&gt;1,"; Duplicate Order ID Conflict",""))</f>
        <v/>
      </c>
      <c r="AE610" s="10" t="str">
        <f aca="false">IF(OR(ISNUMBER(SEARCH("Invalid Discount",AD610)),ISNUMBER(SEARCH("Invalid Shipping Record",AD610)),ISNUMBER(SEARCH("Sales Mismatch",AD610)),ISNUMBER(SEARCH("Profit Mismatch",AD610)),ISNUMBER(SEARCH("Duplicate Order ID Conflict",AD610)),ISNUMBER(SEARCH("Missing Order Date",AD610)),ISNUMBER(SEARCH("Missing Ship Date",AD610))),"Invalid",IF(AD610&lt;&gt;"","Warning","Clean"))</f>
        <v>Clean</v>
      </c>
    </row>
    <row r="611" customFormat="false" ht="15" hidden="false" customHeight="true" outlineLevel="0" collapsed="false">
      <c r="A611" s="3" t="s">
        <v>1840</v>
      </c>
      <c r="B611" s="4" t="n">
        <v>45665</v>
      </c>
      <c r="C611" s="4" t="n">
        <v>45669</v>
      </c>
      <c r="D611" s="3" t="s">
        <v>1841</v>
      </c>
      <c r="E611" s="3" t="str">
        <f aca="false">PROPER(TRIM(SUBSTITUTE(Raw_Text_Fields!B612,CHAR(160)," ")))</f>
        <v>Sneha Kapoor</v>
      </c>
      <c r="F611" s="3" t="str">
        <f aca="false">PROPER(TRIM(SUBSTITUTE(Raw_Text_Fields!C612,CHAR(160)," ")))</f>
        <v>Home Office</v>
      </c>
      <c r="G611" s="3" t="str">
        <f aca="false">PROPER(TRIM(SUBSTITUTE(Raw_Text_Fields!D612,CHAR(160)," ")))</f>
        <v>South</v>
      </c>
      <c r="H611" s="3" t="str">
        <f aca="false">PROPER(TRIM(SUBSTITUTE(Raw_Text_Fields!E612,CHAR(160)," ")))</f>
        <v>Karnataka</v>
      </c>
      <c r="I611" s="3" t="str">
        <f aca="false">PROPER(TRIM(SUBSTITUTE(Raw_Text_Fields!F612,CHAR(160)," ")))</f>
        <v>Bengaluru</v>
      </c>
      <c r="J611" s="3" t="str">
        <f aca="false">PROPER(TRIM(SUBSTITUTE(Raw_Text_Fields!G612,CHAR(160)," ")))</f>
        <v>Furniture</v>
      </c>
      <c r="K611" s="3" t="str">
        <f aca="false">PROPER(TRIM(SUBSTITUTE(Raw_Text_Fields!H612,CHAR(160)," ")))</f>
        <v>Chairs</v>
      </c>
      <c r="L611" s="3" t="s">
        <v>1842</v>
      </c>
      <c r="M611" s="3" t="str">
        <f aca="false">PROPER(TRIM(SUBSTITUTE(Raw_Text_Fields!I612,CHAR(160)," ")))</f>
        <v>Standard Class</v>
      </c>
      <c r="N611" s="3" t="n">
        <v>7</v>
      </c>
      <c r="O611" s="5" t="n">
        <v>4337.48</v>
      </c>
      <c r="P611" s="6" t="n">
        <v>0</v>
      </c>
      <c r="Q611" s="5" t="n">
        <v>30362.36</v>
      </c>
      <c r="R611" s="5" t="n">
        <v>25065.4</v>
      </c>
      <c r="S611" s="5" t="n">
        <v>5296.96</v>
      </c>
      <c r="T611" s="3" t="str">
        <f aca="false">PROPER(TRIM(SUBSTITUTE(Raw_Text_Fields!J612,CHAR(160)," ")))</f>
        <v>Paid</v>
      </c>
      <c r="U611" s="3" t="str">
        <f aca="false">PROPER(TRIM(SUBSTITUTE(Raw_Text_Fields!K612,CHAR(160)," ")))</f>
        <v>Completed</v>
      </c>
      <c r="V611" s="7" t="n">
        <f aca="false">IF(OR(P611&lt;0,P611&gt;0.5),0,P611)</f>
        <v>0</v>
      </c>
      <c r="W611" s="8" t="n">
        <f aca="false">N611*O611*(1-V611)</f>
        <v>30362.36</v>
      </c>
      <c r="X611" s="8" t="n">
        <f aca="false">W611-R611</f>
        <v>5296.96</v>
      </c>
      <c r="Y611" s="7" t="n">
        <f aca="false">IFERROR(X611/W611,0)</f>
        <v>0.174458111951772</v>
      </c>
      <c r="Z611" s="9" t="n">
        <f aca="false">C611-B611</f>
        <v>4</v>
      </c>
      <c r="AA611" s="1" t="str">
        <f aca="false">IF(B611="","",TEXT(B611,"mmm"))</f>
        <v>Jan</v>
      </c>
      <c r="AB611" s="9" t="n">
        <f aca="false">IF(B611="","",YEAR(B611))</f>
        <v>2025</v>
      </c>
      <c r="AC611" s="3"/>
      <c r="AD611" s="3" t="str">
        <f aca="false">IF(LEFT(AC611&amp;IF(B611="","; Missing Order Date","")&amp;IF(C611="","; Missing Ship Date","")&amp;IF(P611&lt;0,"; Invalid Discount (Negative)","")&amp;IF(P611&gt;0.5,"; Invalid Discount (Too High)","")&amp;IF(Z611&lt;0,"; Invalid Shipping Record (Ship Before Order)","")&amp;IF(ABS(Q611-W611)&gt;1,"; Sales Mismatch","")&amp;IF(ABS(S611-X611)&gt;1,"; Profit Mismatch","")&amp;IF(COUNTIF($A$2:$A$913,A611)&gt;1,"; Duplicate Order ID Conflict",""),2)="; ",MID(AC611&amp;IF(B611="","; Missing Order Date","")&amp;IF(C611="","; Missing Ship Date","")&amp;IF(P611&lt;0,"; Invalid Discount (Negative)","")&amp;IF(P611&gt;0.5,"; Invalid Discount (Too High)","")&amp;IF(Z611&lt;0,"; Invalid Shipping Record (Ship Before Order)","")&amp;IF(ABS(Q611-W611)&gt;1,"; Sales Mismatch","")&amp;IF(ABS(S611-X611)&gt;1,"; Profit Mismatch","")&amp;IF(COUNTIF($A$2:$A$913,A611)&gt;1,"; Duplicate Order ID Conflict",""),3,500),AC611&amp;IF(B611="","; Missing Order Date","")&amp;IF(C611="","; Missing Ship Date","")&amp;IF(P611&lt;0,"; Invalid Discount (Negative)","")&amp;IF(P611&gt;0.5,"; Invalid Discount (Too High)","")&amp;IF(Z611&lt;0,"; Invalid Shipping Record (Ship Before Order)","")&amp;IF(ABS(Q611-W611)&gt;1,"; Sales Mismatch","")&amp;IF(ABS(S611-X611)&gt;1,"; Profit Mismatch","")&amp;IF(COUNTIF($A$2:$A$913,A611)&gt;1,"; Duplicate Order ID Conflict",""))</f>
        <v/>
      </c>
      <c r="AE611" s="10" t="str">
        <f aca="false">IF(OR(ISNUMBER(SEARCH("Invalid Discount",AD611)),ISNUMBER(SEARCH("Invalid Shipping Record",AD611)),ISNUMBER(SEARCH("Sales Mismatch",AD611)),ISNUMBER(SEARCH("Profit Mismatch",AD611)),ISNUMBER(SEARCH("Duplicate Order ID Conflict",AD611)),ISNUMBER(SEARCH("Missing Order Date",AD611)),ISNUMBER(SEARCH("Missing Ship Date",AD611))),"Invalid",IF(AD611&lt;&gt;"","Warning","Clean"))</f>
        <v>Clean</v>
      </c>
    </row>
    <row r="612" customFormat="false" ht="15" hidden="false" customHeight="true" outlineLevel="0" collapsed="false">
      <c r="A612" s="3" t="s">
        <v>1843</v>
      </c>
      <c r="B612" s="4" t="n">
        <v>45432</v>
      </c>
      <c r="C612" s="4" t="n">
        <v>45432</v>
      </c>
      <c r="D612" s="3" t="s">
        <v>1288</v>
      </c>
      <c r="E612" s="3" t="str">
        <f aca="false">PROPER(TRIM(SUBSTITUTE(Raw_Text_Fields!B613,CHAR(160)," ")))</f>
        <v>Karan Malhotra</v>
      </c>
      <c r="F612" s="3" t="str">
        <f aca="false">PROPER(TRIM(SUBSTITUTE(Raw_Text_Fields!C613,CHAR(160)," ")))</f>
        <v>Home Office</v>
      </c>
      <c r="G612" s="3" t="str">
        <f aca="false">PROPER(TRIM(SUBSTITUTE(Raw_Text_Fields!D613,CHAR(160)," ")))</f>
        <v>West</v>
      </c>
      <c r="H612" s="3" t="str">
        <f aca="false">PROPER(TRIM(SUBSTITUTE(Raw_Text_Fields!E613,CHAR(160)," ")))</f>
        <v>Madhya Pradesh</v>
      </c>
      <c r="I612" s="3" t="str">
        <f aca="false">PROPER(TRIM(SUBSTITUTE(Raw_Text_Fields!F613,CHAR(160)," ")))</f>
        <v>Indore</v>
      </c>
      <c r="J612" s="3" t="str">
        <f aca="false">PROPER(TRIM(SUBSTITUTE(Raw_Text_Fields!G613,CHAR(160)," ")))</f>
        <v>Furniture</v>
      </c>
      <c r="K612" s="3" t="str">
        <f aca="false">PROPER(TRIM(SUBSTITUTE(Raw_Text_Fields!H613,CHAR(160)," ")))</f>
        <v>Chairs</v>
      </c>
      <c r="L612" s="3" t="s">
        <v>1844</v>
      </c>
      <c r="M612" s="3" t="str">
        <f aca="false">PROPER(TRIM(SUBSTITUTE(Raw_Text_Fields!I613,CHAR(160)," ")))</f>
        <v>Standard Class</v>
      </c>
      <c r="N612" s="3" t="n">
        <v>1</v>
      </c>
      <c r="O612" s="5" t="n">
        <v>3032.95</v>
      </c>
      <c r="P612" s="6" t="n">
        <v>0.1</v>
      </c>
      <c r="Q612" s="5" t="n">
        <v>2729.65</v>
      </c>
      <c r="R612" s="5" t="n">
        <v>1715.36</v>
      </c>
      <c r="S612" s="5" t="n">
        <v>1014.29</v>
      </c>
      <c r="T612" s="3" t="str">
        <f aca="false">PROPER(TRIM(SUBSTITUTE(Raw_Text_Fields!J613,CHAR(160)," ")))</f>
        <v>Paid</v>
      </c>
      <c r="U612" s="3" t="str">
        <f aca="false">PROPER(TRIM(SUBSTITUTE(Raw_Text_Fields!K613,CHAR(160)," ")))</f>
        <v>Completed</v>
      </c>
      <c r="V612" s="7" t="n">
        <f aca="false">IF(OR(P612&lt;0,P612&gt;0.5),0,P612)</f>
        <v>0.1</v>
      </c>
      <c r="W612" s="8" t="n">
        <f aca="false">N612*O612*(1-V612)</f>
        <v>2729.655</v>
      </c>
      <c r="X612" s="8" t="n">
        <f aca="false">W612-R612</f>
        <v>1014.295</v>
      </c>
      <c r="Y612" s="7" t="n">
        <f aca="false">IFERROR(X612/W612,0)</f>
        <v>0.371583588402197</v>
      </c>
      <c r="Z612" s="9" t="n">
        <f aca="false">C612-B612</f>
        <v>0</v>
      </c>
      <c r="AA612" s="1" t="str">
        <f aca="false">IF(B612="","",TEXT(B612,"mmm"))</f>
        <v>May</v>
      </c>
      <c r="AB612" s="9" t="n">
        <f aca="false">IF(B612="","",YEAR(B612))</f>
        <v>2024</v>
      </c>
      <c r="AC612" s="3"/>
      <c r="AD612" s="3" t="str">
        <f aca="false">IF(LEFT(AC612&amp;IF(B612="","; Missing Order Date","")&amp;IF(C612="","; Missing Ship Date","")&amp;IF(P612&lt;0,"; Invalid Discount (Negative)","")&amp;IF(P612&gt;0.5,"; Invalid Discount (Too High)","")&amp;IF(Z612&lt;0,"; Invalid Shipping Record (Ship Before Order)","")&amp;IF(ABS(Q612-W612)&gt;1,"; Sales Mismatch","")&amp;IF(ABS(S612-X612)&gt;1,"; Profit Mismatch","")&amp;IF(COUNTIF($A$2:$A$913,A612)&gt;1,"; Duplicate Order ID Conflict",""),2)="; ",MID(AC612&amp;IF(B612="","; Missing Order Date","")&amp;IF(C612="","; Missing Ship Date","")&amp;IF(P612&lt;0,"; Invalid Discount (Negative)","")&amp;IF(P612&gt;0.5,"; Invalid Discount (Too High)","")&amp;IF(Z612&lt;0,"; Invalid Shipping Record (Ship Before Order)","")&amp;IF(ABS(Q612-W612)&gt;1,"; Sales Mismatch","")&amp;IF(ABS(S612-X612)&gt;1,"; Profit Mismatch","")&amp;IF(COUNTIF($A$2:$A$913,A612)&gt;1,"; Duplicate Order ID Conflict",""),3,500),AC612&amp;IF(B612="","; Missing Order Date","")&amp;IF(C612="","; Missing Ship Date","")&amp;IF(P612&lt;0,"; Invalid Discount (Negative)","")&amp;IF(P612&gt;0.5,"; Invalid Discount (Too High)","")&amp;IF(Z612&lt;0,"; Invalid Shipping Record (Ship Before Order)","")&amp;IF(ABS(Q612-W612)&gt;1,"; Sales Mismatch","")&amp;IF(ABS(S612-X612)&gt;1,"; Profit Mismatch","")&amp;IF(COUNTIF($A$2:$A$913,A612)&gt;1,"; Duplicate Order ID Conflict",""))</f>
        <v/>
      </c>
      <c r="AE612" s="10" t="str">
        <f aca="false">IF(OR(ISNUMBER(SEARCH("Invalid Discount",AD612)),ISNUMBER(SEARCH("Invalid Shipping Record",AD612)),ISNUMBER(SEARCH("Sales Mismatch",AD612)),ISNUMBER(SEARCH("Profit Mismatch",AD612)),ISNUMBER(SEARCH("Duplicate Order ID Conflict",AD612)),ISNUMBER(SEARCH("Missing Order Date",AD612)),ISNUMBER(SEARCH("Missing Ship Date",AD612))),"Invalid",IF(AD612&lt;&gt;"","Warning","Clean"))</f>
        <v>Clean</v>
      </c>
    </row>
    <row r="613" customFormat="false" ht="15" hidden="false" customHeight="true" outlineLevel="0" collapsed="false">
      <c r="A613" s="3" t="s">
        <v>1845</v>
      </c>
      <c r="B613" s="4" t="n">
        <v>45846</v>
      </c>
      <c r="C613" s="4" t="n">
        <v>45853</v>
      </c>
      <c r="D613" s="3" t="s">
        <v>1846</v>
      </c>
      <c r="E613" s="3" t="str">
        <f aca="false">PROPER(TRIM(SUBSTITUTE(Raw_Text_Fields!B614,CHAR(160)," ")))</f>
        <v>Ananya Rao</v>
      </c>
      <c r="F613" s="3" t="str">
        <f aca="false">PROPER(TRIM(SUBSTITUTE(Raw_Text_Fields!C614,CHAR(160)," ")))</f>
        <v>Small Business</v>
      </c>
      <c r="G613" s="3" t="str">
        <f aca="false">PROPER(TRIM(SUBSTITUTE(Raw_Text_Fields!D614,CHAR(160)," ")))</f>
        <v>North</v>
      </c>
      <c r="H613" s="3" t="str">
        <f aca="false">PROPER(TRIM(SUBSTITUTE(Raw_Text_Fields!E614,CHAR(160)," ")))</f>
        <v>Rajasthan</v>
      </c>
      <c r="I613" s="3" t="str">
        <f aca="false">PROPER(TRIM(SUBSTITUTE(Raw_Text_Fields!F614,CHAR(160)," ")))</f>
        <v>Jaipur</v>
      </c>
      <c r="J613" s="3" t="str">
        <f aca="false">PROPER(TRIM(SUBSTITUTE(Raw_Text_Fields!G614,CHAR(160)," ")))</f>
        <v>Office Supplies</v>
      </c>
      <c r="K613" s="3" t="str">
        <f aca="false">PROPER(TRIM(SUBSTITUTE(Raw_Text_Fields!H614,CHAR(160)," ")))</f>
        <v>Binders</v>
      </c>
      <c r="L613" s="3" t="s">
        <v>1847</v>
      </c>
      <c r="M613" s="3" t="str">
        <f aca="false">PROPER(TRIM(SUBSTITUTE(Raw_Text_Fields!I614,CHAR(160)," ")))</f>
        <v>Same Day</v>
      </c>
      <c r="N613" s="3" t="n">
        <v>8</v>
      </c>
      <c r="O613" s="5" t="n">
        <v>655.28</v>
      </c>
      <c r="P613" s="6" t="n">
        <v>0.1</v>
      </c>
      <c r="Q613" s="5" t="n">
        <v>4718.02</v>
      </c>
      <c r="R613" s="5" t="n">
        <v>3908.23</v>
      </c>
      <c r="S613" s="5" t="n">
        <v>809.79</v>
      </c>
      <c r="T613" s="3" t="str">
        <f aca="false">PROPER(TRIM(SUBSTITUTE(Raw_Text_Fields!J614,CHAR(160)," ")))</f>
        <v>Paid</v>
      </c>
      <c r="U613" s="3" t="str">
        <f aca="false">PROPER(TRIM(SUBSTITUTE(Raw_Text_Fields!K614,CHAR(160)," ")))</f>
        <v>Completed</v>
      </c>
      <c r="V613" s="7" t="n">
        <f aca="false">IF(OR(P613&lt;0,P613&gt;0.5),0,P613)</f>
        <v>0.1</v>
      </c>
      <c r="W613" s="8" t="n">
        <f aca="false">N613*O613*(1-V613)</f>
        <v>4718.016</v>
      </c>
      <c r="X613" s="8" t="n">
        <f aca="false">W613-R613</f>
        <v>809.786</v>
      </c>
      <c r="Y613" s="7" t="n">
        <f aca="false">IFERROR(X613/W613,0)</f>
        <v>0.171636976220513</v>
      </c>
      <c r="Z613" s="9" t="n">
        <f aca="false">C613-B613</f>
        <v>7</v>
      </c>
      <c r="AA613" s="1" t="str">
        <f aca="false">IF(B613="","",TEXT(B613,"mmm"))</f>
        <v>Jul</v>
      </c>
      <c r="AB613" s="9" t="n">
        <f aca="false">IF(B613="","",YEAR(B613))</f>
        <v>2025</v>
      </c>
      <c r="AC613" s="3"/>
      <c r="AD613" s="3" t="str">
        <f aca="false">IF(LEFT(AC613&amp;IF(B613="","; Missing Order Date","")&amp;IF(C613="","; Missing Ship Date","")&amp;IF(P613&lt;0,"; Invalid Discount (Negative)","")&amp;IF(P613&gt;0.5,"; Invalid Discount (Too High)","")&amp;IF(Z613&lt;0,"; Invalid Shipping Record (Ship Before Order)","")&amp;IF(ABS(Q613-W613)&gt;1,"; Sales Mismatch","")&amp;IF(ABS(S613-X613)&gt;1,"; Profit Mismatch","")&amp;IF(COUNTIF($A$2:$A$913,A613)&gt;1,"; Duplicate Order ID Conflict",""),2)="; ",MID(AC613&amp;IF(B613="","; Missing Order Date","")&amp;IF(C613="","; Missing Ship Date","")&amp;IF(P613&lt;0,"; Invalid Discount (Negative)","")&amp;IF(P613&gt;0.5,"; Invalid Discount (Too High)","")&amp;IF(Z613&lt;0,"; Invalid Shipping Record (Ship Before Order)","")&amp;IF(ABS(Q613-W613)&gt;1,"; Sales Mismatch","")&amp;IF(ABS(S613-X613)&gt;1,"; Profit Mismatch","")&amp;IF(COUNTIF($A$2:$A$913,A613)&gt;1,"; Duplicate Order ID Conflict",""),3,500),AC613&amp;IF(B613="","; Missing Order Date","")&amp;IF(C613="","; Missing Ship Date","")&amp;IF(P613&lt;0,"; Invalid Discount (Negative)","")&amp;IF(P613&gt;0.5,"; Invalid Discount (Too High)","")&amp;IF(Z613&lt;0,"; Invalid Shipping Record (Ship Before Order)","")&amp;IF(ABS(Q613-W613)&gt;1,"; Sales Mismatch","")&amp;IF(ABS(S613-X613)&gt;1,"; Profit Mismatch","")&amp;IF(COUNTIF($A$2:$A$913,A613)&gt;1,"; Duplicate Order ID Conflict",""))</f>
        <v/>
      </c>
      <c r="AE613" s="10" t="str">
        <f aca="false">IF(OR(ISNUMBER(SEARCH("Invalid Discount",AD613)),ISNUMBER(SEARCH("Invalid Shipping Record",AD613)),ISNUMBER(SEARCH("Sales Mismatch",AD613)),ISNUMBER(SEARCH("Profit Mismatch",AD613)),ISNUMBER(SEARCH("Duplicate Order ID Conflict",AD613)),ISNUMBER(SEARCH("Missing Order Date",AD613)),ISNUMBER(SEARCH("Missing Ship Date",AD613))),"Invalid",IF(AD613&lt;&gt;"","Warning","Clean"))</f>
        <v>Clean</v>
      </c>
    </row>
    <row r="614" customFormat="false" ht="15" hidden="false" customHeight="true" outlineLevel="0" collapsed="false">
      <c r="A614" s="3" t="s">
        <v>1848</v>
      </c>
      <c r="B614" s="4" t="n">
        <v>45753</v>
      </c>
      <c r="C614" s="4" t="n">
        <v>45760</v>
      </c>
      <c r="D614" s="3" t="s">
        <v>1849</v>
      </c>
      <c r="E614" s="3" t="str">
        <f aca="false">PROPER(TRIM(SUBSTITUTE(Raw_Text_Fields!B615,CHAR(160)," ")))</f>
        <v>Aditi Sen</v>
      </c>
      <c r="F614" s="3" t="str">
        <f aca="false">PROPER(TRIM(SUBSTITUTE(Raw_Text_Fields!C615,CHAR(160)," ")))</f>
        <v>Consumer</v>
      </c>
      <c r="G614" s="3" t="str">
        <f aca="false">PROPER(TRIM(SUBSTITUTE(Raw_Text_Fields!D615,CHAR(160)," ")))</f>
        <v>Unknown</v>
      </c>
      <c r="H614" s="3" t="str">
        <f aca="false">PROPER(TRIM(SUBSTITUTE(Raw_Text_Fields!E615,CHAR(160)," ")))</f>
        <v>Odisha</v>
      </c>
      <c r="I614" s="3" t="str">
        <f aca="false">PROPER(TRIM(SUBSTITUTE(Raw_Text_Fields!F615,CHAR(160)," ")))</f>
        <v>Bhubaneswar</v>
      </c>
      <c r="J614" s="3" t="str">
        <f aca="false">PROPER(TRIM(SUBSTITUTE(Raw_Text_Fields!G615,CHAR(160)," ")))</f>
        <v>Technology</v>
      </c>
      <c r="K614" s="3" t="str">
        <f aca="false">PROPER(TRIM(SUBSTITUTE(Raw_Text_Fields!H615,CHAR(160)," ")))</f>
        <v>Phones</v>
      </c>
      <c r="L614" s="3" t="s">
        <v>1850</v>
      </c>
      <c r="M614" s="3" t="str">
        <f aca="false">PROPER(TRIM(SUBSTITUTE(Raw_Text_Fields!I615,CHAR(160)," ")))</f>
        <v>Standard Class</v>
      </c>
      <c r="N614" s="3" t="n">
        <v>1</v>
      </c>
      <c r="O614" s="5" t="n">
        <v>3844.01</v>
      </c>
      <c r="P614" s="6" t="n">
        <v>0</v>
      </c>
      <c r="Q614" s="5" t="n">
        <v>3844.01</v>
      </c>
      <c r="R614" s="5" t="n">
        <v>2195.79</v>
      </c>
      <c r="S614" s="5" t="n">
        <v>1648.22</v>
      </c>
      <c r="T614" s="3" t="str">
        <f aca="false">PROPER(TRIM(SUBSTITUTE(Raw_Text_Fields!J615,CHAR(160)," ")))</f>
        <v>Paid</v>
      </c>
      <c r="U614" s="3" t="str">
        <f aca="false">PROPER(TRIM(SUBSTITUTE(Raw_Text_Fields!K615,CHAR(160)," ")))</f>
        <v>Completed</v>
      </c>
      <c r="V614" s="7" t="n">
        <f aca="false">IF(OR(P614&lt;0,P614&gt;0.5),0,P614)</f>
        <v>0</v>
      </c>
      <c r="W614" s="8" t="n">
        <f aca="false">N614*O614*(1-V614)</f>
        <v>3844.01</v>
      </c>
      <c r="X614" s="8" t="n">
        <f aca="false">W614-R614</f>
        <v>1648.22</v>
      </c>
      <c r="Y614" s="7" t="n">
        <f aca="false">IFERROR(X614/W614,0)</f>
        <v>0.428776199853799</v>
      </c>
      <c r="Z614" s="9" t="n">
        <f aca="false">C614-B614</f>
        <v>7</v>
      </c>
      <c r="AA614" s="1" t="str">
        <f aca="false">IF(B614="","",TEXT(B614,"mmm"))</f>
        <v>Apr</v>
      </c>
      <c r="AB614" s="9" t="n">
        <f aca="false">IF(B614="","",YEAR(B614))</f>
        <v>2025</v>
      </c>
      <c r="AC614" s="3" t="s">
        <v>372</v>
      </c>
      <c r="AD614" s="3" t="str">
        <f aca="false">IF(LEFT(AC614&amp;IF(B614="","; Missing Order Date","")&amp;IF(C614="","; Missing Ship Date","")&amp;IF(P614&lt;0,"; Invalid Discount (Negative)","")&amp;IF(P614&gt;0.5,"; Invalid Discount (Too High)","")&amp;IF(Z614&lt;0,"; Invalid Shipping Record (Ship Before Order)","")&amp;IF(ABS(Q614-W614)&gt;1,"; Sales Mismatch","")&amp;IF(ABS(S614-X614)&gt;1,"; Profit Mismatch","")&amp;IF(COUNTIF($A$2:$A$913,A614)&gt;1,"; Duplicate Order ID Conflict",""),2)="; ",MID(AC614&amp;IF(B614="","; Missing Order Date","")&amp;IF(C614="","; Missing Ship Date","")&amp;IF(P614&lt;0,"; Invalid Discount (Negative)","")&amp;IF(P614&gt;0.5,"; Invalid Discount (Too High)","")&amp;IF(Z614&lt;0,"; Invalid Shipping Record (Ship Before Order)","")&amp;IF(ABS(Q614-W614)&gt;1,"; Sales Mismatch","")&amp;IF(ABS(S614-X614)&gt;1,"; Profit Mismatch","")&amp;IF(COUNTIF($A$2:$A$913,A614)&gt;1,"; Duplicate Order ID Conflict",""),3,500),AC614&amp;IF(B614="","; Missing Order Date","")&amp;IF(C614="","; Missing Ship Date","")&amp;IF(P614&lt;0,"; Invalid Discount (Negative)","")&amp;IF(P614&gt;0.5,"; Invalid Discount (Too High)","")&amp;IF(Z614&lt;0,"; Invalid Shipping Record (Ship Before Order)","")&amp;IF(ABS(Q614-W614)&gt;1,"; Sales Mismatch","")&amp;IF(ABS(S614-X614)&gt;1,"; Profit Mismatch","")&amp;IF(COUNTIF($A$2:$A$913,A614)&gt;1,"; Duplicate Order ID Conflict",""))</f>
        <v>Missing Region (filled Unknown)</v>
      </c>
      <c r="AE614" s="10" t="str">
        <f aca="false">IF(OR(ISNUMBER(SEARCH("Invalid Discount",AD614)),ISNUMBER(SEARCH("Invalid Shipping Record",AD614)),ISNUMBER(SEARCH("Sales Mismatch",AD614)),ISNUMBER(SEARCH("Profit Mismatch",AD614)),ISNUMBER(SEARCH("Duplicate Order ID Conflict",AD614)),ISNUMBER(SEARCH("Missing Order Date",AD614)),ISNUMBER(SEARCH("Missing Ship Date",AD614))),"Invalid",IF(AD614&lt;&gt;"","Warning","Clean"))</f>
        <v>Warning</v>
      </c>
    </row>
    <row r="615" customFormat="false" ht="15" hidden="false" customHeight="true" outlineLevel="0" collapsed="false">
      <c r="A615" s="3" t="s">
        <v>1851</v>
      </c>
      <c r="B615" s="4" t="n">
        <v>45570</v>
      </c>
      <c r="C615" s="4" t="n">
        <v>45575</v>
      </c>
      <c r="D615" s="3" t="s">
        <v>1852</v>
      </c>
      <c r="E615" s="3" t="str">
        <f aca="false">PROPER(TRIM(SUBSTITUTE(Raw_Text_Fields!B616,CHAR(160)," ")))</f>
        <v>Diya Patel</v>
      </c>
      <c r="F615" s="3" t="str">
        <f aca="false">PROPER(TRIM(SUBSTITUTE(Raw_Text_Fields!C616,CHAR(160)," ")))</f>
        <v>Home Office</v>
      </c>
      <c r="G615" s="3" t="str">
        <f aca="false">PROPER(TRIM(SUBSTITUTE(Raw_Text_Fields!D616,CHAR(160)," ")))</f>
        <v>West</v>
      </c>
      <c r="H615" s="3" t="str">
        <f aca="false">PROPER(TRIM(SUBSTITUTE(Raw_Text_Fields!E616,CHAR(160)," ")))</f>
        <v>Gujarat</v>
      </c>
      <c r="I615" s="3" t="str">
        <f aca="false">PROPER(TRIM(SUBSTITUTE(Raw_Text_Fields!F616,CHAR(160)," ")))</f>
        <v>Ahmedabad</v>
      </c>
      <c r="J615" s="3" t="str">
        <f aca="false">PROPER(TRIM(SUBSTITUTE(Raw_Text_Fields!G616,CHAR(160)," ")))</f>
        <v>Technology</v>
      </c>
      <c r="K615" s="3" t="str">
        <f aca="false">PROPER(TRIM(SUBSTITUTE(Raw_Text_Fields!H616,CHAR(160)," ")))</f>
        <v>Machines</v>
      </c>
      <c r="L615" s="3" t="s">
        <v>1853</v>
      </c>
      <c r="M615" s="3" t="str">
        <f aca="false">PROPER(TRIM(SUBSTITUTE(Raw_Text_Fields!I616,CHAR(160)," ")))</f>
        <v>Same Day</v>
      </c>
      <c r="N615" s="3" t="n">
        <v>9</v>
      </c>
      <c r="O615" s="5" t="n">
        <v>3361.3</v>
      </c>
      <c r="P615" s="6" t="n">
        <v>0.25</v>
      </c>
      <c r="Q615" s="5" t="n">
        <v>22688.78</v>
      </c>
      <c r="R615" s="5" t="n">
        <v>14672.41</v>
      </c>
      <c r="S615" s="5" t="n">
        <v>8016.37</v>
      </c>
      <c r="T615" s="3" t="str">
        <f aca="false">PROPER(TRIM(SUBSTITUTE(Raw_Text_Fields!J616,CHAR(160)," ")))</f>
        <v>Paid</v>
      </c>
      <c r="U615" s="3" t="str">
        <f aca="false">PROPER(TRIM(SUBSTITUTE(Raw_Text_Fields!K616,CHAR(160)," ")))</f>
        <v>Completed</v>
      </c>
      <c r="V615" s="7" t="n">
        <f aca="false">IF(OR(P615&lt;0,P615&gt;0.5),0,P615)</f>
        <v>0.25</v>
      </c>
      <c r="W615" s="8" t="n">
        <f aca="false">N615*O615*(1-V615)</f>
        <v>22688.775</v>
      </c>
      <c r="X615" s="8" t="n">
        <f aca="false">W615-R615</f>
        <v>8016.365</v>
      </c>
      <c r="Y615" s="7" t="n">
        <f aca="false">IFERROR(X615/W615,0)</f>
        <v>0.353318546285553</v>
      </c>
      <c r="Z615" s="9" t="n">
        <f aca="false">C615-B615</f>
        <v>5</v>
      </c>
      <c r="AA615" s="1" t="str">
        <f aca="false">IF(B615="","",TEXT(B615,"mmm"))</f>
        <v>Oct</v>
      </c>
      <c r="AB615" s="9" t="n">
        <f aca="false">IF(B615="","",YEAR(B615))</f>
        <v>2024</v>
      </c>
      <c r="AC615" s="3"/>
      <c r="AD615" s="3" t="str">
        <f aca="false">IF(LEFT(AC615&amp;IF(B615="","; Missing Order Date","")&amp;IF(C615="","; Missing Ship Date","")&amp;IF(P615&lt;0,"; Invalid Discount (Negative)","")&amp;IF(P615&gt;0.5,"; Invalid Discount (Too High)","")&amp;IF(Z615&lt;0,"; Invalid Shipping Record (Ship Before Order)","")&amp;IF(ABS(Q615-W615)&gt;1,"; Sales Mismatch","")&amp;IF(ABS(S615-X615)&gt;1,"; Profit Mismatch","")&amp;IF(COUNTIF($A$2:$A$913,A615)&gt;1,"; Duplicate Order ID Conflict",""),2)="; ",MID(AC615&amp;IF(B615="","; Missing Order Date","")&amp;IF(C615="","; Missing Ship Date","")&amp;IF(P615&lt;0,"; Invalid Discount (Negative)","")&amp;IF(P615&gt;0.5,"; Invalid Discount (Too High)","")&amp;IF(Z615&lt;0,"; Invalid Shipping Record (Ship Before Order)","")&amp;IF(ABS(Q615-W615)&gt;1,"; Sales Mismatch","")&amp;IF(ABS(S615-X615)&gt;1,"; Profit Mismatch","")&amp;IF(COUNTIF($A$2:$A$913,A615)&gt;1,"; Duplicate Order ID Conflict",""),3,500),AC615&amp;IF(B615="","; Missing Order Date","")&amp;IF(C615="","; Missing Ship Date","")&amp;IF(P615&lt;0,"; Invalid Discount (Negative)","")&amp;IF(P615&gt;0.5,"; Invalid Discount (Too High)","")&amp;IF(Z615&lt;0,"; Invalid Shipping Record (Ship Before Order)","")&amp;IF(ABS(Q615-W615)&gt;1,"; Sales Mismatch","")&amp;IF(ABS(S615-X615)&gt;1,"; Profit Mismatch","")&amp;IF(COUNTIF($A$2:$A$913,A615)&gt;1,"; Duplicate Order ID Conflict",""))</f>
        <v/>
      </c>
      <c r="AE615" s="10" t="str">
        <f aca="false">IF(OR(ISNUMBER(SEARCH("Invalid Discount",AD615)),ISNUMBER(SEARCH("Invalid Shipping Record",AD615)),ISNUMBER(SEARCH("Sales Mismatch",AD615)),ISNUMBER(SEARCH("Profit Mismatch",AD615)),ISNUMBER(SEARCH("Duplicate Order ID Conflict",AD615)),ISNUMBER(SEARCH("Missing Order Date",AD615)),ISNUMBER(SEARCH("Missing Ship Date",AD615))),"Invalid",IF(AD615&lt;&gt;"","Warning","Clean"))</f>
        <v>Clean</v>
      </c>
    </row>
    <row r="616" customFormat="false" ht="15" hidden="false" customHeight="true" outlineLevel="0" collapsed="false">
      <c r="A616" s="3" t="s">
        <v>1854</v>
      </c>
      <c r="B616" s="4" t="n">
        <v>45333</v>
      </c>
      <c r="C616" s="4" t="n">
        <v>45341</v>
      </c>
      <c r="D616" s="3" t="s">
        <v>1855</v>
      </c>
      <c r="E616" s="3" t="str">
        <f aca="false">PROPER(TRIM(SUBSTITUTE(Raw_Text_Fields!B617,CHAR(160)," ")))</f>
        <v>Ananya Rao</v>
      </c>
      <c r="F616" s="3" t="str">
        <f aca="false">PROPER(TRIM(SUBSTITUTE(Raw_Text_Fields!C617,CHAR(160)," ")))</f>
        <v>Home Office</v>
      </c>
      <c r="G616" s="3" t="str">
        <f aca="false">PROPER(TRIM(SUBSTITUTE(Raw_Text_Fields!D617,CHAR(160)," ")))</f>
        <v>South</v>
      </c>
      <c r="H616" s="3" t="str">
        <f aca="false">PROPER(TRIM(SUBSTITUTE(Raw_Text_Fields!E617,CHAR(160)," ")))</f>
        <v>Telangana</v>
      </c>
      <c r="I616" s="3" t="str">
        <f aca="false">PROPER(TRIM(SUBSTITUTE(Raw_Text_Fields!F617,CHAR(160)," ")))</f>
        <v>Hyderabad</v>
      </c>
      <c r="J616" s="3" t="str">
        <f aca="false">PROPER(TRIM(SUBSTITUTE(Raw_Text_Fields!G617,CHAR(160)," ")))</f>
        <v>Furniture</v>
      </c>
      <c r="K616" s="3" t="str">
        <f aca="false">PROPER(TRIM(SUBSTITUTE(Raw_Text_Fields!H617,CHAR(160)," ")))</f>
        <v>Chairs</v>
      </c>
      <c r="L616" s="3" t="s">
        <v>1856</v>
      </c>
      <c r="M616" s="3" t="str">
        <f aca="false">PROPER(TRIM(SUBSTITUTE(Raw_Text_Fields!I617,CHAR(160)," ")))</f>
        <v>Standard Class</v>
      </c>
      <c r="N616" s="3" t="n">
        <v>8</v>
      </c>
      <c r="O616" s="5" t="n">
        <v>3398.32</v>
      </c>
      <c r="P616" s="6" t="n">
        <v>0.25</v>
      </c>
      <c r="Q616" s="5" t="n">
        <v>20389.92</v>
      </c>
      <c r="R616" s="5" t="n">
        <v>16661.08</v>
      </c>
      <c r="S616" s="5" t="n">
        <v>3728.84</v>
      </c>
      <c r="T616" s="3" t="str">
        <f aca="false">PROPER(TRIM(SUBSTITUTE(Raw_Text_Fields!J617,CHAR(160)," ")))</f>
        <v>Refunded</v>
      </c>
      <c r="U616" s="3" t="str">
        <f aca="false">PROPER(TRIM(SUBSTITUTE(Raw_Text_Fields!K617,CHAR(160)," ")))</f>
        <v>Cancelled</v>
      </c>
      <c r="V616" s="7" t="n">
        <f aca="false">IF(OR(P616&lt;0,P616&gt;0.5),0,P616)</f>
        <v>0.25</v>
      </c>
      <c r="W616" s="8" t="n">
        <f aca="false">N616*O616*(1-V616)</f>
        <v>20389.92</v>
      </c>
      <c r="X616" s="8" t="n">
        <f aca="false">W616-R616</f>
        <v>3728.84</v>
      </c>
      <c r="Y616" s="7" t="n">
        <f aca="false">IFERROR(X616/W616,0)</f>
        <v>0.182876637083422</v>
      </c>
      <c r="Z616" s="9" t="n">
        <f aca="false">C616-B616</f>
        <v>8</v>
      </c>
      <c r="AA616" s="1" t="str">
        <f aca="false">IF(B616="","",TEXT(B616,"mmm"))</f>
        <v>Feb</v>
      </c>
      <c r="AB616" s="9" t="n">
        <f aca="false">IF(B616="","",YEAR(B616))</f>
        <v>2024</v>
      </c>
      <c r="AC616" s="3"/>
      <c r="AD616" s="3" t="str">
        <f aca="false">IF(LEFT(AC616&amp;IF(B616="","; Missing Order Date","")&amp;IF(C616="","; Missing Ship Date","")&amp;IF(P616&lt;0,"; Invalid Discount (Negative)","")&amp;IF(P616&gt;0.5,"; Invalid Discount (Too High)","")&amp;IF(Z616&lt;0,"; Invalid Shipping Record (Ship Before Order)","")&amp;IF(ABS(Q616-W616)&gt;1,"; Sales Mismatch","")&amp;IF(ABS(S616-X616)&gt;1,"; Profit Mismatch","")&amp;IF(COUNTIF($A$2:$A$913,A616)&gt;1,"; Duplicate Order ID Conflict",""),2)="; ",MID(AC616&amp;IF(B616="","; Missing Order Date","")&amp;IF(C616="","; Missing Ship Date","")&amp;IF(P616&lt;0,"; Invalid Discount (Negative)","")&amp;IF(P616&gt;0.5,"; Invalid Discount (Too High)","")&amp;IF(Z616&lt;0,"; Invalid Shipping Record (Ship Before Order)","")&amp;IF(ABS(Q616-W616)&gt;1,"; Sales Mismatch","")&amp;IF(ABS(S616-X616)&gt;1,"; Profit Mismatch","")&amp;IF(COUNTIF($A$2:$A$913,A616)&gt;1,"; Duplicate Order ID Conflict",""),3,500),AC616&amp;IF(B616="","; Missing Order Date","")&amp;IF(C616="","; Missing Ship Date","")&amp;IF(P616&lt;0,"; Invalid Discount (Negative)","")&amp;IF(P616&gt;0.5,"; Invalid Discount (Too High)","")&amp;IF(Z616&lt;0,"; Invalid Shipping Record (Ship Before Order)","")&amp;IF(ABS(Q616-W616)&gt;1,"; Sales Mismatch","")&amp;IF(ABS(S616-X616)&gt;1,"; Profit Mismatch","")&amp;IF(COUNTIF($A$2:$A$913,A616)&gt;1,"; Duplicate Order ID Conflict",""))</f>
        <v/>
      </c>
      <c r="AE616" s="10" t="str">
        <f aca="false">IF(OR(ISNUMBER(SEARCH("Invalid Discount",AD616)),ISNUMBER(SEARCH("Invalid Shipping Record",AD616)),ISNUMBER(SEARCH("Sales Mismatch",AD616)),ISNUMBER(SEARCH("Profit Mismatch",AD616)),ISNUMBER(SEARCH("Duplicate Order ID Conflict",AD616)),ISNUMBER(SEARCH("Missing Order Date",AD616)),ISNUMBER(SEARCH("Missing Ship Date",AD616))),"Invalid",IF(AD616&lt;&gt;"","Warning","Clean"))</f>
        <v>Clean</v>
      </c>
    </row>
    <row r="617" customFormat="false" ht="15" hidden="false" customHeight="true" outlineLevel="0" collapsed="false">
      <c r="A617" s="3" t="s">
        <v>1857</v>
      </c>
      <c r="B617" s="4" t="n">
        <v>45569</v>
      </c>
      <c r="C617" s="4" t="n">
        <v>45572</v>
      </c>
      <c r="D617" s="3" t="s">
        <v>1858</v>
      </c>
      <c r="E617" s="3" t="str">
        <f aca="false">PROPER(TRIM(SUBSTITUTE(Raw_Text_Fields!B618,CHAR(160)," ")))</f>
        <v>Rahul Verma</v>
      </c>
      <c r="F617" s="3" t="str">
        <f aca="false">PROPER(TRIM(SUBSTITUTE(Raw_Text_Fields!C618,CHAR(160)," ")))</f>
        <v>Corporate</v>
      </c>
      <c r="G617" s="3" t="str">
        <f aca="false">PROPER(TRIM(SUBSTITUTE(Raw_Text_Fields!D618,CHAR(160)," ")))</f>
        <v>South</v>
      </c>
      <c r="H617" s="3" t="str">
        <f aca="false">PROPER(TRIM(SUBSTITUTE(Raw_Text_Fields!E618,CHAR(160)," ")))</f>
        <v>Kerala</v>
      </c>
      <c r="I617" s="3" t="str">
        <f aca="false">PROPER(TRIM(SUBSTITUTE(Raw_Text_Fields!F618,CHAR(160)," ")))</f>
        <v>Kochi</v>
      </c>
      <c r="J617" s="3" t="str">
        <f aca="false">PROPER(TRIM(SUBSTITUTE(Raw_Text_Fields!G618,CHAR(160)," ")))</f>
        <v>Office Supplies</v>
      </c>
      <c r="K617" s="3" t="str">
        <f aca="false">PROPER(TRIM(SUBSTITUTE(Raw_Text_Fields!H618,CHAR(160)," ")))</f>
        <v>Art</v>
      </c>
      <c r="L617" s="3" t="s">
        <v>1859</v>
      </c>
      <c r="M617" s="3" t="str">
        <f aca="false">PROPER(TRIM(SUBSTITUTE(Raw_Text_Fields!I618,CHAR(160)," ")))</f>
        <v>Second Class</v>
      </c>
      <c r="N617" s="3" t="n">
        <v>2</v>
      </c>
      <c r="O617" s="5" t="n">
        <v>3144.38</v>
      </c>
      <c r="P617" s="6" t="n">
        <v>0.1</v>
      </c>
      <c r="Q617" s="5" t="n">
        <v>5904.57</v>
      </c>
      <c r="R617" s="5" t="n">
        <v>4337.79</v>
      </c>
      <c r="S617" s="5" t="n">
        <v>1322.09</v>
      </c>
      <c r="T617" s="3" t="str">
        <f aca="false">PROPER(TRIM(SUBSTITUTE(Raw_Text_Fields!J618,CHAR(160)," ")))</f>
        <v>Paid</v>
      </c>
      <c r="U617" s="3" t="str">
        <f aca="false">PROPER(TRIM(SUBSTITUTE(Raw_Text_Fields!K618,CHAR(160)," ")))</f>
        <v>Completed</v>
      </c>
      <c r="V617" s="7" t="n">
        <f aca="false">IF(OR(P617&lt;0,P617&gt;0.5),0,P617)</f>
        <v>0.1</v>
      </c>
      <c r="W617" s="8" t="n">
        <f aca="false">N617*O617*(1-V617)</f>
        <v>5659.884</v>
      </c>
      <c r="X617" s="8" t="n">
        <f aca="false">W617-R617</f>
        <v>1322.094</v>
      </c>
      <c r="Y617" s="7" t="n">
        <f aca="false">IFERROR(X617/W617,0)</f>
        <v>0.233590299730525</v>
      </c>
      <c r="Z617" s="9" t="n">
        <f aca="false">C617-B617</f>
        <v>3</v>
      </c>
      <c r="AA617" s="1" t="str">
        <f aca="false">IF(B617="","",TEXT(B617,"mmm"))</f>
        <v>Oct</v>
      </c>
      <c r="AB617" s="9" t="n">
        <f aca="false">IF(B617="","",YEAR(B617))</f>
        <v>2024</v>
      </c>
      <c r="AC617" s="3"/>
      <c r="AD617" s="3" t="str">
        <f aca="false">IF(LEFT(AC617&amp;IF(B617="","; Missing Order Date","")&amp;IF(C617="","; Missing Ship Date","")&amp;IF(P617&lt;0,"; Invalid Discount (Negative)","")&amp;IF(P617&gt;0.5,"; Invalid Discount (Too High)","")&amp;IF(Z617&lt;0,"; Invalid Shipping Record (Ship Before Order)","")&amp;IF(ABS(Q617-W617)&gt;1,"; Sales Mismatch","")&amp;IF(ABS(S617-X617)&gt;1,"; Profit Mismatch","")&amp;IF(COUNTIF($A$2:$A$913,A617)&gt;1,"; Duplicate Order ID Conflict",""),2)="; ",MID(AC617&amp;IF(B617="","; Missing Order Date","")&amp;IF(C617="","; Missing Ship Date","")&amp;IF(P617&lt;0,"; Invalid Discount (Negative)","")&amp;IF(P617&gt;0.5,"; Invalid Discount (Too High)","")&amp;IF(Z617&lt;0,"; Invalid Shipping Record (Ship Before Order)","")&amp;IF(ABS(Q617-W617)&gt;1,"; Sales Mismatch","")&amp;IF(ABS(S617-X617)&gt;1,"; Profit Mismatch","")&amp;IF(COUNTIF($A$2:$A$913,A617)&gt;1,"; Duplicate Order ID Conflict",""),3,500),AC617&amp;IF(B617="","; Missing Order Date","")&amp;IF(C617="","; Missing Ship Date","")&amp;IF(P617&lt;0,"; Invalid Discount (Negative)","")&amp;IF(P617&gt;0.5,"; Invalid Discount (Too High)","")&amp;IF(Z617&lt;0,"; Invalid Shipping Record (Ship Before Order)","")&amp;IF(ABS(Q617-W617)&gt;1,"; Sales Mismatch","")&amp;IF(ABS(S617-X617)&gt;1,"; Profit Mismatch","")&amp;IF(COUNTIF($A$2:$A$913,A617)&gt;1,"; Duplicate Order ID Conflict",""))</f>
        <v>Sales Mismatch</v>
      </c>
      <c r="AE617" s="10" t="str">
        <f aca="false">IF(OR(ISNUMBER(SEARCH("Invalid Discount",AD617)),ISNUMBER(SEARCH("Invalid Shipping Record",AD617)),ISNUMBER(SEARCH("Sales Mismatch",AD617)),ISNUMBER(SEARCH("Profit Mismatch",AD617)),ISNUMBER(SEARCH("Duplicate Order ID Conflict",AD617)),ISNUMBER(SEARCH("Missing Order Date",AD617)),ISNUMBER(SEARCH("Missing Ship Date",AD617))),"Invalid",IF(AD617&lt;&gt;"","Warning","Clean"))</f>
        <v>Invalid</v>
      </c>
    </row>
    <row r="618" customFormat="false" ht="15" hidden="false" customHeight="true" outlineLevel="0" collapsed="false">
      <c r="A618" s="3" t="s">
        <v>1860</v>
      </c>
      <c r="B618" s="4" t="n">
        <v>45520</v>
      </c>
      <c r="C618" s="4" t="n">
        <v>45523</v>
      </c>
      <c r="D618" s="3" t="s">
        <v>1861</v>
      </c>
      <c r="E618" s="3" t="str">
        <f aca="false">PROPER(TRIM(SUBSTITUTE(Raw_Text_Fields!B619,CHAR(160)," ")))</f>
        <v>Kabir Singh</v>
      </c>
      <c r="F618" s="3" t="str">
        <f aca="false">PROPER(TRIM(SUBSTITUTE(Raw_Text_Fields!C619,CHAR(160)," ")))</f>
        <v>Consumer</v>
      </c>
      <c r="G618" s="3" t="str">
        <f aca="false">PROPER(TRIM(SUBSTITUTE(Raw_Text_Fields!D619,CHAR(160)," ")))</f>
        <v>South</v>
      </c>
      <c r="H618" s="3" t="str">
        <f aca="false">PROPER(TRIM(SUBSTITUTE(Raw_Text_Fields!E619,CHAR(160)," ")))</f>
        <v>Telangana</v>
      </c>
      <c r="I618" s="3" t="str">
        <f aca="false">PROPER(TRIM(SUBSTITUTE(Raw_Text_Fields!F619,CHAR(160)," ")))</f>
        <v>Hyderabad</v>
      </c>
      <c r="J618" s="3" t="str">
        <f aca="false">PROPER(TRIM(SUBSTITUTE(Raw_Text_Fields!G619,CHAR(160)," ")))</f>
        <v>Office Supplies</v>
      </c>
      <c r="K618" s="3" t="str">
        <f aca="false">PROPER(TRIM(SUBSTITUTE(Raw_Text_Fields!H619,CHAR(160)," ")))</f>
        <v>Paper</v>
      </c>
      <c r="L618" s="3" t="s">
        <v>1862</v>
      </c>
      <c r="M618" s="3" t="str">
        <f aca="false">PROPER(TRIM(SUBSTITUTE(Raw_Text_Fields!I619,CHAR(160)," ")))</f>
        <v>Standard Class</v>
      </c>
      <c r="N618" s="3" t="n">
        <v>6</v>
      </c>
      <c r="O618" s="5" t="n">
        <v>3925.55</v>
      </c>
      <c r="P618" s="6" t="n">
        <v>0.2</v>
      </c>
      <c r="Q618" s="5" t="n">
        <v>18842.64</v>
      </c>
      <c r="R618" s="5" t="n">
        <v>11840.58</v>
      </c>
      <c r="S618" s="5" t="n">
        <v>7002.06</v>
      </c>
      <c r="T618" s="3" t="str">
        <f aca="false">PROPER(TRIM(SUBSTITUTE(Raw_Text_Fields!J619,CHAR(160)," ")))</f>
        <v>Paid</v>
      </c>
      <c r="U618" s="3" t="str">
        <f aca="false">PROPER(TRIM(SUBSTITUTE(Raw_Text_Fields!K619,CHAR(160)," ")))</f>
        <v>Completed</v>
      </c>
      <c r="V618" s="7" t="n">
        <f aca="false">IF(OR(P618&lt;0,P618&gt;0.5),0,P618)</f>
        <v>0.2</v>
      </c>
      <c r="W618" s="8" t="n">
        <f aca="false">N618*O618*(1-V618)</f>
        <v>18842.64</v>
      </c>
      <c r="X618" s="8" t="n">
        <f aca="false">W618-R618</f>
        <v>7002.06</v>
      </c>
      <c r="Y618" s="7" t="n">
        <f aca="false">IFERROR(X618/W618,0)</f>
        <v>0.371607163327432</v>
      </c>
      <c r="Z618" s="9" t="n">
        <f aca="false">C618-B618</f>
        <v>3</v>
      </c>
      <c r="AA618" s="1" t="str">
        <f aca="false">IF(B618="","",TEXT(B618,"mmm"))</f>
        <v>Aug</v>
      </c>
      <c r="AB618" s="9" t="n">
        <f aca="false">IF(B618="","",YEAR(B618))</f>
        <v>2024</v>
      </c>
      <c r="AC618" s="3"/>
      <c r="AD618" s="3" t="str">
        <f aca="false">IF(LEFT(AC618&amp;IF(B618="","; Missing Order Date","")&amp;IF(C618="","; Missing Ship Date","")&amp;IF(P618&lt;0,"; Invalid Discount (Negative)","")&amp;IF(P618&gt;0.5,"; Invalid Discount (Too High)","")&amp;IF(Z618&lt;0,"; Invalid Shipping Record (Ship Before Order)","")&amp;IF(ABS(Q618-W618)&gt;1,"; Sales Mismatch","")&amp;IF(ABS(S618-X618)&gt;1,"; Profit Mismatch","")&amp;IF(COUNTIF($A$2:$A$913,A618)&gt;1,"; Duplicate Order ID Conflict",""),2)="; ",MID(AC618&amp;IF(B618="","; Missing Order Date","")&amp;IF(C618="","; Missing Ship Date","")&amp;IF(P618&lt;0,"; Invalid Discount (Negative)","")&amp;IF(P618&gt;0.5,"; Invalid Discount (Too High)","")&amp;IF(Z618&lt;0,"; Invalid Shipping Record (Ship Before Order)","")&amp;IF(ABS(Q618-W618)&gt;1,"; Sales Mismatch","")&amp;IF(ABS(S618-X618)&gt;1,"; Profit Mismatch","")&amp;IF(COUNTIF($A$2:$A$913,A618)&gt;1,"; Duplicate Order ID Conflict",""),3,500),AC618&amp;IF(B618="","; Missing Order Date","")&amp;IF(C618="","; Missing Ship Date","")&amp;IF(P618&lt;0,"; Invalid Discount (Negative)","")&amp;IF(P618&gt;0.5,"; Invalid Discount (Too High)","")&amp;IF(Z618&lt;0,"; Invalid Shipping Record (Ship Before Order)","")&amp;IF(ABS(Q618-W618)&gt;1,"; Sales Mismatch","")&amp;IF(ABS(S618-X618)&gt;1,"; Profit Mismatch","")&amp;IF(COUNTIF($A$2:$A$913,A618)&gt;1,"; Duplicate Order ID Conflict",""))</f>
        <v/>
      </c>
      <c r="AE618" s="10" t="str">
        <f aca="false">IF(OR(ISNUMBER(SEARCH("Invalid Discount",AD618)),ISNUMBER(SEARCH("Invalid Shipping Record",AD618)),ISNUMBER(SEARCH("Sales Mismatch",AD618)),ISNUMBER(SEARCH("Profit Mismatch",AD618)),ISNUMBER(SEARCH("Duplicate Order ID Conflict",AD618)),ISNUMBER(SEARCH("Missing Order Date",AD618)),ISNUMBER(SEARCH("Missing Ship Date",AD618))),"Invalid",IF(AD618&lt;&gt;"","Warning","Clean"))</f>
        <v>Clean</v>
      </c>
    </row>
    <row r="619" customFormat="false" ht="15" hidden="false" customHeight="true" outlineLevel="0" collapsed="false">
      <c r="A619" s="3" t="s">
        <v>1863</v>
      </c>
      <c r="B619" s="4" t="n">
        <v>45564</v>
      </c>
      <c r="C619" s="4" t="n">
        <v>45565</v>
      </c>
      <c r="D619" s="3" t="s">
        <v>1864</v>
      </c>
      <c r="E619" s="3" t="str">
        <f aca="false">PROPER(TRIM(SUBSTITUTE(Raw_Text_Fields!B620,CHAR(160)," ")))</f>
        <v>Mira Das</v>
      </c>
      <c r="F619" s="3" t="str">
        <f aca="false">PROPER(TRIM(SUBSTITUTE(Raw_Text_Fields!C620,CHAR(160)," ")))</f>
        <v>Home Office</v>
      </c>
      <c r="G619" s="3" t="str">
        <f aca="false">PROPER(TRIM(SUBSTITUTE(Raw_Text_Fields!D620,CHAR(160)," ")))</f>
        <v>South</v>
      </c>
      <c r="H619" s="3" t="str">
        <f aca="false">PROPER(TRIM(SUBSTITUTE(Raw_Text_Fields!E620,CHAR(160)," ")))</f>
        <v>Telangana</v>
      </c>
      <c r="I619" s="3" t="str">
        <f aca="false">PROPER(TRIM(SUBSTITUTE(Raw_Text_Fields!F620,CHAR(160)," ")))</f>
        <v>Hyderabad</v>
      </c>
      <c r="J619" s="3" t="str">
        <f aca="false">PROPER(TRIM(SUBSTITUTE(Raw_Text_Fields!G620,CHAR(160)," ")))</f>
        <v>Technology</v>
      </c>
      <c r="K619" s="3" t="str">
        <f aca="false">PROPER(TRIM(SUBSTITUTE(Raw_Text_Fields!H620,CHAR(160)," ")))</f>
        <v>Phones</v>
      </c>
      <c r="L619" s="3" t="s">
        <v>1865</v>
      </c>
      <c r="M619" s="3" t="str">
        <f aca="false">PROPER(TRIM(SUBSTITUTE(Raw_Text_Fields!I620,CHAR(160)," ")))</f>
        <v>Standard Class</v>
      </c>
      <c r="N619" s="3" t="n">
        <v>9</v>
      </c>
      <c r="O619" s="5" t="n">
        <v>2741.91</v>
      </c>
      <c r="P619" s="6" t="n">
        <v>0</v>
      </c>
      <c r="Q619" s="5" t="n">
        <v>24677.19</v>
      </c>
      <c r="R619" s="5" t="n">
        <v>20350.85</v>
      </c>
      <c r="S619" s="5" t="n">
        <v>4326.34</v>
      </c>
      <c r="T619" s="3" t="str">
        <f aca="false">PROPER(TRIM(SUBSTITUTE(Raw_Text_Fields!J620,CHAR(160)," ")))</f>
        <v>Paid</v>
      </c>
      <c r="U619" s="3" t="str">
        <f aca="false">PROPER(TRIM(SUBSTITUTE(Raw_Text_Fields!K620,CHAR(160)," ")))</f>
        <v>Completed</v>
      </c>
      <c r="V619" s="7" t="n">
        <f aca="false">IF(OR(P619&lt;0,P619&gt;0.5),0,P619)</f>
        <v>0</v>
      </c>
      <c r="W619" s="8" t="n">
        <f aca="false">N619*O619*(1-V619)</f>
        <v>24677.19</v>
      </c>
      <c r="X619" s="8" t="n">
        <f aca="false">W619-R619</f>
        <v>4326.34</v>
      </c>
      <c r="Y619" s="7" t="n">
        <f aca="false">IFERROR(X619/W619,0)</f>
        <v>0.175317367982335</v>
      </c>
      <c r="Z619" s="9" t="n">
        <f aca="false">C619-B619</f>
        <v>1</v>
      </c>
      <c r="AA619" s="1" t="str">
        <f aca="false">IF(B619="","",TEXT(B619,"mmm"))</f>
        <v>Sep</v>
      </c>
      <c r="AB619" s="9" t="n">
        <f aca="false">IF(B619="","",YEAR(B619))</f>
        <v>2024</v>
      </c>
      <c r="AC619" s="3"/>
      <c r="AD619" s="3" t="str">
        <f aca="false">IF(LEFT(AC619&amp;IF(B619="","; Missing Order Date","")&amp;IF(C619="","; Missing Ship Date","")&amp;IF(P619&lt;0,"; Invalid Discount (Negative)","")&amp;IF(P619&gt;0.5,"; Invalid Discount (Too High)","")&amp;IF(Z619&lt;0,"; Invalid Shipping Record (Ship Before Order)","")&amp;IF(ABS(Q619-W619)&gt;1,"; Sales Mismatch","")&amp;IF(ABS(S619-X619)&gt;1,"; Profit Mismatch","")&amp;IF(COUNTIF($A$2:$A$913,A619)&gt;1,"; Duplicate Order ID Conflict",""),2)="; ",MID(AC619&amp;IF(B619="","; Missing Order Date","")&amp;IF(C619="","; Missing Ship Date","")&amp;IF(P619&lt;0,"; Invalid Discount (Negative)","")&amp;IF(P619&gt;0.5,"; Invalid Discount (Too High)","")&amp;IF(Z619&lt;0,"; Invalid Shipping Record (Ship Before Order)","")&amp;IF(ABS(Q619-W619)&gt;1,"; Sales Mismatch","")&amp;IF(ABS(S619-X619)&gt;1,"; Profit Mismatch","")&amp;IF(COUNTIF($A$2:$A$913,A619)&gt;1,"; Duplicate Order ID Conflict",""),3,500),AC619&amp;IF(B619="","; Missing Order Date","")&amp;IF(C619="","; Missing Ship Date","")&amp;IF(P619&lt;0,"; Invalid Discount (Negative)","")&amp;IF(P619&gt;0.5,"; Invalid Discount (Too High)","")&amp;IF(Z619&lt;0,"; Invalid Shipping Record (Ship Before Order)","")&amp;IF(ABS(Q619-W619)&gt;1,"; Sales Mismatch","")&amp;IF(ABS(S619-X619)&gt;1,"; Profit Mismatch","")&amp;IF(COUNTIF($A$2:$A$913,A619)&gt;1,"; Duplicate Order ID Conflict",""))</f>
        <v/>
      </c>
      <c r="AE619" s="10" t="str">
        <f aca="false">IF(OR(ISNUMBER(SEARCH("Invalid Discount",AD619)),ISNUMBER(SEARCH("Invalid Shipping Record",AD619)),ISNUMBER(SEARCH("Sales Mismatch",AD619)),ISNUMBER(SEARCH("Profit Mismatch",AD619)),ISNUMBER(SEARCH("Duplicate Order ID Conflict",AD619)),ISNUMBER(SEARCH("Missing Order Date",AD619)),ISNUMBER(SEARCH("Missing Ship Date",AD619))),"Invalid",IF(AD619&lt;&gt;"","Warning","Clean"))</f>
        <v>Clean</v>
      </c>
    </row>
    <row r="620" customFormat="false" ht="15" hidden="false" customHeight="true" outlineLevel="0" collapsed="false">
      <c r="A620" s="3" t="s">
        <v>1866</v>
      </c>
      <c r="B620" s="4" t="n">
        <v>45496</v>
      </c>
      <c r="C620" s="4" t="n">
        <v>45503</v>
      </c>
      <c r="D620" s="3" t="s">
        <v>1867</v>
      </c>
      <c r="E620" s="3" t="str">
        <f aca="false">PROPER(TRIM(SUBSTITUTE(Raw_Text_Fields!B621,CHAR(160)," ")))</f>
        <v>Kabir Singh</v>
      </c>
      <c r="F620" s="3" t="str">
        <f aca="false">PROPER(TRIM(SUBSTITUTE(Raw_Text_Fields!C621,CHAR(160)," ")))</f>
        <v>Corporate</v>
      </c>
      <c r="G620" s="3" t="str">
        <f aca="false">PROPER(TRIM(SUBSTITUTE(Raw_Text_Fields!D621,CHAR(160)," ")))</f>
        <v>North</v>
      </c>
      <c r="H620" s="3" t="str">
        <f aca="false">PROPER(TRIM(SUBSTITUTE(Raw_Text_Fields!E621,CHAR(160)," ")))</f>
        <v>Rajasthan</v>
      </c>
      <c r="I620" s="3" t="str">
        <f aca="false">PROPER(TRIM(SUBSTITUTE(Raw_Text_Fields!F621,CHAR(160)," ")))</f>
        <v>Jaipur</v>
      </c>
      <c r="J620" s="3" t="str">
        <f aca="false">PROPER(TRIM(SUBSTITUTE(Raw_Text_Fields!G621,CHAR(160)," ")))</f>
        <v>Furniture</v>
      </c>
      <c r="K620" s="3" t="str">
        <f aca="false">PROPER(TRIM(SUBSTITUTE(Raw_Text_Fields!H621,CHAR(160)," ")))</f>
        <v>Tables</v>
      </c>
      <c r="L620" s="3" t="s">
        <v>1868</v>
      </c>
      <c r="M620" s="3" t="str">
        <f aca="false">PROPER(TRIM(SUBSTITUTE(Raw_Text_Fields!I621,CHAR(160)," ")))</f>
        <v>Same Day</v>
      </c>
      <c r="N620" s="3" t="n">
        <v>9</v>
      </c>
      <c r="O620" s="5" t="n">
        <v>1870.11</v>
      </c>
      <c r="P620" s="6" t="n">
        <v>0.25</v>
      </c>
      <c r="Q620" s="5" t="n">
        <v>12623.24</v>
      </c>
      <c r="R620" s="5" t="n">
        <v>10540.8</v>
      </c>
      <c r="S620" s="5" t="n">
        <v>2082.44</v>
      </c>
      <c r="T620" s="3" t="str">
        <f aca="false">PROPER(TRIM(SUBSTITUTE(Raw_Text_Fields!J621,CHAR(160)," ")))</f>
        <v>Failed</v>
      </c>
      <c r="U620" s="3" t="str">
        <f aca="false">PROPER(TRIM(SUBSTITUTE(Raw_Text_Fields!K621,CHAR(160)," ")))</f>
        <v>Cancelled</v>
      </c>
      <c r="V620" s="7" t="n">
        <f aca="false">IF(OR(P620&lt;0,P620&gt;0.5),0,P620)</f>
        <v>0.25</v>
      </c>
      <c r="W620" s="8" t="n">
        <f aca="false">N620*O620*(1-V620)</f>
        <v>12623.2425</v>
      </c>
      <c r="X620" s="8" t="n">
        <f aca="false">W620-R620</f>
        <v>2082.4425</v>
      </c>
      <c r="Y620" s="7" t="n">
        <f aca="false">IFERROR(X620/W620,0)</f>
        <v>0.164968905572399</v>
      </c>
      <c r="Z620" s="9" t="n">
        <f aca="false">C620-B620</f>
        <v>7</v>
      </c>
      <c r="AA620" s="1" t="str">
        <f aca="false">IF(B620="","",TEXT(B620,"mmm"))</f>
        <v>Jul</v>
      </c>
      <c r="AB620" s="9" t="n">
        <f aca="false">IF(B620="","",YEAR(B620))</f>
        <v>2024</v>
      </c>
      <c r="AC620" s="3"/>
      <c r="AD620" s="3" t="str">
        <f aca="false">IF(LEFT(AC620&amp;IF(B620="","; Missing Order Date","")&amp;IF(C620="","; Missing Ship Date","")&amp;IF(P620&lt;0,"; Invalid Discount (Negative)","")&amp;IF(P620&gt;0.5,"; Invalid Discount (Too High)","")&amp;IF(Z620&lt;0,"; Invalid Shipping Record (Ship Before Order)","")&amp;IF(ABS(Q620-W620)&gt;1,"; Sales Mismatch","")&amp;IF(ABS(S620-X620)&gt;1,"; Profit Mismatch","")&amp;IF(COUNTIF($A$2:$A$913,A620)&gt;1,"; Duplicate Order ID Conflict",""),2)="; ",MID(AC620&amp;IF(B620="","; Missing Order Date","")&amp;IF(C620="","; Missing Ship Date","")&amp;IF(P620&lt;0,"; Invalid Discount (Negative)","")&amp;IF(P620&gt;0.5,"; Invalid Discount (Too High)","")&amp;IF(Z620&lt;0,"; Invalid Shipping Record (Ship Before Order)","")&amp;IF(ABS(Q620-W620)&gt;1,"; Sales Mismatch","")&amp;IF(ABS(S620-X620)&gt;1,"; Profit Mismatch","")&amp;IF(COUNTIF($A$2:$A$913,A620)&gt;1,"; Duplicate Order ID Conflict",""),3,500),AC620&amp;IF(B620="","; Missing Order Date","")&amp;IF(C620="","; Missing Ship Date","")&amp;IF(P620&lt;0,"; Invalid Discount (Negative)","")&amp;IF(P620&gt;0.5,"; Invalid Discount (Too High)","")&amp;IF(Z620&lt;0,"; Invalid Shipping Record (Ship Before Order)","")&amp;IF(ABS(Q620-W620)&gt;1,"; Sales Mismatch","")&amp;IF(ABS(S620-X620)&gt;1,"; Profit Mismatch","")&amp;IF(COUNTIF($A$2:$A$913,A620)&gt;1,"; Duplicate Order ID Conflict",""))</f>
        <v/>
      </c>
      <c r="AE620" s="10" t="str">
        <f aca="false">IF(OR(ISNUMBER(SEARCH("Invalid Discount",AD620)),ISNUMBER(SEARCH("Invalid Shipping Record",AD620)),ISNUMBER(SEARCH("Sales Mismatch",AD620)),ISNUMBER(SEARCH("Profit Mismatch",AD620)),ISNUMBER(SEARCH("Duplicate Order ID Conflict",AD620)),ISNUMBER(SEARCH("Missing Order Date",AD620)),ISNUMBER(SEARCH("Missing Ship Date",AD620))),"Invalid",IF(AD620&lt;&gt;"","Warning","Clean"))</f>
        <v>Clean</v>
      </c>
    </row>
    <row r="621" customFormat="false" ht="15" hidden="false" customHeight="true" outlineLevel="0" collapsed="false">
      <c r="A621" s="3" t="s">
        <v>1869</v>
      </c>
      <c r="B621" s="4" t="n">
        <v>45618</v>
      </c>
      <c r="C621" s="4" t="n">
        <v>45623</v>
      </c>
      <c r="D621" s="3" t="s">
        <v>1870</v>
      </c>
      <c r="E621" s="3" t="str">
        <f aca="false">PROPER(TRIM(SUBSTITUTE(Raw_Text_Fields!B622,CHAR(160)," ")))</f>
        <v>Priya Menon</v>
      </c>
      <c r="F621" s="3" t="str">
        <f aca="false">PROPER(TRIM(SUBSTITUTE(Raw_Text_Fields!C622,CHAR(160)," ")))</f>
        <v>Corporate</v>
      </c>
      <c r="G621" s="3" t="str">
        <f aca="false">PROPER(TRIM(SUBSTITUTE(Raw_Text_Fields!D622,CHAR(160)," ")))</f>
        <v>South</v>
      </c>
      <c r="H621" s="3" t="str">
        <f aca="false">PROPER(TRIM(SUBSTITUTE(Raw_Text_Fields!E622,CHAR(160)," ")))</f>
        <v>Tamil Nadu</v>
      </c>
      <c r="I621" s="3" t="str">
        <f aca="false">PROPER(TRIM(SUBSTITUTE(Raw_Text_Fields!F622,CHAR(160)," ")))</f>
        <v>Chennai</v>
      </c>
      <c r="J621" s="3" t="str">
        <f aca="false">PROPER(TRIM(SUBSTITUTE(Raw_Text_Fields!G622,CHAR(160)," ")))</f>
        <v>Office Supplies</v>
      </c>
      <c r="K621" s="3" t="str">
        <f aca="false">PROPER(TRIM(SUBSTITUTE(Raw_Text_Fields!H622,CHAR(160)," ")))</f>
        <v>Binders</v>
      </c>
      <c r="L621" s="3" t="s">
        <v>1871</v>
      </c>
      <c r="M621" s="3" t="str">
        <f aca="false">PROPER(TRIM(SUBSTITUTE(Raw_Text_Fields!I622,CHAR(160)," ")))</f>
        <v>First Class</v>
      </c>
      <c r="N621" s="3" t="n">
        <v>1</v>
      </c>
      <c r="O621" s="5" t="n">
        <v>4251.26</v>
      </c>
      <c r="P621" s="6" t="n">
        <v>0.2</v>
      </c>
      <c r="Q621" s="5" t="n">
        <v>3401.01</v>
      </c>
      <c r="R621" s="5" t="n">
        <v>2917.54</v>
      </c>
      <c r="S621" s="5" t="n">
        <v>483.47</v>
      </c>
      <c r="T621" s="3" t="str">
        <f aca="false">PROPER(TRIM(SUBSTITUTE(Raw_Text_Fields!J622,CHAR(160)," ")))</f>
        <v>Refunded</v>
      </c>
      <c r="U621" s="3" t="str">
        <f aca="false">PROPER(TRIM(SUBSTITUTE(Raw_Text_Fields!K622,CHAR(160)," ")))</f>
        <v>Returned</v>
      </c>
      <c r="V621" s="7" t="n">
        <f aca="false">IF(OR(P621&lt;0,P621&gt;0.5),0,P621)</f>
        <v>0.2</v>
      </c>
      <c r="W621" s="8" t="n">
        <f aca="false">N621*O621*(1-V621)</f>
        <v>3401.008</v>
      </c>
      <c r="X621" s="8" t="n">
        <f aca="false">W621-R621</f>
        <v>483.468</v>
      </c>
      <c r="Y621" s="7" t="n">
        <f aca="false">IFERROR(X621/W621,0)</f>
        <v>0.142154326011583</v>
      </c>
      <c r="Z621" s="9" t="n">
        <f aca="false">C621-B621</f>
        <v>5</v>
      </c>
      <c r="AA621" s="1" t="str">
        <f aca="false">IF(B621="","",TEXT(B621,"mmm"))</f>
        <v>Nov</v>
      </c>
      <c r="AB621" s="9" t="n">
        <f aca="false">IF(B621="","",YEAR(B621))</f>
        <v>2024</v>
      </c>
      <c r="AC621" s="3"/>
      <c r="AD621" s="3" t="str">
        <f aca="false">IF(LEFT(AC621&amp;IF(B621="","; Missing Order Date","")&amp;IF(C621="","; Missing Ship Date","")&amp;IF(P621&lt;0,"; Invalid Discount (Negative)","")&amp;IF(P621&gt;0.5,"; Invalid Discount (Too High)","")&amp;IF(Z621&lt;0,"; Invalid Shipping Record (Ship Before Order)","")&amp;IF(ABS(Q621-W621)&gt;1,"; Sales Mismatch","")&amp;IF(ABS(S621-X621)&gt;1,"; Profit Mismatch","")&amp;IF(COUNTIF($A$2:$A$913,A621)&gt;1,"; Duplicate Order ID Conflict",""),2)="; ",MID(AC621&amp;IF(B621="","; Missing Order Date","")&amp;IF(C621="","; Missing Ship Date","")&amp;IF(P621&lt;0,"; Invalid Discount (Negative)","")&amp;IF(P621&gt;0.5,"; Invalid Discount (Too High)","")&amp;IF(Z621&lt;0,"; Invalid Shipping Record (Ship Before Order)","")&amp;IF(ABS(Q621-W621)&gt;1,"; Sales Mismatch","")&amp;IF(ABS(S621-X621)&gt;1,"; Profit Mismatch","")&amp;IF(COUNTIF($A$2:$A$913,A621)&gt;1,"; Duplicate Order ID Conflict",""),3,500),AC621&amp;IF(B621="","; Missing Order Date","")&amp;IF(C621="","; Missing Ship Date","")&amp;IF(P621&lt;0,"; Invalid Discount (Negative)","")&amp;IF(P621&gt;0.5,"; Invalid Discount (Too High)","")&amp;IF(Z621&lt;0,"; Invalid Shipping Record (Ship Before Order)","")&amp;IF(ABS(Q621-W621)&gt;1,"; Sales Mismatch","")&amp;IF(ABS(S621-X621)&gt;1,"; Profit Mismatch","")&amp;IF(COUNTIF($A$2:$A$913,A621)&gt;1,"; Duplicate Order ID Conflict",""))</f>
        <v/>
      </c>
      <c r="AE621" s="10" t="str">
        <f aca="false">IF(OR(ISNUMBER(SEARCH("Invalid Discount",AD621)),ISNUMBER(SEARCH("Invalid Shipping Record",AD621)),ISNUMBER(SEARCH("Sales Mismatch",AD621)),ISNUMBER(SEARCH("Profit Mismatch",AD621)),ISNUMBER(SEARCH("Duplicate Order ID Conflict",AD621)),ISNUMBER(SEARCH("Missing Order Date",AD621)),ISNUMBER(SEARCH("Missing Ship Date",AD621))),"Invalid",IF(AD621&lt;&gt;"","Warning","Clean"))</f>
        <v>Clean</v>
      </c>
    </row>
    <row r="622" customFormat="false" ht="15" hidden="false" customHeight="true" outlineLevel="0" collapsed="false">
      <c r="A622" s="3" t="s">
        <v>1872</v>
      </c>
      <c r="B622" s="4" t="n">
        <v>45522</v>
      </c>
      <c r="C622" s="4" t="n">
        <v>45525</v>
      </c>
      <c r="D622" s="3" t="s">
        <v>1873</v>
      </c>
      <c r="E622" s="3" t="str">
        <f aca="false">PROPER(TRIM(SUBSTITUTE(Raw_Text_Fields!B623,CHAR(160)," ")))</f>
        <v>Vikram Iyer</v>
      </c>
      <c r="F622" s="3" t="str">
        <f aca="false">PROPER(TRIM(SUBSTITUTE(Raw_Text_Fields!C623,CHAR(160)," ")))</f>
        <v>Consumer</v>
      </c>
      <c r="G622" s="3" t="str">
        <f aca="false">PROPER(TRIM(SUBSTITUTE(Raw_Text_Fields!D623,CHAR(160)," ")))</f>
        <v>North</v>
      </c>
      <c r="H622" s="3" t="str">
        <f aca="false">PROPER(TRIM(SUBSTITUTE(Raw_Text_Fields!E623,CHAR(160)," ")))</f>
        <v>Uttar Pradesh</v>
      </c>
      <c r="I622" s="3" t="str">
        <f aca="false">PROPER(TRIM(SUBSTITUTE(Raw_Text_Fields!F623,CHAR(160)," ")))</f>
        <v>Noida</v>
      </c>
      <c r="J622" s="3" t="str">
        <f aca="false">PROPER(TRIM(SUBSTITUTE(Raw_Text_Fields!G623,CHAR(160)," ")))</f>
        <v>Technology</v>
      </c>
      <c r="K622" s="3" t="str">
        <f aca="false">PROPER(TRIM(SUBSTITUTE(Raw_Text_Fields!H623,CHAR(160)," ")))</f>
        <v>Machines</v>
      </c>
      <c r="L622" s="3" t="s">
        <v>1874</v>
      </c>
      <c r="M622" s="3" t="str">
        <f aca="false">PROPER(TRIM(SUBSTITUTE(Raw_Text_Fields!I623,CHAR(160)," ")))</f>
        <v>Standard Class</v>
      </c>
      <c r="N622" s="3" t="n">
        <v>9</v>
      </c>
      <c r="O622" s="5" t="n">
        <v>734.34</v>
      </c>
      <c r="P622" s="6" t="n">
        <v>0</v>
      </c>
      <c r="Q622" s="5" t="n">
        <v>6609.06</v>
      </c>
      <c r="R622" s="5" t="n">
        <v>4946.78</v>
      </c>
      <c r="S622" s="5" t="n">
        <v>1662.28</v>
      </c>
      <c r="T622" s="3" t="str">
        <f aca="false">PROPER(TRIM(SUBSTITUTE(Raw_Text_Fields!J623,CHAR(160)," ")))</f>
        <v>Paid</v>
      </c>
      <c r="U622" s="3" t="str">
        <f aca="false">PROPER(TRIM(SUBSTITUTE(Raw_Text_Fields!K623,CHAR(160)," ")))</f>
        <v>Completed</v>
      </c>
      <c r="V622" s="7" t="n">
        <f aca="false">IF(OR(P622&lt;0,P622&gt;0.5),0,P622)</f>
        <v>0</v>
      </c>
      <c r="W622" s="8" t="n">
        <f aca="false">N622*O622*(1-V622)</f>
        <v>6609.06</v>
      </c>
      <c r="X622" s="8" t="n">
        <f aca="false">W622-R622</f>
        <v>1662.28</v>
      </c>
      <c r="Y622" s="7" t="n">
        <f aca="false">IFERROR(X622/W622,0)</f>
        <v>0.251515344088267</v>
      </c>
      <c r="Z622" s="9" t="n">
        <f aca="false">C622-B622</f>
        <v>3</v>
      </c>
      <c r="AA622" s="1" t="str">
        <f aca="false">IF(B622="","",TEXT(B622,"mmm"))</f>
        <v>Aug</v>
      </c>
      <c r="AB622" s="9" t="n">
        <f aca="false">IF(B622="","",YEAR(B622))</f>
        <v>2024</v>
      </c>
      <c r="AC622" s="3"/>
      <c r="AD622" s="3" t="str">
        <f aca="false">IF(LEFT(AC622&amp;IF(B622="","; Missing Order Date","")&amp;IF(C622="","; Missing Ship Date","")&amp;IF(P622&lt;0,"; Invalid Discount (Negative)","")&amp;IF(P622&gt;0.5,"; Invalid Discount (Too High)","")&amp;IF(Z622&lt;0,"; Invalid Shipping Record (Ship Before Order)","")&amp;IF(ABS(Q622-W622)&gt;1,"; Sales Mismatch","")&amp;IF(ABS(S622-X622)&gt;1,"; Profit Mismatch","")&amp;IF(COUNTIF($A$2:$A$913,A622)&gt;1,"; Duplicate Order ID Conflict",""),2)="; ",MID(AC622&amp;IF(B622="","; Missing Order Date","")&amp;IF(C622="","; Missing Ship Date","")&amp;IF(P622&lt;0,"; Invalid Discount (Negative)","")&amp;IF(P622&gt;0.5,"; Invalid Discount (Too High)","")&amp;IF(Z622&lt;0,"; Invalid Shipping Record (Ship Before Order)","")&amp;IF(ABS(Q622-W622)&gt;1,"; Sales Mismatch","")&amp;IF(ABS(S622-X622)&gt;1,"; Profit Mismatch","")&amp;IF(COUNTIF($A$2:$A$913,A622)&gt;1,"; Duplicate Order ID Conflict",""),3,500),AC622&amp;IF(B622="","; Missing Order Date","")&amp;IF(C622="","; Missing Ship Date","")&amp;IF(P622&lt;0,"; Invalid Discount (Negative)","")&amp;IF(P622&gt;0.5,"; Invalid Discount (Too High)","")&amp;IF(Z622&lt;0,"; Invalid Shipping Record (Ship Before Order)","")&amp;IF(ABS(Q622-W622)&gt;1,"; Sales Mismatch","")&amp;IF(ABS(S622-X622)&gt;1,"; Profit Mismatch","")&amp;IF(COUNTIF($A$2:$A$913,A622)&gt;1,"; Duplicate Order ID Conflict",""))</f>
        <v/>
      </c>
      <c r="AE622" s="10" t="str">
        <f aca="false">IF(OR(ISNUMBER(SEARCH("Invalid Discount",AD622)),ISNUMBER(SEARCH("Invalid Shipping Record",AD622)),ISNUMBER(SEARCH("Sales Mismatch",AD622)),ISNUMBER(SEARCH("Profit Mismatch",AD622)),ISNUMBER(SEARCH("Duplicate Order ID Conflict",AD622)),ISNUMBER(SEARCH("Missing Order Date",AD622)),ISNUMBER(SEARCH("Missing Ship Date",AD622))),"Invalid",IF(AD622&lt;&gt;"","Warning","Clean"))</f>
        <v>Clean</v>
      </c>
    </row>
    <row r="623" customFormat="false" ht="15" hidden="false" customHeight="true" outlineLevel="0" collapsed="false">
      <c r="A623" s="3" t="s">
        <v>1875</v>
      </c>
      <c r="B623" s="4" t="n">
        <v>45624</v>
      </c>
      <c r="C623" s="4" t="n">
        <v>45632</v>
      </c>
      <c r="D623" s="3" t="s">
        <v>1876</v>
      </c>
      <c r="E623" s="3" t="str">
        <f aca="false">PROPER(TRIM(SUBSTITUTE(Raw_Text_Fields!B624,CHAR(160)," ")))</f>
        <v>Aditi Sen</v>
      </c>
      <c r="F623" s="3" t="str">
        <f aca="false">PROPER(TRIM(SUBSTITUTE(Raw_Text_Fields!C624,CHAR(160)," ")))</f>
        <v>Consumer</v>
      </c>
      <c r="G623" s="3" t="str">
        <f aca="false">PROPER(TRIM(SUBSTITUTE(Raw_Text_Fields!D624,CHAR(160)," ")))</f>
        <v>West</v>
      </c>
      <c r="H623" s="3" t="str">
        <f aca="false">PROPER(TRIM(SUBSTITUTE(Raw_Text_Fields!E624,CHAR(160)," ")))</f>
        <v>Maharashtra</v>
      </c>
      <c r="I623" s="3" t="str">
        <f aca="false">PROPER(TRIM(SUBSTITUTE(Raw_Text_Fields!F624,CHAR(160)," ")))</f>
        <v>Mumbai</v>
      </c>
      <c r="J623" s="3" t="str">
        <f aca="false">PROPER(TRIM(SUBSTITUTE(Raw_Text_Fields!G624,CHAR(160)," ")))</f>
        <v>Furniture</v>
      </c>
      <c r="K623" s="3" t="str">
        <f aca="false">PROPER(TRIM(SUBSTITUTE(Raw_Text_Fields!H624,CHAR(160)," ")))</f>
        <v>Chairs</v>
      </c>
      <c r="L623" s="3" t="s">
        <v>1877</v>
      </c>
      <c r="M623" s="3" t="str">
        <f aca="false">PROPER(TRIM(SUBSTITUTE(Raw_Text_Fields!I624,CHAR(160)," ")))</f>
        <v>Same Day</v>
      </c>
      <c r="N623" s="3" t="n">
        <v>5</v>
      </c>
      <c r="O623" s="5" t="n">
        <v>1092.84</v>
      </c>
      <c r="P623" s="6" t="n">
        <v>0</v>
      </c>
      <c r="Q623" s="5" t="n">
        <v>5464.2</v>
      </c>
      <c r="R623" s="5" t="n">
        <v>3318.09</v>
      </c>
      <c r="S623" s="5" t="n">
        <v>2146.11</v>
      </c>
      <c r="T623" s="3" t="str">
        <f aca="false">PROPER(TRIM(SUBSTITUTE(Raw_Text_Fields!J624,CHAR(160)," ")))</f>
        <v>Paid</v>
      </c>
      <c r="U623" s="3" t="str">
        <f aca="false">PROPER(TRIM(SUBSTITUTE(Raw_Text_Fields!K624,CHAR(160)," ")))</f>
        <v>Completed</v>
      </c>
      <c r="V623" s="7" t="n">
        <f aca="false">IF(OR(P623&lt;0,P623&gt;0.5),0,P623)</f>
        <v>0</v>
      </c>
      <c r="W623" s="8" t="n">
        <f aca="false">N623*O623*(1-V623)</f>
        <v>5464.2</v>
      </c>
      <c r="X623" s="8" t="n">
        <f aca="false">W623-R623</f>
        <v>2146.11</v>
      </c>
      <c r="Y623" s="7" t="n">
        <f aca="false">IFERROR(X623/W623,0)</f>
        <v>0.392758317777534</v>
      </c>
      <c r="Z623" s="9" t="n">
        <f aca="false">C623-B623</f>
        <v>8</v>
      </c>
      <c r="AA623" s="1" t="str">
        <f aca="false">IF(B623="","",TEXT(B623,"mmm"))</f>
        <v>Nov</v>
      </c>
      <c r="AB623" s="9" t="n">
        <f aca="false">IF(B623="","",YEAR(B623))</f>
        <v>2024</v>
      </c>
      <c r="AC623" s="3" t="s">
        <v>130</v>
      </c>
      <c r="AD623" s="3" t="str">
        <f aca="false">IF(LEFT(AC623&amp;IF(B623="","; Missing Order Date","")&amp;IF(C623="","; Missing Ship Date","")&amp;IF(P623&lt;0,"; Invalid Discount (Negative)","")&amp;IF(P623&gt;0.5,"; Invalid Discount (Too High)","")&amp;IF(Z623&lt;0,"; Invalid Shipping Record (Ship Before Order)","")&amp;IF(ABS(Q623-W623)&gt;1,"; Sales Mismatch","")&amp;IF(ABS(S623-X623)&gt;1,"; Profit Mismatch","")&amp;IF(COUNTIF($A$2:$A$913,A623)&gt;1,"; Duplicate Order ID Conflict",""),2)="; ",MID(AC623&amp;IF(B623="","; Missing Order Date","")&amp;IF(C623="","; Missing Ship Date","")&amp;IF(P623&lt;0,"; Invalid Discount (Negative)","")&amp;IF(P623&gt;0.5,"; Invalid Discount (Too High)","")&amp;IF(Z623&lt;0,"; Invalid Shipping Record (Ship Before Order)","")&amp;IF(ABS(Q623-W623)&gt;1,"; Sales Mismatch","")&amp;IF(ABS(S623-X623)&gt;1,"; Profit Mismatch","")&amp;IF(COUNTIF($A$2:$A$913,A623)&gt;1,"; Duplicate Order ID Conflict",""),3,500),AC623&amp;IF(B623="","; Missing Order Date","")&amp;IF(C623="","; Missing Ship Date","")&amp;IF(P623&lt;0,"; Invalid Discount (Negative)","")&amp;IF(P623&gt;0.5,"; Invalid Discount (Too High)","")&amp;IF(Z623&lt;0,"; Invalid Shipping Record (Ship Before Order)","")&amp;IF(ABS(Q623-W623)&gt;1,"; Sales Mismatch","")&amp;IF(ABS(S623-X623)&gt;1,"; Profit Mismatch","")&amp;IF(COUNTIF($A$2:$A$913,A623)&gt;1,"; Duplicate Order ID Conflict",""))</f>
        <v>Missing Discount (defaulted 0)</v>
      </c>
      <c r="AE623" s="10" t="str">
        <f aca="false">IF(OR(ISNUMBER(SEARCH("Invalid Discount",AD623)),ISNUMBER(SEARCH("Invalid Shipping Record",AD623)),ISNUMBER(SEARCH("Sales Mismatch",AD623)),ISNUMBER(SEARCH("Profit Mismatch",AD623)),ISNUMBER(SEARCH("Duplicate Order ID Conflict",AD623)),ISNUMBER(SEARCH("Missing Order Date",AD623)),ISNUMBER(SEARCH("Missing Ship Date",AD623))),"Invalid",IF(AD623&lt;&gt;"","Warning","Clean"))</f>
        <v>Warning</v>
      </c>
    </row>
    <row r="624" customFormat="false" ht="15" hidden="false" customHeight="true" outlineLevel="0" collapsed="false">
      <c r="A624" s="3" t="s">
        <v>1878</v>
      </c>
      <c r="B624" s="4" t="n">
        <v>45686</v>
      </c>
      <c r="C624" s="4" t="n">
        <v>45694</v>
      </c>
      <c r="D624" s="3" t="s">
        <v>1879</v>
      </c>
      <c r="E624" s="3" t="str">
        <f aca="false">PROPER(TRIM(SUBSTITUTE(Raw_Text_Fields!B625,CHAR(160)," ")))</f>
        <v>Vikram Iyer</v>
      </c>
      <c r="F624" s="3" t="str">
        <f aca="false">PROPER(TRIM(SUBSTITUTE(Raw_Text_Fields!C625,CHAR(160)," ")))</f>
        <v>Consumer</v>
      </c>
      <c r="G624" s="3" t="str">
        <f aca="false">PROPER(TRIM(SUBSTITUTE(Raw_Text_Fields!D625,CHAR(160)," ")))</f>
        <v>East</v>
      </c>
      <c r="H624" s="3" t="str">
        <f aca="false">PROPER(TRIM(SUBSTITUTE(Raw_Text_Fields!E625,CHAR(160)," ")))</f>
        <v>Bihar</v>
      </c>
      <c r="I624" s="3" t="str">
        <f aca="false">PROPER(TRIM(SUBSTITUTE(Raw_Text_Fields!F625,CHAR(160)," ")))</f>
        <v>Patna</v>
      </c>
      <c r="J624" s="3" t="str">
        <f aca="false">PROPER(TRIM(SUBSTITUTE(Raw_Text_Fields!G625,CHAR(160)," ")))</f>
        <v>Office Supplies</v>
      </c>
      <c r="K624" s="3" t="str">
        <f aca="false">PROPER(TRIM(SUBSTITUTE(Raw_Text_Fields!H625,CHAR(160)," ")))</f>
        <v>Storage</v>
      </c>
      <c r="L624" s="3" t="s">
        <v>1880</v>
      </c>
      <c r="M624" s="3" t="str">
        <f aca="false">PROPER(TRIM(SUBSTITUTE(Raw_Text_Fields!I625,CHAR(160)," ")))</f>
        <v>Standard Class</v>
      </c>
      <c r="N624" s="3" t="n">
        <v>4</v>
      </c>
      <c r="O624" s="5" t="n">
        <v>2759.01</v>
      </c>
      <c r="P624" s="6" t="n">
        <v>0.05</v>
      </c>
      <c r="Q624" s="5" t="n">
        <v>10484.24</v>
      </c>
      <c r="R624" s="5" t="n">
        <v>6680.15</v>
      </c>
      <c r="S624" s="5" t="n">
        <v>3804.09</v>
      </c>
      <c r="T624" s="3" t="str">
        <f aca="false">PROPER(TRIM(SUBSTITUTE(Raw_Text_Fields!J625,CHAR(160)," ")))</f>
        <v>Paid</v>
      </c>
      <c r="U624" s="3" t="str">
        <f aca="false">PROPER(TRIM(SUBSTITUTE(Raw_Text_Fields!K625,CHAR(160)," ")))</f>
        <v>Completed</v>
      </c>
      <c r="V624" s="7" t="n">
        <f aca="false">IF(OR(P624&lt;0,P624&gt;0.5),0,P624)</f>
        <v>0.05</v>
      </c>
      <c r="W624" s="8" t="n">
        <f aca="false">N624*O624*(1-V624)</f>
        <v>10484.238</v>
      </c>
      <c r="X624" s="8" t="n">
        <f aca="false">W624-R624</f>
        <v>3804.088</v>
      </c>
      <c r="Y624" s="7" t="n">
        <f aca="false">IFERROR(X624/W624,0)</f>
        <v>0.362838768063068</v>
      </c>
      <c r="Z624" s="9" t="n">
        <f aca="false">C624-B624</f>
        <v>8</v>
      </c>
      <c r="AA624" s="1" t="str">
        <f aca="false">IF(B624="","",TEXT(B624,"mmm"))</f>
        <v>Jan</v>
      </c>
      <c r="AB624" s="9" t="n">
        <f aca="false">IF(B624="","",YEAR(B624))</f>
        <v>2025</v>
      </c>
      <c r="AC624" s="3"/>
      <c r="AD624" s="3" t="str">
        <f aca="false">IF(LEFT(AC624&amp;IF(B624="","; Missing Order Date","")&amp;IF(C624="","; Missing Ship Date","")&amp;IF(P624&lt;0,"; Invalid Discount (Negative)","")&amp;IF(P624&gt;0.5,"; Invalid Discount (Too High)","")&amp;IF(Z624&lt;0,"; Invalid Shipping Record (Ship Before Order)","")&amp;IF(ABS(Q624-W624)&gt;1,"; Sales Mismatch","")&amp;IF(ABS(S624-X624)&gt;1,"; Profit Mismatch","")&amp;IF(COUNTIF($A$2:$A$913,A624)&gt;1,"; Duplicate Order ID Conflict",""),2)="; ",MID(AC624&amp;IF(B624="","; Missing Order Date","")&amp;IF(C624="","; Missing Ship Date","")&amp;IF(P624&lt;0,"; Invalid Discount (Negative)","")&amp;IF(P624&gt;0.5,"; Invalid Discount (Too High)","")&amp;IF(Z624&lt;0,"; Invalid Shipping Record (Ship Before Order)","")&amp;IF(ABS(Q624-W624)&gt;1,"; Sales Mismatch","")&amp;IF(ABS(S624-X624)&gt;1,"; Profit Mismatch","")&amp;IF(COUNTIF($A$2:$A$913,A624)&gt;1,"; Duplicate Order ID Conflict",""),3,500),AC624&amp;IF(B624="","; Missing Order Date","")&amp;IF(C624="","; Missing Ship Date","")&amp;IF(P624&lt;0,"; Invalid Discount (Negative)","")&amp;IF(P624&gt;0.5,"; Invalid Discount (Too High)","")&amp;IF(Z624&lt;0,"; Invalid Shipping Record (Ship Before Order)","")&amp;IF(ABS(Q624-W624)&gt;1,"; Sales Mismatch","")&amp;IF(ABS(S624-X624)&gt;1,"; Profit Mismatch","")&amp;IF(COUNTIF($A$2:$A$913,A624)&gt;1,"; Duplicate Order ID Conflict",""))</f>
        <v/>
      </c>
      <c r="AE624" s="10" t="str">
        <f aca="false">IF(OR(ISNUMBER(SEARCH("Invalid Discount",AD624)),ISNUMBER(SEARCH("Invalid Shipping Record",AD624)),ISNUMBER(SEARCH("Sales Mismatch",AD624)),ISNUMBER(SEARCH("Profit Mismatch",AD624)),ISNUMBER(SEARCH("Duplicate Order ID Conflict",AD624)),ISNUMBER(SEARCH("Missing Order Date",AD624)),ISNUMBER(SEARCH("Missing Ship Date",AD624))),"Invalid",IF(AD624&lt;&gt;"","Warning","Clean"))</f>
        <v>Clean</v>
      </c>
    </row>
    <row r="625" customFormat="false" ht="15" hidden="false" customHeight="true" outlineLevel="0" collapsed="false">
      <c r="A625" s="3" t="s">
        <v>1881</v>
      </c>
      <c r="B625" s="4" t="n">
        <v>45512</v>
      </c>
      <c r="C625" s="4" t="n">
        <v>45518</v>
      </c>
      <c r="D625" s="3" t="s">
        <v>1882</v>
      </c>
      <c r="E625" s="3" t="str">
        <f aca="false">PROPER(TRIM(SUBSTITUTE(Raw_Text_Fields!B626,CHAR(160)," ")))</f>
        <v>Vikram Iyer</v>
      </c>
      <c r="F625" s="3" t="str">
        <f aca="false">PROPER(TRIM(SUBSTITUTE(Raw_Text_Fields!C626,CHAR(160)," ")))</f>
        <v>Home Office</v>
      </c>
      <c r="G625" s="3" t="str">
        <f aca="false">PROPER(TRIM(SUBSTITUTE(Raw_Text_Fields!D626,CHAR(160)," ")))</f>
        <v>North</v>
      </c>
      <c r="H625" s="3" t="str">
        <f aca="false">PROPER(TRIM(SUBSTITUTE(Raw_Text_Fields!E626,CHAR(160)," ")))</f>
        <v>Punjab</v>
      </c>
      <c r="I625" s="3" t="str">
        <f aca="false">PROPER(TRIM(SUBSTITUTE(Raw_Text_Fields!F626,CHAR(160)," ")))</f>
        <v>Ludhiana</v>
      </c>
      <c r="J625" s="3" t="str">
        <f aca="false">PROPER(TRIM(SUBSTITUTE(Raw_Text_Fields!G626,CHAR(160)," ")))</f>
        <v>Office Supplies</v>
      </c>
      <c r="K625" s="3" t="str">
        <f aca="false">PROPER(TRIM(SUBSTITUTE(Raw_Text_Fields!H626,CHAR(160)," ")))</f>
        <v>Storage</v>
      </c>
      <c r="L625" s="3" t="s">
        <v>1883</v>
      </c>
      <c r="M625" s="3" t="str">
        <f aca="false">PROPER(TRIM(SUBSTITUTE(Raw_Text_Fields!I626,CHAR(160)," ")))</f>
        <v>Second Class</v>
      </c>
      <c r="N625" s="3" t="n">
        <v>8</v>
      </c>
      <c r="O625" s="5" t="n">
        <v>1359.19</v>
      </c>
      <c r="P625" s="6" t="n">
        <v>0.05</v>
      </c>
      <c r="Q625" s="5" t="n">
        <v>10329.84</v>
      </c>
      <c r="R625" s="5" t="n">
        <v>7512.22</v>
      </c>
      <c r="S625" s="5" t="n">
        <v>2817.62</v>
      </c>
      <c r="T625" s="3" t="str">
        <f aca="false">PROPER(TRIM(SUBSTITUTE(Raw_Text_Fields!J626,CHAR(160)," ")))</f>
        <v>Paid</v>
      </c>
      <c r="U625" s="3" t="str">
        <f aca="false">PROPER(TRIM(SUBSTITUTE(Raw_Text_Fields!K626,CHAR(160)," ")))</f>
        <v>Completed</v>
      </c>
      <c r="V625" s="7" t="n">
        <f aca="false">IF(OR(P625&lt;0,P625&gt;0.5),0,P625)</f>
        <v>0.05</v>
      </c>
      <c r="W625" s="8" t="n">
        <f aca="false">N625*O625*(1-V625)</f>
        <v>10329.844</v>
      </c>
      <c r="X625" s="8" t="n">
        <f aca="false">W625-R625</f>
        <v>2817.624</v>
      </c>
      <c r="Y625" s="7" t="n">
        <f aca="false">IFERROR(X625/W625,0)</f>
        <v>0.272765397037942</v>
      </c>
      <c r="Z625" s="9" t="n">
        <f aca="false">C625-B625</f>
        <v>6</v>
      </c>
      <c r="AA625" s="1" t="str">
        <f aca="false">IF(B625="","",TEXT(B625,"mmm"))</f>
        <v>Aug</v>
      </c>
      <c r="AB625" s="9" t="n">
        <f aca="false">IF(B625="","",YEAR(B625))</f>
        <v>2024</v>
      </c>
      <c r="AC625" s="3"/>
      <c r="AD625" s="3" t="str">
        <f aca="false">IF(LEFT(AC625&amp;IF(B625="","; Missing Order Date","")&amp;IF(C625="","; Missing Ship Date","")&amp;IF(P625&lt;0,"; Invalid Discount (Negative)","")&amp;IF(P625&gt;0.5,"; Invalid Discount (Too High)","")&amp;IF(Z625&lt;0,"; Invalid Shipping Record (Ship Before Order)","")&amp;IF(ABS(Q625-W625)&gt;1,"; Sales Mismatch","")&amp;IF(ABS(S625-X625)&gt;1,"; Profit Mismatch","")&amp;IF(COUNTIF($A$2:$A$913,A625)&gt;1,"; Duplicate Order ID Conflict",""),2)="; ",MID(AC625&amp;IF(B625="","; Missing Order Date","")&amp;IF(C625="","; Missing Ship Date","")&amp;IF(P625&lt;0,"; Invalid Discount (Negative)","")&amp;IF(P625&gt;0.5,"; Invalid Discount (Too High)","")&amp;IF(Z625&lt;0,"; Invalid Shipping Record (Ship Before Order)","")&amp;IF(ABS(Q625-W625)&gt;1,"; Sales Mismatch","")&amp;IF(ABS(S625-X625)&gt;1,"; Profit Mismatch","")&amp;IF(COUNTIF($A$2:$A$913,A625)&gt;1,"; Duplicate Order ID Conflict",""),3,500),AC625&amp;IF(B625="","; Missing Order Date","")&amp;IF(C625="","; Missing Ship Date","")&amp;IF(P625&lt;0,"; Invalid Discount (Negative)","")&amp;IF(P625&gt;0.5,"; Invalid Discount (Too High)","")&amp;IF(Z625&lt;0,"; Invalid Shipping Record (Ship Before Order)","")&amp;IF(ABS(Q625-W625)&gt;1,"; Sales Mismatch","")&amp;IF(ABS(S625-X625)&gt;1,"; Profit Mismatch","")&amp;IF(COUNTIF($A$2:$A$913,A625)&gt;1,"; Duplicate Order ID Conflict",""))</f>
        <v/>
      </c>
      <c r="AE625" s="10" t="str">
        <f aca="false">IF(OR(ISNUMBER(SEARCH("Invalid Discount",AD625)),ISNUMBER(SEARCH("Invalid Shipping Record",AD625)),ISNUMBER(SEARCH("Sales Mismatch",AD625)),ISNUMBER(SEARCH("Profit Mismatch",AD625)),ISNUMBER(SEARCH("Duplicate Order ID Conflict",AD625)),ISNUMBER(SEARCH("Missing Order Date",AD625)),ISNUMBER(SEARCH("Missing Ship Date",AD625))),"Invalid",IF(AD625&lt;&gt;"","Warning","Clean"))</f>
        <v>Clean</v>
      </c>
    </row>
    <row r="626" customFormat="false" ht="15" hidden="false" customHeight="true" outlineLevel="0" collapsed="false">
      <c r="A626" s="3" t="s">
        <v>1884</v>
      </c>
      <c r="B626" s="4" t="n">
        <v>45321</v>
      </c>
      <c r="C626" s="4" t="n">
        <v>45323</v>
      </c>
      <c r="D626" s="3" t="s">
        <v>1885</v>
      </c>
      <c r="E626" s="3" t="str">
        <f aca="false">PROPER(TRIM(SUBSTITUTE(Raw_Text_Fields!B627,CHAR(160)," ")))</f>
        <v>Neha Gupta</v>
      </c>
      <c r="F626" s="3" t="str">
        <f aca="false">PROPER(TRIM(SUBSTITUTE(Raw_Text_Fields!C627,CHAR(160)," ")))</f>
        <v>Home Office</v>
      </c>
      <c r="G626" s="3" t="str">
        <f aca="false">PROPER(TRIM(SUBSTITUTE(Raw_Text_Fields!D627,CHAR(160)," ")))</f>
        <v>East</v>
      </c>
      <c r="H626" s="3" t="str">
        <f aca="false">PROPER(TRIM(SUBSTITUTE(Raw_Text_Fields!E627,CHAR(160)," ")))</f>
        <v>Assam</v>
      </c>
      <c r="I626" s="3" t="str">
        <f aca="false">PROPER(TRIM(SUBSTITUTE(Raw_Text_Fields!F627,CHAR(160)," ")))</f>
        <v>Guwahati</v>
      </c>
      <c r="J626" s="3" t="str">
        <f aca="false">PROPER(TRIM(SUBSTITUTE(Raw_Text_Fields!G627,CHAR(160)," ")))</f>
        <v>Furniture</v>
      </c>
      <c r="K626" s="3" t="str">
        <f aca="false">PROPER(TRIM(SUBSTITUTE(Raw_Text_Fields!H627,CHAR(160)," ")))</f>
        <v>Chairs</v>
      </c>
      <c r="L626" s="3" t="s">
        <v>1886</v>
      </c>
      <c r="M626" s="3" t="str">
        <f aca="false">PROPER(TRIM(SUBSTITUTE(Raw_Text_Fields!I627,CHAR(160)," ")))</f>
        <v>First Class</v>
      </c>
      <c r="N626" s="3" t="n">
        <v>2</v>
      </c>
      <c r="O626" s="5" t="n">
        <v>4451.03</v>
      </c>
      <c r="P626" s="6" t="n">
        <v>0.05</v>
      </c>
      <c r="Q626" s="5" t="n">
        <v>8456.96</v>
      </c>
      <c r="R626" s="5" t="n">
        <v>5462.85</v>
      </c>
      <c r="S626" s="5" t="n">
        <v>2994.11</v>
      </c>
      <c r="T626" s="3" t="str">
        <f aca="false">PROPER(TRIM(SUBSTITUTE(Raw_Text_Fields!J627,CHAR(160)," ")))</f>
        <v>Paid</v>
      </c>
      <c r="U626" s="3" t="str">
        <f aca="false">PROPER(TRIM(SUBSTITUTE(Raw_Text_Fields!K627,CHAR(160)," ")))</f>
        <v>Completed</v>
      </c>
      <c r="V626" s="7" t="n">
        <f aca="false">IF(OR(P626&lt;0,P626&gt;0.5),0,P626)</f>
        <v>0.05</v>
      </c>
      <c r="W626" s="8" t="n">
        <f aca="false">N626*O626*(1-V626)</f>
        <v>8456.957</v>
      </c>
      <c r="X626" s="8" t="n">
        <f aca="false">W626-R626</f>
        <v>2994.107</v>
      </c>
      <c r="Y626" s="7" t="n">
        <f aca="false">IFERROR(X626/W626,0)</f>
        <v>0.354040702820175</v>
      </c>
      <c r="Z626" s="9" t="n">
        <f aca="false">C626-B626</f>
        <v>2</v>
      </c>
      <c r="AA626" s="1" t="str">
        <f aca="false">IF(B626="","",TEXT(B626,"mmm"))</f>
        <v>Jan</v>
      </c>
      <c r="AB626" s="9" t="n">
        <f aca="false">IF(B626="","",YEAR(B626))</f>
        <v>2024</v>
      </c>
      <c r="AC626" s="3"/>
      <c r="AD626" s="3" t="str">
        <f aca="false">IF(LEFT(AC626&amp;IF(B626="","; Missing Order Date","")&amp;IF(C626="","; Missing Ship Date","")&amp;IF(P626&lt;0,"; Invalid Discount (Negative)","")&amp;IF(P626&gt;0.5,"; Invalid Discount (Too High)","")&amp;IF(Z626&lt;0,"; Invalid Shipping Record (Ship Before Order)","")&amp;IF(ABS(Q626-W626)&gt;1,"; Sales Mismatch","")&amp;IF(ABS(S626-X626)&gt;1,"; Profit Mismatch","")&amp;IF(COUNTIF($A$2:$A$913,A626)&gt;1,"; Duplicate Order ID Conflict",""),2)="; ",MID(AC626&amp;IF(B626="","; Missing Order Date","")&amp;IF(C626="","; Missing Ship Date","")&amp;IF(P626&lt;0,"; Invalid Discount (Negative)","")&amp;IF(P626&gt;0.5,"; Invalid Discount (Too High)","")&amp;IF(Z626&lt;0,"; Invalid Shipping Record (Ship Before Order)","")&amp;IF(ABS(Q626-W626)&gt;1,"; Sales Mismatch","")&amp;IF(ABS(S626-X626)&gt;1,"; Profit Mismatch","")&amp;IF(COUNTIF($A$2:$A$913,A626)&gt;1,"; Duplicate Order ID Conflict",""),3,500),AC626&amp;IF(B626="","; Missing Order Date","")&amp;IF(C626="","; Missing Ship Date","")&amp;IF(P626&lt;0,"; Invalid Discount (Negative)","")&amp;IF(P626&gt;0.5,"; Invalid Discount (Too High)","")&amp;IF(Z626&lt;0,"; Invalid Shipping Record (Ship Before Order)","")&amp;IF(ABS(Q626-W626)&gt;1,"; Sales Mismatch","")&amp;IF(ABS(S626-X626)&gt;1,"; Profit Mismatch","")&amp;IF(COUNTIF($A$2:$A$913,A626)&gt;1,"; Duplicate Order ID Conflict",""))</f>
        <v/>
      </c>
      <c r="AE626" s="10" t="str">
        <f aca="false">IF(OR(ISNUMBER(SEARCH("Invalid Discount",AD626)),ISNUMBER(SEARCH("Invalid Shipping Record",AD626)),ISNUMBER(SEARCH("Sales Mismatch",AD626)),ISNUMBER(SEARCH("Profit Mismatch",AD626)),ISNUMBER(SEARCH("Duplicate Order ID Conflict",AD626)),ISNUMBER(SEARCH("Missing Order Date",AD626)),ISNUMBER(SEARCH("Missing Ship Date",AD626))),"Invalid",IF(AD626&lt;&gt;"","Warning","Clean"))</f>
        <v>Clean</v>
      </c>
    </row>
    <row r="627" customFormat="false" ht="15" hidden="false" customHeight="true" outlineLevel="0" collapsed="false">
      <c r="A627" s="3" t="s">
        <v>1887</v>
      </c>
      <c r="B627" s="4" t="n">
        <v>45641</v>
      </c>
      <c r="C627" s="4" t="n">
        <v>45647</v>
      </c>
      <c r="D627" s="3" t="s">
        <v>1888</v>
      </c>
      <c r="E627" s="3" t="str">
        <f aca="false">PROPER(TRIM(SUBSTITUTE(Raw_Text_Fields!B628,CHAR(160)," ")))</f>
        <v>Diya Patel</v>
      </c>
      <c r="F627" s="3" t="str">
        <f aca="false">PROPER(TRIM(SUBSTITUTE(Raw_Text_Fields!C628,CHAR(160)," ")))</f>
        <v>Corporate</v>
      </c>
      <c r="G627" s="3" t="str">
        <f aca="false">PROPER(TRIM(SUBSTITUTE(Raw_Text_Fields!D628,CHAR(160)," ")))</f>
        <v>West</v>
      </c>
      <c r="H627" s="3" t="str">
        <f aca="false">PROPER(TRIM(SUBSTITUTE(Raw_Text_Fields!E628,CHAR(160)," ")))</f>
        <v>Rajasthan</v>
      </c>
      <c r="I627" s="3" t="str">
        <f aca="false">PROPER(TRIM(SUBSTITUTE(Raw_Text_Fields!F628,CHAR(160)," ")))</f>
        <v>Udaipur</v>
      </c>
      <c r="J627" s="3" t="str">
        <f aca="false">PROPER(TRIM(SUBSTITUTE(Raw_Text_Fields!G628,CHAR(160)," ")))</f>
        <v>Furniture</v>
      </c>
      <c r="K627" s="3" t="str">
        <f aca="false">PROPER(TRIM(SUBSTITUTE(Raw_Text_Fields!H628,CHAR(160)," ")))</f>
        <v>Chairs</v>
      </c>
      <c r="L627" s="3" t="s">
        <v>1889</v>
      </c>
      <c r="M627" s="3" t="str">
        <f aca="false">PROPER(TRIM(SUBSTITUTE(Raw_Text_Fields!I628,CHAR(160)," ")))</f>
        <v>Same Day</v>
      </c>
      <c r="N627" s="3" t="n">
        <v>3</v>
      </c>
      <c r="O627" s="5" t="n">
        <v>527.67</v>
      </c>
      <c r="P627" s="6" t="n">
        <v>0.2</v>
      </c>
      <c r="Q627" s="5" t="n">
        <v>1266.41</v>
      </c>
      <c r="R627" s="5" t="n">
        <v>983.92</v>
      </c>
      <c r="S627" s="5" t="n">
        <v>282.49</v>
      </c>
      <c r="T627" s="3" t="str">
        <f aca="false">PROPER(TRIM(SUBSTITUTE(Raw_Text_Fields!J628,CHAR(160)," ")))</f>
        <v>Paid</v>
      </c>
      <c r="U627" s="3" t="str">
        <f aca="false">PROPER(TRIM(SUBSTITUTE(Raw_Text_Fields!K628,CHAR(160)," ")))</f>
        <v>Completed</v>
      </c>
      <c r="V627" s="7" t="n">
        <f aca="false">IF(OR(P627&lt;0,P627&gt;0.5),0,P627)</f>
        <v>0.2</v>
      </c>
      <c r="W627" s="8" t="n">
        <f aca="false">N627*O627*(1-V627)</f>
        <v>1266.408</v>
      </c>
      <c r="X627" s="8" t="n">
        <f aca="false">W627-R627</f>
        <v>282.488</v>
      </c>
      <c r="Y627" s="7" t="n">
        <f aca="false">IFERROR(X627/W627,0)</f>
        <v>0.223062393794101</v>
      </c>
      <c r="Z627" s="9" t="n">
        <f aca="false">C627-B627</f>
        <v>6</v>
      </c>
      <c r="AA627" s="1" t="str">
        <f aca="false">IF(B627="","",TEXT(B627,"mmm"))</f>
        <v>Dec</v>
      </c>
      <c r="AB627" s="9" t="n">
        <f aca="false">IF(B627="","",YEAR(B627))</f>
        <v>2024</v>
      </c>
      <c r="AC627" s="3"/>
      <c r="AD627" s="3" t="str">
        <f aca="false">IF(LEFT(AC627&amp;IF(B627="","; Missing Order Date","")&amp;IF(C627="","; Missing Ship Date","")&amp;IF(P627&lt;0,"; Invalid Discount (Negative)","")&amp;IF(P627&gt;0.5,"; Invalid Discount (Too High)","")&amp;IF(Z627&lt;0,"; Invalid Shipping Record (Ship Before Order)","")&amp;IF(ABS(Q627-W627)&gt;1,"; Sales Mismatch","")&amp;IF(ABS(S627-X627)&gt;1,"; Profit Mismatch","")&amp;IF(COUNTIF($A$2:$A$913,A627)&gt;1,"; Duplicate Order ID Conflict",""),2)="; ",MID(AC627&amp;IF(B627="","; Missing Order Date","")&amp;IF(C627="","; Missing Ship Date","")&amp;IF(P627&lt;0,"; Invalid Discount (Negative)","")&amp;IF(P627&gt;0.5,"; Invalid Discount (Too High)","")&amp;IF(Z627&lt;0,"; Invalid Shipping Record (Ship Before Order)","")&amp;IF(ABS(Q627-W627)&gt;1,"; Sales Mismatch","")&amp;IF(ABS(S627-X627)&gt;1,"; Profit Mismatch","")&amp;IF(COUNTIF($A$2:$A$913,A627)&gt;1,"; Duplicate Order ID Conflict",""),3,500),AC627&amp;IF(B627="","; Missing Order Date","")&amp;IF(C627="","; Missing Ship Date","")&amp;IF(P627&lt;0,"; Invalid Discount (Negative)","")&amp;IF(P627&gt;0.5,"; Invalid Discount (Too High)","")&amp;IF(Z627&lt;0,"; Invalid Shipping Record (Ship Before Order)","")&amp;IF(ABS(Q627-W627)&gt;1,"; Sales Mismatch","")&amp;IF(ABS(S627-X627)&gt;1,"; Profit Mismatch","")&amp;IF(COUNTIF($A$2:$A$913,A627)&gt;1,"; Duplicate Order ID Conflict",""))</f>
        <v/>
      </c>
      <c r="AE627" s="10" t="str">
        <f aca="false">IF(OR(ISNUMBER(SEARCH("Invalid Discount",AD627)),ISNUMBER(SEARCH("Invalid Shipping Record",AD627)),ISNUMBER(SEARCH("Sales Mismatch",AD627)),ISNUMBER(SEARCH("Profit Mismatch",AD627)),ISNUMBER(SEARCH("Duplicate Order ID Conflict",AD627)),ISNUMBER(SEARCH("Missing Order Date",AD627)),ISNUMBER(SEARCH("Missing Ship Date",AD627))),"Invalid",IF(AD627&lt;&gt;"","Warning","Clean"))</f>
        <v>Clean</v>
      </c>
    </row>
    <row r="628" customFormat="false" ht="15" hidden="false" customHeight="true" outlineLevel="0" collapsed="false">
      <c r="A628" s="3" t="s">
        <v>1890</v>
      </c>
      <c r="B628" s="4" t="n">
        <v>45812</v>
      </c>
      <c r="C628" s="4" t="n">
        <v>45815</v>
      </c>
      <c r="D628" s="3" t="s">
        <v>1891</v>
      </c>
      <c r="E628" s="3" t="str">
        <f aca="false">PROPER(TRIM(SUBSTITUTE(Raw_Text_Fields!B629,CHAR(160)," ")))</f>
        <v>Sneha Kapoor</v>
      </c>
      <c r="F628" s="3" t="str">
        <f aca="false">PROPER(TRIM(SUBSTITUTE(Raw_Text_Fields!C629,CHAR(160)," ")))</f>
        <v>Home Office</v>
      </c>
      <c r="G628" s="3" t="str">
        <f aca="false">PROPER(TRIM(SUBSTITUTE(Raw_Text_Fields!D629,CHAR(160)," ")))</f>
        <v>East</v>
      </c>
      <c r="H628" s="3" t="str">
        <f aca="false">PROPER(TRIM(SUBSTITUTE(Raw_Text_Fields!E629,CHAR(160)," ")))</f>
        <v>Assam</v>
      </c>
      <c r="I628" s="3" t="str">
        <f aca="false">PROPER(TRIM(SUBSTITUTE(Raw_Text_Fields!F629,CHAR(160)," ")))</f>
        <v>Guwahati</v>
      </c>
      <c r="J628" s="3" t="str">
        <f aca="false">PROPER(TRIM(SUBSTITUTE(Raw_Text_Fields!G629,CHAR(160)," ")))</f>
        <v>Technology</v>
      </c>
      <c r="K628" s="3" t="str">
        <f aca="false">PROPER(TRIM(SUBSTITUTE(Raw_Text_Fields!H629,CHAR(160)," ")))</f>
        <v>Machines</v>
      </c>
      <c r="L628" s="3" t="s">
        <v>1892</v>
      </c>
      <c r="M628" s="3" t="str">
        <f aca="false">PROPER(TRIM(SUBSTITUTE(Raw_Text_Fields!I629,CHAR(160)," ")))</f>
        <v>Standard Class</v>
      </c>
      <c r="N628" s="3" t="n">
        <v>8</v>
      </c>
      <c r="O628" s="5" t="n">
        <v>1434.13</v>
      </c>
      <c r="P628" s="6" t="n">
        <v>0</v>
      </c>
      <c r="Q628" s="5" t="n">
        <v>11473.04</v>
      </c>
      <c r="R628" s="5" t="n">
        <v>8931.33</v>
      </c>
      <c r="S628" s="5" t="n">
        <v>2541.71</v>
      </c>
      <c r="T628" s="3" t="str">
        <f aca="false">PROPER(TRIM(SUBSTITUTE(Raw_Text_Fields!J629,CHAR(160)," ")))</f>
        <v>Pending</v>
      </c>
      <c r="U628" s="3" t="str">
        <f aca="false">PROPER(TRIM(SUBSTITUTE(Raw_Text_Fields!K629,CHAR(160)," ")))</f>
        <v>Returned</v>
      </c>
      <c r="V628" s="7" t="n">
        <f aca="false">IF(OR(P628&lt;0,P628&gt;0.5),0,P628)</f>
        <v>0</v>
      </c>
      <c r="W628" s="8" t="n">
        <f aca="false">N628*O628*(1-V628)</f>
        <v>11473.04</v>
      </c>
      <c r="X628" s="8" t="n">
        <f aca="false">W628-R628</f>
        <v>2541.71</v>
      </c>
      <c r="Y628" s="7" t="n">
        <f aca="false">IFERROR(X628/W628,0)</f>
        <v>0.221537622112361</v>
      </c>
      <c r="Z628" s="9" t="n">
        <f aca="false">C628-B628</f>
        <v>3</v>
      </c>
      <c r="AA628" s="1" t="str">
        <f aca="false">IF(B628="","",TEXT(B628,"mmm"))</f>
        <v>Jun</v>
      </c>
      <c r="AB628" s="9" t="n">
        <f aca="false">IF(B628="","",YEAR(B628))</f>
        <v>2025</v>
      </c>
      <c r="AC628" s="3"/>
      <c r="AD628" s="3" t="str">
        <f aca="false">IF(LEFT(AC628&amp;IF(B628="","; Missing Order Date","")&amp;IF(C628="","; Missing Ship Date","")&amp;IF(P628&lt;0,"; Invalid Discount (Negative)","")&amp;IF(P628&gt;0.5,"; Invalid Discount (Too High)","")&amp;IF(Z628&lt;0,"; Invalid Shipping Record (Ship Before Order)","")&amp;IF(ABS(Q628-W628)&gt;1,"; Sales Mismatch","")&amp;IF(ABS(S628-X628)&gt;1,"; Profit Mismatch","")&amp;IF(COUNTIF($A$2:$A$913,A628)&gt;1,"; Duplicate Order ID Conflict",""),2)="; ",MID(AC628&amp;IF(B628="","; Missing Order Date","")&amp;IF(C628="","; Missing Ship Date","")&amp;IF(P628&lt;0,"; Invalid Discount (Negative)","")&amp;IF(P628&gt;0.5,"; Invalid Discount (Too High)","")&amp;IF(Z628&lt;0,"; Invalid Shipping Record (Ship Before Order)","")&amp;IF(ABS(Q628-W628)&gt;1,"; Sales Mismatch","")&amp;IF(ABS(S628-X628)&gt;1,"; Profit Mismatch","")&amp;IF(COUNTIF($A$2:$A$913,A628)&gt;1,"; Duplicate Order ID Conflict",""),3,500),AC628&amp;IF(B628="","; Missing Order Date","")&amp;IF(C628="","; Missing Ship Date","")&amp;IF(P628&lt;0,"; Invalid Discount (Negative)","")&amp;IF(P628&gt;0.5,"; Invalid Discount (Too High)","")&amp;IF(Z628&lt;0,"; Invalid Shipping Record (Ship Before Order)","")&amp;IF(ABS(Q628-W628)&gt;1,"; Sales Mismatch","")&amp;IF(ABS(S628-X628)&gt;1,"; Profit Mismatch","")&amp;IF(COUNTIF($A$2:$A$913,A628)&gt;1,"; Duplicate Order ID Conflict",""))</f>
        <v/>
      </c>
      <c r="AE628" s="10" t="str">
        <f aca="false">IF(OR(ISNUMBER(SEARCH("Invalid Discount",AD628)),ISNUMBER(SEARCH("Invalid Shipping Record",AD628)),ISNUMBER(SEARCH("Sales Mismatch",AD628)),ISNUMBER(SEARCH("Profit Mismatch",AD628)),ISNUMBER(SEARCH("Duplicate Order ID Conflict",AD628)),ISNUMBER(SEARCH("Missing Order Date",AD628)),ISNUMBER(SEARCH("Missing Ship Date",AD628))),"Invalid",IF(AD628&lt;&gt;"","Warning","Clean"))</f>
        <v>Clean</v>
      </c>
    </row>
    <row r="629" customFormat="false" ht="15" hidden="false" customHeight="true" outlineLevel="0" collapsed="false">
      <c r="A629" s="3" t="s">
        <v>1893</v>
      </c>
      <c r="B629" s="4" t="n">
        <v>45701</v>
      </c>
      <c r="C629" s="4" t="n">
        <v>45709</v>
      </c>
      <c r="D629" s="3" t="s">
        <v>1894</v>
      </c>
      <c r="E629" s="3" t="str">
        <f aca="false">PROPER(TRIM(SUBSTITUTE(Raw_Text_Fields!B630,CHAR(160)," ")))</f>
        <v>Karan Malhotra</v>
      </c>
      <c r="F629" s="3" t="str">
        <f aca="false">PROPER(TRIM(SUBSTITUTE(Raw_Text_Fields!C630,CHAR(160)," ")))</f>
        <v>Small Business</v>
      </c>
      <c r="G629" s="3" t="str">
        <f aca="false">PROPER(TRIM(SUBSTITUTE(Raw_Text_Fields!D630,CHAR(160)," ")))</f>
        <v>South</v>
      </c>
      <c r="H629" s="3" t="str">
        <f aca="false">PROPER(TRIM(SUBSTITUTE(Raw_Text_Fields!E630,CHAR(160)," ")))</f>
        <v>Kerala</v>
      </c>
      <c r="I629" s="3" t="str">
        <f aca="false">PROPER(TRIM(SUBSTITUTE(Raw_Text_Fields!F630,CHAR(160)," ")))</f>
        <v>Kochi</v>
      </c>
      <c r="J629" s="3" t="str">
        <f aca="false">PROPER(TRIM(SUBSTITUTE(Raw_Text_Fields!G630,CHAR(160)," ")))</f>
        <v>Technology</v>
      </c>
      <c r="K629" s="3" t="str">
        <f aca="false">PROPER(TRIM(SUBSTITUTE(Raw_Text_Fields!H630,CHAR(160)," ")))</f>
        <v>Phones</v>
      </c>
      <c r="L629" s="3" t="s">
        <v>1895</v>
      </c>
      <c r="M629" s="3" t="str">
        <f aca="false">PROPER(TRIM(SUBSTITUTE(Raw_Text_Fields!I630,CHAR(160)," ")))</f>
        <v>Second Class</v>
      </c>
      <c r="N629" s="3" t="n">
        <v>2</v>
      </c>
      <c r="O629" s="5" t="n">
        <v>2360.02</v>
      </c>
      <c r="P629" s="6" t="n">
        <v>0.15</v>
      </c>
      <c r="Q629" s="5" t="n">
        <v>4012.03</v>
      </c>
      <c r="R629" s="5" t="n">
        <v>3142.92</v>
      </c>
      <c r="S629" s="5" t="n">
        <v>869.11</v>
      </c>
      <c r="T629" s="3" t="str">
        <f aca="false">PROPER(TRIM(SUBSTITUTE(Raw_Text_Fields!J630,CHAR(160)," ")))</f>
        <v>Pending</v>
      </c>
      <c r="U629" s="3" t="str">
        <f aca="false">PROPER(TRIM(SUBSTITUTE(Raw_Text_Fields!K630,CHAR(160)," ")))</f>
        <v>Cancelled</v>
      </c>
      <c r="V629" s="7" t="n">
        <f aca="false">IF(OR(P629&lt;0,P629&gt;0.5),0,P629)</f>
        <v>0.15</v>
      </c>
      <c r="W629" s="8" t="n">
        <f aca="false">N629*O629*(1-V629)</f>
        <v>4012.034</v>
      </c>
      <c r="X629" s="8" t="n">
        <f aca="false">W629-R629</f>
        <v>869.114</v>
      </c>
      <c r="Y629" s="7" t="n">
        <f aca="false">IFERROR(X629/W629,0)</f>
        <v>0.216626778337372</v>
      </c>
      <c r="Z629" s="9" t="n">
        <f aca="false">C629-B629</f>
        <v>8</v>
      </c>
      <c r="AA629" s="1" t="str">
        <f aca="false">IF(B629="","",TEXT(B629,"mmm"))</f>
        <v>Feb</v>
      </c>
      <c r="AB629" s="9" t="n">
        <f aca="false">IF(B629="","",YEAR(B629))</f>
        <v>2025</v>
      </c>
      <c r="AC629" s="3"/>
      <c r="AD629" s="3" t="str">
        <f aca="false">IF(LEFT(AC629&amp;IF(B629="","; Missing Order Date","")&amp;IF(C629="","; Missing Ship Date","")&amp;IF(P629&lt;0,"; Invalid Discount (Negative)","")&amp;IF(P629&gt;0.5,"; Invalid Discount (Too High)","")&amp;IF(Z629&lt;0,"; Invalid Shipping Record (Ship Before Order)","")&amp;IF(ABS(Q629-W629)&gt;1,"; Sales Mismatch","")&amp;IF(ABS(S629-X629)&gt;1,"; Profit Mismatch","")&amp;IF(COUNTIF($A$2:$A$913,A629)&gt;1,"; Duplicate Order ID Conflict",""),2)="; ",MID(AC629&amp;IF(B629="","; Missing Order Date","")&amp;IF(C629="","; Missing Ship Date","")&amp;IF(P629&lt;0,"; Invalid Discount (Negative)","")&amp;IF(P629&gt;0.5,"; Invalid Discount (Too High)","")&amp;IF(Z629&lt;0,"; Invalid Shipping Record (Ship Before Order)","")&amp;IF(ABS(Q629-W629)&gt;1,"; Sales Mismatch","")&amp;IF(ABS(S629-X629)&gt;1,"; Profit Mismatch","")&amp;IF(COUNTIF($A$2:$A$913,A629)&gt;1,"; Duplicate Order ID Conflict",""),3,500),AC629&amp;IF(B629="","; Missing Order Date","")&amp;IF(C629="","; Missing Ship Date","")&amp;IF(P629&lt;0,"; Invalid Discount (Negative)","")&amp;IF(P629&gt;0.5,"; Invalid Discount (Too High)","")&amp;IF(Z629&lt;0,"; Invalid Shipping Record (Ship Before Order)","")&amp;IF(ABS(Q629-W629)&gt;1,"; Sales Mismatch","")&amp;IF(ABS(S629-X629)&gt;1,"; Profit Mismatch","")&amp;IF(COUNTIF($A$2:$A$913,A629)&gt;1,"; Duplicate Order ID Conflict",""))</f>
        <v/>
      </c>
      <c r="AE629" s="10" t="str">
        <f aca="false">IF(OR(ISNUMBER(SEARCH("Invalid Discount",AD629)),ISNUMBER(SEARCH("Invalid Shipping Record",AD629)),ISNUMBER(SEARCH("Sales Mismatch",AD629)),ISNUMBER(SEARCH("Profit Mismatch",AD629)),ISNUMBER(SEARCH("Duplicate Order ID Conflict",AD629)),ISNUMBER(SEARCH("Missing Order Date",AD629)),ISNUMBER(SEARCH("Missing Ship Date",AD629))),"Invalid",IF(AD629&lt;&gt;"","Warning","Clean"))</f>
        <v>Clean</v>
      </c>
    </row>
    <row r="630" customFormat="false" ht="15" hidden="false" customHeight="true" outlineLevel="0" collapsed="false">
      <c r="A630" s="3" t="s">
        <v>1896</v>
      </c>
      <c r="B630" s="4" t="n">
        <v>45935</v>
      </c>
      <c r="C630" s="4" t="n">
        <v>45942</v>
      </c>
      <c r="D630" s="3" t="s">
        <v>1897</v>
      </c>
      <c r="E630" s="3" t="str">
        <f aca="false">PROPER(TRIM(SUBSTITUTE(Raw_Text_Fields!B631,CHAR(160)," ")))</f>
        <v>Ananya Rao</v>
      </c>
      <c r="F630" s="3" t="str">
        <f aca="false">PROPER(TRIM(SUBSTITUTE(Raw_Text_Fields!C631,CHAR(160)," ")))</f>
        <v>Home Office</v>
      </c>
      <c r="G630" s="3" t="str">
        <f aca="false">PROPER(TRIM(SUBSTITUTE(Raw_Text_Fields!D631,CHAR(160)," ")))</f>
        <v>East</v>
      </c>
      <c r="H630" s="3" t="str">
        <f aca="false">PROPER(TRIM(SUBSTITUTE(Raw_Text_Fields!E631,CHAR(160)," ")))</f>
        <v>Jharkhand</v>
      </c>
      <c r="I630" s="3" t="str">
        <f aca="false">PROPER(TRIM(SUBSTITUTE(Raw_Text_Fields!F631,CHAR(160)," ")))</f>
        <v>Ranchi</v>
      </c>
      <c r="J630" s="3" t="str">
        <f aca="false">PROPER(TRIM(SUBSTITUTE(Raw_Text_Fields!G631,CHAR(160)," ")))</f>
        <v>Technology</v>
      </c>
      <c r="K630" s="3" t="str">
        <f aca="false">PROPER(TRIM(SUBSTITUTE(Raw_Text_Fields!H631,CHAR(160)," ")))</f>
        <v>Accessories</v>
      </c>
      <c r="L630" s="3" t="s">
        <v>1898</v>
      </c>
      <c r="M630" s="3" t="str">
        <f aca="false">PROPER(TRIM(SUBSTITUTE(Raw_Text_Fields!I631,CHAR(160)," ")))</f>
        <v>Same Day</v>
      </c>
      <c r="N630" s="3" t="n">
        <v>7</v>
      </c>
      <c r="O630" s="5" t="n">
        <v>806.67</v>
      </c>
      <c r="P630" s="6" t="n">
        <v>0.05</v>
      </c>
      <c r="Q630" s="5" t="n">
        <v>5364.36</v>
      </c>
      <c r="R630" s="5" t="n">
        <v>4391.29</v>
      </c>
      <c r="S630" s="5" t="n">
        <v>973.07</v>
      </c>
      <c r="T630" s="3" t="str">
        <f aca="false">PROPER(TRIM(SUBSTITUTE(Raw_Text_Fields!J631,CHAR(160)," ")))</f>
        <v>Paid</v>
      </c>
      <c r="U630" s="3" t="str">
        <f aca="false">PROPER(TRIM(SUBSTITUTE(Raw_Text_Fields!K631,CHAR(160)," ")))</f>
        <v>Completed</v>
      </c>
      <c r="V630" s="7" t="n">
        <f aca="false">IF(OR(P630&lt;0,P630&gt;0.5),0,P630)</f>
        <v>0.05</v>
      </c>
      <c r="W630" s="8" t="n">
        <f aca="false">N630*O630*(1-V630)</f>
        <v>5364.3555</v>
      </c>
      <c r="X630" s="8" t="n">
        <f aca="false">W630-R630</f>
        <v>973.0655</v>
      </c>
      <c r="Y630" s="7" t="n">
        <f aca="false">IFERROR(X630/W630,0)</f>
        <v>0.181394670804349</v>
      </c>
      <c r="Z630" s="9" t="n">
        <f aca="false">C630-B630</f>
        <v>7</v>
      </c>
      <c r="AA630" s="1" t="str">
        <f aca="false">IF(B630="","",TEXT(B630,"mmm"))</f>
        <v>Oct</v>
      </c>
      <c r="AB630" s="9" t="n">
        <f aca="false">IF(B630="","",YEAR(B630))</f>
        <v>2025</v>
      </c>
      <c r="AC630" s="3"/>
      <c r="AD630" s="3" t="str">
        <f aca="false">IF(LEFT(AC630&amp;IF(B630="","; Missing Order Date","")&amp;IF(C630="","; Missing Ship Date","")&amp;IF(P630&lt;0,"; Invalid Discount (Negative)","")&amp;IF(P630&gt;0.5,"; Invalid Discount (Too High)","")&amp;IF(Z630&lt;0,"; Invalid Shipping Record (Ship Before Order)","")&amp;IF(ABS(Q630-W630)&gt;1,"; Sales Mismatch","")&amp;IF(ABS(S630-X630)&gt;1,"; Profit Mismatch","")&amp;IF(COUNTIF($A$2:$A$913,A630)&gt;1,"; Duplicate Order ID Conflict",""),2)="; ",MID(AC630&amp;IF(B630="","; Missing Order Date","")&amp;IF(C630="","; Missing Ship Date","")&amp;IF(P630&lt;0,"; Invalid Discount (Negative)","")&amp;IF(P630&gt;0.5,"; Invalid Discount (Too High)","")&amp;IF(Z630&lt;0,"; Invalid Shipping Record (Ship Before Order)","")&amp;IF(ABS(Q630-W630)&gt;1,"; Sales Mismatch","")&amp;IF(ABS(S630-X630)&gt;1,"; Profit Mismatch","")&amp;IF(COUNTIF($A$2:$A$913,A630)&gt;1,"; Duplicate Order ID Conflict",""),3,500),AC630&amp;IF(B630="","; Missing Order Date","")&amp;IF(C630="","; Missing Ship Date","")&amp;IF(P630&lt;0,"; Invalid Discount (Negative)","")&amp;IF(P630&gt;0.5,"; Invalid Discount (Too High)","")&amp;IF(Z630&lt;0,"; Invalid Shipping Record (Ship Before Order)","")&amp;IF(ABS(Q630-W630)&gt;1,"; Sales Mismatch","")&amp;IF(ABS(S630-X630)&gt;1,"; Profit Mismatch","")&amp;IF(COUNTIF($A$2:$A$913,A630)&gt;1,"; Duplicate Order ID Conflict",""))</f>
        <v/>
      </c>
      <c r="AE630" s="10" t="str">
        <f aca="false">IF(OR(ISNUMBER(SEARCH("Invalid Discount",AD630)),ISNUMBER(SEARCH("Invalid Shipping Record",AD630)),ISNUMBER(SEARCH("Sales Mismatch",AD630)),ISNUMBER(SEARCH("Profit Mismatch",AD630)),ISNUMBER(SEARCH("Duplicate Order ID Conflict",AD630)),ISNUMBER(SEARCH("Missing Order Date",AD630)),ISNUMBER(SEARCH("Missing Ship Date",AD630))),"Invalid",IF(AD630&lt;&gt;"","Warning","Clean"))</f>
        <v>Clean</v>
      </c>
    </row>
    <row r="631" customFormat="false" ht="15" hidden="false" customHeight="true" outlineLevel="0" collapsed="false">
      <c r="A631" s="3" t="s">
        <v>1899</v>
      </c>
      <c r="B631" s="4" t="n">
        <v>45910</v>
      </c>
      <c r="C631" s="4" t="n">
        <v>45914</v>
      </c>
      <c r="D631" s="3" t="s">
        <v>1900</v>
      </c>
      <c r="E631" s="3" t="str">
        <f aca="false">PROPER(TRIM(SUBSTITUTE(Raw_Text_Fields!B632,CHAR(160)," ")))</f>
        <v>Arjun Bose</v>
      </c>
      <c r="F631" s="3" t="str">
        <f aca="false">PROPER(TRIM(SUBSTITUTE(Raw_Text_Fields!C632,CHAR(160)," ")))</f>
        <v>Home Office</v>
      </c>
      <c r="G631" s="3" t="str">
        <f aca="false">PROPER(TRIM(SUBSTITUTE(Raw_Text_Fields!D632,CHAR(160)," ")))</f>
        <v>West</v>
      </c>
      <c r="H631" s="3" t="str">
        <f aca="false">PROPER(TRIM(SUBSTITUTE(Raw_Text_Fields!E632,CHAR(160)," ")))</f>
        <v>Gujarat</v>
      </c>
      <c r="I631" s="3" t="str">
        <f aca="false">PROPER(TRIM(SUBSTITUTE(Raw_Text_Fields!F632,CHAR(160)," ")))</f>
        <v>Ahmedabad</v>
      </c>
      <c r="J631" s="3" t="str">
        <f aca="false">PROPER(TRIM(SUBSTITUTE(Raw_Text_Fields!G632,CHAR(160)," ")))</f>
        <v>Furniture</v>
      </c>
      <c r="K631" s="3" t="str">
        <f aca="false">PROPER(TRIM(SUBSTITUTE(Raw_Text_Fields!H632,CHAR(160)," ")))</f>
        <v>Tables</v>
      </c>
      <c r="L631" s="3" t="s">
        <v>1901</v>
      </c>
      <c r="M631" s="3" t="str">
        <f aca="false">PROPER(TRIM(SUBSTITUTE(Raw_Text_Fields!I632,CHAR(160)," ")))</f>
        <v>Same Day</v>
      </c>
      <c r="N631" s="3" t="n">
        <v>3</v>
      </c>
      <c r="O631" s="5" t="n">
        <v>4198.46</v>
      </c>
      <c r="P631" s="6" t="n">
        <v>0.15</v>
      </c>
      <c r="Q631" s="5" t="n">
        <v>10706.07</v>
      </c>
      <c r="R631" s="5" t="n">
        <v>5927.1</v>
      </c>
      <c r="S631" s="5" t="n">
        <v>4778.97</v>
      </c>
      <c r="T631" s="3" t="str">
        <f aca="false">PROPER(TRIM(SUBSTITUTE(Raw_Text_Fields!J632,CHAR(160)," ")))</f>
        <v>Paid</v>
      </c>
      <c r="U631" s="3" t="str">
        <f aca="false">PROPER(TRIM(SUBSTITUTE(Raw_Text_Fields!K632,CHAR(160)," ")))</f>
        <v>Completed</v>
      </c>
      <c r="V631" s="7" t="n">
        <f aca="false">IF(OR(P631&lt;0,P631&gt;0.5),0,P631)</f>
        <v>0.15</v>
      </c>
      <c r="W631" s="8" t="n">
        <f aca="false">N631*O631*(1-V631)</f>
        <v>10706.073</v>
      </c>
      <c r="X631" s="8" t="n">
        <f aca="false">W631-R631</f>
        <v>4778.973</v>
      </c>
      <c r="Y631" s="7" t="n">
        <f aca="false">IFERROR(X631/W631,0)</f>
        <v>0.446379638920826</v>
      </c>
      <c r="Z631" s="9" t="n">
        <f aca="false">C631-B631</f>
        <v>4</v>
      </c>
      <c r="AA631" s="1" t="str">
        <f aca="false">IF(B631="","",TEXT(B631,"mmm"))</f>
        <v>Sep</v>
      </c>
      <c r="AB631" s="9" t="n">
        <f aca="false">IF(B631="","",YEAR(B631))</f>
        <v>2025</v>
      </c>
      <c r="AC631" s="3"/>
      <c r="AD631" s="3" t="str">
        <f aca="false">IF(LEFT(AC631&amp;IF(B631="","; Missing Order Date","")&amp;IF(C631="","; Missing Ship Date","")&amp;IF(P631&lt;0,"; Invalid Discount (Negative)","")&amp;IF(P631&gt;0.5,"; Invalid Discount (Too High)","")&amp;IF(Z631&lt;0,"; Invalid Shipping Record (Ship Before Order)","")&amp;IF(ABS(Q631-W631)&gt;1,"; Sales Mismatch","")&amp;IF(ABS(S631-X631)&gt;1,"; Profit Mismatch","")&amp;IF(COUNTIF($A$2:$A$913,A631)&gt;1,"; Duplicate Order ID Conflict",""),2)="; ",MID(AC631&amp;IF(B631="","; Missing Order Date","")&amp;IF(C631="","; Missing Ship Date","")&amp;IF(P631&lt;0,"; Invalid Discount (Negative)","")&amp;IF(P631&gt;0.5,"; Invalid Discount (Too High)","")&amp;IF(Z631&lt;0,"; Invalid Shipping Record (Ship Before Order)","")&amp;IF(ABS(Q631-W631)&gt;1,"; Sales Mismatch","")&amp;IF(ABS(S631-X631)&gt;1,"; Profit Mismatch","")&amp;IF(COUNTIF($A$2:$A$913,A631)&gt;1,"; Duplicate Order ID Conflict",""),3,500),AC631&amp;IF(B631="","; Missing Order Date","")&amp;IF(C631="","; Missing Ship Date","")&amp;IF(P631&lt;0,"; Invalid Discount (Negative)","")&amp;IF(P631&gt;0.5,"; Invalid Discount (Too High)","")&amp;IF(Z631&lt;0,"; Invalid Shipping Record (Ship Before Order)","")&amp;IF(ABS(Q631-W631)&gt;1,"; Sales Mismatch","")&amp;IF(ABS(S631-X631)&gt;1,"; Profit Mismatch","")&amp;IF(COUNTIF($A$2:$A$913,A631)&gt;1,"; Duplicate Order ID Conflict",""))</f>
        <v/>
      </c>
      <c r="AE631" s="10" t="str">
        <f aca="false">IF(OR(ISNUMBER(SEARCH("Invalid Discount",AD631)),ISNUMBER(SEARCH("Invalid Shipping Record",AD631)),ISNUMBER(SEARCH("Sales Mismatch",AD631)),ISNUMBER(SEARCH("Profit Mismatch",AD631)),ISNUMBER(SEARCH("Duplicate Order ID Conflict",AD631)),ISNUMBER(SEARCH("Missing Order Date",AD631)),ISNUMBER(SEARCH("Missing Ship Date",AD631))),"Invalid",IF(AD631&lt;&gt;"","Warning","Clean"))</f>
        <v>Clean</v>
      </c>
    </row>
    <row r="632" customFormat="false" ht="15" hidden="false" customHeight="true" outlineLevel="0" collapsed="false">
      <c r="A632" s="3" t="s">
        <v>1902</v>
      </c>
      <c r="B632" s="4" t="n">
        <v>45391</v>
      </c>
      <c r="C632" s="4" t="n">
        <v>45392</v>
      </c>
      <c r="D632" s="3" t="s">
        <v>1903</v>
      </c>
      <c r="E632" s="3" t="str">
        <f aca="false">PROPER(TRIM(SUBSTITUTE(Raw_Text_Fields!B633,CHAR(160)," ")))</f>
        <v>Priya Menon</v>
      </c>
      <c r="F632" s="3" t="str">
        <f aca="false">PROPER(TRIM(SUBSTITUTE(Raw_Text_Fields!C633,CHAR(160)," ")))</f>
        <v>Corporate</v>
      </c>
      <c r="G632" s="3" t="str">
        <f aca="false">PROPER(TRIM(SUBSTITUTE(Raw_Text_Fields!D633,CHAR(160)," ")))</f>
        <v>East</v>
      </c>
      <c r="H632" s="3" t="str">
        <f aca="false">PROPER(TRIM(SUBSTITUTE(Raw_Text_Fields!E633,CHAR(160)," ")))</f>
        <v>Assam</v>
      </c>
      <c r="I632" s="3" t="str">
        <f aca="false">PROPER(TRIM(SUBSTITUTE(Raw_Text_Fields!F633,CHAR(160)," ")))</f>
        <v>Guwahati</v>
      </c>
      <c r="J632" s="3" t="str">
        <f aca="false">PROPER(TRIM(SUBSTITUTE(Raw_Text_Fields!G633,CHAR(160)," ")))</f>
        <v>Office Supplies</v>
      </c>
      <c r="K632" s="3" t="str">
        <f aca="false">PROPER(TRIM(SUBSTITUTE(Raw_Text_Fields!H633,CHAR(160)," ")))</f>
        <v>Paper</v>
      </c>
      <c r="L632" s="3" t="s">
        <v>1904</v>
      </c>
      <c r="M632" s="3" t="str">
        <f aca="false">PROPER(TRIM(SUBSTITUTE(Raw_Text_Fields!I633,CHAR(160)," ")))</f>
        <v>Standard Class</v>
      </c>
      <c r="N632" s="3" t="n">
        <v>4</v>
      </c>
      <c r="O632" s="5" t="n">
        <v>3047.05</v>
      </c>
      <c r="P632" s="6" t="n">
        <v>0.1</v>
      </c>
      <c r="Q632" s="5" t="n">
        <v>10969.38</v>
      </c>
      <c r="R632" s="5" t="n">
        <v>9254.46</v>
      </c>
      <c r="S632" s="5" t="n">
        <v>1714.92</v>
      </c>
      <c r="T632" s="3" t="str">
        <f aca="false">PROPER(TRIM(SUBSTITUTE(Raw_Text_Fields!J633,CHAR(160)," ")))</f>
        <v>Paid</v>
      </c>
      <c r="U632" s="3" t="str">
        <f aca="false">PROPER(TRIM(SUBSTITUTE(Raw_Text_Fields!K633,CHAR(160)," ")))</f>
        <v>Completed</v>
      </c>
      <c r="V632" s="7" t="n">
        <f aca="false">IF(OR(P632&lt;0,P632&gt;0.5),0,P632)</f>
        <v>0.1</v>
      </c>
      <c r="W632" s="8" t="n">
        <f aca="false">N632*O632*(1-V632)</f>
        <v>10969.38</v>
      </c>
      <c r="X632" s="8" t="n">
        <f aca="false">W632-R632</f>
        <v>1714.92</v>
      </c>
      <c r="Y632" s="7" t="n">
        <f aca="false">IFERROR(X632/W632,0)</f>
        <v>0.156337003549882</v>
      </c>
      <c r="Z632" s="9" t="n">
        <f aca="false">C632-B632</f>
        <v>1</v>
      </c>
      <c r="AA632" s="1" t="str">
        <f aca="false">IF(B632="","",TEXT(B632,"mmm"))</f>
        <v>Apr</v>
      </c>
      <c r="AB632" s="9" t="n">
        <f aca="false">IF(B632="","",YEAR(B632))</f>
        <v>2024</v>
      </c>
      <c r="AC632" s="3"/>
      <c r="AD632" s="3" t="str">
        <f aca="false">IF(LEFT(AC632&amp;IF(B632="","; Missing Order Date","")&amp;IF(C632="","; Missing Ship Date","")&amp;IF(P632&lt;0,"; Invalid Discount (Negative)","")&amp;IF(P632&gt;0.5,"; Invalid Discount (Too High)","")&amp;IF(Z632&lt;0,"; Invalid Shipping Record (Ship Before Order)","")&amp;IF(ABS(Q632-W632)&gt;1,"; Sales Mismatch","")&amp;IF(ABS(S632-X632)&gt;1,"; Profit Mismatch","")&amp;IF(COUNTIF($A$2:$A$913,A632)&gt;1,"; Duplicate Order ID Conflict",""),2)="; ",MID(AC632&amp;IF(B632="","; Missing Order Date","")&amp;IF(C632="","; Missing Ship Date","")&amp;IF(P632&lt;0,"; Invalid Discount (Negative)","")&amp;IF(P632&gt;0.5,"; Invalid Discount (Too High)","")&amp;IF(Z632&lt;0,"; Invalid Shipping Record (Ship Before Order)","")&amp;IF(ABS(Q632-W632)&gt;1,"; Sales Mismatch","")&amp;IF(ABS(S632-X632)&gt;1,"; Profit Mismatch","")&amp;IF(COUNTIF($A$2:$A$913,A632)&gt;1,"; Duplicate Order ID Conflict",""),3,500),AC632&amp;IF(B632="","; Missing Order Date","")&amp;IF(C632="","; Missing Ship Date","")&amp;IF(P632&lt;0,"; Invalid Discount (Negative)","")&amp;IF(P632&gt;0.5,"; Invalid Discount (Too High)","")&amp;IF(Z632&lt;0,"; Invalid Shipping Record (Ship Before Order)","")&amp;IF(ABS(Q632-W632)&gt;1,"; Sales Mismatch","")&amp;IF(ABS(S632-X632)&gt;1,"; Profit Mismatch","")&amp;IF(COUNTIF($A$2:$A$913,A632)&gt;1,"; Duplicate Order ID Conflict",""))</f>
        <v/>
      </c>
      <c r="AE632" s="10" t="str">
        <f aca="false">IF(OR(ISNUMBER(SEARCH("Invalid Discount",AD632)),ISNUMBER(SEARCH("Invalid Shipping Record",AD632)),ISNUMBER(SEARCH("Sales Mismatch",AD632)),ISNUMBER(SEARCH("Profit Mismatch",AD632)),ISNUMBER(SEARCH("Duplicate Order ID Conflict",AD632)),ISNUMBER(SEARCH("Missing Order Date",AD632)),ISNUMBER(SEARCH("Missing Ship Date",AD632))),"Invalid",IF(AD632&lt;&gt;"","Warning","Clean"))</f>
        <v>Clean</v>
      </c>
    </row>
    <row r="633" customFormat="false" ht="15" hidden="false" customHeight="true" outlineLevel="0" collapsed="false">
      <c r="A633" s="3" t="s">
        <v>1905</v>
      </c>
      <c r="B633" s="4" t="n">
        <v>45392</v>
      </c>
      <c r="C633" s="4" t="n">
        <v>45397</v>
      </c>
      <c r="D633" s="3" t="s">
        <v>1906</v>
      </c>
      <c r="E633" s="3" t="str">
        <f aca="false">PROPER(TRIM(SUBSTITUTE(Raw_Text_Fields!B634,CHAR(160)," ")))</f>
        <v>Aarav Sharma</v>
      </c>
      <c r="F633" s="3" t="str">
        <f aca="false">PROPER(TRIM(SUBSTITUTE(Raw_Text_Fields!C634,CHAR(160)," ")))</f>
        <v>Home Office</v>
      </c>
      <c r="G633" s="3" t="str">
        <f aca="false">PROPER(TRIM(SUBSTITUTE(Raw_Text_Fields!D634,CHAR(160)," ")))</f>
        <v>West</v>
      </c>
      <c r="H633" s="3" t="str">
        <f aca="false">PROPER(TRIM(SUBSTITUTE(Raw_Text_Fields!E634,CHAR(160)," ")))</f>
        <v>Rajasthan</v>
      </c>
      <c r="I633" s="3" t="str">
        <f aca="false">PROPER(TRIM(SUBSTITUTE(Raw_Text_Fields!F634,CHAR(160)," ")))</f>
        <v>Udaipur</v>
      </c>
      <c r="J633" s="3" t="str">
        <f aca="false">PROPER(TRIM(SUBSTITUTE(Raw_Text_Fields!G634,CHAR(160)," ")))</f>
        <v>Furniture</v>
      </c>
      <c r="K633" s="3" t="str">
        <f aca="false">PROPER(TRIM(SUBSTITUTE(Raw_Text_Fields!H634,CHAR(160)," ")))</f>
        <v>Chairs</v>
      </c>
      <c r="L633" s="3" t="s">
        <v>1907</v>
      </c>
      <c r="M633" s="3" t="str">
        <f aca="false">PROPER(TRIM(SUBSTITUTE(Raw_Text_Fields!I634,CHAR(160)," ")))</f>
        <v>Standard Class</v>
      </c>
      <c r="N633" s="3" t="n">
        <v>8</v>
      </c>
      <c r="O633" s="5" t="n">
        <v>4362.48</v>
      </c>
      <c r="P633" s="6" t="n">
        <v>0.1</v>
      </c>
      <c r="Q633" s="5" t="n">
        <v>31409.86</v>
      </c>
      <c r="R633" s="5" t="n">
        <v>22523.54</v>
      </c>
      <c r="S633" s="5" t="n">
        <v>8886.32</v>
      </c>
      <c r="T633" s="3" t="str">
        <f aca="false">PROPER(TRIM(SUBSTITUTE(Raw_Text_Fields!J634,CHAR(160)," ")))</f>
        <v>Paid</v>
      </c>
      <c r="U633" s="3" t="str">
        <f aca="false">PROPER(TRIM(SUBSTITUTE(Raw_Text_Fields!K634,CHAR(160)," ")))</f>
        <v>Completed</v>
      </c>
      <c r="V633" s="7" t="n">
        <f aca="false">IF(OR(P633&lt;0,P633&gt;0.5),0,P633)</f>
        <v>0.1</v>
      </c>
      <c r="W633" s="8" t="n">
        <f aca="false">N633*O633*(1-V633)</f>
        <v>31409.856</v>
      </c>
      <c r="X633" s="8" t="n">
        <f aca="false">W633-R633</f>
        <v>8886.316</v>
      </c>
      <c r="Y633" s="7" t="n">
        <f aca="false">IFERROR(X633/W633,0)</f>
        <v>0.28291489142771</v>
      </c>
      <c r="Z633" s="9" t="n">
        <f aca="false">C633-B633</f>
        <v>5</v>
      </c>
      <c r="AA633" s="1" t="str">
        <f aca="false">IF(B633="","",TEXT(B633,"mmm"))</f>
        <v>Apr</v>
      </c>
      <c r="AB633" s="9" t="n">
        <f aca="false">IF(B633="","",YEAR(B633))</f>
        <v>2024</v>
      </c>
      <c r="AC633" s="3"/>
      <c r="AD633" s="3" t="str">
        <f aca="false">IF(LEFT(AC633&amp;IF(B633="","; Missing Order Date","")&amp;IF(C633="","; Missing Ship Date","")&amp;IF(P633&lt;0,"; Invalid Discount (Negative)","")&amp;IF(P633&gt;0.5,"; Invalid Discount (Too High)","")&amp;IF(Z633&lt;0,"; Invalid Shipping Record (Ship Before Order)","")&amp;IF(ABS(Q633-W633)&gt;1,"; Sales Mismatch","")&amp;IF(ABS(S633-X633)&gt;1,"; Profit Mismatch","")&amp;IF(COUNTIF($A$2:$A$913,A633)&gt;1,"; Duplicate Order ID Conflict",""),2)="; ",MID(AC633&amp;IF(B633="","; Missing Order Date","")&amp;IF(C633="","; Missing Ship Date","")&amp;IF(P633&lt;0,"; Invalid Discount (Negative)","")&amp;IF(P633&gt;0.5,"; Invalid Discount (Too High)","")&amp;IF(Z633&lt;0,"; Invalid Shipping Record (Ship Before Order)","")&amp;IF(ABS(Q633-W633)&gt;1,"; Sales Mismatch","")&amp;IF(ABS(S633-X633)&gt;1,"; Profit Mismatch","")&amp;IF(COUNTIF($A$2:$A$913,A633)&gt;1,"; Duplicate Order ID Conflict",""),3,500),AC633&amp;IF(B633="","; Missing Order Date","")&amp;IF(C633="","; Missing Ship Date","")&amp;IF(P633&lt;0,"; Invalid Discount (Negative)","")&amp;IF(P633&gt;0.5,"; Invalid Discount (Too High)","")&amp;IF(Z633&lt;0,"; Invalid Shipping Record (Ship Before Order)","")&amp;IF(ABS(Q633-W633)&gt;1,"; Sales Mismatch","")&amp;IF(ABS(S633-X633)&gt;1,"; Profit Mismatch","")&amp;IF(COUNTIF($A$2:$A$913,A633)&gt;1,"; Duplicate Order ID Conflict",""))</f>
        <v/>
      </c>
      <c r="AE633" s="10" t="str">
        <f aca="false">IF(OR(ISNUMBER(SEARCH("Invalid Discount",AD633)),ISNUMBER(SEARCH("Invalid Shipping Record",AD633)),ISNUMBER(SEARCH("Sales Mismatch",AD633)),ISNUMBER(SEARCH("Profit Mismatch",AD633)),ISNUMBER(SEARCH("Duplicate Order ID Conflict",AD633)),ISNUMBER(SEARCH("Missing Order Date",AD633)),ISNUMBER(SEARCH("Missing Ship Date",AD633))),"Invalid",IF(AD633&lt;&gt;"","Warning","Clean"))</f>
        <v>Clean</v>
      </c>
    </row>
    <row r="634" customFormat="false" ht="15" hidden="false" customHeight="true" outlineLevel="0" collapsed="false">
      <c r="A634" s="3" t="s">
        <v>1908</v>
      </c>
      <c r="B634" s="4" t="n">
        <v>45762</v>
      </c>
      <c r="C634" s="4" t="n">
        <v>45763</v>
      </c>
      <c r="D634" s="3" t="s">
        <v>1909</v>
      </c>
      <c r="E634" s="3" t="str">
        <f aca="false">PROPER(TRIM(SUBSTITUTE(Raw_Text_Fields!B635,CHAR(160)," ")))</f>
        <v>Sneha Kapoor</v>
      </c>
      <c r="F634" s="3" t="str">
        <f aca="false">PROPER(TRIM(SUBSTITUTE(Raw_Text_Fields!C635,CHAR(160)," ")))</f>
        <v>Small Business</v>
      </c>
      <c r="G634" s="3" t="str">
        <f aca="false">PROPER(TRIM(SUBSTITUTE(Raw_Text_Fields!D635,CHAR(160)," ")))</f>
        <v>South</v>
      </c>
      <c r="H634" s="3" t="str">
        <f aca="false">PROPER(TRIM(SUBSTITUTE(Raw_Text_Fields!E635,CHAR(160)," ")))</f>
        <v>Karnataka</v>
      </c>
      <c r="I634" s="3" t="str">
        <f aca="false">PROPER(TRIM(SUBSTITUTE(Raw_Text_Fields!F635,CHAR(160)," ")))</f>
        <v>Bengaluru</v>
      </c>
      <c r="J634" s="3" t="str">
        <f aca="false">PROPER(TRIM(SUBSTITUTE(Raw_Text_Fields!G635,CHAR(160)," ")))</f>
        <v>Furniture</v>
      </c>
      <c r="K634" s="3" t="str">
        <f aca="false">PROPER(TRIM(SUBSTITUTE(Raw_Text_Fields!H635,CHAR(160)," ")))</f>
        <v>Furnishings</v>
      </c>
      <c r="L634" s="3" t="s">
        <v>1910</v>
      </c>
      <c r="M634" s="3" t="str">
        <f aca="false">PROPER(TRIM(SUBSTITUTE(Raw_Text_Fields!I635,CHAR(160)," ")))</f>
        <v>First Class</v>
      </c>
      <c r="N634" s="3" t="n">
        <v>5</v>
      </c>
      <c r="O634" s="5" t="n">
        <v>2850.53</v>
      </c>
      <c r="P634" s="6" t="n">
        <v>0</v>
      </c>
      <c r="Q634" s="5" t="n">
        <v>14252.65</v>
      </c>
      <c r="R634" s="5" t="n">
        <v>11558.31</v>
      </c>
      <c r="S634" s="5" t="n">
        <v>2694.34</v>
      </c>
      <c r="T634" s="3" t="str">
        <f aca="false">PROPER(TRIM(SUBSTITUTE(Raw_Text_Fields!J635,CHAR(160)," ")))</f>
        <v>Paid</v>
      </c>
      <c r="U634" s="3" t="str">
        <f aca="false">PROPER(TRIM(SUBSTITUTE(Raw_Text_Fields!K635,CHAR(160)," ")))</f>
        <v>Completed</v>
      </c>
      <c r="V634" s="7" t="n">
        <f aca="false">IF(OR(P634&lt;0,P634&gt;0.5),0,P634)</f>
        <v>0</v>
      </c>
      <c r="W634" s="8" t="n">
        <f aca="false">N634*O634*(1-V634)</f>
        <v>14252.65</v>
      </c>
      <c r="X634" s="8" t="n">
        <f aca="false">W634-R634</f>
        <v>2694.34</v>
      </c>
      <c r="Y634" s="7" t="n">
        <f aca="false">IFERROR(X634/W634,0)</f>
        <v>0.189041336172572</v>
      </c>
      <c r="Z634" s="9" t="n">
        <f aca="false">C634-B634</f>
        <v>1</v>
      </c>
      <c r="AA634" s="1" t="str">
        <f aca="false">IF(B634="","",TEXT(B634,"mmm"))</f>
        <v>Apr</v>
      </c>
      <c r="AB634" s="9" t="n">
        <f aca="false">IF(B634="","",YEAR(B634))</f>
        <v>2025</v>
      </c>
      <c r="AC634" s="3"/>
      <c r="AD634" s="3" t="str">
        <f aca="false">IF(LEFT(AC634&amp;IF(B634="","; Missing Order Date","")&amp;IF(C634="","; Missing Ship Date","")&amp;IF(P634&lt;0,"; Invalid Discount (Negative)","")&amp;IF(P634&gt;0.5,"; Invalid Discount (Too High)","")&amp;IF(Z634&lt;0,"; Invalid Shipping Record (Ship Before Order)","")&amp;IF(ABS(Q634-W634)&gt;1,"; Sales Mismatch","")&amp;IF(ABS(S634-X634)&gt;1,"; Profit Mismatch","")&amp;IF(COUNTIF($A$2:$A$913,A634)&gt;1,"; Duplicate Order ID Conflict",""),2)="; ",MID(AC634&amp;IF(B634="","; Missing Order Date","")&amp;IF(C634="","; Missing Ship Date","")&amp;IF(P634&lt;0,"; Invalid Discount (Negative)","")&amp;IF(P634&gt;0.5,"; Invalid Discount (Too High)","")&amp;IF(Z634&lt;0,"; Invalid Shipping Record (Ship Before Order)","")&amp;IF(ABS(Q634-W634)&gt;1,"; Sales Mismatch","")&amp;IF(ABS(S634-X634)&gt;1,"; Profit Mismatch","")&amp;IF(COUNTIF($A$2:$A$913,A634)&gt;1,"; Duplicate Order ID Conflict",""),3,500),AC634&amp;IF(B634="","; Missing Order Date","")&amp;IF(C634="","; Missing Ship Date","")&amp;IF(P634&lt;0,"; Invalid Discount (Negative)","")&amp;IF(P634&gt;0.5,"; Invalid Discount (Too High)","")&amp;IF(Z634&lt;0,"; Invalid Shipping Record (Ship Before Order)","")&amp;IF(ABS(Q634-W634)&gt;1,"; Sales Mismatch","")&amp;IF(ABS(S634-X634)&gt;1,"; Profit Mismatch","")&amp;IF(COUNTIF($A$2:$A$913,A634)&gt;1,"; Duplicate Order ID Conflict",""))</f>
        <v/>
      </c>
      <c r="AE634" s="10" t="str">
        <f aca="false">IF(OR(ISNUMBER(SEARCH("Invalid Discount",AD634)),ISNUMBER(SEARCH("Invalid Shipping Record",AD634)),ISNUMBER(SEARCH("Sales Mismatch",AD634)),ISNUMBER(SEARCH("Profit Mismatch",AD634)),ISNUMBER(SEARCH("Duplicate Order ID Conflict",AD634)),ISNUMBER(SEARCH("Missing Order Date",AD634)),ISNUMBER(SEARCH("Missing Ship Date",AD634))),"Invalid",IF(AD634&lt;&gt;"","Warning","Clean"))</f>
        <v>Clean</v>
      </c>
    </row>
    <row r="635" customFormat="false" ht="15" hidden="false" customHeight="true" outlineLevel="0" collapsed="false">
      <c r="A635" s="3" t="s">
        <v>1911</v>
      </c>
      <c r="B635" s="4" t="n">
        <v>45765</v>
      </c>
      <c r="C635" s="4" t="n">
        <v>45767</v>
      </c>
      <c r="D635" s="3" t="s">
        <v>1912</v>
      </c>
      <c r="E635" s="3" t="str">
        <f aca="false">PROPER(TRIM(SUBSTITUTE(Raw_Text_Fields!B636,CHAR(160)," ")))</f>
        <v>Aarav Sharma</v>
      </c>
      <c r="F635" s="3" t="str">
        <f aca="false">PROPER(TRIM(SUBSTITUTE(Raw_Text_Fields!C636,CHAR(160)," ")))</f>
        <v>Small Business</v>
      </c>
      <c r="G635" s="3" t="str">
        <f aca="false">PROPER(TRIM(SUBSTITUTE(Raw_Text_Fields!D636,CHAR(160)," ")))</f>
        <v>South</v>
      </c>
      <c r="H635" s="3" t="str">
        <f aca="false">PROPER(TRIM(SUBSTITUTE(Raw_Text_Fields!E636,CHAR(160)," ")))</f>
        <v>Tamil Nadu</v>
      </c>
      <c r="I635" s="3" t="str">
        <f aca="false">PROPER(TRIM(SUBSTITUTE(Raw_Text_Fields!F636,CHAR(160)," ")))</f>
        <v>Chennai</v>
      </c>
      <c r="J635" s="3" t="str">
        <f aca="false">PROPER(TRIM(SUBSTITUTE(Raw_Text_Fields!G636,CHAR(160)," ")))</f>
        <v>Technology</v>
      </c>
      <c r="K635" s="3" t="str">
        <f aca="false">PROPER(TRIM(SUBSTITUTE(Raw_Text_Fields!H636,CHAR(160)," ")))</f>
        <v>Accessories</v>
      </c>
      <c r="L635" s="3" t="s">
        <v>1913</v>
      </c>
      <c r="M635" s="3" t="str">
        <f aca="false">PROPER(TRIM(SUBSTITUTE(Raw_Text_Fields!I636,CHAR(160)," ")))</f>
        <v>Second Class</v>
      </c>
      <c r="N635" s="3" t="n">
        <v>1</v>
      </c>
      <c r="O635" s="5" t="n">
        <v>1626.08</v>
      </c>
      <c r="P635" s="6" t="n">
        <v>0.15</v>
      </c>
      <c r="Q635" s="5" t="n">
        <v>1382.17</v>
      </c>
      <c r="R635" s="5" t="n">
        <v>810.03</v>
      </c>
      <c r="S635" s="5" t="n">
        <v>572.14</v>
      </c>
      <c r="T635" s="3" t="str">
        <f aca="false">PROPER(TRIM(SUBSTITUTE(Raw_Text_Fields!J636,CHAR(160)," ")))</f>
        <v>Paid</v>
      </c>
      <c r="U635" s="3" t="str">
        <f aca="false">PROPER(TRIM(SUBSTITUTE(Raw_Text_Fields!K636,CHAR(160)," ")))</f>
        <v>Completed</v>
      </c>
      <c r="V635" s="7" t="n">
        <f aca="false">IF(OR(P635&lt;0,P635&gt;0.5),0,P635)</f>
        <v>0.15</v>
      </c>
      <c r="W635" s="8" t="n">
        <f aca="false">N635*O635*(1-V635)</f>
        <v>1382.168</v>
      </c>
      <c r="X635" s="8" t="n">
        <f aca="false">W635-R635</f>
        <v>572.138</v>
      </c>
      <c r="Y635" s="7" t="n">
        <f aca="false">IFERROR(X635/W635,0)</f>
        <v>0.413942444044429</v>
      </c>
      <c r="Z635" s="9" t="n">
        <f aca="false">C635-B635</f>
        <v>2</v>
      </c>
      <c r="AA635" s="1" t="str">
        <f aca="false">IF(B635="","",TEXT(B635,"mmm"))</f>
        <v>Apr</v>
      </c>
      <c r="AB635" s="9" t="n">
        <f aca="false">IF(B635="","",YEAR(B635))</f>
        <v>2025</v>
      </c>
      <c r="AC635" s="3"/>
      <c r="AD635" s="3" t="str">
        <f aca="false">IF(LEFT(AC635&amp;IF(B635="","; Missing Order Date","")&amp;IF(C635="","; Missing Ship Date","")&amp;IF(P635&lt;0,"; Invalid Discount (Negative)","")&amp;IF(P635&gt;0.5,"; Invalid Discount (Too High)","")&amp;IF(Z635&lt;0,"; Invalid Shipping Record (Ship Before Order)","")&amp;IF(ABS(Q635-W635)&gt;1,"; Sales Mismatch","")&amp;IF(ABS(S635-X635)&gt;1,"; Profit Mismatch","")&amp;IF(COUNTIF($A$2:$A$913,A635)&gt;1,"; Duplicate Order ID Conflict",""),2)="; ",MID(AC635&amp;IF(B635="","; Missing Order Date","")&amp;IF(C635="","; Missing Ship Date","")&amp;IF(P635&lt;0,"; Invalid Discount (Negative)","")&amp;IF(P635&gt;0.5,"; Invalid Discount (Too High)","")&amp;IF(Z635&lt;0,"; Invalid Shipping Record (Ship Before Order)","")&amp;IF(ABS(Q635-W635)&gt;1,"; Sales Mismatch","")&amp;IF(ABS(S635-X635)&gt;1,"; Profit Mismatch","")&amp;IF(COUNTIF($A$2:$A$913,A635)&gt;1,"; Duplicate Order ID Conflict",""),3,500),AC635&amp;IF(B635="","; Missing Order Date","")&amp;IF(C635="","; Missing Ship Date","")&amp;IF(P635&lt;0,"; Invalid Discount (Negative)","")&amp;IF(P635&gt;0.5,"; Invalid Discount (Too High)","")&amp;IF(Z635&lt;0,"; Invalid Shipping Record (Ship Before Order)","")&amp;IF(ABS(Q635-W635)&gt;1,"; Sales Mismatch","")&amp;IF(ABS(S635-X635)&gt;1,"; Profit Mismatch","")&amp;IF(COUNTIF($A$2:$A$913,A635)&gt;1,"; Duplicate Order ID Conflict",""))</f>
        <v/>
      </c>
      <c r="AE635" s="10" t="str">
        <f aca="false">IF(OR(ISNUMBER(SEARCH("Invalid Discount",AD635)),ISNUMBER(SEARCH("Invalid Shipping Record",AD635)),ISNUMBER(SEARCH("Sales Mismatch",AD635)),ISNUMBER(SEARCH("Profit Mismatch",AD635)),ISNUMBER(SEARCH("Duplicate Order ID Conflict",AD635)),ISNUMBER(SEARCH("Missing Order Date",AD635)),ISNUMBER(SEARCH("Missing Ship Date",AD635))),"Invalid",IF(AD635&lt;&gt;"","Warning","Clean"))</f>
        <v>Clean</v>
      </c>
    </row>
    <row r="636" customFormat="false" ht="15" hidden="false" customHeight="true" outlineLevel="0" collapsed="false">
      <c r="A636" s="3" t="s">
        <v>1914</v>
      </c>
      <c r="B636" s="4" t="n">
        <v>45668</v>
      </c>
      <c r="C636" s="4" t="n">
        <v>45669</v>
      </c>
      <c r="D636" s="3" t="s">
        <v>1915</v>
      </c>
      <c r="E636" s="3" t="str">
        <f aca="false">PROPER(TRIM(SUBSTITUTE(Raw_Text_Fields!B637,CHAR(160)," ")))</f>
        <v>Aditi Sen</v>
      </c>
      <c r="F636" s="3" t="str">
        <f aca="false">PROPER(TRIM(SUBSTITUTE(Raw_Text_Fields!C637,CHAR(160)," ")))</f>
        <v>Consumer</v>
      </c>
      <c r="G636" s="3" t="str">
        <f aca="false">PROPER(TRIM(SUBSTITUTE(Raw_Text_Fields!D637,CHAR(160)," ")))</f>
        <v>South</v>
      </c>
      <c r="H636" s="3" t="str">
        <f aca="false">PROPER(TRIM(SUBSTITUTE(Raw_Text_Fields!E637,CHAR(160)," ")))</f>
        <v>Telangana</v>
      </c>
      <c r="I636" s="3" t="str">
        <f aca="false">PROPER(TRIM(SUBSTITUTE(Raw_Text_Fields!F637,CHAR(160)," ")))</f>
        <v>Hyderabad</v>
      </c>
      <c r="J636" s="3" t="str">
        <f aca="false">PROPER(TRIM(SUBSTITUTE(Raw_Text_Fields!G637,CHAR(160)," ")))</f>
        <v>Furniture</v>
      </c>
      <c r="K636" s="3" t="str">
        <f aca="false">PROPER(TRIM(SUBSTITUTE(Raw_Text_Fields!H637,CHAR(160)," ")))</f>
        <v>Chairs</v>
      </c>
      <c r="L636" s="3" t="s">
        <v>1916</v>
      </c>
      <c r="M636" s="3" t="str">
        <f aca="false">PROPER(TRIM(SUBSTITUTE(Raw_Text_Fields!I637,CHAR(160)," ")))</f>
        <v>Second Class</v>
      </c>
      <c r="N636" s="3" t="n">
        <v>4</v>
      </c>
      <c r="O636" s="5" t="n">
        <v>2427.15</v>
      </c>
      <c r="P636" s="6" t="n">
        <v>0.05</v>
      </c>
      <c r="Q636" s="5" t="n">
        <v>9223.17</v>
      </c>
      <c r="R636" s="5" t="n">
        <v>5103.7</v>
      </c>
      <c r="S636" s="5" t="n">
        <v>4119.47</v>
      </c>
      <c r="T636" s="3" t="str">
        <f aca="false">PROPER(TRIM(SUBSTITUTE(Raw_Text_Fields!J637,CHAR(160)," ")))</f>
        <v>Paid</v>
      </c>
      <c r="U636" s="3" t="str">
        <f aca="false">PROPER(TRIM(SUBSTITUTE(Raw_Text_Fields!K637,CHAR(160)," ")))</f>
        <v>Completed</v>
      </c>
      <c r="V636" s="7" t="n">
        <f aca="false">IF(OR(P636&lt;0,P636&gt;0.5),0,P636)</f>
        <v>0.05</v>
      </c>
      <c r="W636" s="8" t="n">
        <f aca="false">N636*O636*(1-V636)</f>
        <v>9223.17</v>
      </c>
      <c r="X636" s="8" t="n">
        <f aca="false">W636-R636</f>
        <v>4119.47</v>
      </c>
      <c r="Y636" s="7" t="n">
        <f aca="false">IFERROR(X636/W636,0)</f>
        <v>0.446643616023558</v>
      </c>
      <c r="Z636" s="9" t="n">
        <f aca="false">C636-B636</f>
        <v>1</v>
      </c>
      <c r="AA636" s="1" t="str">
        <f aca="false">IF(B636="","",TEXT(B636,"mmm"))</f>
        <v>Jan</v>
      </c>
      <c r="AB636" s="9" t="n">
        <f aca="false">IF(B636="","",YEAR(B636))</f>
        <v>2025</v>
      </c>
      <c r="AC636" s="3"/>
      <c r="AD636" s="3" t="str">
        <f aca="false">IF(LEFT(AC636&amp;IF(B636="","; Missing Order Date","")&amp;IF(C636="","; Missing Ship Date","")&amp;IF(P636&lt;0,"; Invalid Discount (Negative)","")&amp;IF(P636&gt;0.5,"; Invalid Discount (Too High)","")&amp;IF(Z636&lt;0,"; Invalid Shipping Record (Ship Before Order)","")&amp;IF(ABS(Q636-W636)&gt;1,"; Sales Mismatch","")&amp;IF(ABS(S636-X636)&gt;1,"; Profit Mismatch","")&amp;IF(COUNTIF($A$2:$A$913,A636)&gt;1,"; Duplicate Order ID Conflict",""),2)="; ",MID(AC636&amp;IF(B636="","; Missing Order Date","")&amp;IF(C636="","; Missing Ship Date","")&amp;IF(P636&lt;0,"; Invalid Discount (Negative)","")&amp;IF(P636&gt;0.5,"; Invalid Discount (Too High)","")&amp;IF(Z636&lt;0,"; Invalid Shipping Record (Ship Before Order)","")&amp;IF(ABS(Q636-W636)&gt;1,"; Sales Mismatch","")&amp;IF(ABS(S636-X636)&gt;1,"; Profit Mismatch","")&amp;IF(COUNTIF($A$2:$A$913,A636)&gt;1,"; Duplicate Order ID Conflict",""),3,500),AC636&amp;IF(B636="","; Missing Order Date","")&amp;IF(C636="","; Missing Ship Date","")&amp;IF(P636&lt;0,"; Invalid Discount (Negative)","")&amp;IF(P636&gt;0.5,"; Invalid Discount (Too High)","")&amp;IF(Z636&lt;0,"; Invalid Shipping Record (Ship Before Order)","")&amp;IF(ABS(Q636-W636)&gt;1,"; Sales Mismatch","")&amp;IF(ABS(S636-X636)&gt;1,"; Profit Mismatch","")&amp;IF(COUNTIF($A$2:$A$913,A636)&gt;1,"; Duplicate Order ID Conflict",""))</f>
        <v/>
      </c>
      <c r="AE636" s="10" t="str">
        <f aca="false">IF(OR(ISNUMBER(SEARCH("Invalid Discount",AD636)),ISNUMBER(SEARCH("Invalid Shipping Record",AD636)),ISNUMBER(SEARCH("Sales Mismatch",AD636)),ISNUMBER(SEARCH("Profit Mismatch",AD636)),ISNUMBER(SEARCH("Duplicate Order ID Conflict",AD636)),ISNUMBER(SEARCH("Missing Order Date",AD636)),ISNUMBER(SEARCH("Missing Ship Date",AD636))),"Invalid",IF(AD636&lt;&gt;"","Warning","Clean"))</f>
        <v>Clean</v>
      </c>
    </row>
    <row r="637" customFormat="false" ht="15" hidden="false" customHeight="true" outlineLevel="0" collapsed="false">
      <c r="A637" s="3" t="s">
        <v>1917</v>
      </c>
      <c r="B637" s="4" t="n">
        <v>45432</v>
      </c>
      <c r="C637" s="4" t="n">
        <v>45437</v>
      </c>
      <c r="D637" s="3" t="s">
        <v>1918</v>
      </c>
      <c r="E637" s="3" t="str">
        <f aca="false">PROPER(TRIM(SUBSTITUTE(Raw_Text_Fields!B638,CHAR(160)," ")))</f>
        <v>Mira Das</v>
      </c>
      <c r="F637" s="3" t="str">
        <f aca="false">PROPER(TRIM(SUBSTITUTE(Raw_Text_Fields!C638,CHAR(160)," ")))</f>
        <v>Corporate</v>
      </c>
      <c r="G637" s="3" t="str">
        <f aca="false">PROPER(TRIM(SUBSTITUTE(Raw_Text_Fields!D638,CHAR(160)," ")))</f>
        <v>South</v>
      </c>
      <c r="H637" s="3" t="str">
        <f aca="false">PROPER(TRIM(SUBSTITUTE(Raw_Text_Fields!E638,CHAR(160)," ")))</f>
        <v>Andhra Pradesh</v>
      </c>
      <c r="I637" s="3" t="str">
        <f aca="false">PROPER(TRIM(SUBSTITUTE(Raw_Text_Fields!F638,CHAR(160)," ")))</f>
        <v>Vijayawada</v>
      </c>
      <c r="J637" s="3" t="str">
        <f aca="false">PROPER(TRIM(SUBSTITUTE(Raw_Text_Fields!G638,CHAR(160)," ")))</f>
        <v>Furniture</v>
      </c>
      <c r="K637" s="3" t="str">
        <f aca="false">PROPER(TRIM(SUBSTITUTE(Raw_Text_Fields!H638,CHAR(160)," ")))</f>
        <v>Chairs</v>
      </c>
      <c r="L637" s="3" t="s">
        <v>1919</v>
      </c>
      <c r="M637" s="3" t="str">
        <f aca="false">PROPER(TRIM(SUBSTITUTE(Raw_Text_Fields!I638,CHAR(160)," ")))</f>
        <v>Same Day</v>
      </c>
      <c r="N637" s="3" t="n">
        <v>7</v>
      </c>
      <c r="O637" s="5" t="n">
        <v>3122.85</v>
      </c>
      <c r="P637" s="6" t="n">
        <v>0.25</v>
      </c>
      <c r="Q637" s="5" t="n">
        <v>16394.96</v>
      </c>
      <c r="R637" s="5" t="n">
        <v>10404.17</v>
      </c>
      <c r="S637" s="5" t="n">
        <v>5990.79</v>
      </c>
      <c r="T637" s="3" t="str">
        <f aca="false">PROPER(TRIM(SUBSTITUTE(Raw_Text_Fields!J638,CHAR(160)," ")))</f>
        <v>Paid</v>
      </c>
      <c r="U637" s="3" t="str">
        <f aca="false">PROPER(TRIM(SUBSTITUTE(Raw_Text_Fields!K638,CHAR(160)," ")))</f>
        <v>Completed</v>
      </c>
      <c r="V637" s="7" t="n">
        <f aca="false">IF(OR(P637&lt;0,P637&gt;0.5),0,P637)</f>
        <v>0.25</v>
      </c>
      <c r="W637" s="8" t="n">
        <f aca="false">N637*O637*(1-V637)</f>
        <v>16394.9625</v>
      </c>
      <c r="X637" s="8" t="n">
        <f aca="false">W637-R637</f>
        <v>5990.7925</v>
      </c>
      <c r="Y637" s="7" t="n">
        <f aca="false">IFERROR(X637/W637,0)</f>
        <v>0.365404464938544</v>
      </c>
      <c r="Z637" s="9" t="n">
        <f aca="false">C637-B637</f>
        <v>5</v>
      </c>
      <c r="AA637" s="1" t="str">
        <f aca="false">IF(B637="","",TEXT(B637,"mmm"))</f>
        <v>May</v>
      </c>
      <c r="AB637" s="9" t="n">
        <f aca="false">IF(B637="","",YEAR(B637))</f>
        <v>2024</v>
      </c>
      <c r="AC637" s="3"/>
      <c r="AD637" s="3" t="str">
        <f aca="false">IF(LEFT(AC637&amp;IF(B637="","; Missing Order Date","")&amp;IF(C637="","; Missing Ship Date","")&amp;IF(P637&lt;0,"; Invalid Discount (Negative)","")&amp;IF(P637&gt;0.5,"; Invalid Discount (Too High)","")&amp;IF(Z637&lt;0,"; Invalid Shipping Record (Ship Before Order)","")&amp;IF(ABS(Q637-W637)&gt;1,"; Sales Mismatch","")&amp;IF(ABS(S637-X637)&gt;1,"; Profit Mismatch","")&amp;IF(COUNTIF($A$2:$A$913,A637)&gt;1,"; Duplicate Order ID Conflict",""),2)="; ",MID(AC637&amp;IF(B637="","; Missing Order Date","")&amp;IF(C637="","; Missing Ship Date","")&amp;IF(P637&lt;0,"; Invalid Discount (Negative)","")&amp;IF(P637&gt;0.5,"; Invalid Discount (Too High)","")&amp;IF(Z637&lt;0,"; Invalid Shipping Record (Ship Before Order)","")&amp;IF(ABS(Q637-W637)&gt;1,"; Sales Mismatch","")&amp;IF(ABS(S637-X637)&gt;1,"; Profit Mismatch","")&amp;IF(COUNTIF($A$2:$A$913,A637)&gt;1,"; Duplicate Order ID Conflict",""),3,500),AC637&amp;IF(B637="","; Missing Order Date","")&amp;IF(C637="","; Missing Ship Date","")&amp;IF(P637&lt;0,"; Invalid Discount (Negative)","")&amp;IF(P637&gt;0.5,"; Invalid Discount (Too High)","")&amp;IF(Z637&lt;0,"; Invalid Shipping Record (Ship Before Order)","")&amp;IF(ABS(Q637-W637)&gt;1,"; Sales Mismatch","")&amp;IF(ABS(S637-X637)&gt;1,"; Profit Mismatch","")&amp;IF(COUNTIF($A$2:$A$913,A637)&gt;1,"; Duplicate Order ID Conflict",""))</f>
        <v/>
      </c>
      <c r="AE637" s="10" t="str">
        <f aca="false">IF(OR(ISNUMBER(SEARCH("Invalid Discount",AD637)),ISNUMBER(SEARCH("Invalid Shipping Record",AD637)),ISNUMBER(SEARCH("Sales Mismatch",AD637)),ISNUMBER(SEARCH("Profit Mismatch",AD637)),ISNUMBER(SEARCH("Duplicate Order ID Conflict",AD637)),ISNUMBER(SEARCH("Missing Order Date",AD637)),ISNUMBER(SEARCH("Missing Ship Date",AD637))),"Invalid",IF(AD637&lt;&gt;"","Warning","Clean"))</f>
        <v>Clean</v>
      </c>
    </row>
    <row r="638" customFormat="false" ht="15" hidden="false" customHeight="true" outlineLevel="0" collapsed="false">
      <c r="A638" s="3" t="s">
        <v>1920</v>
      </c>
      <c r="B638" s="4" t="n">
        <v>45567</v>
      </c>
      <c r="C638" s="4" t="n">
        <v>45574</v>
      </c>
      <c r="D638" s="3" t="s">
        <v>1921</v>
      </c>
      <c r="E638" s="3" t="str">
        <f aca="false">PROPER(TRIM(SUBSTITUTE(Raw_Text_Fields!B639,CHAR(160)," ")))</f>
        <v>Ananya Rao</v>
      </c>
      <c r="F638" s="3" t="str">
        <f aca="false">PROPER(TRIM(SUBSTITUTE(Raw_Text_Fields!C639,CHAR(160)," ")))</f>
        <v>Consumer</v>
      </c>
      <c r="G638" s="3" t="str">
        <f aca="false">PROPER(TRIM(SUBSTITUTE(Raw_Text_Fields!D639,CHAR(160)," ")))</f>
        <v>South</v>
      </c>
      <c r="H638" s="3" t="str">
        <f aca="false">PROPER(TRIM(SUBSTITUTE(Raw_Text_Fields!E639,CHAR(160)," ")))</f>
        <v>Tamil Nadu</v>
      </c>
      <c r="I638" s="3" t="str">
        <f aca="false">PROPER(TRIM(SUBSTITUTE(Raw_Text_Fields!F639,CHAR(160)," ")))</f>
        <v>Chennai</v>
      </c>
      <c r="J638" s="3" t="str">
        <f aca="false">PROPER(TRIM(SUBSTITUTE(Raw_Text_Fields!G639,CHAR(160)," ")))</f>
        <v>Office Supplies</v>
      </c>
      <c r="K638" s="3" t="str">
        <f aca="false">PROPER(TRIM(SUBSTITUTE(Raw_Text_Fields!H639,CHAR(160)," ")))</f>
        <v>Paper</v>
      </c>
      <c r="L638" s="3" t="s">
        <v>1922</v>
      </c>
      <c r="M638" s="3" t="str">
        <f aca="false">PROPER(TRIM(SUBSTITUTE(Raw_Text_Fields!I639,CHAR(160)," ")))</f>
        <v>Standard Class</v>
      </c>
      <c r="N638" s="3" t="n">
        <v>8</v>
      </c>
      <c r="O638" s="5" t="n">
        <v>1910.31</v>
      </c>
      <c r="P638" s="6" t="n">
        <v>0.15</v>
      </c>
      <c r="Q638" s="5" t="n">
        <v>12990.11</v>
      </c>
      <c r="R638" s="5" t="n">
        <v>10200.8</v>
      </c>
      <c r="S638" s="5" t="n">
        <v>2789.31</v>
      </c>
      <c r="T638" s="3" t="str">
        <f aca="false">PROPER(TRIM(SUBSTITUTE(Raw_Text_Fields!J639,CHAR(160)," ")))</f>
        <v>Paid</v>
      </c>
      <c r="U638" s="3" t="str">
        <f aca="false">PROPER(TRIM(SUBSTITUTE(Raw_Text_Fields!K639,CHAR(160)," ")))</f>
        <v>Completed</v>
      </c>
      <c r="V638" s="7" t="n">
        <f aca="false">IF(OR(P638&lt;0,P638&gt;0.5),0,P638)</f>
        <v>0.15</v>
      </c>
      <c r="W638" s="8" t="n">
        <f aca="false">N638*O638*(1-V638)</f>
        <v>12990.108</v>
      </c>
      <c r="X638" s="8" t="n">
        <f aca="false">W638-R638</f>
        <v>2789.308</v>
      </c>
      <c r="Y638" s="7" t="n">
        <f aca="false">IFERROR(X638/W638,0)</f>
        <v>0.214725543467383</v>
      </c>
      <c r="Z638" s="9" t="n">
        <f aca="false">C638-B638</f>
        <v>7</v>
      </c>
      <c r="AA638" s="1" t="str">
        <f aca="false">IF(B638="","",TEXT(B638,"mmm"))</f>
        <v>Oct</v>
      </c>
      <c r="AB638" s="9" t="n">
        <f aca="false">IF(B638="","",YEAR(B638))</f>
        <v>2024</v>
      </c>
      <c r="AC638" s="3"/>
      <c r="AD638" s="3" t="str">
        <f aca="false">IF(LEFT(AC638&amp;IF(B638="","; Missing Order Date","")&amp;IF(C638="","; Missing Ship Date","")&amp;IF(P638&lt;0,"; Invalid Discount (Negative)","")&amp;IF(P638&gt;0.5,"; Invalid Discount (Too High)","")&amp;IF(Z638&lt;0,"; Invalid Shipping Record (Ship Before Order)","")&amp;IF(ABS(Q638-W638)&gt;1,"; Sales Mismatch","")&amp;IF(ABS(S638-X638)&gt;1,"; Profit Mismatch","")&amp;IF(COUNTIF($A$2:$A$913,A638)&gt;1,"; Duplicate Order ID Conflict",""),2)="; ",MID(AC638&amp;IF(B638="","; Missing Order Date","")&amp;IF(C638="","; Missing Ship Date","")&amp;IF(P638&lt;0,"; Invalid Discount (Negative)","")&amp;IF(P638&gt;0.5,"; Invalid Discount (Too High)","")&amp;IF(Z638&lt;0,"; Invalid Shipping Record (Ship Before Order)","")&amp;IF(ABS(Q638-W638)&gt;1,"; Sales Mismatch","")&amp;IF(ABS(S638-X638)&gt;1,"; Profit Mismatch","")&amp;IF(COUNTIF($A$2:$A$913,A638)&gt;1,"; Duplicate Order ID Conflict",""),3,500),AC638&amp;IF(B638="","; Missing Order Date","")&amp;IF(C638="","; Missing Ship Date","")&amp;IF(P638&lt;0,"; Invalid Discount (Negative)","")&amp;IF(P638&gt;0.5,"; Invalid Discount (Too High)","")&amp;IF(Z638&lt;0,"; Invalid Shipping Record (Ship Before Order)","")&amp;IF(ABS(Q638-W638)&gt;1,"; Sales Mismatch","")&amp;IF(ABS(S638-X638)&gt;1,"; Profit Mismatch","")&amp;IF(COUNTIF($A$2:$A$913,A638)&gt;1,"; Duplicate Order ID Conflict",""))</f>
        <v/>
      </c>
      <c r="AE638" s="10" t="str">
        <f aca="false">IF(OR(ISNUMBER(SEARCH("Invalid Discount",AD638)),ISNUMBER(SEARCH("Invalid Shipping Record",AD638)),ISNUMBER(SEARCH("Sales Mismatch",AD638)),ISNUMBER(SEARCH("Profit Mismatch",AD638)),ISNUMBER(SEARCH("Duplicate Order ID Conflict",AD638)),ISNUMBER(SEARCH("Missing Order Date",AD638)),ISNUMBER(SEARCH("Missing Ship Date",AD638))),"Invalid",IF(AD638&lt;&gt;"","Warning","Clean"))</f>
        <v>Clean</v>
      </c>
    </row>
    <row r="639" customFormat="false" ht="15" hidden="false" customHeight="true" outlineLevel="0" collapsed="false">
      <c r="A639" s="3" t="s">
        <v>1923</v>
      </c>
      <c r="B639" s="4" t="n">
        <v>45438</v>
      </c>
      <c r="C639" s="4" t="n">
        <v>45438</v>
      </c>
      <c r="D639" s="3" t="s">
        <v>1924</v>
      </c>
      <c r="E639" s="3" t="str">
        <f aca="false">PROPER(TRIM(SUBSTITUTE(Raw_Text_Fields!B640,CHAR(160)," ")))</f>
        <v>Rahul Verma</v>
      </c>
      <c r="F639" s="3" t="str">
        <f aca="false">PROPER(TRIM(SUBSTITUTE(Raw_Text_Fields!C640,CHAR(160)," ")))</f>
        <v>Small Business</v>
      </c>
      <c r="G639" s="3" t="str">
        <f aca="false">PROPER(TRIM(SUBSTITUTE(Raw_Text_Fields!D640,CHAR(160)," ")))</f>
        <v>West</v>
      </c>
      <c r="H639" s="3" t="str">
        <f aca="false">PROPER(TRIM(SUBSTITUTE(Raw_Text_Fields!E640,CHAR(160)," ")))</f>
        <v>Goa</v>
      </c>
      <c r="I639" s="3" t="str">
        <f aca="false">PROPER(TRIM(SUBSTITUTE(Raw_Text_Fields!F640,CHAR(160)," ")))</f>
        <v>Panaji</v>
      </c>
      <c r="J639" s="3" t="str">
        <f aca="false">PROPER(TRIM(SUBSTITUTE(Raw_Text_Fields!G640,CHAR(160)," ")))</f>
        <v>Technology</v>
      </c>
      <c r="K639" s="3" t="str">
        <f aca="false">PROPER(TRIM(SUBSTITUTE(Raw_Text_Fields!H640,CHAR(160)," ")))</f>
        <v>Copiers</v>
      </c>
      <c r="L639" s="3" t="s">
        <v>1925</v>
      </c>
      <c r="M639" s="3" t="str">
        <f aca="false">PROPER(TRIM(SUBSTITUTE(Raw_Text_Fields!I640,CHAR(160)," ")))</f>
        <v>First Class</v>
      </c>
      <c r="N639" s="3" t="n">
        <v>2</v>
      </c>
      <c r="O639" s="5" t="n">
        <v>3192.47</v>
      </c>
      <c r="P639" s="6" t="n">
        <v>0.2</v>
      </c>
      <c r="Q639" s="5" t="n">
        <v>5107.95</v>
      </c>
      <c r="R639" s="5" t="n">
        <v>3133.08</v>
      </c>
      <c r="S639" s="5" t="n">
        <v>1974.87</v>
      </c>
      <c r="T639" s="3" t="str">
        <f aca="false">PROPER(TRIM(SUBSTITUTE(Raw_Text_Fields!J640,CHAR(160)," ")))</f>
        <v>Paid</v>
      </c>
      <c r="U639" s="3" t="str">
        <f aca="false">PROPER(TRIM(SUBSTITUTE(Raw_Text_Fields!K640,CHAR(160)," ")))</f>
        <v>Completed</v>
      </c>
      <c r="V639" s="7" t="n">
        <f aca="false">IF(OR(P639&lt;0,P639&gt;0.5),0,P639)</f>
        <v>0.2</v>
      </c>
      <c r="W639" s="8" t="n">
        <f aca="false">N639*O639*(1-V639)</f>
        <v>5107.952</v>
      </c>
      <c r="X639" s="8" t="n">
        <f aca="false">W639-R639</f>
        <v>1974.872</v>
      </c>
      <c r="Y639" s="7" t="n">
        <f aca="false">IFERROR(X639/W639,0)</f>
        <v>0.386626969086632</v>
      </c>
      <c r="Z639" s="9" t="n">
        <f aca="false">C639-B639</f>
        <v>0</v>
      </c>
      <c r="AA639" s="1" t="str">
        <f aca="false">IF(B639="","",TEXT(B639,"mmm"))</f>
        <v>May</v>
      </c>
      <c r="AB639" s="9" t="n">
        <f aca="false">IF(B639="","",YEAR(B639))</f>
        <v>2024</v>
      </c>
      <c r="AC639" s="3"/>
      <c r="AD639" s="3" t="str">
        <f aca="false">IF(LEFT(AC639&amp;IF(B639="","; Missing Order Date","")&amp;IF(C639="","; Missing Ship Date","")&amp;IF(P639&lt;0,"; Invalid Discount (Negative)","")&amp;IF(P639&gt;0.5,"; Invalid Discount (Too High)","")&amp;IF(Z639&lt;0,"; Invalid Shipping Record (Ship Before Order)","")&amp;IF(ABS(Q639-W639)&gt;1,"; Sales Mismatch","")&amp;IF(ABS(S639-X639)&gt;1,"; Profit Mismatch","")&amp;IF(COUNTIF($A$2:$A$913,A639)&gt;1,"; Duplicate Order ID Conflict",""),2)="; ",MID(AC639&amp;IF(B639="","; Missing Order Date","")&amp;IF(C639="","; Missing Ship Date","")&amp;IF(P639&lt;0,"; Invalid Discount (Negative)","")&amp;IF(P639&gt;0.5,"; Invalid Discount (Too High)","")&amp;IF(Z639&lt;0,"; Invalid Shipping Record (Ship Before Order)","")&amp;IF(ABS(Q639-W639)&gt;1,"; Sales Mismatch","")&amp;IF(ABS(S639-X639)&gt;1,"; Profit Mismatch","")&amp;IF(COUNTIF($A$2:$A$913,A639)&gt;1,"; Duplicate Order ID Conflict",""),3,500),AC639&amp;IF(B639="","; Missing Order Date","")&amp;IF(C639="","; Missing Ship Date","")&amp;IF(P639&lt;0,"; Invalid Discount (Negative)","")&amp;IF(P639&gt;0.5,"; Invalid Discount (Too High)","")&amp;IF(Z639&lt;0,"; Invalid Shipping Record (Ship Before Order)","")&amp;IF(ABS(Q639-W639)&gt;1,"; Sales Mismatch","")&amp;IF(ABS(S639-X639)&gt;1,"; Profit Mismatch","")&amp;IF(COUNTIF($A$2:$A$913,A639)&gt;1,"; Duplicate Order ID Conflict",""))</f>
        <v/>
      </c>
      <c r="AE639" s="10" t="str">
        <f aca="false">IF(OR(ISNUMBER(SEARCH("Invalid Discount",AD639)),ISNUMBER(SEARCH("Invalid Shipping Record",AD639)),ISNUMBER(SEARCH("Sales Mismatch",AD639)),ISNUMBER(SEARCH("Profit Mismatch",AD639)),ISNUMBER(SEARCH("Duplicate Order ID Conflict",AD639)),ISNUMBER(SEARCH("Missing Order Date",AD639)),ISNUMBER(SEARCH("Missing Ship Date",AD639))),"Invalid",IF(AD639&lt;&gt;"","Warning","Clean"))</f>
        <v>Clean</v>
      </c>
    </row>
    <row r="640" customFormat="false" ht="15" hidden="false" customHeight="true" outlineLevel="0" collapsed="false">
      <c r="A640" s="3" t="s">
        <v>1926</v>
      </c>
      <c r="B640" s="4" t="n">
        <v>45317</v>
      </c>
      <c r="C640" s="4" t="n">
        <v>45322</v>
      </c>
      <c r="D640" s="3" t="s">
        <v>1927</v>
      </c>
      <c r="E640" s="3" t="str">
        <f aca="false">PROPER(TRIM(SUBSTITUTE(Raw_Text_Fields!B641,CHAR(160)," ")))</f>
        <v>Karan Malhotra</v>
      </c>
      <c r="F640" s="3" t="str">
        <f aca="false">PROPER(TRIM(SUBSTITUTE(Raw_Text_Fields!C641,CHAR(160)," ")))</f>
        <v>Corporate</v>
      </c>
      <c r="G640" s="3" t="str">
        <f aca="false">PROPER(TRIM(SUBSTITUTE(Raw_Text_Fields!D641,CHAR(160)," ")))</f>
        <v>South</v>
      </c>
      <c r="H640" s="3" t="str">
        <f aca="false">PROPER(TRIM(SUBSTITUTE(Raw_Text_Fields!E641,CHAR(160)," ")))</f>
        <v>Kerala</v>
      </c>
      <c r="I640" s="3" t="str">
        <f aca="false">PROPER(TRIM(SUBSTITUTE(Raw_Text_Fields!F641,CHAR(160)," ")))</f>
        <v>Kochi</v>
      </c>
      <c r="J640" s="3" t="str">
        <f aca="false">PROPER(TRIM(SUBSTITUTE(Raw_Text_Fields!G641,CHAR(160)," ")))</f>
        <v>Office Supplies</v>
      </c>
      <c r="K640" s="3" t="str">
        <f aca="false">PROPER(TRIM(SUBSTITUTE(Raw_Text_Fields!H641,CHAR(160)," ")))</f>
        <v>Storage</v>
      </c>
      <c r="L640" s="3" t="s">
        <v>1928</v>
      </c>
      <c r="M640" s="3" t="str">
        <f aca="false">PROPER(TRIM(SUBSTITUTE(Raw_Text_Fields!I641,CHAR(160)," ")))</f>
        <v>Second Class</v>
      </c>
      <c r="N640" s="3" t="n">
        <v>3</v>
      </c>
      <c r="O640" s="5" t="n">
        <v>3224.32</v>
      </c>
      <c r="P640" s="6" t="n">
        <v>0.2</v>
      </c>
      <c r="Q640" s="5" t="n">
        <v>7738.37</v>
      </c>
      <c r="R640" s="5" t="n">
        <v>4626.85</v>
      </c>
      <c r="S640" s="5" t="n">
        <v>3111.52</v>
      </c>
      <c r="T640" s="3" t="str">
        <f aca="false">PROPER(TRIM(SUBSTITUTE(Raw_Text_Fields!J641,CHAR(160)," ")))</f>
        <v>Failed</v>
      </c>
      <c r="U640" s="3" t="str">
        <f aca="false">PROPER(TRIM(SUBSTITUTE(Raw_Text_Fields!K641,CHAR(160)," ")))</f>
        <v>Returned</v>
      </c>
      <c r="V640" s="7" t="n">
        <f aca="false">IF(OR(P640&lt;0,P640&gt;0.5),0,P640)</f>
        <v>0.2</v>
      </c>
      <c r="W640" s="8" t="n">
        <f aca="false">N640*O640*(1-V640)</f>
        <v>7738.368</v>
      </c>
      <c r="X640" s="8" t="n">
        <f aca="false">W640-R640</f>
        <v>3111.518</v>
      </c>
      <c r="Y640" s="7" t="n">
        <f aca="false">IFERROR(X640/W640,0)</f>
        <v>0.402089691263067</v>
      </c>
      <c r="Z640" s="9" t="n">
        <f aca="false">C640-B640</f>
        <v>5</v>
      </c>
      <c r="AA640" s="1" t="str">
        <f aca="false">IF(B640="","",TEXT(B640,"mmm"))</f>
        <v>Jan</v>
      </c>
      <c r="AB640" s="9" t="n">
        <f aca="false">IF(B640="","",YEAR(B640))</f>
        <v>2024</v>
      </c>
      <c r="AC640" s="3"/>
      <c r="AD640" s="3" t="str">
        <f aca="false">IF(LEFT(AC640&amp;IF(B640="","; Missing Order Date","")&amp;IF(C640="","; Missing Ship Date","")&amp;IF(P640&lt;0,"; Invalid Discount (Negative)","")&amp;IF(P640&gt;0.5,"; Invalid Discount (Too High)","")&amp;IF(Z640&lt;0,"; Invalid Shipping Record (Ship Before Order)","")&amp;IF(ABS(Q640-W640)&gt;1,"; Sales Mismatch","")&amp;IF(ABS(S640-X640)&gt;1,"; Profit Mismatch","")&amp;IF(COUNTIF($A$2:$A$913,A640)&gt;1,"; Duplicate Order ID Conflict",""),2)="; ",MID(AC640&amp;IF(B640="","; Missing Order Date","")&amp;IF(C640="","; Missing Ship Date","")&amp;IF(P640&lt;0,"; Invalid Discount (Negative)","")&amp;IF(P640&gt;0.5,"; Invalid Discount (Too High)","")&amp;IF(Z640&lt;0,"; Invalid Shipping Record (Ship Before Order)","")&amp;IF(ABS(Q640-W640)&gt;1,"; Sales Mismatch","")&amp;IF(ABS(S640-X640)&gt;1,"; Profit Mismatch","")&amp;IF(COUNTIF($A$2:$A$913,A640)&gt;1,"; Duplicate Order ID Conflict",""),3,500),AC640&amp;IF(B640="","; Missing Order Date","")&amp;IF(C640="","; Missing Ship Date","")&amp;IF(P640&lt;0,"; Invalid Discount (Negative)","")&amp;IF(P640&gt;0.5,"; Invalid Discount (Too High)","")&amp;IF(Z640&lt;0,"; Invalid Shipping Record (Ship Before Order)","")&amp;IF(ABS(Q640-W640)&gt;1,"; Sales Mismatch","")&amp;IF(ABS(S640-X640)&gt;1,"; Profit Mismatch","")&amp;IF(COUNTIF($A$2:$A$913,A640)&gt;1,"; Duplicate Order ID Conflict",""))</f>
        <v/>
      </c>
      <c r="AE640" s="10" t="str">
        <f aca="false">IF(OR(ISNUMBER(SEARCH("Invalid Discount",AD640)),ISNUMBER(SEARCH("Invalid Shipping Record",AD640)),ISNUMBER(SEARCH("Sales Mismatch",AD640)),ISNUMBER(SEARCH("Profit Mismatch",AD640)),ISNUMBER(SEARCH("Duplicate Order ID Conflict",AD640)),ISNUMBER(SEARCH("Missing Order Date",AD640)),ISNUMBER(SEARCH("Missing Ship Date",AD640))),"Invalid",IF(AD640&lt;&gt;"","Warning","Clean"))</f>
        <v>Clean</v>
      </c>
    </row>
    <row r="641" customFormat="false" ht="15" hidden="false" customHeight="true" outlineLevel="0" collapsed="false">
      <c r="A641" s="3" t="s">
        <v>1929</v>
      </c>
      <c r="B641" s="4" t="n">
        <v>45653</v>
      </c>
      <c r="C641" s="4" t="n">
        <v>45657</v>
      </c>
      <c r="D641" s="3" t="s">
        <v>1930</v>
      </c>
      <c r="E641" s="3" t="str">
        <f aca="false">PROPER(TRIM(SUBSTITUTE(Raw_Text_Fields!B642,CHAR(160)," ")))</f>
        <v>Isha Nair</v>
      </c>
      <c r="F641" s="3" t="str">
        <f aca="false">PROPER(TRIM(SUBSTITUTE(Raw_Text_Fields!C642,CHAR(160)," ")))</f>
        <v>Small Business</v>
      </c>
      <c r="G641" s="3" t="str">
        <f aca="false">PROPER(TRIM(SUBSTITUTE(Raw_Text_Fields!D642,CHAR(160)," ")))</f>
        <v>East</v>
      </c>
      <c r="H641" s="3" t="str">
        <f aca="false">PROPER(TRIM(SUBSTITUTE(Raw_Text_Fields!E642,CHAR(160)," ")))</f>
        <v>Odisha</v>
      </c>
      <c r="I641" s="3" t="str">
        <f aca="false">PROPER(TRIM(SUBSTITUTE(Raw_Text_Fields!F642,CHAR(160)," ")))</f>
        <v>Bhubaneswar</v>
      </c>
      <c r="J641" s="3" t="str">
        <f aca="false">PROPER(TRIM(SUBSTITUTE(Raw_Text_Fields!G642,CHAR(160)," ")))</f>
        <v>Furniture</v>
      </c>
      <c r="K641" s="3" t="str">
        <f aca="false">PROPER(TRIM(SUBSTITUTE(Raw_Text_Fields!H642,CHAR(160)," ")))</f>
        <v>Chairs</v>
      </c>
      <c r="L641" s="3" t="s">
        <v>1931</v>
      </c>
      <c r="M641" s="3" t="str">
        <f aca="false">PROPER(TRIM(SUBSTITUTE(Raw_Text_Fields!I642,CHAR(160)," ")))</f>
        <v>Second Class</v>
      </c>
      <c r="N641" s="3" t="n">
        <v>1</v>
      </c>
      <c r="O641" s="5" t="n">
        <v>1594.7</v>
      </c>
      <c r="P641" s="6" t="n">
        <v>0.05</v>
      </c>
      <c r="Q641" s="5" t="n">
        <v>1514.96</v>
      </c>
      <c r="R641" s="5" t="n">
        <v>1046.17</v>
      </c>
      <c r="S641" s="5" t="n">
        <v>468.79</v>
      </c>
      <c r="T641" s="3" t="str">
        <f aca="false">PROPER(TRIM(SUBSTITUTE(Raw_Text_Fields!J642,CHAR(160)," ")))</f>
        <v>Paid</v>
      </c>
      <c r="U641" s="3" t="str">
        <f aca="false">PROPER(TRIM(SUBSTITUTE(Raw_Text_Fields!K642,CHAR(160)," ")))</f>
        <v>Completed</v>
      </c>
      <c r="V641" s="7" t="n">
        <f aca="false">IF(OR(P641&lt;0,P641&gt;0.5),0,P641)</f>
        <v>0.05</v>
      </c>
      <c r="W641" s="8" t="n">
        <f aca="false">N641*O641*(1-V641)</f>
        <v>1514.965</v>
      </c>
      <c r="X641" s="8" t="n">
        <f aca="false">W641-R641</f>
        <v>468.795</v>
      </c>
      <c r="Y641" s="7" t="n">
        <f aca="false">IFERROR(X641/W641,0)</f>
        <v>0.309442792407745</v>
      </c>
      <c r="Z641" s="9" t="n">
        <f aca="false">C641-B641</f>
        <v>4</v>
      </c>
      <c r="AA641" s="1" t="str">
        <f aca="false">IF(B641="","",TEXT(B641,"mmm"))</f>
        <v>Dec</v>
      </c>
      <c r="AB641" s="9" t="n">
        <f aca="false">IF(B641="","",YEAR(B641))</f>
        <v>2024</v>
      </c>
      <c r="AC641" s="3"/>
      <c r="AD641" s="3" t="str">
        <f aca="false">IF(LEFT(AC641&amp;IF(B641="","; Missing Order Date","")&amp;IF(C641="","; Missing Ship Date","")&amp;IF(P641&lt;0,"; Invalid Discount (Negative)","")&amp;IF(P641&gt;0.5,"; Invalid Discount (Too High)","")&amp;IF(Z641&lt;0,"; Invalid Shipping Record (Ship Before Order)","")&amp;IF(ABS(Q641-W641)&gt;1,"; Sales Mismatch","")&amp;IF(ABS(S641-X641)&gt;1,"; Profit Mismatch","")&amp;IF(COUNTIF($A$2:$A$913,A641)&gt;1,"; Duplicate Order ID Conflict",""),2)="; ",MID(AC641&amp;IF(B641="","; Missing Order Date","")&amp;IF(C641="","; Missing Ship Date","")&amp;IF(P641&lt;0,"; Invalid Discount (Negative)","")&amp;IF(P641&gt;0.5,"; Invalid Discount (Too High)","")&amp;IF(Z641&lt;0,"; Invalid Shipping Record (Ship Before Order)","")&amp;IF(ABS(Q641-W641)&gt;1,"; Sales Mismatch","")&amp;IF(ABS(S641-X641)&gt;1,"; Profit Mismatch","")&amp;IF(COUNTIF($A$2:$A$913,A641)&gt;1,"; Duplicate Order ID Conflict",""),3,500),AC641&amp;IF(B641="","; Missing Order Date","")&amp;IF(C641="","; Missing Ship Date","")&amp;IF(P641&lt;0,"; Invalid Discount (Negative)","")&amp;IF(P641&gt;0.5,"; Invalid Discount (Too High)","")&amp;IF(Z641&lt;0,"; Invalid Shipping Record (Ship Before Order)","")&amp;IF(ABS(Q641-W641)&gt;1,"; Sales Mismatch","")&amp;IF(ABS(S641-X641)&gt;1,"; Profit Mismatch","")&amp;IF(COUNTIF($A$2:$A$913,A641)&gt;1,"; Duplicate Order ID Conflict",""))</f>
        <v/>
      </c>
      <c r="AE641" s="10" t="str">
        <f aca="false">IF(OR(ISNUMBER(SEARCH("Invalid Discount",AD641)),ISNUMBER(SEARCH("Invalid Shipping Record",AD641)),ISNUMBER(SEARCH("Sales Mismatch",AD641)),ISNUMBER(SEARCH("Profit Mismatch",AD641)),ISNUMBER(SEARCH("Duplicate Order ID Conflict",AD641)),ISNUMBER(SEARCH("Missing Order Date",AD641)),ISNUMBER(SEARCH("Missing Ship Date",AD641))),"Invalid",IF(AD641&lt;&gt;"","Warning","Clean"))</f>
        <v>Clean</v>
      </c>
    </row>
    <row r="642" customFormat="false" ht="15" hidden="false" customHeight="true" outlineLevel="0" collapsed="false">
      <c r="A642" s="3" t="s">
        <v>1932</v>
      </c>
      <c r="B642" s="4" t="n">
        <v>45671</v>
      </c>
      <c r="C642" s="4" t="n">
        <v>45674</v>
      </c>
      <c r="D642" s="3" t="s">
        <v>1933</v>
      </c>
      <c r="E642" s="3" t="str">
        <f aca="false">PROPER(TRIM(SUBSTITUTE(Raw_Text_Fields!B643,CHAR(160)," ")))</f>
        <v>Vikram Iyer</v>
      </c>
      <c r="F642" s="3" t="str">
        <f aca="false">PROPER(TRIM(SUBSTITUTE(Raw_Text_Fields!C643,CHAR(160)," ")))</f>
        <v>Consumer</v>
      </c>
      <c r="G642" s="3" t="str">
        <f aca="false">PROPER(TRIM(SUBSTITUTE(Raw_Text_Fields!D643,CHAR(160)," ")))</f>
        <v>West</v>
      </c>
      <c r="H642" s="3" t="str">
        <f aca="false">PROPER(TRIM(SUBSTITUTE(Raw_Text_Fields!E643,CHAR(160)," ")))</f>
        <v>Goa</v>
      </c>
      <c r="I642" s="3" t="str">
        <f aca="false">PROPER(TRIM(SUBSTITUTE(Raw_Text_Fields!F643,CHAR(160)," ")))</f>
        <v>Panaji</v>
      </c>
      <c r="J642" s="3" t="str">
        <f aca="false">PROPER(TRIM(SUBSTITUTE(Raw_Text_Fields!G643,CHAR(160)," ")))</f>
        <v>Office Supplies</v>
      </c>
      <c r="K642" s="3" t="str">
        <f aca="false">PROPER(TRIM(SUBSTITUTE(Raw_Text_Fields!H643,CHAR(160)," ")))</f>
        <v>Storage</v>
      </c>
      <c r="L642" s="3" t="s">
        <v>1934</v>
      </c>
      <c r="M642" s="3" t="str">
        <f aca="false">PROPER(TRIM(SUBSTITUTE(Raw_Text_Fields!I643,CHAR(160)," ")))</f>
        <v>First Class</v>
      </c>
      <c r="N642" s="3" t="n">
        <v>1</v>
      </c>
      <c r="O642" s="5" t="n">
        <v>1584.12</v>
      </c>
      <c r="P642" s="6" t="n">
        <v>0.2</v>
      </c>
      <c r="Q642" s="5" t="n">
        <v>1267.3</v>
      </c>
      <c r="R642" s="5" t="n">
        <v>923.53</v>
      </c>
      <c r="S642" s="5" t="n">
        <v>343.77</v>
      </c>
      <c r="T642" s="3" t="str">
        <f aca="false">PROPER(TRIM(SUBSTITUTE(Raw_Text_Fields!J643,CHAR(160)," ")))</f>
        <v>Paid</v>
      </c>
      <c r="U642" s="3" t="str">
        <f aca="false">PROPER(TRIM(SUBSTITUTE(Raw_Text_Fields!K643,CHAR(160)," ")))</f>
        <v>Completed</v>
      </c>
      <c r="V642" s="7" t="n">
        <f aca="false">IF(OR(P642&lt;0,P642&gt;0.5),0,P642)</f>
        <v>0.2</v>
      </c>
      <c r="W642" s="8" t="n">
        <f aca="false">N642*O642*(1-V642)</f>
        <v>1267.296</v>
      </c>
      <c r="X642" s="8" t="n">
        <f aca="false">W642-R642</f>
        <v>343.766</v>
      </c>
      <c r="Y642" s="7" t="n">
        <f aca="false">IFERROR(X642/W642,0)</f>
        <v>0.271259437416357</v>
      </c>
      <c r="Z642" s="9" t="n">
        <f aca="false">C642-B642</f>
        <v>3</v>
      </c>
      <c r="AA642" s="1" t="str">
        <f aca="false">IF(B642="","",TEXT(B642,"mmm"))</f>
        <v>Jan</v>
      </c>
      <c r="AB642" s="9" t="n">
        <f aca="false">IF(B642="","",YEAR(B642))</f>
        <v>2025</v>
      </c>
      <c r="AC642" s="3"/>
      <c r="AD642" s="3" t="str">
        <f aca="false">IF(LEFT(AC642&amp;IF(B642="","; Missing Order Date","")&amp;IF(C642="","; Missing Ship Date","")&amp;IF(P642&lt;0,"; Invalid Discount (Negative)","")&amp;IF(P642&gt;0.5,"; Invalid Discount (Too High)","")&amp;IF(Z642&lt;0,"; Invalid Shipping Record (Ship Before Order)","")&amp;IF(ABS(Q642-W642)&gt;1,"; Sales Mismatch","")&amp;IF(ABS(S642-X642)&gt;1,"; Profit Mismatch","")&amp;IF(COUNTIF($A$2:$A$913,A642)&gt;1,"; Duplicate Order ID Conflict",""),2)="; ",MID(AC642&amp;IF(B642="","; Missing Order Date","")&amp;IF(C642="","; Missing Ship Date","")&amp;IF(P642&lt;0,"; Invalid Discount (Negative)","")&amp;IF(P642&gt;0.5,"; Invalid Discount (Too High)","")&amp;IF(Z642&lt;0,"; Invalid Shipping Record (Ship Before Order)","")&amp;IF(ABS(Q642-W642)&gt;1,"; Sales Mismatch","")&amp;IF(ABS(S642-X642)&gt;1,"; Profit Mismatch","")&amp;IF(COUNTIF($A$2:$A$913,A642)&gt;1,"; Duplicate Order ID Conflict",""),3,500),AC642&amp;IF(B642="","; Missing Order Date","")&amp;IF(C642="","; Missing Ship Date","")&amp;IF(P642&lt;0,"; Invalid Discount (Negative)","")&amp;IF(P642&gt;0.5,"; Invalid Discount (Too High)","")&amp;IF(Z642&lt;0,"; Invalid Shipping Record (Ship Before Order)","")&amp;IF(ABS(Q642-W642)&gt;1,"; Sales Mismatch","")&amp;IF(ABS(S642-X642)&gt;1,"; Profit Mismatch","")&amp;IF(COUNTIF($A$2:$A$913,A642)&gt;1,"; Duplicate Order ID Conflict",""))</f>
        <v/>
      </c>
      <c r="AE642" s="10" t="str">
        <f aca="false">IF(OR(ISNUMBER(SEARCH("Invalid Discount",AD642)),ISNUMBER(SEARCH("Invalid Shipping Record",AD642)),ISNUMBER(SEARCH("Sales Mismatch",AD642)),ISNUMBER(SEARCH("Profit Mismatch",AD642)),ISNUMBER(SEARCH("Duplicate Order ID Conflict",AD642)),ISNUMBER(SEARCH("Missing Order Date",AD642)),ISNUMBER(SEARCH("Missing Ship Date",AD642))),"Invalid",IF(AD642&lt;&gt;"","Warning","Clean"))</f>
        <v>Clean</v>
      </c>
    </row>
    <row r="643" customFormat="false" ht="15" hidden="false" customHeight="true" outlineLevel="0" collapsed="false">
      <c r="A643" s="3" t="s">
        <v>1935</v>
      </c>
      <c r="B643" s="4" t="n">
        <v>45756</v>
      </c>
      <c r="C643" s="4" t="n">
        <v>45761</v>
      </c>
      <c r="D643" s="3" t="s">
        <v>1936</v>
      </c>
      <c r="E643" s="3" t="str">
        <f aca="false">PROPER(TRIM(SUBSTITUTE(Raw_Text_Fields!B644,CHAR(160)," ")))</f>
        <v>Karan Malhotra</v>
      </c>
      <c r="F643" s="3" t="str">
        <f aca="false">PROPER(TRIM(SUBSTITUTE(Raw_Text_Fields!C644,CHAR(160)," ")))</f>
        <v>Consumer</v>
      </c>
      <c r="G643" s="3" t="str">
        <f aca="false">PROPER(TRIM(SUBSTITUTE(Raw_Text_Fields!D644,CHAR(160)," ")))</f>
        <v>North</v>
      </c>
      <c r="H643" s="3" t="str">
        <f aca="false">PROPER(TRIM(SUBSTITUTE(Raw_Text_Fields!E644,CHAR(160)," ")))</f>
        <v>Delhi</v>
      </c>
      <c r="I643" s="3" t="str">
        <f aca="false">PROPER(TRIM(SUBSTITUTE(Raw_Text_Fields!F644,CHAR(160)," ")))</f>
        <v>New Delhi</v>
      </c>
      <c r="J643" s="3" t="str">
        <f aca="false">PROPER(TRIM(SUBSTITUTE(Raw_Text_Fields!G644,CHAR(160)," ")))</f>
        <v>Furniture</v>
      </c>
      <c r="K643" s="3" t="str">
        <f aca="false">PROPER(TRIM(SUBSTITUTE(Raw_Text_Fields!H644,CHAR(160)," ")))</f>
        <v>Furnishings</v>
      </c>
      <c r="L643" s="3" t="s">
        <v>1937</v>
      </c>
      <c r="M643" s="3" t="str">
        <f aca="false">PROPER(TRIM(SUBSTITUTE(Raw_Text_Fields!I644,CHAR(160)," ")))</f>
        <v>Same Day</v>
      </c>
      <c r="N643" s="3" t="n">
        <v>2</v>
      </c>
      <c r="O643" s="5" t="n">
        <v>3202.87</v>
      </c>
      <c r="P643" s="6" t="n">
        <v>0</v>
      </c>
      <c r="Q643" s="5" t="n">
        <v>6405.74</v>
      </c>
      <c r="R643" s="5" t="n">
        <v>3561.87</v>
      </c>
      <c r="S643" s="5" t="n">
        <v>2843.87</v>
      </c>
      <c r="T643" s="3" t="str">
        <f aca="false">PROPER(TRIM(SUBSTITUTE(Raw_Text_Fields!J644,CHAR(160)," ")))</f>
        <v>Paid</v>
      </c>
      <c r="U643" s="3" t="str">
        <f aca="false">PROPER(TRIM(SUBSTITUTE(Raw_Text_Fields!K644,CHAR(160)," ")))</f>
        <v>Completed</v>
      </c>
      <c r="V643" s="7" t="n">
        <f aca="false">IF(OR(P643&lt;0,P643&gt;0.5),0,P643)</f>
        <v>0</v>
      </c>
      <c r="W643" s="8" t="n">
        <f aca="false">N643*O643*(1-V643)</f>
        <v>6405.74</v>
      </c>
      <c r="X643" s="8" t="n">
        <f aca="false">W643-R643</f>
        <v>2843.87</v>
      </c>
      <c r="Y643" s="7" t="n">
        <f aca="false">IFERROR(X643/W643,0)</f>
        <v>0.443956514001505</v>
      </c>
      <c r="Z643" s="9" t="n">
        <f aca="false">C643-B643</f>
        <v>5</v>
      </c>
      <c r="AA643" s="1" t="str">
        <f aca="false">IF(B643="","",TEXT(B643,"mmm"))</f>
        <v>Apr</v>
      </c>
      <c r="AB643" s="9" t="n">
        <f aca="false">IF(B643="","",YEAR(B643))</f>
        <v>2025</v>
      </c>
      <c r="AC643" s="3"/>
      <c r="AD643" s="3" t="str">
        <f aca="false">IF(LEFT(AC643&amp;IF(B643="","; Missing Order Date","")&amp;IF(C643="","; Missing Ship Date","")&amp;IF(P643&lt;0,"; Invalid Discount (Negative)","")&amp;IF(P643&gt;0.5,"; Invalid Discount (Too High)","")&amp;IF(Z643&lt;0,"; Invalid Shipping Record (Ship Before Order)","")&amp;IF(ABS(Q643-W643)&gt;1,"; Sales Mismatch","")&amp;IF(ABS(S643-X643)&gt;1,"; Profit Mismatch","")&amp;IF(COUNTIF($A$2:$A$913,A643)&gt;1,"; Duplicate Order ID Conflict",""),2)="; ",MID(AC643&amp;IF(B643="","; Missing Order Date","")&amp;IF(C643="","; Missing Ship Date","")&amp;IF(P643&lt;0,"; Invalid Discount (Negative)","")&amp;IF(P643&gt;0.5,"; Invalid Discount (Too High)","")&amp;IF(Z643&lt;0,"; Invalid Shipping Record (Ship Before Order)","")&amp;IF(ABS(Q643-W643)&gt;1,"; Sales Mismatch","")&amp;IF(ABS(S643-X643)&gt;1,"; Profit Mismatch","")&amp;IF(COUNTIF($A$2:$A$913,A643)&gt;1,"; Duplicate Order ID Conflict",""),3,500),AC643&amp;IF(B643="","; Missing Order Date","")&amp;IF(C643="","; Missing Ship Date","")&amp;IF(P643&lt;0,"; Invalid Discount (Negative)","")&amp;IF(P643&gt;0.5,"; Invalid Discount (Too High)","")&amp;IF(Z643&lt;0,"; Invalid Shipping Record (Ship Before Order)","")&amp;IF(ABS(Q643-W643)&gt;1,"; Sales Mismatch","")&amp;IF(ABS(S643-X643)&gt;1,"; Profit Mismatch","")&amp;IF(COUNTIF($A$2:$A$913,A643)&gt;1,"; Duplicate Order ID Conflict",""))</f>
        <v/>
      </c>
      <c r="AE643" s="10" t="str">
        <f aca="false">IF(OR(ISNUMBER(SEARCH("Invalid Discount",AD643)),ISNUMBER(SEARCH("Invalid Shipping Record",AD643)),ISNUMBER(SEARCH("Sales Mismatch",AD643)),ISNUMBER(SEARCH("Profit Mismatch",AD643)),ISNUMBER(SEARCH("Duplicate Order ID Conflict",AD643)),ISNUMBER(SEARCH("Missing Order Date",AD643)),ISNUMBER(SEARCH("Missing Ship Date",AD643))),"Invalid",IF(AD643&lt;&gt;"","Warning","Clean"))</f>
        <v>Clean</v>
      </c>
    </row>
    <row r="644" customFormat="false" ht="15" hidden="false" customHeight="true" outlineLevel="0" collapsed="false">
      <c r="A644" s="3" t="s">
        <v>1938</v>
      </c>
      <c r="B644" s="4" t="n">
        <v>45533</v>
      </c>
      <c r="C644" s="4" t="n">
        <v>45535</v>
      </c>
      <c r="D644" s="3" t="s">
        <v>1939</v>
      </c>
      <c r="E644" s="3" t="str">
        <f aca="false">PROPER(TRIM(SUBSTITUTE(Raw_Text_Fields!B645,CHAR(160)," ")))</f>
        <v>Isha Nair</v>
      </c>
      <c r="F644" s="3" t="str">
        <f aca="false">PROPER(TRIM(SUBSTITUTE(Raw_Text_Fields!C645,CHAR(160)," ")))</f>
        <v>Home Office</v>
      </c>
      <c r="G644" s="3" t="str">
        <f aca="false">PROPER(TRIM(SUBSTITUTE(Raw_Text_Fields!D645,CHAR(160)," ")))</f>
        <v>East</v>
      </c>
      <c r="H644" s="3" t="str">
        <f aca="false">PROPER(TRIM(SUBSTITUTE(Raw_Text_Fields!E645,CHAR(160)," ")))</f>
        <v>Assam</v>
      </c>
      <c r="I644" s="3" t="str">
        <f aca="false">PROPER(TRIM(SUBSTITUTE(Raw_Text_Fields!F645,CHAR(160)," ")))</f>
        <v>Guwahati</v>
      </c>
      <c r="J644" s="3" t="str">
        <f aca="false">PROPER(TRIM(SUBSTITUTE(Raw_Text_Fields!G645,CHAR(160)," ")))</f>
        <v>Office Supplies</v>
      </c>
      <c r="K644" s="3" t="str">
        <f aca="false">PROPER(TRIM(SUBSTITUTE(Raw_Text_Fields!H645,CHAR(160)," ")))</f>
        <v>Binders</v>
      </c>
      <c r="L644" s="3" t="s">
        <v>1940</v>
      </c>
      <c r="M644" s="3" t="str">
        <f aca="false">PROPER(TRIM(SUBSTITUTE(Raw_Text_Fields!I645,CHAR(160)," ")))</f>
        <v>Second Class</v>
      </c>
      <c r="N644" s="3" t="n">
        <v>9</v>
      </c>
      <c r="O644" s="5" t="n">
        <v>1275.21</v>
      </c>
      <c r="P644" s="6" t="n">
        <v>0.25</v>
      </c>
      <c r="Q644" s="5" t="n">
        <v>8607.67</v>
      </c>
      <c r="R644" s="5" t="n">
        <v>5337.64</v>
      </c>
      <c r="S644" s="5" t="n">
        <v>3270.03</v>
      </c>
      <c r="T644" s="3" t="str">
        <f aca="false">PROPER(TRIM(SUBSTITUTE(Raw_Text_Fields!J645,CHAR(160)," ")))</f>
        <v>Failed</v>
      </c>
      <c r="U644" s="3" t="str">
        <f aca="false">PROPER(TRIM(SUBSTITUTE(Raw_Text_Fields!K645,CHAR(160)," ")))</f>
        <v>Returned</v>
      </c>
      <c r="V644" s="7" t="n">
        <f aca="false">IF(OR(P644&lt;0,P644&gt;0.5),0,P644)</f>
        <v>0.25</v>
      </c>
      <c r="W644" s="8" t="n">
        <f aca="false">N644*O644*(1-V644)</f>
        <v>8607.6675</v>
      </c>
      <c r="X644" s="8" t="n">
        <f aca="false">W644-R644</f>
        <v>3270.0275</v>
      </c>
      <c r="Y644" s="7" t="n">
        <f aca="false">IFERROR(X644/W644,0)</f>
        <v>0.379897051088463</v>
      </c>
      <c r="Z644" s="9" t="n">
        <f aca="false">C644-B644</f>
        <v>2</v>
      </c>
      <c r="AA644" s="1" t="str">
        <f aca="false">IF(B644="","",TEXT(B644,"mmm"))</f>
        <v>Aug</v>
      </c>
      <c r="AB644" s="9" t="n">
        <f aca="false">IF(B644="","",YEAR(B644))</f>
        <v>2024</v>
      </c>
      <c r="AC644" s="3"/>
      <c r="AD644" s="3" t="str">
        <f aca="false">IF(LEFT(AC644&amp;IF(B644="","; Missing Order Date","")&amp;IF(C644="","; Missing Ship Date","")&amp;IF(P644&lt;0,"; Invalid Discount (Negative)","")&amp;IF(P644&gt;0.5,"; Invalid Discount (Too High)","")&amp;IF(Z644&lt;0,"; Invalid Shipping Record (Ship Before Order)","")&amp;IF(ABS(Q644-W644)&gt;1,"; Sales Mismatch","")&amp;IF(ABS(S644-X644)&gt;1,"; Profit Mismatch","")&amp;IF(COUNTIF($A$2:$A$913,A644)&gt;1,"; Duplicate Order ID Conflict",""),2)="; ",MID(AC644&amp;IF(B644="","; Missing Order Date","")&amp;IF(C644="","; Missing Ship Date","")&amp;IF(P644&lt;0,"; Invalid Discount (Negative)","")&amp;IF(P644&gt;0.5,"; Invalid Discount (Too High)","")&amp;IF(Z644&lt;0,"; Invalid Shipping Record (Ship Before Order)","")&amp;IF(ABS(Q644-W644)&gt;1,"; Sales Mismatch","")&amp;IF(ABS(S644-X644)&gt;1,"; Profit Mismatch","")&amp;IF(COUNTIF($A$2:$A$913,A644)&gt;1,"; Duplicate Order ID Conflict",""),3,500),AC644&amp;IF(B644="","; Missing Order Date","")&amp;IF(C644="","; Missing Ship Date","")&amp;IF(P644&lt;0,"; Invalid Discount (Negative)","")&amp;IF(P644&gt;0.5,"; Invalid Discount (Too High)","")&amp;IF(Z644&lt;0,"; Invalid Shipping Record (Ship Before Order)","")&amp;IF(ABS(Q644-W644)&gt;1,"; Sales Mismatch","")&amp;IF(ABS(S644-X644)&gt;1,"; Profit Mismatch","")&amp;IF(COUNTIF($A$2:$A$913,A644)&gt;1,"; Duplicate Order ID Conflict",""))</f>
        <v/>
      </c>
      <c r="AE644" s="10" t="str">
        <f aca="false">IF(OR(ISNUMBER(SEARCH("Invalid Discount",AD644)),ISNUMBER(SEARCH("Invalid Shipping Record",AD644)),ISNUMBER(SEARCH("Sales Mismatch",AD644)),ISNUMBER(SEARCH("Profit Mismatch",AD644)),ISNUMBER(SEARCH("Duplicate Order ID Conflict",AD644)),ISNUMBER(SEARCH("Missing Order Date",AD644)),ISNUMBER(SEARCH("Missing Ship Date",AD644))),"Invalid",IF(AD644&lt;&gt;"","Warning","Clean"))</f>
        <v>Clean</v>
      </c>
    </row>
    <row r="645" customFormat="false" ht="15" hidden="false" customHeight="true" outlineLevel="0" collapsed="false">
      <c r="A645" s="3" t="s">
        <v>1941</v>
      </c>
      <c r="B645" s="4" t="n">
        <v>45327</v>
      </c>
      <c r="C645" s="4" t="n">
        <v>45335</v>
      </c>
      <c r="D645" s="3" t="s">
        <v>643</v>
      </c>
      <c r="E645" s="3" t="str">
        <f aca="false">PROPER(TRIM(SUBSTITUTE(Raw_Text_Fields!B646,CHAR(160)," ")))</f>
        <v>Aarav Sharma</v>
      </c>
      <c r="F645" s="3" t="str">
        <f aca="false">PROPER(TRIM(SUBSTITUTE(Raw_Text_Fields!C646,CHAR(160)," ")))</f>
        <v>Home Office</v>
      </c>
      <c r="G645" s="3" t="str">
        <f aca="false">PROPER(TRIM(SUBSTITUTE(Raw_Text_Fields!D646,CHAR(160)," ")))</f>
        <v>North</v>
      </c>
      <c r="H645" s="3" t="str">
        <f aca="false">PROPER(TRIM(SUBSTITUTE(Raw_Text_Fields!E646,CHAR(160)," ")))</f>
        <v>Uttar Pradesh</v>
      </c>
      <c r="I645" s="3" t="str">
        <f aca="false">PROPER(TRIM(SUBSTITUTE(Raw_Text_Fields!F646,CHAR(160)," ")))</f>
        <v>Noida</v>
      </c>
      <c r="J645" s="3" t="str">
        <f aca="false">PROPER(TRIM(SUBSTITUTE(Raw_Text_Fields!G646,CHAR(160)," ")))</f>
        <v>Office Supplies</v>
      </c>
      <c r="K645" s="3" t="str">
        <f aca="false">PROPER(TRIM(SUBSTITUTE(Raw_Text_Fields!H646,CHAR(160)," ")))</f>
        <v>Labels</v>
      </c>
      <c r="L645" s="3" t="s">
        <v>1942</v>
      </c>
      <c r="M645" s="3" t="str">
        <f aca="false">PROPER(TRIM(SUBSTITUTE(Raw_Text_Fields!I646,CHAR(160)," ")))</f>
        <v>Standard Class</v>
      </c>
      <c r="N645" s="3" t="n">
        <v>8</v>
      </c>
      <c r="O645" s="5" t="n">
        <v>3871.18</v>
      </c>
      <c r="P645" s="6" t="n">
        <v>0.15</v>
      </c>
      <c r="Q645" s="5" t="n">
        <v>26324.02</v>
      </c>
      <c r="R645" s="5" t="n">
        <v>16277.96</v>
      </c>
      <c r="S645" s="5" t="n">
        <v>10046.06</v>
      </c>
      <c r="T645" s="3" t="str">
        <f aca="false">PROPER(TRIM(SUBSTITUTE(Raw_Text_Fields!J646,CHAR(160)," ")))</f>
        <v>Failed</v>
      </c>
      <c r="U645" s="3" t="str">
        <f aca="false">PROPER(TRIM(SUBSTITUTE(Raw_Text_Fields!K646,CHAR(160)," ")))</f>
        <v>Returned</v>
      </c>
      <c r="V645" s="7" t="n">
        <f aca="false">IF(OR(P645&lt;0,P645&gt;0.5),0,P645)</f>
        <v>0.15</v>
      </c>
      <c r="W645" s="8" t="n">
        <f aca="false">N645*O645*(1-V645)</f>
        <v>26324.024</v>
      </c>
      <c r="X645" s="8" t="n">
        <f aca="false">W645-R645</f>
        <v>10046.064</v>
      </c>
      <c r="Y645" s="7" t="n">
        <f aca="false">IFERROR(X645/W645,0)</f>
        <v>0.381631015075811</v>
      </c>
      <c r="Z645" s="9" t="n">
        <f aca="false">C645-B645</f>
        <v>8</v>
      </c>
      <c r="AA645" s="1" t="str">
        <f aca="false">IF(B645="","",TEXT(B645,"mmm"))</f>
        <v>Feb</v>
      </c>
      <c r="AB645" s="9" t="n">
        <f aca="false">IF(B645="","",YEAR(B645))</f>
        <v>2024</v>
      </c>
      <c r="AC645" s="3"/>
      <c r="AD645" s="3" t="str">
        <f aca="false">IF(LEFT(AC645&amp;IF(B645="","; Missing Order Date","")&amp;IF(C645="","; Missing Ship Date","")&amp;IF(P645&lt;0,"; Invalid Discount (Negative)","")&amp;IF(P645&gt;0.5,"; Invalid Discount (Too High)","")&amp;IF(Z645&lt;0,"; Invalid Shipping Record (Ship Before Order)","")&amp;IF(ABS(Q645-W645)&gt;1,"; Sales Mismatch","")&amp;IF(ABS(S645-X645)&gt;1,"; Profit Mismatch","")&amp;IF(COUNTIF($A$2:$A$913,A645)&gt;1,"; Duplicate Order ID Conflict",""),2)="; ",MID(AC645&amp;IF(B645="","; Missing Order Date","")&amp;IF(C645="","; Missing Ship Date","")&amp;IF(P645&lt;0,"; Invalid Discount (Negative)","")&amp;IF(P645&gt;0.5,"; Invalid Discount (Too High)","")&amp;IF(Z645&lt;0,"; Invalid Shipping Record (Ship Before Order)","")&amp;IF(ABS(Q645-W645)&gt;1,"; Sales Mismatch","")&amp;IF(ABS(S645-X645)&gt;1,"; Profit Mismatch","")&amp;IF(COUNTIF($A$2:$A$913,A645)&gt;1,"; Duplicate Order ID Conflict",""),3,500),AC645&amp;IF(B645="","; Missing Order Date","")&amp;IF(C645="","; Missing Ship Date","")&amp;IF(P645&lt;0,"; Invalid Discount (Negative)","")&amp;IF(P645&gt;0.5,"; Invalid Discount (Too High)","")&amp;IF(Z645&lt;0,"; Invalid Shipping Record (Ship Before Order)","")&amp;IF(ABS(Q645-W645)&gt;1,"; Sales Mismatch","")&amp;IF(ABS(S645-X645)&gt;1,"; Profit Mismatch","")&amp;IF(COUNTIF($A$2:$A$913,A645)&gt;1,"; Duplicate Order ID Conflict",""))</f>
        <v/>
      </c>
      <c r="AE645" s="10" t="str">
        <f aca="false">IF(OR(ISNUMBER(SEARCH("Invalid Discount",AD645)),ISNUMBER(SEARCH("Invalid Shipping Record",AD645)),ISNUMBER(SEARCH("Sales Mismatch",AD645)),ISNUMBER(SEARCH("Profit Mismatch",AD645)),ISNUMBER(SEARCH("Duplicate Order ID Conflict",AD645)),ISNUMBER(SEARCH("Missing Order Date",AD645)),ISNUMBER(SEARCH("Missing Ship Date",AD645))),"Invalid",IF(AD645&lt;&gt;"","Warning","Clean"))</f>
        <v>Clean</v>
      </c>
    </row>
    <row r="646" customFormat="false" ht="15" hidden="false" customHeight="true" outlineLevel="0" collapsed="false">
      <c r="A646" s="3" t="s">
        <v>1943</v>
      </c>
      <c r="B646" s="4" t="n">
        <v>45757</v>
      </c>
      <c r="C646" s="4" t="n">
        <v>45764</v>
      </c>
      <c r="D646" s="3" t="s">
        <v>1944</v>
      </c>
      <c r="E646" s="3" t="str">
        <f aca="false">PROPER(TRIM(SUBSTITUTE(Raw_Text_Fields!B647,CHAR(160)," ")))</f>
        <v>Vikram Iyer</v>
      </c>
      <c r="F646" s="3" t="str">
        <f aca="false">PROPER(TRIM(SUBSTITUTE(Raw_Text_Fields!C647,CHAR(160)," ")))</f>
        <v>Consumer</v>
      </c>
      <c r="G646" s="3" t="str">
        <f aca="false">PROPER(TRIM(SUBSTITUTE(Raw_Text_Fields!D647,CHAR(160)," ")))</f>
        <v>East</v>
      </c>
      <c r="H646" s="3" t="str">
        <f aca="false">PROPER(TRIM(SUBSTITUTE(Raw_Text_Fields!E647,CHAR(160)," ")))</f>
        <v>West Bengal</v>
      </c>
      <c r="I646" s="3" t="str">
        <f aca="false">PROPER(TRIM(SUBSTITUTE(Raw_Text_Fields!F647,CHAR(160)," ")))</f>
        <v>Kolkata</v>
      </c>
      <c r="J646" s="3" t="str">
        <f aca="false">PROPER(TRIM(SUBSTITUTE(Raw_Text_Fields!G647,CHAR(160)," ")))</f>
        <v>Furniture</v>
      </c>
      <c r="K646" s="3" t="str">
        <f aca="false">PROPER(TRIM(SUBSTITUTE(Raw_Text_Fields!H647,CHAR(160)," ")))</f>
        <v>Chairs</v>
      </c>
      <c r="L646" s="3" t="s">
        <v>1945</v>
      </c>
      <c r="M646" s="3" t="str">
        <f aca="false">PROPER(TRIM(SUBSTITUTE(Raw_Text_Fields!I647,CHAR(160)," ")))</f>
        <v>Standard Class</v>
      </c>
      <c r="N646" s="3" t="n">
        <v>4</v>
      </c>
      <c r="O646" s="5" t="n">
        <v>3750.02</v>
      </c>
      <c r="P646" s="6" t="n">
        <v>0.05</v>
      </c>
      <c r="Q646" s="5" t="n">
        <v>14250.08</v>
      </c>
      <c r="R646" s="5" t="n">
        <v>10914.92</v>
      </c>
      <c r="S646" s="5" t="n">
        <v>3335.16</v>
      </c>
      <c r="T646" s="3" t="str">
        <f aca="false">PROPER(TRIM(SUBSTITUTE(Raw_Text_Fields!J647,CHAR(160)," ")))</f>
        <v>Paid</v>
      </c>
      <c r="U646" s="3" t="str">
        <f aca="false">PROPER(TRIM(SUBSTITUTE(Raw_Text_Fields!K647,CHAR(160)," ")))</f>
        <v>Completed</v>
      </c>
      <c r="V646" s="7" t="n">
        <f aca="false">IF(OR(P646&lt;0,P646&gt;0.5),0,P646)</f>
        <v>0.05</v>
      </c>
      <c r="W646" s="8" t="n">
        <f aca="false">N646*O646*(1-V646)</f>
        <v>14250.076</v>
      </c>
      <c r="X646" s="8" t="n">
        <f aca="false">W646-R646</f>
        <v>3335.156</v>
      </c>
      <c r="Y646" s="7" t="n">
        <f aca="false">IFERROR(X646/W646,0)</f>
        <v>0.234044786848856</v>
      </c>
      <c r="Z646" s="9" t="n">
        <f aca="false">C646-B646</f>
        <v>7</v>
      </c>
      <c r="AA646" s="1" t="str">
        <f aca="false">IF(B646="","",TEXT(B646,"mmm"))</f>
        <v>Apr</v>
      </c>
      <c r="AB646" s="9" t="n">
        <f aca="false">IF(B646="","",YEAR(B646))</f>
        <v>2025</v>
      </c>
      <c r="AC646" s="3"/>
      <c r="AD646" s="3" t="str">
        <f aca="false">IF(LEFT(AC646&amp;IF(B646="","; Missing Order Date","")&amp;IF(C646="","; Missing Ship Date","")&amp;IF(P646&lt;0,"; Invalid Discount (Negative)","")&amp;IF(P646&gt;0.5,"; Invalid Discount (Too High)","")&amp;IF(Z646&lt;0,"; Invalid Shipping Record (Ship Before Order)","")&amp;IF(ABS(Q646-W646)&gt;1,"; Sales Mismatch","")&amp;IF(ABS(S646-X646)&gt;1,"; Profit Mismatch","")&amp;IF(COUNTIF($A$2:$A$913,A646)&gt;1,"; Duplicate Order ID Conflict",""),2)="; ",MID(AC646&amp;IF(B646="","; Missing Order Date","")&amp;IF(C646="","; Missing Ship Date","")&amp;IF(P646&lt;0,"; Invalid Discount (Negative)","")&amp;IF(P646&gt;0.5,"; Invalid Discount (Too High)","")&amp;IF(Z646&lt;0,"; Invalid Shipping Record (Ship Before Order)","")&amp;IF(ABS(Q646-W646)&gt;1,"; Sales Mismatch","")&amp;IF(ABS(S646-X646)&gt;1,"; Profit Mismatch","")&amp;IF(COUNTIF($A$2:$A$913,A646)&gt;1,"; Duplicate Order ID Conflict",""),3,500),AC646&amp;IF(B646="","; Missing Order Date","")&amp;IF(C646="","; Missing Ship Date","")&amp;IF(P646&lt;0,"; Invalid Discount (Negative)","")&amp;IF(P646&gt;0.5,"; Invalid Discount (Too High)","")&amp;IF(Z646&lt;0,"; Invalid Shipping Record (Ship Before Order)","")&amp;IF(ABS(Q646-W646)&gt;1,"; Sales Mismatch","")&amp;IF(ABS(S646-X646)&gt;1,"; Profit Mismatch","")&amp;IF(COUNTIF($A$2:$A$913,A646)&gt;1,"; Duplicate Order ID Conflict",""))</f>
        <v/>
      </c>
      <c r="AE646" s="10" t="str">
        <f aca="false">IF(OR(ISNUMBER(SEARCH("Invalid Discount",AD646)),ISNUMBER(SEARCH("Invalid Shipping Record",AD646)),ISNUMBER(SEARCH("Sales Mismatch",AD646)),ISNUMBER(SEARCH("Profit Mismatch",AD646)),ISNUMBER(SEARCH("Duplicate Order ID Conflict",AD646)),ISNUMBER(SEARCH("Missing Order Date",AD646)),ISNUMBER(SEARCH("Missing Ship Date",AD646))),"Invalid",IF(AD646&lt;&gt;"","Warning","Clean"))</f>
        <v>Clean</v>
      </c>
    </row>
    <row r="647" customFormat="false" ht="15" hidden="false" customHeight="true" outlineLevel="0" collapsed="false">
      <c r="A647" s="3" t="s">
        <v>1946</v>
      </c>
      <c r="B647" s="4" t="n">
        <v>45295</v>
      </c>
      <c r="C647" s="4" t="n">
        <v>45300</v>
      </c>
      <c r="D647" s="3" t="s">
        <v>1947</v>
      </c>
      <c r="E647" s="3" t="str">
        <f aca="false">PROPER(TRIM(SUBSTITUTE(Raw_Text_Fields!B648,CHAR(160)," ")))</f>
        <v>Kabir Singh</v>
      </c>
      <c r="F647" s="3" t="str">
        <f aca="false">PROPER(TRIM(SUBSTITUTE(Raw_Text_Fields!C648,CHAR(160)," ")))</f>
        <v>Consumer</v>
      </c>
      <c r="G647" s="3" t="str">
        <f aca="false">PROPER(TRIM(SUBSTITUTE(Raw_Text_Fields!D648,CHAR(160)," ")))</f>
        <v>East</v>
      </c>
      <c r="H647" s="3" t="str">
        <f aca="false">PROPER(TRIM(SUBSTITUTE(Raw_Text_Fields!E648,CHAR(160)," ")))</f>
        <v>Bihar</v>
      </c>
      <c r="I647" s="3" t="str">
        <f aca="false">PROPER(TRIM(SUBSTITUTE(Raw_Text_Fields!F648,CHAR(160)," ")))</f>
        <v>Patna</v>
      </c>
      <c r="J647" s="3" t="str">
        <f aca="false">PROPER(TRIM(SUBSTITUTE(Raw_Text_Fields!G648,CHAR(160)," ")))</f>
        <v>Furniture</v>
      </c>
      <c r="K647" s="3" t="str">
        <f aca="false">PROPER(TRIM(SUBSTITUTE(Raw_Text_Fields!H648,CHAR(160)," ")))</f>
        <v>Chairs</v>
      </c>
      <c r="L647" s="3" t="s">
        <v>1948</v>
      </c>
      <c r="M647" s="3" t="str">
        <f aca="false">PROPER(TRIM(SUBSTITUTE(Raw_Text_Fields!I648,CHAR(160)," ")))</f>
        <v>Second Class</v>
      </c>
      <c r="N647" s="3" t="n">
        <v>6</v>
      </c>
      <c r="O647" s="5" t="n">
        <v>2423.61</v>
      </c>
      <c r="P647" s="6" t="n">
        <v>0.1</v>
      </c>
      <c r="Q647" s="5" t="n">
        <v>13087.49</v>
      </c>
      <c r="R647" s="5" t="n">
        <v>7608.89</v>
      </c>
      <c r="S647" s="5" t="n">
        <v>5133.22</v>
      </c>
      <c r="T647" s="3" t="str">
        <f aca="false">PROPER(TRIM(SUBSTITUTE(Raw_Text_Fields!J648,CHAR(160)," ")))</f>
        <v>Paid</v>
      </c>
      <c r="U647" s="3" t="str">
        <f aca="false">PROPER(TRIM(SUBSTITUTE(Raw_Text_Fields!K648,CHAR(160)," ")))</f>
        <v>Completed</v>
      </c>
      <c r="V647" s="7" t="n">
        <f aca="false">IF(OR(P647&lt;0,P647&gt;0.5),0,P647)</f>
        <v>0.1</v>
      </c>
      <c r="W647" s="8" t="n">
        <f aca="false">N647*O647*(1-V647)</f>
        <v>13087.494</v>
      </c>
      <c r="X647" s="8" t="n">
        <f aca="false">W647-R647</f>
        <v>5478.604</v>
      </c>
      <c r="Y647" s="7" t="n">
        <f aca="false">IFERROR(X647/W647,0)</f>
        <v>0.418613678065488</v>
      </c>
      <c r="Z647" s="9" t="n">
        <f aca="false">C647-B647</f>
        <v>5</v>
      </c>
      <c r="AA647" s="1" t="str">
        <f aca="false">IF(B647="","",TEXT(B647,"mmm"))</f>
        <v>Jan</v>
      </c>
      <c r="AB647" s="9" t="n">
        <f aca="false">IF(B647="","",YEAR(B647))</f>
        <v>2024</v>
      </c>
      <c r="AC647" s="3"/>
      <c r="AD647" s="3" t="str">
        <f aca="false">IF(LEFT(AC647&amp;IF(B647="","; Missing Order Date","")&amp;IF(C647="","; Missing Ship Date","")&amp;IF(P647&lt;0,"; Invalid Discount (Negative)","")&amp;IF(P647&gt;0.5,"; Invalid Discount (Too High)","")&amp;IF(Z647&lt;0,"; Invalid Shipping Record (Ship Before Order)","")&amp;IF(ABS(Q647-W647)&gt;1,"; Sales Mismatch","")&amp;IF(ABS(S647-X647)&gt;1,"; Profit Mismatch","")&amp;IF(COUNTIF($A$2:$A$913,A647)&gt;1,"; Duplicate Order ID Conflict",""),2)="; ",MID(AC647&amp;IF(B647="","; Missing Order Date","")&amp;IF(C647="","; Missing Ship Date","")&amp;IF(P647&lt;0,"; Invalid Discount (Negative)","")&amp;IF(P647&gt;0.5,"; Invalid Discount (Too High)","")&amp;IF(Z647&lt;0,"; Invalid Shipping Record (Ship Before Order)","")&amp;IF(ABS(Q647-W647)&gt;1,"; Sales Mismatch","")&amp;IF(ABS(S647-X647)&gt;1,"; Profit Mismatch","")&amp;IF(COUNTIF($A$2:$A$913,A647)&gt;1,"; Duplicate Order ID Conflict",""),3,500),AC647&amp;IF(B647="","; Missing Order Date","")&amp;IF(C647="","; Missing Ship Date","")&amp;IF(P647&lt;0,"; Invalid Discount (Negative)","")&amp;IF(P647&gt;0.5,"; Invalid Discount (Too High)","")&amp;IF(Z647&lt;0,"; Invalid Shipping Record (Ship Before Order)","")&amp;IF(ABS(Q647-W647)&gt;1,"; Sales Mismatch","")&amp;IF(ABS(S647-X647)&gt;1,"; Profit Mismatch","")&amp;IF(COUNTIF($A$2:$A$913,A647)&gt;1,"; Duplicate Order ID Conflict",""))</f>
        <v>Profit Mismatch</v>
      </c>
      <c r="AE647" s="10" t="str">
        <f aca="false">IF(OR(ISNUMBER(SEARCH("Invalid Discount",AD647)),ISNUMBER(SEARCH("Invalid Shipping Record",AD647)),ISNUMBER(SEARCH("Sales Mismatch",AD647)),ISNUMBER(SEARCH("Profit Mismatch",AD647)),ISNUMBER(SEARCH("Duplicate Order ID Conflict",AD647)),ISNUMBER(SEARCH("Missing Order Date",AD647)),ISNUMBER(SEARCH("Missing Ship Date",AD647))),"Invalid",IF(AD647&lt;&gt;"","Warning","Clean"))</f>
        <v>Invalid</v>
      </c>
    </row>
    <row r="648" customFormat="false" ht="15" hidden="false" customHeight="true" outlineLevel="0" collapsed="false">
      <c r="A648" s="3" t="s">
        <v>1949</v>
      </c>
      <c r="B648" s="4" t="n">
        <v>45553</v>
      </c>
      <c r="C648" s="4" t="n">
        <v>45559</v>
      </c>
      <c r="D648" s="3" t="s">
        <v>1950</v>
      </c>
      <c r="E648" s="3" t="str">
        <f aca="false">PROPER(TRIM(SUBSTITUTE(Raw_Text_Fields!B649,CHAR(160)," ")))</f>
        <v>Vikram Iyer</v>
      </c>
      <c r="F648" s="3" t="str">
        <f aca="false">PROPER(TRIM(SUBSTITUTE(Raw_Text_Fields!C649,CHAR(160)," ")))</f>
        <v>Small Business</v>
      </c>
      <c r="G648" s="3" t="str">
        <f aca="false">PROPER(TRIM(SUBSTITUTE(Raw_Text_Fields!D649,CHAR(160)," ")))</f>
        <v>East</v>
      </c>
      <c r="H648" s="3" t="str">
        <f aca="false">PROPER(TRIM(SUBSTITUTE(Raw_Text_Fields!E649,CHAR(160)," ")))</f>
        <v>Jharkhand</v>
      </c>
      <c r="I648" s="3" t="str">
        <f aca="false">PROPER(TRIM(SUBSTITUTE(Raw_Text_Fields!F649,CHAR(160)," ")))</f>
        <v>Ranchi</v>
      </c>
      <c r="J648" s="3" t="str">
        <f aca="false">PROPER(TRIM(SUBSTITUTE(Raw_Text_Fields!G649,CHAR(160)," ")))</f>
        <v>Technology</v>
      </c>
      <c r="K648" s="3" t="str">
        <f aca="false">PROPER(TRIM(SUBSTITUTE(Raw_Text_Fields!H649,CHAR(160)," ")))</f>
        <v>Machines</v>
      </c>
      <c r="L648" s="3" t="s">
        <v>1951</v>
      </c>
      <c r="M648" s="3" t="str">
        <f aca="false">PROPER(TRIM(SUBSTITUTE(Raw_Text_Fields!I649,CHAR(160)," ")))</f>
        <v>First Class</v>
      </c>
      <c r="N648" s="3" t="n">
        <v>3</v>
      </c>
      <c r="O648" s="5" t="n">
        <v>729.14</v>
      </c>
      <c r="P648" s="6" t="n">
        <v>0.25</v>
      </c>
      <c r="Q648" s="5" t="n">
        <v>1640.57</v>
      </c>
      <c r="R648" s="5" t="n">
        <v>1136.98</v>
      </c>
      <c r="S648" s="5" t="n">
        <v>503.59</v>
      </c>
      <c r="T648" s="3" t="str">
        <f aca="false">PROPER(TRIM(SUBSTITUTE(Raw_Text_Fields!J649,CHAR(160)," ")))</f>
        <v>Paid</v>
      </c>
      <c r="U648" s="3" t="str">
        <f aca="false">PROPER(TRIM(SUBSTITUTE(Raw_Text_Fields!K649,CHAR(160)," ")))</f>
        <v>Completed</v>
      </c>
      <c r="V648" s="7" t="n">
        <f aca="false">IF(OR(P648&lt;0,P648&gt;0.5),0,P648)</f>
        <v>0.25</v>
      </c>
      <c r="W648" s="8" t="n">
        <f aca="false">N648*O648*(1-V648)</f>
        <v>1640.565</v>
      </c>
      <c r="X648" s="8" t="n">
        <f aca="false">W648-R648</f>
        <v>503.585</v>
      </c>
      <c r="Y648" s="7" t="n">
        <f aca="false">IFERROR(X648/W648,0)</f>
        <v>0.306958273521622</v>
      </c>
      <c r="Z648" s="9" t="n">
        <f aca="false">C648-B648</f>
        <v>6</v>
      </c>
      <c r="AA648" s="1" t="str">
        <f aca="false">IF(B648="","",TEXT(B648,"mmm"))</f>
        <v>Sep</v>
      </c>
      <c r="AB648" s="9" t="n">
        <f aca="false">IF(B648="","",YEAR(B648))</f>
        <v>2024</v>
      </c>
      <c r="AC648" s="3"/>
      <c r="AD648" s="3" t="str">
        <f aca="false">IF(LEFT(AC648&amp;IF(B648="","; Missing Order Date","")&amp;IF(C648="","; Missing Ship Date","")&amp;IF(P648&lt;0,"; Invalid Discount (Negative)","")&amp;IF(P648&gt;0.5,"; Invalid Discount (Too High)","")&amp;IF(Z648&lt;0,"; Invalid Shipping Record (Ship Before Order)","")&amp;IF(ABS(Q648-W648)&gt;1,"; Sales Mismatch","")&amp;IF(ABS(S648-X648)&gt;1,"; Profit Mismatch","")&amp;IF(COUNTIF($A$2:$A$913,A648)&gt;1,"; Duplicate Order ID Conflict",""),2)="; ",MID(AC648&amp;IF(B648="","; Missing Order Date","")&amp;IF(C648="","; Missing Ship Date","")&amp;IF(P648&lt;0,"; Invalid Discount (Negative)","")&amp;IF(P648&gt;0.5,"; Invalid Discount (Too High)","")&amp;IF(Z648&lt;0,"; Invalid Shipping Record (Ship Before Order)","")&amp;IF(ABS(Q648-W648)&gt;1,"; Sales Mismatch","")&amp;IF(ABS(S648-X648)&gt;1,"; Profit Mismatch","")&amp;IF(COUNTIF($A$2:$A$913,A648)&gt;1,"; Duplicate Order ID Conflict",""),3,500),AC648&amp;IF(B648="","; Missing Order Date","")&amp;IF(C648="","; Missing Ship Date","")&amp;IF(P648&lt;0,"; Invalid Discount (Negative)","")&amp;IF(P648&gt;0.5,"; Invalid Discount (Too High)","")&amp;IF(Z648&lt;0,"; Invalid Shipping Record (Ship Before Order)","")&amp;IF(ABS(Q648-W648)&gt;1,"; Sales Mismatch","")&amp;IF(ABS(S648-X648)&gt;1,"; Profit Mismatch","")&amp;IF(COUNTIF($A$2:$A$913,A648)&gt;1,"; Duplicate Order ID Conflict",""))</f>
        <v/>
      </c>
      <c r="AE648" s="10" t="str">
        <f aca="false">IF(OR(ISNUMBER(SEARCH("Invalid Discount",AD648)),ISNUMBER(SEARCH("Invalid Shipping Record",AD648)),ISNUMBER(SEARCH("Sales Mismatch",AD648)),ISNUMBER(SEARCH("Profit Mismatch",AD648)),ISNUMBER(SEARCH("Duplicate Order ID Conflict",AD648)),ISNUMBER(SEARCH("Missing Order Date",AD648)),ISNUMBER(SEARCH("Missing Ship Date",AD648))),"Invalid",IF(AD648&lt;&gt;"","Warning","Clean"))</f>
        <v>Clean</v>
      </c>
    </row>
    <row r="649" customFormat="false" ht="15" hidden="false" customHeight="true" outlineLevel="0" collapsed="false">
      <c r="A649" s="3" t="s">
        <v>1952</v>
      </c>
      <c r="B649" s="4" t="n">
        <v>45658</v>
      </c>
      <c r="C649" s="4" t="n">
        <v>45666</v>
      </c>
      <c r="D649" s="3" t="s">
        <v>1953</v>
      </c>
      <c r="E649" s="3" t="str">
        <f aca="false">PROPER(TRIM(SUBSTITUTE(Raw_Text_Fields!B650,CHAR(160)," ")))</f>
        <v>Rohan Mehta</v>
      </c>
      <c r="F649" s="3" t="str">
        <f aca="false">PROPER(TRIM(SUBSTITUTE(Raw_Text_Fields!C650,CHAR(160)," ")))</f>
        <v>Small Business</v>
      </c>
      <c r="G649" s="3" t="str">
        <f aca="false">PROPER(TRIM(SUBSTITUTE(Raw_Text_Fields!D650,CHAR(160)," ")))</f>
        <v>North</v>
      </c>
      <c r="H649" s="3" t="str">
        <f aca="false">PROPER(TRIM(SUBSTITUTE(Raw_Text_Fields!E650,CHAR(160)," ")))</f>
        <v>Punjab</v>
      </c>
      <c r="I649" s="3" t="str">
        <f aca="false">PROPER(TRIM(SUBSTITUTE(Raw_Text_Fields!F650,CHAR(160)," ")))</f>
        <v>Ludhiana</v>
      </c>
      <c r="J649" s="3" t="str">
        <f aca="false">PROPER(TRIM(SUBSTITUTE(Raw_Text_Fields!G650,CHAR(160)," ")))</f>
        <v>Office Supplies</v>
      </c>
      <c r="K649" s="3" t="str">
        <f aca="false">PROPER(TRIM(SUBSTITUTE(Raw_Text_Fields!H650,CHAR(160)," ")))</f>
        <v>Art</v>
      </c>
      <c r="L649" s="3" t="s">
        <v>1954</v>
      </c>
      <c r="M649" s="3" t="str">
        <f aca="false">PROPER(TRIM(SUBSTITUTE(Raw_Text_Fields!I650,CHAR(160)," ")))</f>
        <v>First Class</v>
      </c>
      <c r="N649" s="3" t="n">
        <v>8</v>
      </c>
      <c r="O649" s="5" t="n">
        <v>2123.81</v>
      </c>
      <c r="P649" s="6" t="n">
        <v>0.15</v>
      </c>
      <c r="Q649" s="5" t="n">
        <v>14441.91</v>
      </c>
      <c r="R649" s="5" t="n">
        <v>10872.89</v>
      </c>
      <c r="S649" s="5" t="n">
        <v>3569.02</v>
      </c>
      <c r="T649" s="3" t="str">
        <f aca="false">PROPER(TRIM(SUBSTITUTE(Raw_Text_Fields!J650,CHAR(160)," ")))</f>
        <v>Paid</v>
      </c>
      <c r="U649" s="3" t="str">
        <f aca="false">PROPER(TRIM(SUBSTITUTE(Raw_Text_Fields!K650,CHAR(160)," ")))</f>
        <v>Completed</v>
      </c>
      <c r="V649" s="7" t="n">
        <f aca="false">IF(OR(P649&lt;0,P649&gt;0.5),0,P649)</f>
        <v>0.15</v>
      </c>
      <c r="W649" s="8" t="n">
        <f aca="false">N649*O649*(1-V649)</f>
        <v>14441.908</v>
      </c>
      <c r="X649" s="8" t="n">
        <f aca="false">W649-R649</f>
        <v>3569.018</v>
      </c>
      <c r="Y649" s="7" t="n">
        <f aca="false">IFERROR(X649/W649,0)</f>
        <v>0.247129257436067</v>
      </c>
      <c r="Z649" s="9" t="n">
        <f aca="false">C649-B649</f>
        <v>8</v>
      </c>
      <c r="AA649" s="1" t="str">
        <f aca="false">IF(B649="","",TEXT(B649,"mmm"))</f>
        <v>Jan</v>
      </c>
      <c r="AB649" s="9" t="n">
        <f aca="false">IF(B649="","",YEAR(B649))</f>
        <v>2025</v>
      </c>
      <c r="AC649" s="3"/>
      <c r="AD649" s="3" t="str">
        <f aca="false">IF(LEFT(AC649&amp;IF(B649="","; Missing Order Date","")&amp;IF(C649="","; Missing Ship Date","")&amp;IF(P649&lt;0,"; Invalid Discount (Negative)","")&amp;IF(P649&gt;0.5,"; Invalid Discount (Too High)","")&amp;IF(Z649&lt;0,"; Invalid Shipping Record (Ship Before Order)","")&amp;IF(ABS(Q649-W649)&gt;1,"; Sales Mismatch","")&amp;IF(ABS(S649-X649)&gt;1,"; Profit Mismatch","")&amp;IF(COUNTIF($A$2:$A$913,A649)&gt;1,"; Duplicate Order ID Conflict",""),2)="; ",MID(AC649&amp;IF(B649="","; Missing Order Date","")&amp;IF(C649="","; Missing Ship Date","")&amp;IF(P649&lt;0,"; Invalid Discount (Negative)","")&amp;IF(P649&gt;0.5,"; Invalid Discount (Too High)","")&amp;IF(Z649&lt;0,"; Invalid Shipping Record (Ship Before Order)","")&amp;IF(ABS(Q649-W649)&gt;1,"; Sales Mismatch","")&amp;IF(ABS(S649-X649)&gt;1,"; Profit Mismatch","")&amp;IF(COUNTIF($A$2:$A$913,A649)&gt;1,"; Duplicate Order ID Conflict",""),3,500),AC649&amp;IF(B649="","; Missing Order Date","")&amp;IF(C649="","; Missing Ship Date","")&amp;IF(P649&lt;0,"; Invalid Discount (Negative)","")&amp;IF(P649&gt;0.5,"; Invalid Discount (Too High)","")&amp;IF(Z649&lt;0,"; Invalid Shipping Record (Ship Before Order)","")&amp;IF(ABS(Q649-W649)&gt;1,"; Sales Mismatch","")&amp;IF(ABS(S649-X649)&gt;1,"; Profit Mismatch","")&amp;IF(COUNTIF($A$2:$A$913,A649)&gt;1,"; Duplicate Order ID Conflict",""))</f>
        <v/>
      </c>
      <c r="AE649" s="10" t="str">
        <f aca="false">IF(OR(ISNUMBER(SEARCH("Invalid Discount",AD649)),ISNUMBER(SEARCH("Invalid Shipping Record",AD649)),ISNUMBER(SEARCH("Sales Mismatch",AD649)),ISNUMBER(SEARCH("Profit Mismatch",AD649)),ISNUMBER(SEARCH("Duplicate Order ID Conflict",AD649)),ISNUMBER(SEARCH("Missing Order Date",AD649)),ISNUMBER(SEARCH("Missing Ship Date",AD649))),"Invalid",IF(AD649&lt;&gt;"","Warning","Clean"))</f>
        <v>Clean</v>
      </c>
    </row>
    <row r="650" customFormat="false" ht="15" hidden="false" customHeight="true" outlineLevel="0" collapsed="false">
      <c r="A650" s="3" t="s">
        <v>1955</v>
      </c>
      <c r="B650" s="4" t="n">
        <v>45403</v>
      </c>
      <c r="C650" s="4" t="n">
        <v>45406</v>
      </c>
      <c r="D650" s="3" t="s">
        <v>1956</v>
      </c>
      <c r="E650" s="3" t="str">
        <f aca="false">PROPER(TRIM(SUBSTITUTE(Raw_Text_Fields!B651,CHAR(160)," ")))</f>
        <v>Neha Gupta</v>
      </c>
      <c r="F650" s="3" t="str">
        <f aca="false">PROPER(TRIM(SUBSTITUTE(Raw_Text_Fields!C651,CHAR(160)," ")))</f>
        <v>Small Business</v>
      </c>
      <c r="G650" s="3" t="str">
        <f aca="false">PROPER(TRIM(SUBSTITUTE(Raw_Text_Fields!D651,CHAR(160)," ")))</f>
        <v>South</v>
      </c>
      <c r="H650" s="3" t="str">
        <f aca="false">PROPER(TRIM(SUBSTITUTE(Raw_Text_Fields!E651,CHAR(160)," ")))</f>
        <v>Andhra Pradesh</v>
      </c>
      <c r="I650" s="3" t="str">
        <f aca="false">PROPER(TRIM(SUBSTITUTE(Raw_Text_Fields!F651,CHAR(160)," ")))</f>
        <v>Vijayawada</v>
      </c>
      <c r="J650" s="3" t="str">
        <f aca="false">PROPER(TRIM(SUBSTITUTE(Raw_Text_Fields!G651,CHAR(160)," ")))</f>
        <v>Office Supplies</v>
      </c>
      <c r="K650" s="3" t="str">
        <f aca="false">PROPER(TRIM(SUBSTITUTE(Raw_Text_Fields!H651,CHAR(160)," ")))</f>
        <v>Art</v>
      </c>
      <c r="L650" s="3" t="s">
        <v>1957</v>
      </c>
      <c r="M650" s="3" t="str">
        <f aca="false">PROPER(TRIM(SUBSTITUTE(Raw_Text_Fields!I651,CHAR(160)," ")))</f>
        <v>Same Day</v>
      </c>
      <c r="N650" s="3" t="n">
        <v>9</v>
      </c>
      <c r="O650" s="5" t="n">
        <v>703.59</v>
      </c>
      <c r="P650" s="6" t="n">
        <v>0.2</v>
      </c>
      <c r="Q650" s="5" t="n">
        <v>5065.85</v>
      </c>
      <c r="R650" s="5" t="n">
        <v>3517.23</v>
      </c>
      <c r="S650" s="5" t="n">
        <v>1548.62</v>
      </c>
      <c r="T650" s="3" t="str">
        <f aca="false">PROPER(TRIM(SUBSTITUTE(Raw_Text_Fields!J651,CHAR(160)," ")))</f>
        <v>Failed</v>
      </c>
      <c r="U650" s="3" t="str">
        <f aca="false">PROPER(TRIM(SUBSTITUTE(Raw_Text_Fields!K651,CHAR(160)," ")))</f>
        <v>Returned</v>
      </c>
      <c r="V650" s="7" t="n">
        <f aca="false">IF(OR(P650&lt;0,P650&gt;0.5),0,P650)</f>
        <v>0.2</v>
      </c>
      <c r="W650" s="8" t="n">
        <f aca="false">N650*O650*(1-V650)</f>
        <v>5065.848</v>
      </c>
      <c r="X650" s="8" t="n">
        <f aca="false">W650-R650</f>
        <v>1548.618</v>
      </c>
      <c r="Y650" s="7" t="n">
        <f aca="false">IFERROR(X650/W650,0)</f>
        <v>0.305697683783643</v>
      </c>
      <c r="Z650" s="9" t="n">
        <f aca="false">C650-B650</f>
        <v>3</v>
      </c>
      <c r="AA650" s="1" t="str">
        <f aca="false">IF(B650="","",TEXT(B650,"mmm"))</f>
        <v>Apr</v>
      </c>
      <c r="AB650" s="9" t="n">
        <f aca="false">IF(B650="","",YEAR(B650))</f>
        <v>2024</v>
      </c>
      <c r="AC650" s="3"/>
      <c r="AD650" s="3" t="str">
        <f aca="false">IF(LEFT(AC650&amp;IF(B650="","; Missing Order Date","")&amp;IF(C650="","; Missing Ship Date","")&amp;IF(P650&lt;0,"; Invalid Discount (Negative)","")&amp;IF(P650&gt;0.5,"; Invalid Discount (Too High)","")&amp;IF(Z650&lt;0,"; Invalid Shipping Record (Ship Before Order)","")&amp;IF(ABS(Q650-W650)&gt;1,"; Sales Mismatch","")&amp;IF(ABS(S650-X650)&gt;1,"; Profit Mismatch","")&amp;IF(COUNTIF($A$2:$A$913,A650)&gt;1,"; Duplicate Order ID Conflict",""),2)="; ",MID(AC650&amp;IF(B650="","; Missing Order Date","")&amp;IF(C650="","; Missing Ship Date","")&amp;IF(P650&lt;0,"; Invalid Discount (Negative)","")&amp;IF(P650&gt;0.5,"; Invalid Discount (Too High)","")&amp;IF(Z650&lt;0,"; Invalid Shipping Record (Ship Before Order)","")&amp;IF(ABS(Q650-W650)&gt;1,"; Sales Mismatch","")&amp;IF(ABS(S650-X650)&gt;1,"; Profit Mismatch","")&amp;IF(COUNTIF($A$2:$A$913,A650)&gt;1,"; Duplicate Order ID Conflict",""),3,500),AC650&amp;IF(B650="","; Missing Order Date","")&amp;IF(C650="","; Missing Ship Date","")&amp;IF(P650&lt;0,"; Invalid Discount (Negative)","")&amp;IF(P650&gt;0.5,"; Invalid Discount (Too High)","")&amp;IF(Z650&lt;0,"; Invalid Shipping Record (Ship Before Order)","")&amp;IF(ABS(Q650-W650)&gt;1,"; Sales Mismatch","")&amp;IF(ABS(S650-X650)&gt;1,"; Profit Mismatch","")&amp;IF(COUNTIF($A$2:$A$913,A650)&gt;1,"; Duplicate Order ID Conflict",""))</f>
        <v/>
      </c>
      <c r="AE650" s="10" t="str">
        <f aca="false">IF(OR(ISNUMBER(SEARCH("Invalid Discount",AD650)),ISNUMBER(SEARCH("Invalid Shipping Record",AD650)),ISNUMBER(SEARCH("Sales Mismatch",AD650)),ISNUMBER(SEARCH("Profit Mismatch",AD650)),ISNUMBER(SEARCH("Duplicate Order ID Conflict",AD650)),ISNUMBER(SEARCH("Missing Order Date",AD650)),ISNUMBER(SEARCH("Missing Ship Date",AD650))),"Invalid",IF(AD650&lt;&gt;"","Warning","Clean"))</f>
        <v>Clean</v>
      </c>
    </row>
    <row r="651" customFormat="false" ht="15" hidden="false" customHeight="true" outlineLevel="0" collapsed="false">
      <c r="A651" s="3" t="s">
        <v>1958</v>
      </c>
      <c r="B651" s="4" t="n">
        <v>45880</v>
      </c>
      <c r="C651" s="4" t="n">
        <v>45888</v>
      </c>
      <c r="D651" s="3" t="s">
        <v>1959</v>
      </c>
      <c r="E651" s="3" t="str">
        <f aca="false">PROPER(TRIM(SUBSTITUTE(Raw_Text_Fields!B652,CHAR(160)," ")))</f>
        <v>Kabir Singh</v>
      </c>
      <c r="F651" s="3" t="str">
        <f aca="false">PROPER(TRIM(SUBSTITUTE(Raw_Text_Fields!C652,CHAR(160)," ")))</f>
        <v>Small Business</v>
      </c>
      <c r="G651" s="3" t="str">
        <f aca="false">PROPER(TRIM(SUBSTITUTE(Raw_Text_Fields!D652,CHAR(160)," ")))</f>
        <v>South</v>
      </c>
      <c r="H651" s="3" t="str">
        <f aca="false">PROPER(TRIM(SUBSTITUTE(Raw_Text_Fields!E652,CHAR(160)," ")))</f>
        <v>Kerala</v>
      </c>
      <c r="I651" s="3" t="str">
        <f aca="false">PROPER(TRIM(SUBSTITUTE(Raw_Text_Fields!F652,CHAR(160)," ")))</f>
        <v>Kochi</v>
      </c>
      <c r="J651" s="3" t="str">
        <f aca="false">PROPER(TRIM(SUBSTITUTE(Raw_Text_Fields!G652,CHAR(160)," ")))</f>
        <v>Technology</v>
      </c>
      <c r="K651" s="3" t="str">
        <f aca="false">PROPER(TRIM(SUBSTITUTE(Raw_Text_Fields!H652,CHAR(160)," ")))</f>
        <v>Accessories</v>
      </c>
      <c r="L651" s="3" t="s">
        <v>1960</v>
      </c>
      <c r="M651" s="3" t="str">
        <f aca="false">PROPER(TRIM(SUBSTITUTE(Raw_Text_Fields!I652,CHAR(160)," ")))</f>
        <v>Standard Class</v>
      </c>
      <c r="N651" s="3" t="n">
        <v>4</v>
      </c>
      <c r="O651" s="5" t="n">
        <v>2258.96</v>
      </c>
      <c r="P651" s="6" t="n">
        <v>0.25</v>
      </c>
      <c r="Q651" s="5" t="n">
        <v>6776.88</v>
      </c>
      <c r="R651" s="5" t="n">
        <v>3836.24</v>
      </c>
      <c r="S651" s="5" t="n">
        <v>2940.64</v>
      </c>
      <c r="T651" s="3" t="str">
        <f aca="false">PROPER(TRIM(SUBSTITUTE(Raw_Text_Fields!J652,CHAR(160)," ")))</f>
        <v>Paid</v>
      </c>
      <c r="U651" s="3" t="str">
        <f aca="false">PROPER(TRIM(SUBSTITUTE(Raw_Text_Fields!K652,CHAR(160)," ")))</f>
        <v>Completed</v>
      </c>
      <c r="V651" s="7" t="n">
        <f aca="false">IF(OR(P651&lt;0,P651&gt;0.5),0,P651)</f>
        <v>0.25</v>
      </c>
      <c r="W651" s="8" t="n">
        <f aca="false">N651*O651*(1-V651)</f>
        <v>6776.88</v>
      </c>
      <c r="X651" s="8" t="n">
        <f aca="false">W651-R651</f>
        <v>2940.64</v>
      </c>
      <c r="Y651" s="7" t="n">
        <f aca="false">IFERROR(X651/W651,0)</f>
        <v>0.433922394966415</v>
      </c>
      <c r="Z651" s="9" t="n">
        <f aca="false">C651-B651</f>
        <v>8</v>
      </c>
      <c r="AA651" s="1" t="str">
        <f aca="false">IF(B651="","",TEXT(B651,"mmm"))</f>
        <v>Aug</v>
      </c>
      <c r="AB651" s="9" t="n">
        <f aca="false">IF(B651="","",YEAR(B651))</f>
        <v>2025</v>
      </c>
      <c r="AC651" s="3"/>
      <c r="AD651" s="3" t="str">
        <f aca="false">IF(LEFT(AC651&amp;IF(B651="","; Missing Order Date","")&amp;IF(C651="","; Missing Ship Date","")&amp;IF(P651&lt;0,"; Invalid Discount (Negative)","")&amp;IF(P651&gt;0.5,"; Invalid Discount (Too High)","")&amp;IF(Z651&lt;0,"; Invalid Shipping Record (Ship Before Order)","")&amp;IF(ABS(Q651-W651)&gt;1,"; Sales Mismatch","")&amp;IF(ABS(S651-X651)&gt;1,"; Profit Mismatch","")&amp;IF(COUNTIF($A$2:$A$913,A651)&gt;1,"; Duplicate Order ID Conflict",""),2)="; ",MID(AC651&amp;IF(B651="","; Missing Order Date","")&amp;IF(C651="","; Missing Ship Date","")&amp;IF(P651&lt;0,"; Invalid Discount (Negative)","")&amp;IF(P651&gt;0.5,"; Invalid Discount (Too High)","")&amp;IF(Z651&lt;0,"; Invalid Shipping Record (Ship Before Order)","")&amp;IF(ABS(Q651-W651)&gt;1,"; Sales Mismatch","")&amp;IF(ABS(S651-X651)&gt;1,"; Profit Mismatch","")&amp;IF(COUNTIF($A$2:$A$913,A651)&gt;1,"; Duplicate Order ID Conflict",""),3,500),AC651&amp;IF(B651="","; Missing Order Date","")&amp;IF(C651="","; Missing Ship Date","")&amp;IF(P651&lt;0,"; Invalid Discount (Negative)","")&amp;IF(P651&gt;0.5,"; Invalid Discount (Too High)","")&amp;IF(Z651&lt;0,"; Invalid Shipping Record (Ship Before Order)","")&amp;IF(ABS(Q651-W651)&gt;1,"; Sales Mismatch","")&amp;IF(ABS(S651-X651)&gt;1,"; Profit Mismatch","")&amp;IF(COUNTIF($A$2:$A$913,A651)&gt;1,"; Duplicate Order ID Conflict",""))</f>
        <v/>
      </c>
      <c r="AE651" s="10" t="str">
        <f aca="false">IF(OR(ISNUMBER(SEARCH("Invalid Discount",AD651)),ISNUMBER(SEARCH("Invalid Shipping Record",AD651)),ISNUMBER(SEARCH("Sales Mismatch",AD651)),ISNUMBER(SEARCH("Profit Mismatch",AD651)),ISNUMBER(SEARCH("Duplicate Order ID Conflict",AD651)),ISNUMBER(SEARCH("Missing Order Date",AD651)),ISNUMBER(SEARCH("Missing Ship Date",AD651))),"Invalid",IF(AD651&lt;&gt;"","Warning","Clean"))</f>
        <v>Clean</v>
      </c>
    </row>
    <row r="652" customFormat="false" ht="15" hidden="false" customHeight="true" outlineLevel="0" collapsed="false">
      <c r="A652" s="3" t="s">
        <v>1961</v>
      </c>
      <c r="B652" s="4" t="n">
        <v>45395</v>
      </c>
      <c r="C652" s="4" t="n">
        <v>45403</v>
      </c>
      <c r="D652" s="3" t="s">
        <v>301</v>
      </c>
      <c r="E652" s="3" t="str">
        <f aca="false">PROPER(TRIM(SUBSTITUTE(Raw_Text_Fields!B653,CHAR(160)," ")))</f>
        <v>Aarav Sharma</v>
      </c>
      <c r="F652" s="3" t="str">
        <f aca="false">PROPER(TRIM(SUBSTITUTE(Raw_Text_Fields!C653,CHAR(160)," ")))</f>
        <v>Home Office</v>
      </c>
      <c r="G652" s="3" t="str">
        <f aca="false">PROPER(TRIM(SUBSTITUTE(Raw_Text_Fields!D653,CHAR(160)," ")))</f>
        <v>East</v>
      </c>
      <c r="H652" s="3" t="str">
        <f aca="false">PROPER(TRIM(SUBSTITUTE(Raw_Text_Fields!E653,CHAR(160)," ")))</f>
        <v>Bihar</v>
      </c>
      <c r="I652" s="3" t="str">
        <f aca="false">PROPER(TRIM(SUBSTITUTE(Raw_Text_Fields!F653,CHAR(160)," ")))</f>
        <v>Patna</v>
      </c>
      <c r="J652" s="3" t="str">
        <f aca="false">PROPER(TRIM(SUBSTITUTE(Raw_Text_Fields!G653,CHAR(160)," ")))</f>
        <v>Technology</v>
      </c>
      <c r="K652" s="3" t="str">
        <f aca="false">PROPER(TRIM(SUBSTITUTE(Raw_Text_Fields!H653,CHAR(160)," ")))</f>
        <v>Accessories</v>
      </c>
      <c r="L652" s="3" t="s">
        <v>1962</v>
      </c>
      <c r="M652" s="3" t="str">
        <f aca="false">PROPER(TRIM(SUBSTITUTE(Raw_Text_Fields!I653,CHAR(160)," ")))</f>
        <v>Same Day</v>
      </c>
      <c r="N652" s="3" t="n">
        <v>7</v>
      </c>
      <c r="O652" s="5" t="n">
        <v>2648.76</v>
      </c>
      <c r="P652" s="6" t="n">
        <v>0.15</v>
      </c>
      <c r="Q652" s="5" t="n">
        <v>15760.12</v>
      </c>
      <c r="R652" s="5" t="n">
        <v>9931.53</v>
      </c>
      <c r="S652" s="5" t="n">
        <v>5828.59</v>
      </c>
      <c r="T652" s="3" t="str">
        <f aca="false">PROPER(TRIM(SUBSTITUTE(Raw_Text_Fields!J653,CHAR(160)," ")))</f>
        <v>Failed</v>
      </c>
      <c r="U652" s="3" t="str">
        <f aca="false">PROPER(TRIM(SUBSTITUTE(Raw_Text_Fields!K653,CHAR(160)," ")))</f>
        <v>Returned</v>
      </c>
      <c r="V652" s="7" t="n">
        <f aca="false">IF(OR(P652&lt;0,P652&gt;0.5),0,P652)</f>
        <v>0.15</v>
      </c>
      <c r="W652" s="8" t="n">
        <f aca="false">N652*O652*(1-V652)</f>
        <v>15760.122</v>
      </c>
      <c r="X652" s="8" t="n">
        <f aca="false">W652-R652</f>
        <v>5828.592</v>
      </c>
      <c r="Y652" s="7" t="n">
        <f aca="false">IFERROR(X652/W652,0)</f>
        <v>0.369831654856479</v>
      </c>
      <c r="Z652" s="9" t="n">
        <f aca="false">C652-B652</f>
        <v>8</v>
      </c>
      <c r="AA652" s="1" t="str">
        <f aca="false">IF(B652="","",TEXT(B652,"mmm"))</f>
        <v>Apr</v>
      </c>
      <c r="AB652" s="9" t="n">
        <f aca="false">IF(B652="","",YEAR(B652))</f>
        <v>2024</v>
      </c>
      <c r="AC652" s="3"/>
      <c r="AD652" s="3" t="str">
        <f aca="false">IF(LEFT(AC652&amp;IF(B652="","; Missing Order Date","")&amp;IF(C652="","; Missing Ship Date","")&amp;IF(P652&lt;0,"; Invalid Discount (Negative)","")&amp;IF(P652&gt;0.5,"; Invalid Discount (Too High)","")&amp;IF(Z652&lt;0,"; Invalid Shipping Record (Ship Before Order)","")&amp;IF(ABS(Q652-W652)&gt;1,"; Sales Mismatch","")&amp;IF(ABS(S652-X652)&gt;1,"; Profit Mismatch","")&amp;IF(COUNTIF($A$2:$A$913,A652)&gt;1,"; Duplicate Order ID Conflict",""),2)="; ",MID(AC652&amp;IF(B652="","; Missing Order Date","")&amp;IF(C652="","; Missing Ship Date","")&amp;IF(P652&lt;0,"; Invalid Discount (Negative)","")&amp;IF(P652&gt;0.5,"; Invalid Discount (Too High)","")&amp;IF(Z652&lt;0,"; Invalid Shipping Record (Ship Before Order)","")&amp;IF(ABS(Q652-W652)&gt;1,"; Sales Mismatch","")&amp;IF(ABS(S652-X652)&gt;1,"; Profit Mismatch","")&amp;IF(COUNTIF($A$2:$A$913,A652)&gt;1,"; Duplicate Order ID Conflict",""),3,500),AC652&amp;IF(B652="","; Missing Order Date","")&amp;IF(C652="","; Missing Ship Date","")&amp;IF(P652&lt;0,"; Invalid Discount (Negative)","")&amp;IF(P652&gt;0.5,"; Invalid Discount (Too High)","")&amp;IF(Z652&lt;0,"; Invalid Shipping Record (Ship Before Order)","")&amp;IF(ABS(Q652-W652)&gt;1,"; Sales Mismatch","")&amp;IF(ABS(S652-X652)&gt;1,"; Profit Mismatch","")&amp;IF(COUNTIF($A$2:$A$913,A652)&gt;1,"; Duplicate Order ID Conflict",""))</f>
        <v/>
      </c>
      <c r="AE652" s="10" t="str">
        <f aca="false">IF(OR(ISNUMBER(SEARCH("Invalid Discount",AD652)),ISNUMBER(SEARCH("Invalid Shipping Record",AD652)),ISNUMBER(SEARCH("Sales Mismatch",AD652)),ISNUMBER(SEARCH("Profit Mismatch",AD652)),ISNUMBER(SEARCH("Duplicate Order ID Conflict",AD652)),ISNUMBER(SEARCH("Missing Order Date",AD652)),ISNUMBER(SEARCH("Missing Ship Date",AD652))),"Invalid",IF(AD652&lt;&gt;"","Warning","Clean"))</f>
        <v>Clean</v>
      </c>
    </row>
    <row r="653" customFormat="false" ht="15" hidden="false" customHeight="true" outlineLevel="0" collapsed="false">
      <c r="A653" s="3" t="s">
        <v>1963</v>
      </c>
      <c r="B653" s="4" t="n">
        <v>45875</v>
      </c>
      <c r="C653" s="4" t="n">
        <v>45878</v>
      </c>
      <c r="D653" s="3" t="s">
        <v>1964</v>
      </c>
      <c r="E653" s="3" t="str">
        <f aca="false">PROPER(TRIM(SUBSTITUTE(Raw_Text_Fields!B654,CHAR(160)," ")))</f>
        <v>Mira Das</v>
      </c>
      <c r="F653" s="3" t="str">
        <f aca="false">PROPER(TRIM(SUBSTITUTE(Raw_Text_Fields!C654,CHAR(160)," ")))</f>
        <v>Small Business</v>
      </c>
      <c r="G653" s="3" t="str">
        <f aca="false">PROPER(TRIM(SUBSTITUTE(Raw_Text_Fields!D654,CHAR(160)," ")))</f>
        <v>South</v>
      </c>
      <c r="H653" s="3" t="str">
        <f aca="false">PROPER(TRIM(SUBSTITUTE(Raw_Text_Fields!E654,CHAR(160)," ")))</f>
        <v>Andhra Pradesh</v>
      </c>
      <c r="I653" s="3" t="str">
        <f aca="false">PROPER(TRIM(SUBSTITUTE(Raw_Text_Fields!F654,CHAR(160)," ")))</f>
        <v>Vijayawada</v>
      </c>
      <c r="J653" s="3" t="str">
        <f aca="false">PROPER(TRIM(SUBSTITUTE(Raw_Text_Fields!G654,CHAR(160)," ")))</f>
        <v>Office Supplies</v>
      </c>
      <c r="K653" s="3" t="str">
        <f aca="false">PROPER(TRIM(SUBSTITUTE(Raw_Text_Fields!H654,CHAR(160)," ")))</f>
        <v>Paper</v>
      </c>
      <c r="L653" s="3" t="s">
        <v>1965</v>
      </c>
      <c r="M653" s="3" t="str">
        <f aca="false">PROPER(TRIM(SUBSTITUTE(Raw_Text_Fields!I654,CHAR(160)," ")))</f>
        <v>Second Class</v>
      </c>
      <c r="N653" s="3" t="n">
        <v>3</v>
      </c>
      <c r="O653" s="5" t="n">
        <v>598.55</v>
      </c>
      <c r="P653" s="6" t="n">
        <v>0</v>
      </c>
      <c r="Q653" s="5" t="n">
        <v>1795.65</v>
      </c>
      <c r="R653" s="5" t="n">
        <v>996.72</v>
      </c>
      <c r="S653" s="5" t="n">
        <v>798.93</v>
      </c>
      <c r="T653" s="3" t="str">
        <f aca="false">PROPER(TRIM(SUBSTITUTE(Raw_Text_Fields!J654,CHAR(160)," ")))</f>
        <v>Paid</v>
      </c>
      <c r="U653" s="3" t="str">
        <f aca="false">PROPER(TRIM(SUBSTITUTE(Raw_Text_Fields!K654,CHAR(160)," ")))</f>
        <v>Completed</v>
      </c>
      <c r="V653" s="7" t="n">
        <f aca="false">IF(OR(P653&lt;0,P653&gt;0.5),0,P653)</f>
        <v>0</v>
      </c>
      <c r="W653" s="8" t="n">
        <f aca="false">N653*O653*(1-V653)</f>
        <v>1795.65</v>
      </c>
      <c r="X653" s="8" t="n">
        <f aca="false">W653-R653</f>
        <v>798.93</v>
      </c>
      <c r="Y653" s="7" t="n">
        <f aca="false">IFERROR(X653/W653,0)</f>
        <v>0.444925235986968</v>
      </c>
      <c r="Z653" s="9" t="n">
        <f aca="false">C653-B653</f>
        <v>3</v>
      </c>
      <c r="AA653" s="1" t="str">
        <f aca="false">IF(B653="","",TEXT(B653,"mmm"))</f>
        <v>Aug</v>
      </c>
      <c r="AB653" s="9" t="n">
        <f aca="false">IF(B653="","",YEAR(B653))</f>
        <v>2025</v>
      </c>
      <c r="AC653" s="3"/>
      <c r="AD653" s="3" t="str">
        <f aca="false">IF(LEFT(AC653&amp;IF(B653="","; Missing Order Date","")&amp;IF(C653="","; Missing Ship Date","")&amp;IF(P653&lt;0,"; Invalid Discount (Negative)","")&amp;IF(P653&gt;0.5,"; Invalid Discount (Too High)","")&amp;IF(Z653&lt;0,"; Invalid Shipping Record (Ship Before Order)","")&amp;IF(ABS(Q653-W653)&gt;1,"; Sales Mismatch","")&amp;IF(ABS(S653-X653)&gt;1,"; Profit Mismatch","")&amp;IF(COUNTIF($A$2:$A$913,A653)&gt;1,"; Duplicate Order ID Conflict",""),2)="; ",MID(AC653&amp;IF(B653="","; Missing Order Date","")&amp;IF(C653="","; Missing Ship Date","")&amp;IF(P653&lt;0,"; Invalid Discount (Negative)","")&amp;IF(P653&gt;0.5,"; Invalid Discount (Too High)","")&amp;IF(Z653&lt;0,"; Invalid Shipping Record (Ship Before Order)","")&amp;IF(ABS(Q653-W653)&gt;1,"; Sales Mismatch","")&amp;IF(ABS(S653-X653)&gt;1,"; Profit Mismatch","")&amp;IF(COUNTIF($A$2:$A$913,A653)&gt;1,"; Duplicate Order ID Conflict",""),3,500),AC653&amp;IF(B653="","; Missing Order Date","")&amp;IF(C653="","; Missing Ship Date","")&amp;IF(P653&lt;0,"; Invalid Discount (Negative)","")&amp;IF(P653&gt;0.5,"; Invalid Discount (Too High)","")&amp;IF(Z653&lt;0,"; Invalid Shipping Record (Ship Before Order)","")&amp;IF(ABS(Q653-W653)&gt;1,"; Sales Mismatch","")&amp;IF(ABS(S653-X653)&gt;1,"; Profit Mismatch","")&amp;IF(COUNTIF($A$2:$A$913,A653)&gt;1,"; Duplicate Order ID Conflict",""))</f>
        <v/>
      </c>
      <c r="AE653" s="10" t="str">
        <f aca="false">IF(OR(ISNUMBER(SEARCH("Invalid Discount",AD653)),ISNUMBER(SEARCH("Invalid Shipping Record",AD653)),ISNUMBER(SEARCH("Sales Mismatch",AD653)),ISNUMBER(SEARCH("Profit Mismatch",AD653)),ISNUMBER(SEARCH("Duplicate Order ID Conflict",AD653)),ISNUMBER(SEARCH("Missing Order Date",AD653)),ISNUMBER(SEARCH("Missing Ship Date",AD653))),"Invalid",IF(AD653&lt;&gt;"","Warning","Clean"))</f>
        <v>Clean</v>
      </c>
    </row>
    <row r="654" customFormat="false" ht="15" hidden="false" customHeight="true" outlineLevel="0" collapsed="false">
      <c r="A654" s="3" t="s">
        <v>1966</v>
      </c>
      <c r="B654" s="4" t="n">
        <v>45733</v>
      </c>
      <c r="C654" s="4" t="n">
        <v>45737</v>
      </c>
      <c r="D654" s="3" t="s">
        <v>1610</v>
      </c>
      <c r="E654" s="3" t="str">
        <f aca="false">PROPER(TRIM(SUBSTITUTE(Raw_Text_Fields!B655,CHAR(160)," ")))</f>
        <v>Sneha Kapoor</v>
      </c>
      <c r="F654" s="3" t="str">
        <f aca="false">PROPER(TRIM(SUBSTITUTE(Raw_Text_Fields!C655,CHAR(160)," ")))</f>
        <v>Consumer</v>
      </c>
      <c r="G654" s="3" t="str">
        <f aca="false">PROPER(TRIM(SUBSTITUTE(Raw_Text_Fields!D655,CHAR(160)," ")))</f>
        <v>North</v>
      </c>
      <c r="H654" s="3" t="str">
        <f aca="false">PROPER(TRIM(SUBSTITUTE(Raw_Text_Fields!E655,CHAR(160)," ")))</f>
        <v>Uttar Pradesh</v>
      </c>
      <c r="I654" s="3" t="str">
        <f aca="false">PROPER(TRIM(SUBSTITUTE(Raw_Text_Fields!F655,CHAR(160)," ")))</f>
        <v>Noida</v>
      </c>
      <c r="J654" s="3" t="str">
        <f aca="false">PROPER(TRIM(SUBSTITUTE(Raw_Text_Fields!G655,CHAR(160)," ")))</f>
        <v>Office Supplies</v>
      </c>
      <c r="K654" s="3" t="str">
        <f aca="false">PROPER(TRIM(SUBSTITUTE(Raw_Text_Fields!H655,CHAR(160)," ")))</f>
        <v>Binders</v>
      </c>
      <c r="L654" s="3" t="s">
        <v>1967</v>
      </c>
      <c r="M654" s="3" t="str">
        <f aca="false">PROPER(TRIM(SUBSTITUTE(Raw_Text_Fields!I655,CHAR(160)," ")))</f>
        <v>Standard Class</v>
      </c>
      <c r="N654" s="3" t="n">
        <v>5</v>
      </c>
      <c r="O654" s="5" t="n">
        <v>4320.59</v>
      </c>
      <c r="P654" s="6" t="n">
        <v>0.15</v>
      </c>
      <c r="Q654" s="5" t="n">
        <v>18362.51</v>
      </c>
      <c r="R654" s="5" t="n">
        <v>11133.97</v>
      </c>
      <c r="S654" s="5" t="n">
        <v>7228.54</v>
      </c>
      <c r="T654" s="3" t="str">
        <f aca="false">PROPER(TRIM(SUBSTITUTE(Raw_Text_Fields!J655,CHAR(160)," ")))</f>
        <v>Paid</v>
      </c>
      <c r="U654" s="3" t="str">
        <f aca="false">PROPER(TRIM(SUBSTITUTE(Raw_Text_Fields!K655,CHAR(160)," ")))</f>
        <v>Completed</v>
      </c>
      <c r="V654" s="7" t="n">
        <f aca="false">IF(OR(P654&lt;0,P654&gt;0.5),0,P654)</f>
        <v>0.15</v>
      </c>
      <c r="W654" s="8" t="n">
        <f aca="false">N654*O654*(1-V654)</f>
        <v>18362.5075</v>
      </c>
      <c r="X654" s="8" t="n">
        <f aca="false">W654-R654</f>
        <v>7228.5375</v>
      </c>
      <c r="Y654" s="7" t="n">
        <f aca="false">IFERROR(X654/W654,0)</f>
        <v>0.393657429411533</v>
      </c>
      <c r="Z654" s="9" t="n">
        <f aca="false">C654-B654</f>
        <v>4</v>
      </c>
      <c r="AA654" s="1" t="str">
        <f aca="false">IF(B654="","",TEXT(B654,"mmm"))</f>
        <v>Mar</v>
      </c>
      <c r="AB654" s="9" t="n">
        <f aca="false">IF(B654="","",YEAR(B654))</f>
        <v>2025</v>
      </c>
      <c r="AC654" s="3"/>
      <c r="AD654" s="3" t="str">
        <f aca="false">IF(LEFT(AC654&amp;IF(B654="","; Missing Order Date","")&amp;IF(C654="","; Missing Ship Date","")&amp;IF(P654&lt;0,"; Invalid Discount (Negative)","")&amp;IF(P654&gt;0.5,"; Invalid Discount (Too High)","")&amp;IF(Z654&lt;0,"; Invalid Shipping Record (Ship Before Order)","")&amp;IF(ABS(Q654-W654)&gt;1,"; Sales Mismatch","")&amp;IF(ABS(S654-X654)&gt;1,"; Profit Mismatch","")&amp;IF(COUNTIF($A$2:$A$913,A654)&gt;1,"; Duplicate Order ID Conflict",""),2)="; ",MID(AC654&amp;IF(B654="","; Missing Order Date","")&amp;IF(C654="","; Missing Ship Date","")&amp;IF(P654&lt;0,"; Invalid Discount (Negative)","")&amp;IF(P654&gt;0.5,"; Invalid Discount (Too High)","")&amp;IF(Z654&lt;0,"; Invalid Shipping Record (Ship Before Order)","")&amp;IF(ABS(Q654-W654)&gt;1,"; Sales Mismatch","")&amp;IF(ABS(S654-X654)&gt;1,"; Profit Mismatch","")&amp;IF(COUNTIF($A$2:$A$913,A654)&gt;1,"; Duplicate Order ID Conflict",""),3,500),AC654&amp;IF(B654="","; Missing Order Date","")&amp;IF(C654="","; Missing Ship Date","")&amp;IF(P654&lt;0,"; Invalid Discount (Negative)","")&amp;IF(P654&gt;0.5,"; Invalid Discount (Too High)","")&amp;IF(Z654&lt;0,"; Invalid Shipping Record (Ship Before Order)","")&amp;IF(ABS(Q654-W654)&gt;1,"; Sales Mismatch","")&amp;IF(ABS(S654-X654)&gt;1,"; Profit Mismatch","")&amp;IF(COUNTIF($A$2:$A$913,A654)&gt;1,"; Duplicate Order ID Conflict",""))</f>
        <v/>
      </c>
      <c r="AE654" s="10" t="str">
        <f aca="false">IF(OR(ISNUMBER(SEARCH("Invalid Discount",AD654)),ISNUMBER(SEARCH("Invalid Shipping Record",AD654)),ISNUMBER(SEARCH("Sales Mismatch",AD654)),ISNUMBER(SEARCH("Profit Mismatch",AD654)),ISNUMBER(SEARCH("Duplicate Order ID Conflict",AD654)),ISNUMBER(SEARCH("Missing Order Date",AD654)),ISNUMBER(SEARCH("Missing Ship Date",AD654))),"Invalid",IF(AD654&lt;&gt;"","Warning","Clean"))</f>
        <v>Clean</v>
      </c>
    </row>
    <row r="655" customFormat="false" ht="15" hidden="false" customHeight="true" outlineLevel="0" collapsed="false">
      <c r="A655" s="3" t="s">
        <v>1968</v>
      </c>
      <c r="B655" s="4" t="n">
        <v>45751</v>
      </c>
      <c r="C655" s="4" t="n">
        <v>45754</v>
      </c>
      <c r="D655" s="3" t="s">
        <v>1969</v>
      </c>
      <c r="E655" s="3" t="str">
        <f aca="false">PROPER(TRIM(SUBSTITUTE(Raw_Text_Fields!B656,CHAR(160)," ")))</f>
        <v>Priya Menon</v>
      </c>
      <c r="F655" s="3" t="str">
        <f aca="false">PROPER(TRIM(SUBSTITUTE(Raw_Text_Fields!C656,CHAR(160)," ")))</f>
        <v>Small Business</v>
      </c>
      <c r="G655" s="3" t="str">
        <f aca="false">PROPER(TRIM(SUBSTITUTE(Raw_Text_Fields!D656,CHAR(160)," ")))</f>
        <v>South</v>
      </c>
      <c r="H655" s="3" t="str">
        <f aca="false">PROPER(TRIM(SUBSTITUTE(Raw_Text_Fields!E656,CHAR(160)," ")))</f>
        <v>Tamil Nadu</v>
      </c>
      <c r="I655" s="3" t="str">
        <f aca="false">PROPER(TRIM(SUBSTITUTE(Raw_Text_Fields!F656,CHAR(160)," ")))</f>
        <v>Chennai</v>
      </c>
      <c r="J655" s="3" t="str">
        <f aca="false">PROPER(TRIM(SUBSTITUTE(Raw_Text_Fields!G656,CHAR(160)," ")))</f>
        <v>Technology</v>
      </c>
      <c r="K655" s="3" t="str">
        <f aca="false">PROPER(TRIM(SUBSTITUTE(Raw_Text_Fields!H656,CHAR(160)," ")))</f>
        <v>Copiers</v>
      </c>
      <c r="L655" s="3" t="s">
        <v>1970</v>
      </c>
      <c r="M655" s="3" t="str">
        <f aca="false">PROPER(TRIM(SUBSTITUTE(Raw_Text_Fields!I656,CHAR(160)," ")))</f>
        <v>Second Class</v>
      </c>
      <c r="N655" s="3" t="n">
        <v>7</v>
      </c>
      <c r="O655" s="5" t="n">
        <v>4457.93</v>
      </c>
      <c r="P655" s="6" t="n">
        <v>0.15</v>
      </c>
      <c r="Q655" s="5" t="n">
        <v>26524.68</v>
      </c>
      <c r="R655" s="5" t="n">
        <v>20574.3</v>
      </c>
      <c r="S655" s="5" t="n">
        <v>5950.38</v>
      </c>
      <c r="T655" s="3" t="str">
        <f aca="false">PROPER(TRIM(SUBSTITUTE(Raw_Text_Fields!J656,CHAR(160)," ")))</f>
        <v>Paid</v>
      </c>
      <c r="U655" s="3" t="str">
        <f aca="false">PROPER(TRIM(SUBSTITUTE(Raw_Text_Fields!K656,CHAR(160)," ")))</f>
        <v>Completed</v>
      </c>
      <c r="V655" s="7" t="n">
        <f aca="false">IF(OR(P655&lt;0,P655&gt;0.5),0,P655)</f>
        <v>0.15</v>
      </c>
      <c r="W655" s="8" t="n">
        <f aca="false">N655*O655*(1-V655)</f>
        <v>26524.6835</v>
      </c>
      <c r="X655" s="8" t="n">
        <f aca="false">W655-R655</f>
        <v>5950.3835</v>
      </c>
      <c r="Y655" s="7" t="n">
        <f aca="false">IFERROR(X655/W655,0)</f>
        <v>0.224333817215953</v>
      </c>
      <c r="Z655" s="9" t="n">
        <f aca="false">C655-B655</f>
        <v>3</v>
      </c>
      <c r="AA655" s="1" t="str">
        <f aca="false">IF(B655="","",TEXT(B655,"mmm"))</f>
        <v>Apr</v>
      </c>
      <c r="AB655" s="9" t="n">
        <f aca="false">IF(B655="","",YEAR(B655))</f>
        <v>2025</v>
      </c>
      <c r="AC655" s="3"/>
      <c r="AD655" s="3" t="str">
        <f aca="false">IF(LEFT(AC655&amp;IF(B655="","; Missing Order Date","")&amp;IF(C655="","; Missing Ship Date","")&amp;IF(P655&lt;0,"; Invalid Discount (Negative)","")&amp;IF(P655&gt;0.5,"; Invalid Discount (Too High)","")&amp;IF(Z655&lt;0,"; Invalid Shipping Record (Ship Before Order)","")&amp;IF(ABS(Q655-W655)&gt;1,"; Sales Mismatch","")&amp;IF(ABS(S655-X655)&gt;1,"; Profit Mismatch","")&amp;IF(COUNTIF($A$2:$A$913,A655)&gt;1,"; Duplicate Order ID Conflict",""),2)="; ",MID(AC655&amp;IF(B655="","; Missing Order Date","")&amp;IF(C655="","; Missing Ship Date","")&amp;IF(P655&lt;0,"; Invalid Discount (Negative)","")&amp;IF(P655&gt;0.5,"; Invalid Discount (Too High)","")&amp;IF(Z655&lt;0,"; Invalid Shipping Record (Ship Before Order)","")&amp;IF(ABS(Q655-W655)&gt;1,"; Sales Mismatch","")&amp;IF(ABS(S655-X655)&gt;1,"; Profit Mismatch","")&amp;IF(COUNTIF($A$2:$A$913,A655)&gt;1,"; Duplicate Order ID Conflict",""),3,500),AC655&amp;IF(B655="","; Missing Order Date","")&amp;IF(C655="","; Missing Ship Date","")&amp;IF(P655&lt;0,"; Invalid Discount (Negative)","")&amp;IF(P655&gt;0.5,"; Invalid Discount (Too High)","")&amp;IF(Z655&lt;0,"; Invalid Shipping Record (Ship Before Order)","")&amp;IF(ABS(Q655-W655)&gt;1,"; Sales Mismatch","")&amp;IF(ABS(S655-X655)&gt;1,"; Profit Mismatch","")&amp;IF(COUNTIF($A$2:$A$913,A655)&gt;1,"; Duplicate Order ID Conflict",""))</f>
        <v/>
      </c>
      <c r="AE655" s="10" t="str">
        <f aca="false">IF(OR(ISNUMBER(SEARCH("Invalid Discount",AD655)),ISNUMBER(SEARCH("Invalid Shipping Record",AD655)),ISNUMBER(SEARCH("Sales Mismatch",AD655)),ISNUMBER(SEARCH("Profit Mismatch",AD655)),ISNUMBER(SEARCH("Duplicate Order ID Conflict",AD655)),ISNUMBER(SEARCH("Missing Order Date",AD655)),ISNUMBER(SEARCH("Missing Ship Date",AD655))),"Invalid",IF(AD655&lt;&gt;"","Warning","Clean"))</f>
        <v>Clean</v>
      </c>
    </row>
    <row r="656" customFormat="false" ht="15" hidden="false" customHeight="true" outlineLevel="0" collapsed="false">
      <c r="A656" s="3" t="s">
        <v>1971</v>
      </c>
      <c r="B656" s="4" t="n">
        <v>45942</v>
      </c>
      <c r="C656" s="4" t="n">
        <v>45946</v>
      </c>
      <c r="D656" s="3" t="s">
        <v>849</v>
      </c>
      <c r="E656" s="3" t="str">
        <f aca="false">PROPER(TRIM(SUBSTITUTE(Raw_Text_Fields!B657,CHAR(160)," ")))</f>
        <v>Diya Patel</v>
      </c>
      <c r="F656" s="3" t="str">
        <f aca="false">PROPER(TRIM(SUBSTITUTE(Raw_Text_Fields!C657,CHAR(160)," ")))</f>
        <v>Corporate</v>
      </c>
      <c r="G656" s="3" t="str">
        <f aca="false">PROPER(TRIM(SUBSTITUTE(Raw_Text_Fields!D657,CHAR(160)," ")))</f>
        <v>East</v>
      </c>
      <c r="H656" s="3" t="str">
        <f aca="false">PROPER(TRIM(SUBSTITUTE(Raw_Text_Fields!E657,CHAR(160)," ")))</f>
        <v>Bihar</v>
      </c>
      <c r="I656" s="3" t="str">
        <f aca="false">PROPER(TRIM(SUBSTITUTE(Raw_Text_Fields!F657,CHAR(160)," ")))</f>
        <v>Patna</v>
      </c>
      <c r="J656" s="3" t="str">
        <f aca="false">PROPER(TRIM(SUBSTITUTE(Raw_Text_Fields!G657,CHAR(160)," ")))</f>
        <v>Technology</v>
      </c>
      <c r="K656" s="3" t="str">
        <f aca="false">PROPER(TRIM(SUBSTITUTE(Raw_Text_Fields!H657,CHAR(160)," ")))</f>
        <v>Machines</v>
      </c>
      <c r="L656" s="3" t="s">
        <v>1972</v>
      </c>
      <c r="M656" s="3" t="str">
        <f aca="false">PROPER(TRIM(SUBSTITUTE(Raw_Text_Fields!I657,CHAR(160)," ")))</f>
        <v>Same Day</v>
      </c>
      <c r="N656" s="3" t="n">
        <v>1</v>
      </c>
      <c r="O656" s="5" t="n">
        <v>2570.06</v>
      </c>
      <c r="P656" s="6" t="n">
        <v>0.2</v>
      </c>
      <c r="Q656" s="5" t="n">
        <v>2056.05</v>
      </c>
      <c r="R656" s="5" t="n">
        <v>1662.39</v>
      </c>
      <c r="S656" s="5" t="n">
        <v>393.66</v>
      </c>
      <c r="T656" s="3" t="str">
        <f aca="false">PROPER(TRIM(SUBSTITUTE(Raw_Text_Fields!J657,CHAR(160)," ")))</f>
        <v>Paid</v>
      </c>
      <c r="U656" s="3" t="str">
        <f aca="false">PROPER(TRIM(SUBSTITUTE(Raw_Text_Fields!K657,CHAR(160)," ")))</f>
        <v>Completed</v>
      </c>
      <c r="V656" s="7" t="n">
        <f aca="false">IF(OR(P656&lt;0,P656&gt;0.5),0,P656)</f>
        <v>0.2</v>
      </c>
      <c r="W656" s="8" t="n">
        <f aca="false">N656*O656*(1-V656)</f>
        <v>2056.048</v>
      </c>
      <c r="X656" s="8" t="n">
        <f aca="false">W656-R656</f>
        <v>393.658</v>
      </c>
      <c r="Y656" s="7" t="n">
        <f aca="false">IFERROR(X656/W656,0)</f>
        <v>0.191463428869365</v>
      </c>
      <c r="Z656" s="9" t="n">
        <f aca="false">C656-B656</f>
        <v>4</v>
      </c>
      <c r="AA656" s="1" t="str">
        <f aca="false">IF(B656="","",TEXT(B656,"mmm"))</f>
        <v>Oct</v>
      </c>
      <c r="AB656" s="9" t="n">
        <f aca="false">IF(B656="","",YEAR(B656))</f>
        <v>2025</v>
      </c>
      <c r="AC656" s="3"/>
      <c r="AD656" s="3" t="str">
        <f aca="false">IF(LEFT(AC656&amp;IF(B656="","; Missing Order Date","")&amp;IF(C656="","; Missing Ship Date","")&amp;IF(P656&lt;0,"; Invalid Discount (Negative)","")&amp;IF(P656&gt;0.5,"; Invalid Discount (Too High)","")&amp;IF(Z656&lt;0,"; Invalid Shipping Record (Ship Before Order)","")&amp;IF(ABS(Q656-W656)&gt;1,"; Sales Mismatch","")&amp;IF(ABS(S656-X656)&gt;1,"; Profit Mismatch","")&amp;IF(COUNTIF($A$2:$A$913,A656)&gt;1,"; Duplicate Order ID Conflict",""),2)="; ",MID(AC656&amp;IF(B656="","; Missing Order Date","")&amp;IF(C656="","; Missing Ship Date","")&amp;IF(P656&lt;0,"; Invalid Discount (Negative)","")&amp;IF(P656&gt;0.5,"; Invalid Discount (Too High)","")&amp;IF(Z656&lt;0,"; Invalid Shipping Record (Ship Before Order)","")&amp;IF(ABS(Q656-W656)&gt;1,"; Sales Mismatch","")&amp;IF(ABS(S656-X656)&gt;1,"; Profit Mismatch","")&amp;IF(COUNTIF($A$2:$A$913,A656)&gt;1,"; Duplicate Order ID Conflict",""),3,500),AC656&amp;IF(B656="","; Missing Order Date","")&amp;IF(C656="","; Missing Ship Date","")&amp;IF(P656&lt;0,"; Invalid Discount (Negative)","")&amp;IF(P656&gt;0.5,"; Invalid Discount (Too High)","")&amp;IF(Z656&lt;0,"; Invalid Shipping Record (Ship Before Order)","")&amp;IF(ABS(Q656-W656)&gt;1,"; Sales Mismatch","")&amp;IF(ABS(S656-X656)&gt;1,"; Profit Mismatch","")&amp;IF(COUNTIF($A$2:$A$913,A656)&gt;1,"; Duplicate Order ID Conflict",""))</f>
        <v/>
      </c>
      <c r="AE656" s="10" t="str">
        <f aca="false">IF(OR(ISNUMBER(SEARCH("Invalid Discount",AD656)),ISNUMBER(SEARCH("Invalid Shipping Record",AD656)),ISNUMBER(SEARCH("Sales Mismatch",AD656)),ISNUMBER(SEARCH("Profit Mismatch",AD656)),ISNUMBER(SEARCH("Duplicate Order ID Conflict",AD656)),ISNUMBER(SEARCH("Missing Order Date",AD656)),ISNUMBER(SEARCH("Missing Ship Date",AD656))),"Invalid",IF(AD656&lt;&gt;"","Warning","Clean"))</f>
        <v>Clean</v>
      </c>
    </row>
    <row r="657" customFormat="false" ht="15" hidden="false" customHeight="true" outlineLevel="0" collapsed="false">
      <c r="A657" s="3" t="s">
        <v>1973</v>
      </c>
      <c r="B657" s="4" t="n">
        <v>45895</v>
      </c>
      <c r="C657" s="4" t="n">
        <v>45895</v>
      </c>
      <c r="D657" s="3" t="s">
        <v>1974</v>
      </c>
      <c r="E657" s="3" t="str">
        <f aca="false">PROPER(TRIM(SUBSTITUTE(Raw_Text_Fields!B658,CHAR(160)," ")))</f>
        <v>Neha Gupta</v>
      </c>
      <c r="F657" s="3" t="str">
        <f aca="false">PROPER(TRIM(SUBSTITUTE(Raw_Text_Fields!C658,CHAR(160)," ")))</f>
        <v>Home Office</v>
      </c>
      <c r="G657" s="3" t="str">
        <f aca="false">PROPER(TRIM(SUBSTITUTE(Raw_Text_Fields!D658,CHAR(160)," ")))</f>
        <v>East</v>
      </c>
      <c r="H657" s="3" t="str">
        <f aca="false">PROPER(TRIM(SUBSTITUTE(Raw_Text_Fields!E658,CHAR(160)," ")))</f>
        <v>West Bengal</v>
      </c>
      <c r="I657" s="3" t="str">
        <f aca="false">PROPER(TRIM(SUBSTITUTE(Raw_Text_Fields!F658,CHAR(160)," ")))</f>
        <v>Kolkata</v>
      </c>
      <c r="J657" s="3" t="str">
        <f aca="false">PROPER(TRIM(SUBSTITUTE(Raw_Text_Fields!G658,CHAR(160)," ")))</f>
        <v>Furniture</v>
      </c>
      <c r="K657" s="3" t="str">
        <f aca="false">PROPER(TRIM(SUBSTITUTE(Raw_Text_Fields!H658,CHAR(160)," ")))</f>
        <v>Furnishings</v>
      </c>
      <c r="L657" s="3" t="s">
        <v>1975</v>
      </c>
      <c r="M657" s="3" t="str">
        <f aca="false">PROPER(TRIM(SUBSTITUTE(Raw_Text_Fields!I658,CHAR(160)," ")))</f>
        <v>Standard Class</v>
      </c>
      <c r="N657" s="3" t="n">
        <v>4</v>
      </c>
      <c r="O657" s="5" t="n">
        <v>2151.82</v>
      </c>
      <c r="P657" s="6" t="n">
        <v>0</v>
      </c>
      <c r="Q657" s="5" t="n">
        <v>8607.28</v>
      </c>
      <c r="R657" s="5" t="n">
        <v>5124.01</v>
      </c>
      <c r="S657" s="5" t="n">
        <v>3483.27</v>
      </c>
      <c r="T657" s="3" t="str">
        <f aca="false">PROPER(TRIM(SUBSTITUTE(Raw_Text_Fields!J658,CHAR(160)," ")))</f>
        <v>Paid</v>
      </c>
      <c r="U657" s="3" t="str">
        <f aca="false">PROPER(TRIM(SUBSTITUTE(Raw_Text_Fields!K658,CHAR(160)," ")))</f>
        <v>Completed</v>
      </c>
      <c r="V657" s="7" t="n">
        <f aca="false">IF(OR(P657&lt;0,P657&gt;0.5),0,P657)</f>
        <v>0</v>
      </c>
      <c r="W657" s="8" t="n">
        <f aca="false">N657*O657*(1-V657)</f>
        <v>8607.28</v>
      </c>
      <c r="X657" s="8" t="n">
        <f aca="false">W657-R657</f>
        <v>3483.27</v>
      </c>
      <c r="Y657" s="7" t="n">
        <f aca="false">IFERROR(X657/W657,0)</f>
        <v>0.404688821555706</v>
      </c>
      <c r="Z657" s="9" t="n">
        <f aca="false">C657-B657</f>
        <v>0</v>
      </c>
      <c r="AA657" s="1" t="str">
        <f aca="false">IF(B657="","",TEXT(B657,"mmm"))</f>
        <v>Aug</v>
      </c>
      <c r="AB657" s="9" t="n">
        <f aca="false">IF(B657="","",YEAR(B657))</f>
        <v>2025</v>
      </c>
      <c r="AC657" s="3"/>
      <c r="AD657" s="3" t="str">
        <f aca="false">IF(LEFT(AC657&amp;IF(B657="","; Missing Order Date","")&amp;IF(C657="","; Missing Ship Date","")&amp;IF(P657&lt;0,"; Invalid Discount (Negative)","")&amp;IF(P657&gt;0.5,"; Invalid Discount (Too High)","")&amp;IF(Z657&lt;0,"; Invalid Shipping Record (Ship Before Order)","")&amp;IF(ABS(Q657-W657)&gt;1,"; Sales Mismatch","")&amp;IF(ABS(S657-X657)&gt;1,"; Profit Mismatch","")&amp;IF(COUNTIF($A$2:$A$913,A657)&gt;1,"; Duplicate Order ID Conflict",""),2)="; ",MID(AC657&amp;IF(B657="","; Missing Order Date","")&amp;IF(C657="","; Missing Ship Date","")&amp;IF(P657&lt;0,"; Invalid Discount (Negative)","")&amp;IF(P657&gt;0.5,"; Invalid Discount (Too High)","")&amp;IF(Z657&lt;0,"; Invalid Shipping Record (Ship Before Order)","")&amp;IF(ABS(Q657-W657)&gt;1,"; Sales Mismatch","")&amp;IF(ABS(S657-X657)&gt;1,"; Profit Mismatch","")&amp;IF(COUNTIF($A$2:$A$913,A657)&gt;1,"; Duplicate Order ID Conflict",""),3,500),AC657&amp;IF(B657="","; Missing Order Date","")&amp;IF(C657="","; Missing Ship Date","")&amp;IF(P657&lt;0,"; Invalid Discount (Negative)","")&amp;IF(P657&gt;0.5,"; Invalid Discount (Too High)","")&amp;IF(Z657&lt;0,"; Invalid Shipping Record (Ship Before Order)","")&amp;IF(ABS(Q657-W657)&gt;1,"; Sales Mismatch","")&amp;IF(ABS(S657-X657)&gt;1,"; Profit Mismatch","")&amp;IF(COUNTIF($A$2:$A$913,A657)&gt;1,"; Duplicate Order ID Conflict",""))</f>
        <v/>
      </c>
      <c r="AE657" s="10" t="str">
        <f aca="false">IF(OR(ISNUMBER(SEARCH("Invalid Discount",AD657)),ISNUMBER(SEARCH("Invalid Shipping Record",AD657)),ISNUMBER(SEARCH("Sales Mismatch",AD657)),ISNUMBER(SEARCH("Profit Mismatch",AD657)),ISNUMBER(SEARCH("Duplicate Order ID Conflict",AD657)),ISNUMBER(SEARCH("Missing Order Date",AD657)),ISNUMBER(SEARCH("Missing Ship Date",AD657))),"Invalid",IF(AD657&lt;&gt;"","Warning","Clean"))</f>
        <v>Clean</v>
      </c>
    </row>
    <row r="658" customFormat="false" ht="15" hidden="false" customHeight="true" outlineLevel="0" collapsed="false">
      <c r="A658" s="3" t="s">
        <v>1976</v>
      </c>
      <c r="B658" s="4" t="n">
        <v>45419</v>
      </c>
      <c r="C658" s="4" t="n">
        <v>45426</v>
      </c>
      <c r="D658" s="3" t="s">
        <v>1977</v>
      </c>
      <c r="E658" s="3" t="str">
        <f aca="false">PROPER(TRIM(SUBSTITUTE(Raw_Text_Fields!B659,CHAR(160)," ")))</f>
        <v>Neha Gupta</v>
      </c>
      <c r="F658" s="3" t="str">
        <f aca="false">PROPER(TRIM(SUBSTITUTE(Raw_Text_Fields!C659,CHAR(160)," ")))</f>
        <v>Small Business</v>
      </c>
      <c r="G658" s="3" t="str">
        <f aca="false">PROPER(TRIM(SUBSTITUTE(Raw_Text_Fields!D659,CHAR(160)," ")))</f>
        <v>North</v>
      </c>
      <c r="H658" s="3" t="str">
        <f aca="false">PROPER(TRIM(SUBSTITUTE(Raw_Text_Fields!E659,CHAR(160)," ")))</f>
        <v>Haryana</v>
      </c>
      <c r="I658" s="3" t="str">
        <f aca="false">PROPER(TRIM(SUBSTITUTE(Raw_Text_Fields!F659,CHAR(160)," ")))</f>
        <v>Gurugram</v>
      </c>
      <c r="J658" s="3" t="str">
        <f aca="false">PROPER(TRIM(SUBSTITUTE(Raw_Text_Fields!G659,CHAR(160)," ")))</f>
        <v>Technology</v>
      </c>
      <c r="K658" s="3" t="str">
        <f aca="false">PROPER(TRIM(SUBSTITUTE(Raw_Text_Fields!H659,CHAR(160)," ")))</f>
        <v>Machines</v>
      </c>
      <c r="L658" s="3" t="s">
        <v>1978</v>
      </c>
      <c r="M658" s="3" t="str">
        <f aca="false">PROPER(TRIM(SUBSTITUTE(Raw_Text_Fields!I659,CHAR(160)," ")))</f>
        <v>Same Day</v>
      </c>
      <c r="N658" s="3" t="n">
        <v>4</v>
      </c>
      <c r="O658" s="5" t="n">
        <v>2751.1</v>
      </c>
      <c r="P658" s="6" t="n">
        <v>-0.05</v>
      </c>
      <c r="Q658" s="5" t="n">
        <v>9903.96</v>
      </c>
      <c r="R658" s="5" t="n">
        <v>7696.28</v>
      </c>
      <c r="S658" s="5" t="n">
        <v>2207.68</v>
      </c>
      <c r="T658" s="3" t="str">
        <f aca="false">PROPER(TRIM(SUBSTITUTE(Raw_Text_Fields!J659,CHAR(160)," ")))</f>
        <v>Paid</v>
      </c>
      <c r="U658" s="3" t="str">
        <f aca="false">PROPER(TRIM(SUBSTITUTE(Raw_Text_Fields!K659,CHAR(160)," ")))</f>
        <v>Completed</v>
      </c>
      <c r="V658" s="7" t="n">
        <f aca="false">IF(OR(P658&lt;0,P658&gt;0.5),0,P658)</f>
        <v>0</v>
      </c>
      <c r="W658" s="8" t="n">
        <f aca="false">N658*O658*(1-V658)</f>
        <v>11004.4</v>
      </c>
      <c r="X658" s="8" t="n">
        <f aca="false">W658-R658</f>
        <v>3308.12</v>
      </c>
      <c r="Y658" s="7" t="n">
        <f aca="false">IFERROR(X658/W658,0)</f>
        <v>0.300617934644324</v>
      </c>
      <c r="Z658" s="9" t="n">
        <f aca="false">C658-B658</f>
        <v>7</v>
      </c>
      <c r="AA658" s="1" t="str">
        <f aca="false">IF(B658="","",TEXT(B658,"mmm"))</f>
        <v>May</v>
      </c>
      <c r="AB658" s="9" t="n">
        <f aca="false">IF(B658="","",YEAR(B658))</f>
        <v>2024</v>
      </c>
      <c r="AC658" s="3"/>
      <c r="AD658" s="3" t="str">
        <f aca="false">IF(LEFT(AC658&amp;IF(B658="","; Missing Order Date","")&amp;IF(C658="","; Missing Ship Date","")&amp;IF(P658&lt;0,"; Invalid Discount (Negative)","")&amp;IF(P658&gt;0.5,"; Invalid Discount (Too High)","")&amp;IF(Z658&lt;0,"; Invalid Shipping Record (Ship Before Order)","")&amp;IF(ABS(Q658-W658)&gt;1,"; Sales Mismatch","")&amp;IF(ABS(S658-X658)&gt;1,"; Profit Mismatch","")&amp;IF(COUNTIF($A$2:$A$913,A658)&gt;1,"; Duplicate Order ID Conflict",""),2)="; ",MID(AC658&amp;IF(B658="","; Missing Order Date","")&amp;IF(C658="","; Missing Ship Date","")&amp;IF(P658&lt;0,"; Invalid Discount (Negative)","")&amp;IF(P658&gt;0.5,"; Invalid Discount (Too High)","")&amp;IF(Z658&lt;0,"; Invalid Shipping Record (Ship Before Order)","")&amp;IF(ABS(Q658-W658)&gt;1,"; Sales Mismatch","")&amp;IF(ABS(S658-X658)&gt;1,"; Profit Mismatch","")&amp;IF(COUNTIF($A$2:$A$913,A658)&gt;1,"; Duplicate Order ID Conflict",""),3,500),AC658&amp;IF(B658="","; Missing Order Date","")&amp;IF(C658="","; Missing Ship Date","")&amp;IF(P658&lt;0,"; Invalid Discount (Negative)","")&amp;IF(P658&gt;0.5,"; Invalid Discount (Too High)","")&amp;IF(Z658&lt;0,"; Invalid Shipping Record (Ship Before Order)","")&amp;IF(ABS(Q658-W658)&gt;1,"; Sales Mismatch","")&amp;IF(ABS(S658-X658)&gt;1,"; Profit Mismatch","")&amp;IF(COUNTIF($A$2:$A$913,A658)&gt;1,"; Duplicate Order ID Conflict",""))</f>
        <v>Invalid Discount (Negative); Sales Mismatch; Profit Mismatch</v>
      </c>
      <c r="AE658" s="10" t="str">
        <f aca="false">IF(OR(ISNUMBER(SEARCH("Invalid Discount",AD658)),ISNUMBER(SEARCH("Invalid Shipping Record",AD658)),ISNUMBER(SEARCH("Sales Mismatch",AD658)),ISNUMBER(SEARCH("Profit Mismatch",AD658)),ISNUMBER(SEARCH("Duplicate Order ID Conflict",AD658)),ISNUMBER(SEARCH("Missing Order Date",AD658)),ISNUMBER(SEARCH("Missing Ship Date",AD658))),"Invalid",IF(AD658&lt;&gt;"","Warning","Clean"))</f>
        <v>Invalid</v>
      </c>
    </row>
    <row r="659" customFormat="false" ht="15" hidden="false" customHeight="true" outlineLevel="0" collapsed="false">
      <c r="A659" s="3" t="s">
        <v>1979</v>
      </c>
      <c r="B659" s="4" t="n">
        <v>45876</v>
      </c>
      <c r="C659" s="4" t="n">
        <v>45879</v>
      </c>
      <c r="D659" s="3" t="s">
        <v>1980</v>
      </c>
      <c r="E659" s="3" t="str">
        <f aca="false">PROPER(TRIM(SUBSTITUTE(Raw_Text_Fields!B660,CHAR(160)," ")))</f>
        <v>Aditi Sen</v>
      </c>
      <c r="F659" s="3" t="str">
        <f aca="false">PROPER(TRIM(SUBSTITUTE(Raw_Text_Fields!C660,CHAR(160)," ")))</f>
        <v>Home Office</v>
      </c>
      <c r="G659" s="3" t="str">
        <f aca="false">PROPER(TRIM(SUBSTITUTE(Raw_Text_Fields!D660,CHAR(160)," ")))</f>
        <v>East</v>
      </c>
      <c r="H659" s="3" t="str">
        <f aca="false">PROPER(TRIM(SUBSTITUTE(Raw_Text_Fields!E660,CHAR(160)," ")))</f>
        <v>Bihar</v>
      </c>
      <c r="I659" s="3" t="str">
        <f aca="false">PROPER(TRIM(SUBSTITUTE(Raw_Text_Fields!F660,CHAR(160)," ")))</f>
        <v>Patna</v>
      </c>
      <c r="J659" s="3" t="str">
        <f aca="false">PROPER(TRIM(SUBSTITUTE(Raw_Text_Fields!G660,CHAR(160)," ")))</f>
        <v>Office Supplies</v>
      </c>
      <c r="K659" s="3" t="str">
        <f aca="false">PROPER(TRIM(SUBSTITUTE(Raw_Text_Fields!H660,CHAR(160)," ")))</f>
        <v>Storage</v>
      </c>
      <c r="L659" s="3" t="s">
        <v>1981</v>
      </c>
      <c r="M659" s="3" t="str">
        <f aca="false">PROPER(TRIM(SUBSTITUTE(Raw_Text_Fields!I660,CHAR(160)," ")))</f>
        <v>Second Class</v>
      </c>
      <c r="N659" s="3" t="n">
        <v>1</v>
      </c>
      <c r="O659" s="5" t="n">
        <v>2541.25</v>
      </c>
      <c r="P659" s="6" t="n">
        <v>0.2</v>
      </c>
      <c r="Q659" s="5" t="n">
        <v>2033</v>
      </c>
      <c r="R659" s="5" t="n">
        <v>1291.41</v>
      </c>
      <c r="S659" s="5" t="n">
        <v>741.59</v>
      </c>
      <c r="T659" s="3" t="str">
        <f aca="false">PROPER(TRIM(SUBSTITUTE(Raw_Text_Fields!J660,CHAR(160)," ")))</f>
        <v>Paid</v>
      </c>
      <c r="U659" s="3" t="str">
        <f aca="false">PROPER(TRIM(SUBSTITUTE(Raw_Text_Fields!K660,CHAR(160)," ")))</f>
        <v>Completed</v>
      </c>
      <c r="V659" s="7" t="n">
        <f aca="false">IF(OR(P659&lt;0,P659&gt;0.5),0,P659)</f>
        <v>0.2</v>
      </c>
      <c r="W659" s="8" t="n">
        <f aca="false">N659*O659*(1-V659)</f>
        <v>2033</v>
      </c>
      <c r="X659" s="8" t="n">
        <f aca="false">W659-R659</f>
        <v>741.59</v>
      </c>
      <c r="Y659" s="7" t="n">
        <f aca="false">IFERROR(X659/W659,0)</f>
        <v>0.364776192818495</v>
      </c>
      <c r="Z659" s="9" t="n">
        <f aca="false">C659-B659</f>
        <v>3</v>
      </c>
      <c r="AA659" s="1" t="str">
        <f aca="false">IF(B659="","",TEXT(B659,"mmm"))</f>
        <v>Aug</v>
      </c>
      <c r="AB659" s="9" t="n">
        <f aca="false">IF(B659="","",YEAR(B659))</f>
        <v>2025</v>
      </c>
      <c r="AC659" s="3"/>
      <c r="AD659" s="3" t="str">
        <f aca="false">IF(LEFT(AC659&amp;IF(B659="","; Missing Order Date","")&amp;IF(C659="","; Missing Ship Date","")&amp;IF(P659&lt;0,"; Invalid Discount (Negative)","")&amp;IF(P659&gt;0.5,"; Invalid Discount (Too High)","")&amp;IF(Z659&lt;0,"; Invalid Shipping Record (Ship Before Order)","")&amp;IF(ABS(Q659-W659)&gt;1,"; Sales Mismatch","")&amp;IF(ABS(S659-X659)&gt;1,"; Profit Mismatch","")&amp;IF(COUNTIF($A$2:$A$913,A659)&gt;1,"; Duplicate Order ID Conflict",""),2)="; ",MID(AC659&amp;IF(B659="","; Missing Order Date","")&amp;IF(C659="","; Missing Ship Date","")&amp;IF(P659&lt;0,"; Invalid Discount (Negative)","")&amp;IF(P659&gt;0.5,"; Invalid Discount (Too High)","")&amp;IF(Z659&lt;0,"; Invalid Shipping Record (Ship Before Order)","")&amp;IF(ABS(Q659-W659)&gt;1,"; Sales Mismatch","")&amp;IF(ABS(S659-X659)&gt;1,"; Profit Mismatch","")&amp;IF(COUNTIF($A$2:$A$913,A659)&gt;1,"; Duplicate Order ID Conflict",""),3,500),AC659&amp;IF(B659="","; Missing Order Date","")&amp;IF(C659="","; Missing Ship Date","")&amp;IF(P659&lt;0,"; Invalid Discount (Negative)","")&amp;IF(P659&gt;0.5,"; Invalid Discount (Too High)","")&amp;IF(Z659&lt;0,"; Invalid Shipping Record (Ship Before Order)","")&amp;IF(ABS(Q659-W659)&gt;1,"; Sales Mismatch","")&amp;IF(ABS(S659-X659)&gt;1,"; Profit Mismatch","")&amp;IF(COUNTIF($A$2:$A$913,A659)&gt;1,"; Duplicate Order ID Conflict",""))</f>
        <v/>
      </c>
      <c r="AE659" s="10" t="str">
        <f aca="false">IF(OR(ISNUMBER(SEARCH("Invalid Discount",AD659)),ISNUMBER(SEARCH("Invalid Shipping Record",AD659)),ISNUMBER(SEARCH("Sales Mismatch",AD659)),ISNUMBER(SEARCH("Profit Mismatch",AD659)),ISNUMBER(SEARCH("Duplicate Order ID Conflict",AD659)),ISNUMBER(SEARCH("Missing Order Date",AD659)),ISNUMBER(SEARCH("Missing Ship Date",AD659))),"Invalid",IF(AD659&lt;&gt;"","Warning","Clean"))</f>
        <v>Clean</v>
      </c>
    </row>
    <row r="660" customFormat="false" ht="15" hidden="false" customHeight="true" outlineLevel="0" collapsed="false">
      <c r="A660" s="3" t="s">
        <v>1982</v>
      </c>
      <c r="B660" s="4" t="n">
        <v>45817</v>
      </c>
      <c r="C660" s="4" t="n">
        <v>45820</v>
      </c>
      <c r="D660" s="3" t="s">
        <v>1983</v>
      </c>
      <c r="E660" s="3" t="str">
        <f aca="false">PROPER(TRIM(SUBSTITUTE(Raw_Text_Fields!B661,CHAR(160)," ")))</f>
        <v>Sneha Kapoor</v>
      </c>
      <c r="F660" s="3" t="str">
        <f aca="false">PROPER(TRIM(SUBSTITUTE(Raw_Text_Fields!C661,CHAR(160)," ")))</f>
        <v>Consumer</v>
      </c>
      <c r="G660" s="3" t="str">
        <f aca="false">PROPER(TRIM(SUBSTITUTE(Raw_Text_Fields!D661,CHAR(160)," ")))</f>
        <v>Unknown</v>
      </c>
      <c r="H660" s="3" t="str">
        <f aca="false">PROPER(TRIM(SUBSTITUTE(Raw_Text_Fields!E661,CHAR(160)," ")))</f>
        <v>Bihar</v>
      </c>
      <c r="I660" s="3" t="str">
        <f aca="false">PROPER(TRIM(SUBSTITUTE(Raw_Text_Fields!F661,CHAR(160)," ")))</f>
        <v>Patna</v>
      </c>
      <c r="J660" s="3" t="str">
        <f aca="false">PROPER(TRIM(SUBSTITUTE(Raw_Text_Fields!G661,CHAR(160)," ")))</f>
        <v>Office Supplies</v>
      </c>
      <c r="K660" s="3" t="str">
        <f aca="false">PROPER(TRIM(SUBSTITUTE(Raw_Text_Fields!H661,CHAR(160)," ")))</f>
        <v>Art</v>
      </c>
      <c r="L660" s="3" t="s">
        <v>1984</v>
      </c>
      <c r="M660" s="3" t="str">
        <f aca="false">PROPER(TRIM(SUBSTITUTE(Raw_Text_Fields!I661,CHAR(160)," ")))</f>
        <v>First Class</v>
      </c>
      <c r="N660" s="3" t="n">
        <v>7</v>
      </c>
      <c r="O660" s="5" t="n">
        <v>2852.42</v>
      </c>
      <c r="P660" s="6" t="n">
        <v>0</v>
      </c>
      <c r="Q660" s="5" t="n">
        <v>19966.94</v>
      </c>
      <c r="R660" s="5" t="n">
        <v>12690.83</v>
      </c>
      <c r="S660" s="5" t="n">
        <v>7276.11</v>
      </c>
      <c r="T660" s="3" t="str">
        <f aca="false">PROPER(TRIM(SUBSTITUTE(Raw_Text_Fields!J661,CHAR(160)," ")))</f>
        <v>Refunded</v>
      </c>
      <c r="U660" s="3" t="str">
        <f aca="false">PROPER(TRIM(SUBSTITUTE(Raw_Text_Fields!K661,CHAR(160)," ")))</f>
        <v>Cancelled</v>
      </c>
      <c r="V660" s="7" t="n">
        <f aca="false">IF(OR(P660&lt;0,P660&gt;0.5),0,P660)</f>
        <v>0</v>
      </c>
      <c r="W660" s="8" t="n">
        <f aca="false">N660*O660*(1-V660)</f>
        <v>19966.94</v>
      </c>
      <c r="X660" s="8" t="n">
        <f aca="false">W660-R660</f>
        <v>7276.11</v>
      </c>
      <c r="Y660" s="7" t="n">
        <f aca="false">IFERROR(X660/W660,0)</f>
        <v>0.364407866202833</v>
      </c>
      <c r="Z660" s="9" t="n">
        <f aca="false">C660-B660</f>
        <v>3</v>
      </c>
      <c r="AA660" s="1" t="str">
        <f aca="false">IF(B660="","",TEXT(B660,"mmm"))</f>
        <v>Jun</v>
      </c>
      <c r="AB660" s="9" t="n">
        <f aca="false">IF(B660="","",YEAR(B660))</f>
        <v>2025</v>
      </c>
      <c r="AC660" s="3" t="s">
        <v>372</v>
      </c>
      <c r="AD660" s="3" t="str">
        <f aca="false">IF(LEFT(AC660&amp;IF(B660="","; Missing Order Date","")&amp;IF(C660="","; Missing Ship Date","")&amp;IF(P660&lt;0,"; Invalid Discount (Negative)","")&amp;IF(P660&gt;0.5,"; Invalid Discount (Too High)","")&amp;IF(Z660&lt;0,"; Invalid Shipping Record (Ship Before Order)","")&amp;IF(ABS(Q660-W660)&gt;1,"; Sales Mismatch","")&amp;IF(ABS(S660-X660)&gt;1,"; Profit Mismatch","")&amp;IF(COUNTIF($A$2:$A$913,A660)&gt;1,"; Duplicate Order ID Conflict",""),2)="; ",MID(AC660&amp;IF(B660="","; Missing Order Date","")&amp;IF(C660="","; Missing Ship Date","")&amp;IF(P660&lt;0,"; Invalid Discount (Negative)","")&amp;IF(P660&gt;0.5,"; Invalid Discount (Too High)","")&amp;IF(Z660&lt;0,"; Invalid Shipping Record (Ship Before Order)","")&amp;IF(ABS(Q660-W660)&gt;1,"; Sales Mismatch","")&amp;IF(ABS(S660-X660)&gt;1,"; Profit Mismatch","")&amp;IF(COUNTIF($A$2:$A$913,A660)&gt;1,"; Duplicate Order ID Conflict",""),3,500),AC660&amp;IF(B660="","; Missing Order Date","")&amp;IF(C660="","; Missing Ship Date","")&amp;IF(P660&lt;0,"; Invalid Discount (Negative)","")&amp;IF(P660&gt;0.5,"; Invalid Discount (Too High)","")&amp;IF(Z660&lt;0,"; Invalid Shipping Record (Ship Before Order)","")&amp;IF(ABS(Q660-W660)&gt;1,"; Sales Mismatch","")&amp;IF(ABS(S660-X660)&gt;1,"; Profit Mismatch","")&amp;IF(COUNTIF($A$2:$A$913,A660)&gt;1,"; Duplicate Order ID Conflict",""))</f>
        <v>Missing Region (filled Unknown)</v>
      </c>
      <c r="AE660" s="10" t="str">
        <f aca="false">IF(OR(ISNUMBER(SEARCH("Invalid Discount",AD660)),ISNUMBER(SEARCH("Invalid Shipping Record",AD660)),ISNUMBER(SEARCH("Sales Mismatch",AD660)),ISNUMBER(SEARCH("Profit Mismatch",AD660)),ISNUMBER(SEARCH("Duplicate Order ID Conflict",AD660)),ISNUMBER(SEARCH("Missing Order Date",AD660)),ISNUMBER(SEARCH("Missing Ship Date",AD660))),"Invalid",IF(AD660&lt;&gt;"","Warning","Clean"))</f>
        <v>Warning</v>
      </c>
    </row>
    <row r="661" customFormat="false" ht="15" hidden="false" customHeight="true" outlineLevel="0" collapsed="false">
      <c r="A661" s="3" t="s">
        <v>1985</v>
      </c>
      <c r="B661" s="4" t="n">
        <v>45678</v>
      </c>
      <c r="C661" s="4" t="n">
        <v>45679</v>
      </c>
      <c r="D661" s="3" t="s">
        <v>1986</v>
      </c>
      <c r="E661" s="3" t="str">
        <f aca="false">PROPER(TRIM(SUBSTITUTE(Raw_Text_Fields!B662,CHAR(160)," ")))</f>
        <v>Diya Patel</v>
      </c>
      <c r="F661" s="3" t="str">
        <f aca="false">PROPER(TRIM(SUBSTITUTE(Raw_Text_Fields!C662,CHAR(160)," ")))</f>
        <v>Corporate</v>
      </c>
      <c r="G661" s="3" t="str">
        <f aca="false">PROPER(TRIM(SUBSTITUTE(Raw_Text_Fields!D662,CHAR(160)," ")))</f>
        <v>South</v>
      </c>
      <c r="H661" s="3" t="str">
        <f aca="false">PROPER(TRIM(SUBSTITUTE(Raw_Text_Fields!E662,CHAR(160)," ")))</f>
        <v>Karnataka</v>
      </c>
      <c r="I661" s="3" t="str">
        <f aca="false">PROPER(TRIM(SUBSTITUTE(Raw_Text_Fields!F662,CHAR(160)," ")))</f>
        <v>Bengaluru</v>
      </c>
      <c r="J661" s="3" t="str">
        <f aca="false">PROPER(TRIM(SUBSTITUTE(Raw_Text_Fields!G662,CHAR(160)," ")))</f>
        <v>Technology</v>
      </c>
      <c r="K661" s="3" t="str">
        <f aca="false">PROPER(TRIM(SUBSTITUTE(Raw_Text_Fields!H662,CHAR(160)," ")))</f>
        <v>Phones</v>
      </c>
      <c r="L661" s="3" t="s">
        <v>1987</v>
      </c>
      <c r="M661" s="3" t="str">
        <f aca="false">PROPER(TRIM(SUBSTITUTE(Raw_Text_Fields!I662,CHAR(160)," ")))</f>
        <v>Second Class</v>
      </c>
      <c r="N661" s="3" t="n">
        <v>2</v>
      </c>
      <c r="O661" s="5" t="n">
        <v>444.31</v>
      </c>
      <c r="P661" s="6" t="n">
        <v>0.2</v>
      </c>
      <c r="Q661" s="5" t="n">
        <v>710.9</v>
      </c>
      <c r="R661" s="5" t="n">
        <v>513.88</v>
      </c>
      <c r="S661" s="5" t="n">
        <v>197.02</v>
      </c>
      <c r="T661" s="3" t="str">
        <f aca="false">PROPER(TRIM(SUBSTITUTE(Raw_Text_Fields!J662,CHAR(160)," ")))</f>
        <v>Refunded</v>
      </c>
      <c r="U661" s="3" t="str">
        <f aca="false">PROPER(TRIM(SUBSTITUTE(Raw_Text_Fields!K662,CHAR(160)," ")))</f>
        <v>Cancelled</v>
      </c>
      <c r="V661" s="7" t="n">
        <f aca="false">IF(OR(P661&lt;0,P661&gt;0.5),0,P661)</f>
        <v>0.2</v>
      </c>
      <c r="W661" s="8" t="n">
        <f aca="false">N661*O661*(1-V661)</f>
        <v>710.896</v>
      </c>
      <c r="X661" s="8" t="n">
        <f aca="false">W661-R661</f>
        <v>197.016</v>
      </c>
      <c r="Y661" s="7" t="n">
        <f aca="false">IFERROR(X661/W661,0)</f>
        <v>0.277137584119196</v>
      </c>
      <c r="Z661" s="9" t="n">
        <f aca="false">C661-B661</f>
        <v>1</v>
      </c>
      <c r="AA661" s="1" t="str">
        <f aca="false">IF(B661="","",TEXT(B661,"mmm"))</f>
        <v>Jan</v>
      </c>
      <c r="AB661" s="9" t="n">
        <f aca="false">IF(B661="","",YEAR(B661))</f>
        <v>2025</v>
      </c>
      <c r="AC661" s="3"/>
      <c r="AD661" s="3" t="str">
        <f aca="false">IF(LEFT(AC661&amp;IF(B661="","; Missing Order Date","")&amp;IF(C661="","; Missing Ship Date","")&amp;IF(P661&lt;0,"; Invalid Discount (Negative)","")&amp;IF(P661&gt;0.5,"; Invalid Discount (Too High)","")&amp;IF(Z661&lt;0,"; Invalid Shipping Record (Ship Before Order)","")&amp;IF(ABS(Q661-W661)&gt;1,"; Sales Mismatch","")&amp;IF(ABS(S661-X661)&gt;1,"; Profit Mismatch","")&amp;IF(COUNTIF($A$2:$A$913,A661)&gt;1,"; Duplicate Order ID Conflict",""),2)="; ",MID(AC661&amp;IF(B661="","; Missing Order Date","")&amp;IF(C661="","; Missing Ship Date","")&amp;IF(P661&lt;0,"; Invalid Discount (Negative)","")&amp;IF(P661&gt;0.5,"; Invalid Discount (Too High)","")&amp;IF(Z661&lt;0,"; Invalid Shipping Record (Ship Before Order)","")&amp;IF(ABS(Q661-W661)&gt;1,"; Sales Mismatch","")&amp;IF(ABS(S661-X661)&gt;1,"; Profit Mismatch","")&amp;IF(COUNTIF($A$2:$A$913,A661)&gt;1,"; Duplicate Order ID Conflict",""),3,500),AC661&amp;IF(B661="","; Missing Order Date","")&amp;IF(C661="","; Missing Ship Date","")&amp;IF(P661&lt;0,"; Invalid Discount (Negative)","")&amp;IF(P661&gt;0.5,"; Invalid Discount (Too High)","")&amp;IF(Z661&lt;0,"; Invalid Shipping Record (Ship Before Order)","")&amp;IF(ABS(Q661-W661)&gt;1,"; Sales Mismatch","")&amp;IF(ABS(S661-X661)&gt;1,"; Profit Mismatch","")&amp;IF(COUNTIF($A$2:$A$913,A661)&gt;1,"; Duplicate Order ID Conflict",""))</f>
        <v/>
      </c>
      <c r="AE661" s="10" t="str">
        <f aca="false">IF(OR(ISNUMBER(SEARCH("Invalid Discount",AD661)),ISNUMBER(SEARCH("Invalid Shipping Record",AD661)),ISNUMBER(SEARCH("Sales Mismatch",AD661)),ISNUMBER(SEARCH("Profit Mismatch",AD661)),ISNUMBER(SEARCH("Duplicate Order ID Conflict",AD661)),ISNUMBER(SEARCH("Missing Order Date",AD661)),ISNUMBER(SEARCH("Missing Ship Date",AD661))),"Invalid",IF(AD661&lt;&gt;"","Warning","Clean"))</f>
        <v>Clean</v>
      </c>
    </row>
    <row r="662" customFormat="false" ht="15" hidden="false" customHeight="true" outlineLevel="0" collapsed="false">
      <c r="A662" s="3" t="s">
        <v>1988</v>
      </c>
      <c r="B662" s="4" t="n">
        <v>45853</v>
      </c>
      <c r="C662" s="4" t="n">
        <v>45853</v>
      </c>
      <c r="D662" s="3" t="s">
        <v>1989</v>
      </c>
      <c r="E662" s="3" t="str">
        <f aca="false">PROPER(TRIM(SUBSTITUTE(Raw_Text_Fields!B663,CHAR(160)," ")))</f>
        <v>Arjun Bose</v>
      </c>
      <c r="F662" s="3" t="str">
        <f aca="false">PROPER(TRIM(SUBSTITUTE(Raw_Text_Fields!C663,CHAR(160)," ")))</f>
        <v>Small Business</v>
      </c>
      <c r="G662" s="3" t="str">
        <f aca="false">PROPER(TRIM(SUBSTITUTE(Raw_Text_Fields!D663,CHAR(160)," ")))</f>
        <v>East</v>
      </c>
      <c r="H662" s="3" t="str">
        <f aca="false">PROPER(TRIM(SUBSTITUTE(Raw_Text_Fields!E663,CHAR(160)," ")))</f>
        <v>Jharkhand</v>
      </c>
      <c r="I662" s="3" t="str">
        <f aca="false">PROPER(TRIM(SUBSTITUTE(Raw_Text_Fields!F663,CHAR(160)," ")))</f>
        <v>Ranchi</v>
      </c>
      <c r="J662" s="3" t="str">
        <f aca="false">PROPER(TRIM(SUBSTITUTE(Raw_Text_Fields!G663,CHAR(160)," ")))</f>
        <v>Technology</v>
      </c>
      <c r="K662" s="3" t="str">
        <f aca="false">PROPER(TRIM(SUBSTITUTE(Raw_Text_Fields!H663,CHAR(160)," ")))</f>
        <v>Phones</v>
      </c>
      <c r="L662" s="3" t="s">
        <v>1990</v>
      </c>
      <c r="M662" s="3" t="str">
        <f aca="false">PROPER(TRIM(SUBSTITUTE(Raw_Text_Fields!I663,CHAR(160)," ")))</f>
        <v>Same Day</v>
      </c>
      <c r="N662" s="3" t="n">
        <v>4</v>
      </c>
      <c r="O662" s="5" t="n">
        <v>4442.91</v>
      </c>
      <c r="P662" s="6" t="n">
        <v>0.1</v>
      </c>
      <c r="Q662" s="5" t="n">
        <v>15994.48</v>
      </c>
      <c r="R662" s="5" t="n">
        <v>9224.28</v>
      </c>
      <c r="S662" s="5" t="n">
        <v>6770.2</v>
      </c>
      <c r="T662" s="3" t="str">
        <f aca="false">PROPER(TRIM(SUBSTITUTE(Raw_Text_Fields!J663,CHAR(160)," ")))</f>
        <v>Paid</v>
      </c>
      <c r="U662" s="3" t="str">
        <f aca="false">PROPER(TRIM(SUBSTITUTE(Raw_Text_Fields!K663,CHAR(160)," ")))</f>
        <v>Completed</v>
      </c>
      <c r="V662" s="7" t="n">
        <f aca="false">IF(OR(P662&lt;0,P662&gt;0.5),0,P662)</f>
        <v>0.1</v>
      </c>
      <c r="W662" s="8" t="n">
        <f aca="false">N662*O662*(1-V662)</f>
        <v>15994.476</v>
      </c>
      <c r="X662" s="8" t="n">
        <f aca="false">W662-R662</f>
        <v>6770.196</v>
      </c>
      <c r="Y662" s="7" t="n">
        <f aca="false">IFERROR(X662/W662,0)</f>
        <v>0.423283388589911</v>
      </c>
      <c r="Z662" s="9" t="n">
        <f aca="false">C662-B662</f>
        <v>0</v>
      </c>
      <c r="AA662" s="1" t="str">
        <f aca="false">IF(B662="","",TEXT(B662,"mmm"))</f>
        <v>Jul</v>
      </c>
      <c r="AB662" s="9" t="n">
        <f aca="false">IF(B662="","",YEAR(B662))</f>
        <v>2025</v>
      </c>
      <c r="AC662" s="3"/>
      <c r="AD662" s="3" t="str">
        <f aca="false">IF(LEFT(AC662&amp;IF(B662="","; Missing Order Date","")&amp;IF(C662="","; Missing Ship Date","")&amp;IF(P662&lt;0,"; Invalid Discount (Negative)","")&amp;IF(P662&gt;0.5,"; Invalid Discount (Too High)","")&amp;IF(Z662&lt;0,"; Invalid Shipping Record (Ship Before Order)","")&amp;IF(ABS(Q662-W662)&gt;1,"; Sales Mismatch","")&amp;IF(ABS(S662-X662)&gt;1,"; Profit Mismatch","")&amp;IF(COUNTIF($A$2:$A$913,A662)&gt;1,"; Duplicate Order ID Conflict",""),2)="; ",MID(AC662&amp;IF(B662="","; Missing Order Date","")&amp;IF(C662="","; Missing Ship Date","")&amp;IF(P662&lt;0,"; Invalid Discount (Negative)","")&amp;IF(P662&gt;0.5,"; Invalid Discount (Too High)","")&amp;IF(Z662&lt;0,"; Invalid Shipping Record (Ship Before Order)","")&amp;IF(ABS(Q662-W662)&gt;1,"; Sales Mismatch","")&amp;IF(ABS(S662-X662)&gt;1,"; Profit Mismatch","")&amp;IF(COUNTIF($A$2:$A$913,A662)&gt;1,"; Duplicate Order ID Conflict",""),3,500),AC662&amp;IF(B662="","; Missing Order Date","")&amp;IF(C662="","; Missing Ship Date","")&amp;IF(P662&lt;0,"; Invalid Discount (Negative)","")&amp;IF(P662&gt;0.5,"; Invalid Discount (Too High)","")&amp;IF(Z662&lt;0,"; Invalid Shipping Record (Ship Before Order)","")&amp;IF(ABS(Q662-W662)&gt;1,"; Sales Mismatch","")&amp;IF(ABS(S662-X662)&gt;1,"; Profit Mismatch","")&amp;IF(COUNTIF($A$2:$A$913,A662)&gt;1,"; Duplicate Order ID Conflict",""))</f>
        <v/>
      </c>
      <c r="AE662" s="10" t="str">
        <f aca="false">IF(OR(ISNUMBER(SEARCH("Invalid Discount",AD662)),ISNUMBER(SEARCH("Invalid Shipping Record",AD662)),ISNUMBER(SEARCH("Sales Mismatch",AD662)),ISNUMBER(SEARCH("Profit Mismatch",AD662)),ISNUMBER(SEARCH("Duplicate Order ID Conflict",AD662)),ISNUMBER(SEARCH("Missing Order Date",AD662)),ISNUMBER(SEARCH("Missing Ship Date",AD662))),"Invalid",IF(AD662&lt;&gt;"","Warning","Clean"))</f>
        <v>Clean</v>
      </c>
    </row>
    <row r="663" customFormat="false" ht="15" hidden="false" customHeight="true" outlineLevel="0" collapsed="false">
      <c r="A663" s="3" t="s">
        <v>1991</v>
      </c>
      <c r="B663" s="4" t="n">
        <v>45429</v>
      </c>
      <c r="C663" s="4" t="n">
        <v>45434</v>
      </c>
      <c r="D663" s="3" t="s">
        <v>1992</v>
      </c>
      <c r="E663" s="3" t="str">
        <f aca="false">PROPER(TRIM(SUBSTITUTE(Raw_Text_Fields!B664,CHAR(160)," ")))</f>
        <v>Sneha Kapoor</v>
      </c>
      <c r="F663" s="3" t="str">
        <f aca="false">PROPER(TRIM(SUBSTITUTE(Raw_Text_Fields!C664,CHAR(160)," ")))</f>
        <v>Consumer</v>
      </c>
      <c r="G663" s="3" t="str">
        <f aca="false">PROPER(TRIM(SUBSTITUTE(Raw_Text_Fields!D664,CHAR(160)," ")))</f>
        <v>South</v>
      </c>
      <c r="H663" s="3" t="str">
        <f aca="false">PROPER(TRIM(SUBSTITUTE(Raw_Text_Fields!E664,CHAR(160)," ")))</f>
        <v>Andhra Pradesh</v>
      </c>
      <c r="I663" s="3" t="str">
        <f aca="false">PROPER(TRIM(SUBSTITUTE(Raw_Text_Fields!F664,CHAR(160)," ")))</f>
        <v>Vijayawada</v>
      </c>
      <c r="J663" s="3" t="str">
        <f aca="false">PROPER(TRIM(SUBSTITUTE(Raw_Text_Fields!G664,CHAR(160)," ")))</f>
        <v>Technology</v>
      </c>
      <c r="K663" s="3" t="str">
        <f aca="false">PROPER(TRIM(SUBSTITUTE(Raw_Text_Fields!H664,CHAR(160)," ")))</f>
        <v>Machines</v>
      </c>
      <c r="L663" s="3" t="s">
        <v>1993</v>
      </c>
      <c r="M663" s="3" t="str">
        <f aca="false">PROPER(TRIM(SUBSTITUTE(Raw_Text_Fields!I664,CHAR(160)," ")))</f>
        <v>Second Class</v>
      </c>
      <c r="N663" s="3" t="n">
        <v>7</v>
      </c>
      <c r="O663" s="5" t="n">
        <v>232.5</v>
      </c>
      <c r="P663" s="6" t="n">
        <v>0</v>
      </c>
      <c r="Q663" s="5" t="n">
        <v>1627.5</v>
      </c>
      <c r="R663" s="5" t="n">
        <v>939.9</v>
      </c>
      <c r="S663" s="5" t="n">
        <v>687.6</v>
      </c>
      <c r="T663" s="3" t="str">
        <f aca="false">PROPER(TRIM(SUBSTITUTE(Raw_Text_Fields!J664,CHAR(160)," ")))</f>
        <v>Paid</v>
      </c>
      <c r="U663" s="3" t="str">
        <f aca="false">PROPER(TRIM(SUBSTITUTE(Raw_Text_Fields!K664,CHAR(160)," ")))</f>
        <v>Completed</v>
      </c>
      <c r="V663" s="7" t="n">
        <f aca="false">IF(OR(P663&lt;0,P663&gt;0.5),0,P663)</f>
        <v>0</v>
      </c>
      <c r="W663" s="8" t="n">
        <f aca="false">N663*O663*(1-V663)</f>
        <v>1627.5</v>
      </c>
      <c r="X663" s="8" t="n">
        <f aca="false">W663-R663</f>
        <v>687.6</v>
      </c>
      <c r="Y663" s="7" t="n">
        <f aca="false">IFERROR(X663/W663,0)</f>
        <v>0.422488479262673</v>
      </c>
      <c r="Z663" s="9" t="n">
        <f aca="false">C663-B663</f>
        <v>5</v>
      </c>
      <c r="AA663" s="1" t="str">
        <f aca="false">IF(B663="","",TEXT(B663,"mmm"))</f>
        <v>May</v>
      </c>
      <c r="AB663" s="9" t="n">
        <f aca="false">IF(B663="","",YEAR(B663))</f>
        <v>2024</v>
      </c>
      <c r="AC663" s="3"/>
      <c r="AD663" s="3" t="str">
        <f aca="false">IF(LEFT(AC663&amp;IF(B663="","; Missing Order Date","")&amp;IF(C663="","; Missing Ship Date","")&amp;IF(P663&lt;0,"; Invalid Discount (Negative)","")&amp;IF(P663&gt;0.5,"; Invalid Discount (Too High)","")&amp;IF(Z663&lt;0,"; Invalid Shipping Record (Ship Before Order)","")&amp;IF(ABS(Q663-W663)&gt;1,"; Sales Mismatch","")&amp;IF(ABS(S663-X663)&gt;1,"; Profit Mismatch","")&amp;IF(COUNTIF($A$2:$A$913,A663)&gt;1,"; Duplicate Order ID Conflict",""),2)="; ",MID(AC663&amp;IF(B663="","; Missing Order Date","")&amp;IF(C663="","; Missing Ship Date","")&amp;IF(P663&lt;0,"; Invalid Discount (Negative)","")&amp;IF(P663&gt;0.5,"; Invalid Discount (Too High)","")&amp;IF(Z663&lt;0,"; Invalid Shipping Record (Ship Before Order)","")&amp;IF(ABS(Q663-W663)&gt;1,"; Sales Mismatch","")&amp;IF(ABS(S663-X663)&gt;1,"; Profit Mismatch","")&amp;IF(COUNTIF($A$2:$A$913,A663)&gt;1,"; Duplicate Order ID Conflict",""),3,500),AC663&amp;IF(B663="","; Missing Order Date","")&amp;IF(C663="","; Missing Ship Date","")&amp;IF(P663&lt;0,"; Invalid Discount (Negative)","")&amp;IF(P663&gt;0.5,"; Invalid Discount (Too High)","")&amp;IF(Z663&lt;0,"; Invalid Shipping Record (Ship Before Order)","")&amp;IF(ABS(Q663-W663)&gt;1,"; Sales Mismatch","")&amp;IF(ABS(S663-X663)&gt;1,"; Profit Mismatch","")&amp;IF(COUNTIF($A$2:$A$913,A663)&gt;1,"; Duplicate Order ID Conflict",""))</f>
        <v/>
      </c>
      <c r="AE663" s="10" t="str">
        <f aca="false">IF(OR(ISNUMBER(SEARCH("Invalid Discount",AD663)),ISNUMBER(SEARCH("Invalid Shipping Record",AD663)),ISNUMBER(SEARCH("Sales Mismatch",AD663)),ISNUMBER(SEARCH("Profit Mismatch",AD663)),ISNUMBER(SEARCH("Duplicate Order ID Conflict",AD663)),ISNUMBER(SEARCH("Missing Order Date",AD663)),ISNUMBER(SEARCH("Missing Ship Date",AD663))),"Invalid",IF(AD663&lt;&gt;"","Warning","Clean"))</f>
        <v>Clean</v>
      </c>
    </row>
    <row r="664" customFormat="false" ht="15" hidden="false" customHeight="true" outlineLevel="0" collapsed="false">
      <c r="A664" s="3" t="s">
        <v>1994</v>
      </c>
      <c r="B664" s="4" t="n">
        <v>45305</v>
      </c>
      <c r="C664" s="4" t="n">
        <v>45309</v>
      </c>
      <c r="D664" s="3" t="s">
        <v>1995</v>
      </c>
      <c r="E664" s="3" t="str">
        <f aca="false">PROPER(TRIM(SUBSTITUTE(Raw_Text_Fields!B665,CHAR(160)," ")))</f>
        <v>Mira Das</v>
      </c>
      <c r="F664" s="3" t="str">
        <f aca="false">PROPER(TRIM(SUBSTITUTE(Raw_Text_Fields!C665,CHAR(160)," ")))</f>
        <v>Home Office</v>
      </c>
      <c r="G664" s="3" t="str">
        <f aca="false">PROPER(TRIM(SUBSTITUTE(Raw_Text_Fields!D665,CHAR(160)," ")))</f>
        <v>West</v>
      </c>
      <c r="H664" s="3" t="str">
        <f aca="false">PROPER(TRIM(SUBSTITUTE(Raw_Text_Fields!E665,CHAR(160)," ")))</f>
        <v>Rajasthan</v>
      </c>
      <c r="I664" s="3" t="str">
        <f aca="false">PROPER(TRIM(SUBSTITUTE(Raw_Text_Fields!F665,CHAR(160)," ")))</f>
        <v>Udaipur</v>
      </c>
      <c r="J664" s="3" t="str">
        <f aca="false">PROPER(TRIM(SUBSTITUTE(Raw_Text_Fields!G665,CHAR(160)," ")))</f>
        <v>Technology</v>
      </c>
      <c r="K664" s="3" t="str">
        <f aca="false">PROPER(TRIM(SUBSTITUTE(Raw_Text_Fields!H665,CHAR(160)," ")))</f>
        <v>Machines</v>
      </c>
      <c r="L664" s="3" t="s">
        <v>1996</v>
      </c>
      <c r="M664" s="3" t="str">
        <f aca="false">PROPER(TRIM(SUBSTITUTE(Raw_Text_Fields!I665,CHAR(160)," ")))</f>
        <v>Same Day</v>
      </c>
      <c r="N664" s="3" t="n">
        <v>6</v>
      </c>
      <c r="O664" s="5" t="n">
        <v>1784.8</v>
      </c>
      <c r="P664" s="6" t="n">
        <v>0.1</v>
      </c>
      <c r="Q664" s="5" t="n">
        <v>9637.92</v>
      </c>
      <c r="R664" s="5" t="n">
        <v>7329.29</v>
      </c>
      <c r="S664" s="5" t="n">
        <v>2308.63</v>
      </c>
      <c r="T664" s="3" t="str">
        <f aca="false">PROPER(TRIM(SUBSTITUTE(Raw_Text_Fields!J665,CHAR(160)," ")))</f>
        <v>Paid</v>
      </c>
      <c r="U664" s="3" t="str">
        <f aca="false">PROPER(TRIM(SUBSTITUTE(Raw_Text_Fields!K665,CHAR(160)," ")))</f>
        <v>Completed</v>
      </c>
      <c r="V664" s="7" t="n">
        <f aca="false">IF(OR(P664&lt;0,P664&gt;0.5),0,P664)</f>
        <v>0.1</v>
      </c>
      <c r="W664" s="8" t="n">
        <f aca="false">N664*O664*(1-V664)</f>
        <v>9637.92</v>
      </c>
      <c r="X664" s="8" t="n">
        <f aca="false">W664-R664</f>
        <v>2308.63</v>
      </c>
      <c r="Y664" s="7" t="n">
        <f aca="false">IFERROR(X664/W664,0)</f>
        <v>0.239536123976958</v>
      </c>
      <c r="Z664" s="9" t="n">
        <f aca="false">C664-B664</f>
        <v>4</v>
      </c>
      <c r="AA664" s="1" t="str">
        <f aca="false">IF(B664="","",TEXT(B664,"mmm"))</f>
        <v>Jan</v>
      </c>
      <c r="AB664" s="9" t="n">
        <f aca="false">IF(B664="","",YEAR(B664))</f>
        <v>2024</v>
      </c>
      <c r="AC664" s="3"/>
      <c r="AD664" s="3" t="str">
        <f aca="false">IF(LEFT(AC664&amp;IF(B664="","; Missing Order Date","")&amp;IF(C664="","; Missing Ship Date","")&amp;IF(P664&lt;0,"; Invalid Discount (Negative)","")&amp;IF(P664&gt;0.5,"; Invalid Discount (Too High)","")&amp;IF(Z664&lt;0,"; Invalid Shipping Record (Ship Before Order)","")&amp;IF(ABS(Q664-W664)&gt;1,"; Sales Mismatch","")&amp;IF(ABS(S664-X664)&gt;1,"; Profit Mismatch","")&amp;IF(COUNTIF($A$2:$A$913,A664)&gt;1,"; Duplicate Order ID Conflict",""),2)="; ",MID(AC664&amp;IF(B664="","; Missing Order Date","")&amp;IF(C664="","; Missing Ship Date","")&amp;IF(P664&lt;0,"; Invalid Discount (Negative)","")&amp;IF(P664&gt;0.5,"; Invalid Discount (Too High)","")&amp;IF(Z664&lt;0,"; Invalid Shipping Record (Ship Before Order)","")&amp;IF(ABS(Q664-W664)&gt;1,"; Sales Mismatch","")&amp;IF(ABS(S664-X664)&gt;1,"; Profit Mismatch","")&amp;IF(COUNTIF($A$2:$A$913,A664)&gt;1,"; Duplicate Order ID Conflict",""),3,500),AC664&amp;IF(B664="","; Missing Order Date","")&amp;IF(C664="","; Missing Ship Date","")&amp;IF(P664&lt;0,"; Invalid Discount (Negative)","")&amp;IF(P664&gt;0.5,"; Invalid Discount (Too High)","")&amp;IF(Z664&lt;0,"; Invalid Shipping Record (Ship Before Order)","")&amp;IF(ABS(Q664-W664)&gt;1,"; Sales Mismatch","")&amp;IF(ABS(S664-X664)&gt;1,"; Profit Mismatch","")&amp;IF(COUNTIF($A$2:$A$913,A664)&gt;1,"; Duplicate Order ID Conflict",""))</f>
        <v/>
      </c>
      <c r="AE664" s="10" t="str">
        <f aca="false">IF(OR(ISNUMBER(SEARCH("Invalid Discount",AD664)),ISNUMBER(SEARCH("Invalid Shipping Record",AD664)),ISNUMBER(SEARCH("Sales Mismatch",AD664)),ISNUMBER(SEARCH("Profit Mismatch",AD664)),ISNUMBER(SEARCH("Duplicate Order ID Conflict",AD664)),ISNUMBER(SEARCH("Missing Order Date",AD664)),ISNUMBER(SEARCH("Missing Ship Date",AD664))),"Invalid",IF(AD664&lt;&gt;"","Warning","Clean"))</f>
        <v>Clean</v>
      </c>
    </row>
    <row r="665" customFormat="false" ht="15" hidden="false" customHeight="true" outlineLevel="0" collapsed="false">
      <c r="A665" s="3" t="s">
        <v>1997</v>
      </c>
      <c r="B665" s="4" t="n">
        <v>45414</v>
      </c>
      <c r="C665" s="4" t="n">
        <v>45420</v>
      </c>
      <c r="D665" s="3" t="s">
        <v>1998</v>
      </c>
      <c r="E665" s="3" t="str">
        <f aca="false">PROPER(TRIM(SUBSTITUTE(Raw_Text_Fields!B666,CHAR(160)," ")))</f>
        <v>Rahul Verma</v>
      </c>
      <c r="F665" s="3" t="str">
        <f aca="false">PROPER(TRIM(SUBSTITUTE(Raw_Text_Fields!C666,CHAR(160)," ")))</f>
        <v>Home Office</v>
      </c>
      <c r="G665" s="3" t="str">
        <f aca="false">PROPER(TRIM(SUBSTITUTE(Raw_Text_Fields!D666,CHAR(160)," ")))</f>
        <v>East</v>
      </c>
      <c r="H665" s="3" t="str">
        <f aca="false">PROPER(TRIM(SUBSTITUTE(Raw_Text_Fields!E666,CHAR(160)," ")))</f>
        <v>Jharkhand</v>
      </c>
      <c r="I665" s="3" t="str">
        <f aca="false">PROPER(TRIM(SUBSTITUTE(Raw_Text_Fields!F666,CHAR(160)," ")))</f>
        <v>Ranchi</v>
      </c>
      <c r="J665" s="3" t="str">
        <f aca="false">PROPER(TRIM(SUBSTITUTE(Raw_Text_Fields!G666,CHAR(160)," ")))</f>
        <v>Technology</v>
      </c>
      <c r="K665" s="3" t="str">
        <f aca="false">PROPER(TRIM(SUBSTITUTE(Raw_Text_Fields!H666,CHAR(160)," ")))</f>
        <v>Copiers</v>
      </c>
      <c r="L665" s="3" t="s">
        <v>1999</v>
      </c>
      <c r="M665" s="3" t="str">
        <f aca="false">PROPER(TRIM(SUBSTITUTE(Raw_Text_Fields!I666,CHAR(160)," ")))</f>
        <v>Second Class</v>
      </c>
      <c r="N665" s="3" t="n">
        <v>2</v>
      </c>
      <c r="O665" s="5" t="n">
        <v>3185.01</v>
      </c>
      <c r="P665" s="6" t="n">
        <v>-0.24</v>
      </c>
      <c r="Q665" s="5" t="n">
        <v>4777.52</v>
      </c>
      <c r="R665" s="5" t="n">
        <v>3152.98</v>
      </c>
      <c r="S665" s="5" t="n">
        <v>1624.54</v>
      </c>
      <c r="T665" s="3" t="str">
        <f aca="false">PROPER(TRIM(SUBSTITUTE(Raw_Text_Fields!J666,CHAR(160)," ")))</f>
        <v>Paid</v>
      </c>
      <c r="U665" s="3" t="str">
        <f aca="false">PROPER(TRIM(SUBSTITUTE(Raw_Text_Fields!K666,CHAR(160)," ")))</f>
        <v>Completed</v>
      </c>
      <c r="V665" s="7" t="n">
        <f aca="false">IF(OR(P665&lt;0,P665&gt;0.5),0,P665)</f>
        <v>0</v>
      </c>
      <c r="W665" s="8" t="n">
        <f aca="false">N665*O665*(1-V665)</f>
        <v>6370.02</v>
      </c>
      <c r="X665" s="8" t="n">
        <f aca="false">W665-R665</f>
        <v>3217.04</v>
      </c>
      <c r="Y665" s="7" t="n">
        <f aca="false">IFERROR(X665/W665,0)</f>
        <v>0.505028241669571</v>
      </c>
      <c r="Z665" s="9" t="n">
        <f aca="false">C665-B665</f>
        <v>6</v>
      </c>
      <c r="AA665" s="1" t="str">
        <f aca="false">IF(B665="","",TEXT(B665,"mmm"))</f>
        <v>May</v>
      </c>
      <c r="AB665" s="9" t="n">
        <f aca="false">IF(B665="","",YEAR(B665))</f>
        <v>2024</v>
      </c>
      <c r="AC665" s="3"/>
      <c r="AD665" s="3" t="str">
        <f aca="false">IF(LEFT(AC665&amp;IF(B665="","; Missing Order Date","")&amp;IF(C665="","; Missing Ship Date","")&amp;IF(P665&lt;0,"; Invalid Discount (Negative)","")&amp;IF(P665&gt;0.5,"; Invalid Discount (Too High)","")&amp;IF(Z665&lt;0,"; Invalid Shipping Record (Ship Before Order)","")&amp;IF(ABS(Q665-W665)&gt;1,"; Sales Mismatch","")&amp;IF(ABS(S665-X665)&gt;1,"; Profit Mismatch","")&amp;IF(COUNTIF($A$2:$A$913,A665)&gt;1,"; Duplicate Order ID Conflict",""),2)="; ",MID(AC665&amp;IF(B665="","; Missing Order Date","")&amp;IF(C665="","; Missing Ship Date","")&amp;IF(P665&lt;0,"; Invalid Discount (Negative)","")&amp;IF(P665&gt;0.5,"; Invalid Discount (Too High)","")&amp;IF(Z665&lt;0,"; Invalid Shipping Record (Ship Before Order)","")&amp;IF(ABS(Q665-W665)&gt;1,"; Sales Mismatch","")&amp;IF(ABS(S665-X665)&gt;1,"; Profit Mismatch","")&amp;IF(COUNTIF($A$2:$A$913,A665)&gt;1,"; Duplicate Order ID Conflict",""),3,500),AC665&amp;IF(B665="","; Missing Order Date","")&amp;IF(C665="","; Missing Ship Date","")&amp;IF(P665&lt;0,"; Invalid Discount (Negative)","")&amp;IF(P665&gt;0.5,"; Invalid Discount (Too High)","")&amp;IF(Z665&lt;0,"; Invalid Shipping Record (Ship Before Order)","")&amp;IF(ABS(Q665-W665)&gt;1,"; Sales Mismatch","")&amp;IF(ABS(S665-X665)&gt;1,"; Profit Mismatch","")&amp;IF(COUNTIF($A$2:$A$913,A665)&gt;1,"; Duplicate Order ID Conflict",""))</f>
        <v>Invalid Discount (Negative); Sales Mismatch; Profit Mismatch</v>
      </c>
      <c r="AE665" s="10" t="str">
        <f aca="false">IF(OR(ISNUMBER(SEARCH("Invalid Discount",AD665)),ISNUMBER(SEARCH("Invalid Shipping Record",AD665)),ISNUMBER(SEARCH("Sales Mismatch",AD665)),ISNUMBER(SEARCH("Profit Mismatch",AD665)),ISNUMBER(SEARCH("Duplicate Order ID Conflict",AD665)),ISNUMBER(SEARCH("Missing Order Date",AD665)),ISNUMBER(SEARCH("Missing Ship Date",AD665))),"Invalid",IF(AD665&lt;&gt;"","Warning","Clean"))</f>
        <v>Invalid</v>
      </c>
    </row>
    <row r="666" customFormat="false" ht="15" hidden="false" customHeight="true" outlineLevel="0" collapsed="false">
      <c r="A666" s="3" t="s">
        <v>2000</v>
      </c>
      <c r="B666" s="4" t="n">
        <v>45633</v>
      </c>
      <c r="C666" s="4" t="n">
        <v>45636</v>
      </c>
      <c r="D666" s="3" t="s">
        <v>2001</v>
      </c>
      <c r="E666" s="3" t="str">
        <f aca="false">PROPER(TRIM(SUBSTITUTE(Raw_Text_Fields!B667,CHAR(160)," ")))</f>
        <v>Mira Das</v>
      </c>
      <c r="F666" s="3" t="str">
        <f aca="false">PROPER(TRIM(SUBSTITUTE(Raw_Text_Fields!C667,CHAR(160)," ")))</f>
        <v>Home Office</v>
      </c>
      <c r="G666" s="3" t="str">
        <f aca="false">PROPER(TRIM(SUBSTITUTE(Raw_Text_Fields!D667,CHAR(160)," ")))</f>
        <v>South</v>
      </c>
      <c r="H666" s="3" t="str">
        <f aca="false">PROPER(TRIM(SUBSTITUTE(Raw_Text_Fields!E667,CHAR(160)," ")))</f>
        <v>Telangana</v>
      </c>
      <c r="I666" s="3" t="str">
        <f aca="false">PROPER(TRIM(SUBSTITUTE(Raw_Text_Fields!F667,CHAR(160)," ")))</f>
        <v>Hyderabad</v>
      </c>
      <c r="J666" s="3" t="str">
        <f aca="false">PROPER(TRIM(SUBSTITUTE(Raw_Text_Fields!G667,CHAR(160)," ")))</f>
        <v>Technology</v>
      </c>
      <c r="K666" s="3" t="str">
        <f aca="false">PROPER(TRIM(SUBSTITUTE(Raw_Text_Fields!H667,CHAR(160)," ")))</f>
        <v>Accessories</v>
      </c>
      <c r="L666" s="3" t="s">
        <v>2002</v>
      </c>
      <c r="M666" s="3" t="str">
        <f aca="false">PROPER(TRIM(SUBSTITUTE(Raw_Text_Fields!I667,CHAR(160)," ")))</f>
        <v>Standard Class</v>
      </c>
      <c r="N666" s="3" t="n">
        <v>1</v>
      </c>
      <c r="O666" s="5" t="n">
        <v>1908.83</v>
      </c>
      <c r="P666" s="6" t="n">
        <v>0.2</v>
      </c>
      <c r="Q666" s="5" t="n">
        <v>1527.06</v>
      </c>
      <c r="R666" s="5" t="n">
        <v>1055.89</v>
      </c>
      <c r="S666" s="5" t="n">
        <v>471.17</v>
      </c>
      <c r="T666" s="3" t="str">
        <f aca="false">PROPER(TRIM(SUBSTITUTE(Raw_Text_Fields!J667,CHAR(160)," ")))</f>
        <v>Paid</v>
      </c>
      <c r="U666" s="3" t="str">
        <f aca="false">PROPER(TRIM(SUBSTITUTE(Raw_Text_Fields!K667,CHAR(160)," ")))</f>
        <v>Completed</v>
      </c>
      <c r="V666" s="7" t="n">
        <f aca="false">IF(OR(P666&lt;0,P666&gt;0.5),0,P666)</f>
        <v>0.2</v>
      </c>
      <c r="W666" s="8" t="n">
        <f aca="false">N666*O666*(1-V666)</f>
        <v>1527.064</v>
      </c>
      <c r="X666" s="8" t="n">
        <f aca="false">W666-R666</f>
        <v>471.174</v>
      </c>
      <c r="Y666" s="7" t="n">
        <f aca="false">IFERROR(X666/W666,0)</f>
        <v>0.308548954071342</v>
      </c>
      <c r="Z666" s="9" t="n">
        <f aca="false">C666-B666</f>
        <v>3</v>
      </c>
      <c r="AA666" s="1" t="str">
        <f aca="false">IF(B666="","",TEXT(B666,"mmm"))</f>
        <v>Dec</v>
      </c>
      <c r="AB666" s="9" t="n">
        <f aca="false">IF(B666="","",YEAR(B666))</f>
        <v>2024</v>
      </c>
      <c r="AC666" s="3"/>
      <c r="AD666" s="3" t="str">
        <f aca="false">IF(LEFT(AC666&amp;IF(B666="","; Missing Order Date","")&amp;IF(C666="","; Missing Ship Date","")&amp;IF(P666&lt;0,"; Invalid Discount (Negative)","")&amp;IF(P666&gt;0.5,"; Invalid Discount (Too High)","")&amp;IF(Z666&lt;0,"; Invalid Shipping Record (Ship Before Order)","")&amp;IF(ABS(Q666-W666)&gt;1,"; Sales Mismatch","")&amp;IF(ABS(S666-X666)&gt;1,"; Profit Mismatch","")&amp;IF(COUNTIF($A$2:$A$913,A666)&gt;1,"; Duplicate Order ID Conflict",""),2)="; ",MID(AC666&amp;IF(B666="","; Missing Order Date","")&amp;IF(C666="","; Missing Ship Date","")&amp;IF(P666&lt;0,"; Invalid Discount (Negative)","")&amp;IF(P666&gt;0.5,"; Invalid Discount (Too High)","")&amp;IF(Z666&lt;0,"; Invalid Shipping Record (Ship Before Order)","")&amp;IF(ABS(Q666-W666)&gt;1,"; Sales Mismatch","")&amp;IF(ABS(S666-X666)&gt;1,"; Profit Mismatch","")&amp;IF(COUNTIF($A$2:$A$913,A666)&gt;1,"; Duplicate Order ID Conflict",""),3,500),AC666&amp;IF(B666="","; Missing Order Date","")&amp;IF(C666="","; Missing Ship Date","")&amp;IF(P666&lt;0,"; Invalid Discount (Negative)","")&amp;IF(P666&gt;0.5,"; Invalid Discount (Too High)","")&amp;IF(Z666&lt;0,"; Invalid Shipping Record (Ship Before Order)","")&amp;IF(ABS(Q666-W666)&gt;1,"; Sales Mismatch","")&amp;IF(ABS(S666-X666)&gt;1,"; Profit Mismatch","")&amp;IF(COUNTIF($A$2:$A$913,A666)&gt;1,"; Duplicate Order ID Conflict",""))</f>
        <v/>
      </c>
      <c r="AE666" s="10" t="str">
        <f aca="false">IF(OR(ISNUMBER(SEARCH("Invalid Discount",AD666)),ISNUMBER(SEARCH("Invalid Shipping Record",AD666)),ISNUMBER(SEARCH("Sales Mismatch",AD666)),ISNUMBER(SEARCH("Profit Mismatch",AD666)),ISNUMBER(SEARCH("Duplicate Order ID Conflict",AD666)),ISNUMBER(SEARCH("Missing Order Date",AD666)),ISNUMBER(SEARCH("Missing Ship Date",AD666))),"Invalid",IF(AD666&lt;&gt;"","Warning","Clean"))</f>
        <v>Clean</v>
      </c>
    </row>
    <row r="667" customFormat="false" ht="15" hidden="false" customHeight="true" outlineLevel="0" collapsed="false">
      <c r="A667" s="3" t="s">
        <v>2003</v>
      </c>
      <c r="B667" s="4" t="n">
        <v>45670</v>
      </c>
      <c r="C667" s="4" t="n">
        <v>45670</v>
      </c>
      <c r="D667" s="3" t="s">
        <v>2004</v>
      </c>
      <c r="E667" s="3" t="str">
        <f aca="false">PROPER(TRIM(SUBSTITUTE(Raw_Text_Fields!B668,CHAR(160)," ")))</f>
        <v>Rahul Verma</v>
      </c>
      <c r="F667" s="3" t="str">
        <f aca="false">PROPER(TRIM(SUBSTITUTE(Raw_Text_Fields!C668,CHAR(160)," ")))</f>
        <v>Home Office</v>
      </c>
      <c r="G667" s="3" t="str">
        <f aca="false">PROPER(TRIM(SUBSTITUTE(Raw_Text_Fields!D668,CHAR(160)," ")))</f>
        <v>West</v>
      </c>
      <c r="H667" s="3" t="str">
        <f aca="false">PROPER(TRIM(SUBSTITUTE(Raw_Text_Fields!E668,CHAR(160)," ")))</f>
        <v>Gujarat</v>
      </c>
      <c r="I667" s="3" t="str">
        <f aca="false">PROPER(TRIM(SUBSTITUTE(Raw_Text_Fields!F668,CHAR(160)," ")))</f>
        <v>Ahmedabad</v>
      </c>
      <c r="J667" s="3" t="str">
        <f aca="false">PROPER(TRIM(SUBSTITUTE(Raw_Text_Fields!G668,CHAR(160)," ")))</f>
        <v>Office Supplies</v>
      </c>
      <c r="K667" s="3" t="str">
        <f aca="false">PROPER(TRIM(SUBSTITUTE(Raw_Text_Fields!H668,CHAR(160)," ")))</f>
        <v>Art</v>
      </c>
      <c r="L667" s="3" t="s">
        <v>2005</v>
      </c>
      <c r="M667" s="3" t="str">
        <f aca="false">PROPER(TRIM(SUBSTITUTE(Raw_Text_Fields!I668,CHAR(160)," ")))</f>
        <v>Standard Class</v>
      </c>
      <c r="N667" s="3" t="n">
        <v>3</v>
      </c>
      <c r="O667" s="5" t="n">
        <v>2110.52</v>
      </c>
      <c r="P667" s="6" t="n">
        <v>0.1</v>
      </c>
      <c r="Q667" s="5" t="n">
        <v>5698.4</v>
      </c>
      <c r="R667" s="5" t="n">
        <v>3640.89</v>
      </c>
      <c r="S667" s="5" t="n">
        <v>2057.51</v>
      </c>
      <c r="T667" s="3" t="str">
        <f aca="false">PROPER(TRIM(SUBSTITUTE(Raw_Text_Fields!J668,CHAR(160)," ")))</f>
        <v>Failed</v>
      </c>
      <c r="U667" s="3" t="str">
        <f aca="false">PROPER(TRIM(SUBSTITUTE(Raw_Text_Fields!K668,CHAR(160)," ")))</f>
        <v>Cancelled</v>
      </c>
      <c r="V667" s="7" t="n">
        <f aca="false">IF(OR(P667&lt;0,P667&gt;0.5),0,P667)</f>
        <v>0.1</v>
      </c>
      <c r="W667" s="8" t="n">
        <f aca="false">N667*O667*(1-V667)</f>
        <v>5698.404</v>
      </c>
      <c r="X667" s="8" t="n">
        <f aca="false">W667-R667</f>
        <v>2057.514</v>
      </c>
      <c r="Y667" s="7" t="n">
        <f aca="false">IFERROR(X667/W667,0)</f>
        <v>0.361068467591978</v>
      </c>
      <c r="Z667" s="9" t="n">
        <f aca="false">C667-B667</f>
        <v>0</v>
      </c>
      <c r="AA667" s="1" t="str">
        <f aca="false">IF(B667="","",TEXT(B667,"mmm"))</f>
        <v>Jan</v>
      </c>
      <c r="AB667" s="9" t="n">
        <f aca="false">IF(B667="","",YEAR(B667))</f>
        <v>2025</v>
      </c>
      <c r="AC667" s="3"/>
      <c r="AD667" s="3" t="str">
        <f aca="false">IF(LEFT(AC667&amp;IF(B667="","; Missing Order Date","")&amp;IF(C667="","; Missing Ship Date","")&amp;IF(P667&lt;0,"; Invalid Discount (Negative)","")&amp;IF(P667&gt;0.5,"; Invalid Discount (Too High)","")&amp;IF(Z667&lt;0,"; Invalid Shipping Record (Ship Before Order)","")&amp;IF(ABS(Q667-W667)&gt;1,"; Sales Mismatch","")&amp;IF(ABS(S667-X667)&gt;1,"; Profit Mismatch","")&amp;IF(COUNTIF($A$2:$A$913,A667)&gt;1,"; Duplicate Order ID Conflict",""),2)="; ",MID(AC667&amp;IF(B667="","; Missing Order Date","")&amp;IF(C667="","; Missing Ship Date","")&amp;IF(P667&lt;0,"; Invalid Discount (Negative)","")&amp;IF(P667&gt;0.5,"; Invalid Discount (Too High)","")&amp;IF(Z667&lt;0,"; Invalid Shipping Record (Ship Before Order)","")&amp;IF(ABS(Q667-W667)&gt;1,"; Sales Mismatch","")&amp;IF(ABS(S667-X667)&gt;1,"; Profit Mismatch","")&amp;IF(COUNTIF($A$2:$A$913,A667)&gt;1,"; Duplicate Order ID Conflict",""),3,500),AC667&amp;IF(B667="","; Missing Order Date","")&amp;IF(C667="","; Missing Ship Date","")&amp;IF(P667&lt;0,"; Invalid Discount (Negative)","")&amp;IF(P667&gt;0.5,"; Invalid Discount (Too High)","")&amp;IF(Z667&lt;0,"; Invalid Shipping Record (Ship Before Order)","")&amp;IF(ABS(Q667-W667)&gt;1,"; Sales Mismatch","")&amp;IF(ABS(S667-X667)&gt;1,"; Profit Mismatch","")&amp;IF(COUNTIF($A$2:$A$913,A667)&gt;1,"; Duplicate Order ID Conflict",""))</f>
        <v/>
      </c>
      <c r="AE667" s="10" t="str">
        <f aca="false">IF(OR(ISNUMBER(SEARCH("Invalid Discount",AD667)),ISNUMBER(SEARCH("Invalid Shipping Record",AD667)),ISNUMBER(SEARCH("Sales Mismatch",AD667)),ISNUMBER(SEARCH("Profit Mismatch",AD667)),ISNUMBER(SEARCH("Duplicate Order ID Conflict",AD667)),ISNUMBER(SEARCH("Missing Order Date",AD667)),ISNUMBER(SEARCH("Missing Ship Date",AD667))),"Invalid",IF(AD667&lt;&gt;"","Warning","Clean"))</f>
        <v>Clean</v>
      </c>
    </row>
    <row r="668" customFormat="false" ht="15" hidden="false" customHeight="true" outlineLevel="0" collapsed="false">
      <c r="A668" s="3" t="s">
        <v>2006</v>
      </c>
      <c r="B668" s="4" t="n">
        <v>45464</v>
      </c>
      <c r="C668" s="4" t="n">
        <v>45469</v>
      </c>
      <c r="D668" s="3" t="s">
        <v>2007</v>
      </c>
      <c r="E668" s="3" t="str">
        <f aca="false">PROPER(TRIM(SUBSTITUTE(Raw_Text_Fields!B669,CHAR(160)," ")))</f>
        <v>Rohan Mehta</v>
      </c>
      <c r="F668" s="3" t="str">
        <f aca="false">PROPER(TRIM(SUBSTITUTE(Raw_Text_Fields!C669,CHAR(160)," ")))</f>
        <v>Small Business</v>
      </c>
      <c r="G668" s="3" t="str">
        <f aca="false">PROPER(TRIM(SUBSTITUTE(Raw_Text_Fields!D669,CHAR(160)," ")))</f>
        <v>North</v>
      </c>
      <c r="H668" s="3" t="str">
        <f aca="false">PROPER(TRIM(SUBSTITUTE(Raw_Text_Fields!E669,CHAR(160)," ")))</f>
        <v>Punjab</v>
      </c>
      <c r="I668" s="3" t="str">
        <f aca="false">PROPER(TRIM(SUBSTITUTE(Raw_Text_Fields!F669,CHAR(160)," ")))</f>
        <v>Ludhiana</v>
      </c>
      <c r="J668" s="3" t="str">
        <f aca="false">PROPER(TRIM(SUBSTITUTE(Raw_Text_Fields!G669,CHAR(160)," ")))</f>
        <v>Technology</v>
      </c>
      <c r="K668" s="3" t="str">
        <f aca="false">PROPER(TRIM(SUBSTITUTE(Raw_Text_Fields!H669,CHAR(160)," ")))</f>
        <v>Copiers</v>
      </c>
      <c r="L668" s="3" t="s">
        <v>2008</v>
      </c>
      <c r="M668" s="3" t="str">
        <f aca="false">PROPER(TRIM(SUBSTITUTE(Raw_Text_Fields!I669,CHAR(160)," ")))</f>
        <v>Same Day</v>
      </c>
      <c r="N668" s="3" t="n">
        <v>1</v>
      </c>
      <c r="O668" s="5" t="n">
        <v>279.83</v>
      </c>
      <c r="P668" s="6" t="n">
        <v>0.05</v>
      </c>
      <c r="Q668" s="5" t="n">
        <v>265.84</v>
      </c>
      <c r="R668" s="5" t="n">
        <v>223.49</v>
      </c>
      <c r="S668" s="5" t="n">
        <v>42.35</v>
      </c>
      <c r="T668" s="3" t="str">
        <f aca="false">PROPER(TRIM(SUBSTITUTE(Raw_Text_Fields!J669,CHAR(160)," ")))</f>
        <v>Paid</v>
      </c>
      <c r="U668" s="3" t="str">
        <f aca="false">PROPER(TRIM(SUBSTITUTE(Raw_Text_Fields!K669,CHAR(160)," ")))</f>
        <v>Completed</v>
      </c>
      <c r="V668" s="7" t="n">
        <f aca="false">IF(OR(P668&lt;0,P668&gt;0.5),0,P668)</f>
        <v>0.05</v>
      </c>
      <c r="W668" s="8" t="n">
        <f aca="false">N668*O668*(1-V668)</f>
        <v>265.8385</v>
      </c>
      <c r="X668" s="8" t="n">
        <f aca="false">W668-R668</f>
        <v>42.3484999999999</v>
      </c>
      <c r="Y668" s="7" t="n">
        <f aca="false">IFERROR(X668/W668,0)</f>
        <v>0.15930160605029</v>
      </c>
      <c r="Z668" s="9" t="n">
        <f aca="false">C668-B668</f>
        <v>5</v>
      </c>
      <c r="AA668" s="1" t="str">
        <f aca="false">IF(B668="","",TEXT(B668,"mmm"))</f>
        <v>Jun</v>
      </c>
      <c r="AB668" s="9" t="n">
        <f aca="false">IF(B668="","",YEAR(B668))</f>
        <v>2024</v>
      </c>
      <c r="AC668" s="3"/>
      <c r="AD668" s="3" t="str">
        <f aca="false">IF(LEFT(AC668&amp;IF(B668="","; Missing Order Date","")&amp;IF(C668="","; Missing Ship Date","")&amp;IF(P668&lt;0,"; Invalid Discount (Negative)","")&amp;IF(P668&gt;0.5,"; Invalid Discount (Too High)","")&amp;IF(Z668&lt;0,"; Invalid Shipping Record (Ship Before Order)","")&amp;IF(ABS(Q668-W668)&gt;1,"; Sales Mismatch","")&amp;IF(ABS(S668-X668)&gt;1,"; Profit Mismatch","")&amp;IF(COUNTIF($A$2:$A$913,A668)&gt;1,"; Duplicate Order ID Conflict",""),2)="; ",MID(AC668&amp;IF(B668="","; Missing Order Date","")&amp;IF(C668="","; Missing Ship Date","")&amp;IF(P668&lt;0,"; Invalid Discount (Negative)","")&amp;IF(P668&gt;0.5,"; Invalid Discount (Too High)","")&amp;IF(Z668&lt;0,"; Invalid Shipping Record (Ship Before Order)","")&amp;IF(ABS(Q668-W668)&gt;1,"; Sales Mismatch","")&amp;IF(ABS(S668-X668)&gt;1,"; Profit Mismatch","")&amp;IF(COUNTIF($A$2:$A$913,A668)&gt;1,"; Duplicate Order ID Conflict",""),3,500),AC668&amp;IF(B668="","; Missing Order Date","")&amp;IF(C668="","; Missing Ship Date","")&amp;IF(P668&lt;0,"; Invalid Discount (Negative)","")&amp;IF(P668&gt;0.5,"; Invalid Discount (Too High)","")&amp;IF(Z668&lt;0,"; Invalid Shipping Record (Ship Before Order)","")&amp;IF(ABS(Q668-W668)&gt;1,"; Sales Mismatch","")&amp;IF(ABS(S668-X668)&gt;1,"; Profit Mismatch","")&amp;IF(COUNTIF($A$2:$A$913,A668)&gt;1,"; Duplicate Order ID Conflict",""))</f>
        <v/>
      </c>
      <c r="AE668" s="10" t="str">
        <f aca="false">IF(OR(ISNUMBER(SEARCH("Invalid Discount",AD668)),ISNUMBER(SEARCH("Invalid Shipping Record",AD668)),ISNUMBER(SEARCH("Sales Mismatch",AD668)),ISNUMBER(SEARCH("Profit Mismatch",AD668)),ISNUMBER(SEARCH("Duplicate Order ID Conflict",AD668)),ISNUMBER(SEARCH("Missing Order Date",AD668)),ISNUMBER(SEARCH("Missing Ship Date",AD668))),"Invalid",IF(AD668&lt;&gt;"","Warning","Clean"))</f>
        <v>Clean</v>
      </c>
    </row>
    <row r="669" customFormat="false" ht="15" hidden="false" customHeight="true" outlineLevel="0" collapsed="false">
      <c r="A669" s="3" t="s">
        <v>2009</v>
      </c>
      <c r="B669" s="4" t="n">
        <v>45797</v>
      </c>
      <c r="C669" s="4" t="n">
        <v>45804</v>
      </c>
      <c r="D669" s="3" t="s">
        <v>2010</v>
      </c>
      <c r="E669" s="3" t="str">
        <f aca="false">PROPER(TRIM(SUBSTITUTE(Raw_Text_Fields!B670,CHAR(160)," ")))</f>
        <v>Diya Patel</v>
      </c>
      <c r="F669" s="3" t="str">
        <f aca="false">PROPER(TRIM(SUBSTITUTE(Raw_Text_Fields!C670,CHAR(160)," ")))</f>
        <v>Small Business</v>
      </c>
      <c r="G669" s="3" t="str">
        <f aca="false">PROPER(TRIM(SUBSTITUTE(Raw_Text_Fields!D670,CHAR(160)," ")))</f>
        <v>East</v>
      </c>
      <c r="H669" s="3" t="str">
        <f aca="false">PROPER(TRIM(SUBSTITUTE(Raw_Text_Fields!E670,CHAR(160)," ")))</f>
        <v>Bihar</v>
      </c>
      <c r="I669" s="3" t="str">
        <f aca="false">PROPER(TRIM(SUBSTITUTE(Raw_Text_Fields!F670,CHAR(160)," ")))</f>
        <v>Patna</v>
      </c>
      <c r="J669" s="3" t="str">
        <f aca="false">PROPER(TRIM(SUBSTITUTE(Raw_Text_Fields!G670,CHAR(160)," ")))</f>
        <v>Technology</v>
      </c>
      <c r="K669" s="3" t="str">
        <f aca="false">PROPER(TRIM(SUBSTITUTE(Raw_Text_Fields!H670,CHAR(160)," ")))</f>
        <v>Machines</v>
      </c>
      <c r="L669" s="3" t="s">
        <v>2011</v>
      </c>
      <c r="M669" s="3" t="str">
        <f aca="false">PROPER(TRIM(SUBSTITUTE(Raw_Text_Fields!I670,CHAR(160)," ")))</f>
        <v>Standard Class</v>
      </c>
      <c r="N669" s="3" t="n">
        <v>1</v>
      </c>
      <c r="O669" s="5" t="n">
        <v>3959.14</v>
      </c>
      <c r="P669" s="6" t="n">
        <v>0</v>
      </c>
      <c r="Q669" s="5" t="n">
        <v>3959.14</v>
      </c>
      <c r="R669" s="5" t="n">
        <v>3239.53</v>
      </c>
      <c r="S669" s="5" t="n">
        <v>719.61</v>
      </c>
      <c r="T669" s="3" t="str">
        <f aca="false">PROPER(TRIM(SUBSTITUTE(Raw_Text_Fields!J670,CHAR(160)," ")))</f>
        <v>Pending</v>
      </c>
      <c r="U669" s="3" t="str">
        <f aca="false">PROPER(TRIM(SUBSTITUTE(Raw_Text_Fields!K670,CHAR(160)," ")))</f>
        <v>Returned</v>
      </c>
      <c r="V669" s="7" t="n">
        <f aca="false">IF(OR(P669&lt;0,P669&gt;0.5),0,P669)</f>
        <v>0</v>
      </c>
      <c r="W669" s="8" t="n">
        <f aca="false">N669*O669*(1-V669)</f>
        <v>3959.14</v>
      </c>
      <c r="X669" s="8" t="n">
        <f aca="false">W669-R669</f>
        <v>719.61</v>
      </c>
      <c r="Y669" s="7" t="n">
        <f aca="false">IFERROR(X669/W669,0)</f>
        <v>0.18175916992074</v>
      </c>
      <c r="Z669" s="9" t="n">
        <f aca="false">C669-B669</f>
        <v>7</v>
      </c>
      <c r="AA669" s="1" t="str">
        <f aca="false">IF(B669="","",TEXT(B669,"mmm"))</f>
        <v>May</v>
      </c>
      <c r="AB669" s="9" t="n">
        <f aca="false">IF(B669="","",YEAR(B669))</f>
        <v>2025</v>
      </c>
      <c r="AC669" s="3"/>
      <c r="AD669" s="3" t="str">
        <f aca="false">IF(LEFT(AC669&amp;IF(B669="","; Missing Order Date","")&amp;IF(C669="","; Missing Ship Date","")&amp;IF(P669&lt;0,"; Invalid Discount (Negative)","")&amp;IF(P669&gt;0.5,"; Invalid Discount (Too High)","")&amp;IF(Z669&lt;0,"; Invalid Shipping Record (Ship Before Order)","")&amp;IF(ABS(Q669-W669)&gt;1,"; Sales Mismatch","")&amp;IF(ABS(S669-X669)&gt;1,"; Profit Mismatch","")&amp;IF(COUNTIF($A$2:$A$913,A669)&gt;1,"; Duplicate Order ID Conflict",""),2)="; ",MID(AC669&amp;IF(B669="","; Missing Order Date","")&amp;IF(C669="","; Missing Ship Date","")&amp;IF(P669&lt;0,"; Invalid Discount (Negative)","")&amp;IF(P669&gt;0.5,"; Invalid Discount (Too High)","")&amp;IF(Z669&lt;0,"; Invalid Shipping Record (Ship Before Order)","")&amp;IF(ABS(Q669-W669)&gt;1,"; Sales Mismatch","")&amp;IF(ABS(S669-X669)&gt;1,"; Profit Mismatch","")&amp;IF(COUNTIF($A$2:$A$913,A669)&gt;1,"; Duplicate Order ID Conflict",""),3,500),AC669&amp;IF(B669="","; Missing Order Date","")&amp;IF(C669="","; Missing Ship Date","")&amp;IF(P669&lt;0,"; Invalid Discount (Negative)","")&amp;IF(P669&gt;0.5,"; Invalid Discount (Too High)","")&amp;IF(Z669&lt;0,"; Invalid Shipping Record (Ship Before Order)","")&amp;IF(ABS(Q669-W669)&gt;1,"; Sales Mismatch","")&amp;IF(ABS(S669-X669)&gt;1,"; Profit Mismatch","")&amp;IF(COUNTIF($A$2:$A$913,A669)&gt;1,"; Duplicate Order ID Conflict",""))</f>
        <v/>
      </c>
      <c r="AE669" s="10" t="str">
        <f aca="false">IF(OR(ISNUMBER(SEARCH("Invalid Discount",AD669)),ISNUMBER(SEARCH("Invalid Shipping Record",AD669)),ISNUMBER(SEARCH("Sales Mismatch",AD669)),ISNUMBER(SEARCH("Profit Mismatch",AD669)),ISNUMBER(SEARCH("Duplicate Order ID Conflict",AD669)),ISNUMBER(SEARCH("Missing Order Date",AD669)),ISNUMBER(SEARCH("Missing Ship Date",AD669))),"Invalid",IF(AD669&lt;&gt;"","Warning","Clean"))</f>
        <v>Clean</v>
      </c>
    </row>
    <row r="670" customFormat="false" ht="15" hidden="false" customHeight="true" outlineLevel="0" collapsed="false">
      <c r="A670" s="3" t="s">
        <v>2012</v>
      </c>
      <c r="B670" s="4" t="n">
        <v>45617</v>
      </c>
      <c r="C670" s="4" t="n">
        <v>45619</v>
      </c>
      <c r="D670" s="3" t="s">
        <v>2013</v>
      </c>
      <c r="E670" s="3" t="str">
        <f aca="false">PROPER(TRIM(SUBSTITUTE(Raw_Text_Fields!B671,CHAR(160)," ")))</f>
        <v>Mira Das</v>
      </c>
      <c r="F670" s="3" t="str">
        <f aca="false">PROPER(TRIM(SUBSTITUTE(Raw_Text_Fields!C671,CHAR(160)," ")))</f>
        <v>Corporate</v>
      </c>
      <c r="G670" s="3" t="str">
        <f aca="false">PROPER(TRIM(SUBSTITUTE(Raw_Text_Fields!D671,CHAR(160)," ")))</f>
        <v>West</v>
      </c>
      <c r="H670" s="3" t="str">
        <f aca="false">PROPER(TRIM(SUBSTITUTE(Raw_Text_Fields!E671,CHAR(160)," ")))</f>
        <v>Gujarat</v>
      </c>
      <c r="I670" s="3" t="str">
        <f aca="false">PROPER(TRIM(SUBSTITUTE(Raw_Text_Fields!F671,CHAR(160)," ")))</f>
        <v>Ahmedabad</v>
      </c>
      <c r="J670" s="3" t="str">
        <f aca="false">PROPER(TRIM(SUBSTITUTE(Raw_Text_Fields!G671,CHAR(160)," ")))</f>
        <v>Office Supplies</v>
      </c>
      <c r="K670" s="3" t="str">
        <f aca="false">PROPER(TRIM(SUBSTITUTE(Raw_Text_Fields!H671,CHAR(160)," ")))</f>
        <v>Paper</v>
      </c>
      <c r="L670" s="3" t="s">
        <v>2014</v>
      </c>
      <c r="M670" s="3" t="str">
        <f aca="false">PROPER(TRIM(SUBSTITUTE(Raw_Text_Fields!I671,CHAR(160)," ")))</f>
        <v>Second Class</v>
      </c>
      <c r="N670" s="3" t="n">
        <v>5</v>
      </c>
      <c r="O670" s="5" t="n">
        <v>600.46</v>
      </c>
      <c r="P670" s="6" t="n">
        <v>0.2</v>
      </c>
      <c r="Q670" s="5" t="n">
        <v>2401.84</v>
      </c>
      <c r="R670" s="5" t="n">
        <v>1873.11</v>
      </c>
      <c r="S670" s="5" t="n">
        <v>528.73</v>
      </c>
      <c r="T670" s="3" t="str">
        <f aca="false">PROPER(TRIM(SUBSTITUTE(Raw_Text_Fields!J671,CHAR(160)," ")))</f>
        <v>Paid</v>
      </c>
      <c r="U670" s="3" t="str">
        <f aca="false">PROPER(TRIM(SUBSTITUTE(Raw_Text_Fields!K671,CHAR(160)," ")))</f>
        <v>Completed</v>
      </c>
      <c r="V670" s="7" t="n">
        <f aca="false">IF(OR(P670&lt;0,P670&gt;0.5),0,P670)</f>
        <v>0.2</v>
      </c>
      <c r="W670" s="8" t="n">
        <f aca="false">N670*O670*(1-V670)</f>
        <v>2401.84</v>
      </c>
      <c r="X670" s="8" t="n">
        <f aca="false">W670-R670</f>
        <v>528.73</v>
      </c>
      <c r="Y670" s="7" t="n">
        <f aca="false">IFERROR(X670/W670,0)</f>
        <v>0.22013539619625</v>
      </c>
      <c r="Z670" s="9" t="n">
        <f aca="false">C670-B670</f>
        <v>2</v>
      </c>
      <c r="AA670" s="1" t="str">
        <f aca="false">IF(B670="","",TEXT(B670,"mmm"))</f>
        <v>Nov</v>
      </c>
      <c r="AB670" s="9" t="n">
        <f aca="false">IF(B670="","",YEAR(B670))</f>
        <v>2024</v>
      </c>
      <c r="AC670" s="3"/>
      <c r="AD670" s="3" t="str">
        <f aca="false">IF(LEFT(AC670&amp;IF(B670="","; Missing Order Date","")&amp;IF(C670="","; Missing Ship Date","")&amp;IF(P670&lt;0,"; Invalid Discount (Negative)","")&amp;IF(P670&gt;0.5,"; Invalid Discount (Too High)","")&amp;IF(Z670&lt;0,"; Invalid Shipping Record (Ship Before Order)","")&amp;IF(ABS(Q670-W670)&gt;1,"; Sales Mismatch","")&amp;IF(ABS(S670-X670)&gt;1,"; Profit Mismatch","")&amp;IF(COUNTIF($A$2:$A$913,A670)&gt;1,"; Duplicate Order ID Conflict",""),2)="; ",MID(AC670&amp;IF(B670="","; Missing Order Date","")&amp;IF(C670="","; Missing Ship Date","")&amp;IF(P670&lt;0,"; Invalid Discount (Negative)","")&amp;IF(P670&gt;0.5,"; Invalid Discount (Too High)","")&amp;IF(Z670&lt;0,"; Invalid Shipping Record (Ship Before Order)","")&amp;IF(ABS(Q670-W670)&gt;1,"; Sales Mismatch","")&amp;IF(ABS(S670-X670)&gt;1,"; Profit Mismatch","")&amp;IF(COUNTIF($A$2:$A$913,A670)&gt;1,"; Duplicate Order ID Conflict",""),3,500),AC670&amp;IF(B670="","; Missing Order Date","")&amp;IF(C670="","; Missing Ship Date","")&amp;IF(P670&lt;0,"; Invalid Discount (Negative)","")&amp;IF(P670&gt;0.5,"; Invalid Discount (Too High)","")&amp;IF(Z670&lt;0,"; Invalid Shipping Record (Ship Before Order)","")&amp;IF(ABS(Q670-W670)&gt;1,"; Sales Mismatch","")&amp;IF(ABS(S670-X670)&gt;1,"; Profit Mismatch","")&amp;IF(COUNTIF($A$2:$A$913,A670)&gt;1,"; Duplicate Order ID Conflict",""))</f>
        <v/>
      </c>
      <c r="AE670" s="10" t="str">
        <f aca="false">IF(OR(ISNUMBER(SEARCH("Invalid Discount",AD670)),ISNUMBER(SEARCH("Invalid Shipping Record",AD670)),ISNUMBER(SEARCH("Sales Mismatch",AD670)),ISNUMBER(SEARCH("Profit Mismatch",AD670)),ISNUMBER(SEARCH("Duplicate Order ID Conflict",AD670)),ISNUMBER(SEARCH("Missing Order Date",AD670)),ISNUMBER(SEARCH("Missing Ship Date",AD670))),"Invalid",IF(AD670&lt;&gt;"","Warning","Clean"))</f>
        <v>Clean</v>
      </c>
    </row>
    <row r="671" customFormat="false" ht="15" hidden="false" customHeight="true" outlineLevel="0" collapsed="false">
      <c r="A671" s="3" t="s">
        <v>2015</v>
      </c>
      <c r="B671" s="4" t="n">
        <v>45375</v>
      </c>
      <c r="C671" s="4" t="n">
        <v>45383</v>
      </c>
      <c r="D671" s="3" t="s">
        <v>2016</v>
      </c>
      <c r="E671" s="3" t="str">
        <f aca="false">PROPER(TRIM(SUBSTITUTE(Raw_Text_Fields!B672,CHAR(160)," ")))</f>
        <v>Ananya Rao</v>
      </c>
      <c r="F671" s="3" t="str">
        <f aca="false">PROPER(TRIM(SUBSTITUTE(Raw_Text_Fields!C672,CHAR(160)," ")))</f>
        <v>Home Office</v>
      </c>
      <c r="G671" s="3" t="str">
        <f aca="false">PROPER(TRIM(SUBSTITUTE(Raw_Text_Fields!D672,CHAR(160)," ")))</f>
        <v>West</v>
      </c>
      <c r="H671" s="3" t="str">
        <f aca="false">PROPER(TRIM(SUBSTITUTE(Raw_Text_Fields!E672,CHAR(160)," ")))</f>
        <v>Maharashtra</v>
      </c>
      <c r="I671" s="3" t="str">
        <f aca="false">PROPER(TRIM(SUBSTITUTE(Raw_Text_Fields!F672,CHAR(160)," ")))</f>
        <v>Mumbai</v>
      </c>
      <c r="J671" s="3" t="str">
        <f aca="false">PROPER(TRIM(SUBSTITUTE(Raw_Text_Fields!G672,CHAR(160)," ")))</f>
        <v>Furniture</v>
      </c>
      <c r="K671" s="3" t="str">
        <f aca="false">PROPER(TRIM(SUBSTITUTE(Raw_Text_Fields!H672,CHAR(160)," ")))</f>
        <v>Tables</v>
      </c>
      <c r="L671" s="3" t="s">
        <v>2017</v>
      </c>
      <c r="M671" s="3" t="str">
        <f aca="false">PROPER(TRIM(SUBSTITUTE(Raw_Text_Fields!I672,CHAR(160)," ")))</f>
        <v>Second Class</v>
      </c>
      <c r="N671" s="3" t="n">
        <v>4</v>
      </c>
      <c r="O671" s="5" t="n">
        <v>1700.72</v>
      </c>
      <c r="P671" s="6" t="n">
        <v>0.25</v>
      </c>
      <c r="Q671" s="5" t="n">
        <v>5102.16</v>
      </c>
      <c r="R671" s="5" t="n">
        <v>3226.45</v>
      </c>
      <c r="S671" s="5" t="n">
        <v>1875.71</v>
      </c>
      <c r="T671" s="3" t="str">
        <f aca="false">PROPER(TRIM(SUBSTITUTE(Raw_Text_Fields!J672,CHAR(160)," ")))</f>
        <v>Paid</v>
      </c>
      <c r="U671" s="3" t="str">
        <f aca="false">PROPER(TRIM(SUBSTITUTE(Raw_Text_Fields!K672,CHAR(160)," ")))</f>
        <v>Completed</v>
      </c>
      <c r="V671" s="7" t="n">
        <f aca="false">IF(OR(P671&lt;0,P671&gt;0.5),0,P671)</f>
        <v>0.25</v>
      </c>
      <c r="W671" s="8" t="n">
        <f aca="false">N671*O671*(1-V671)</f>
        <v>5102.16</v>
      </c>
      <c r="X671" s="8" t="n">
        <f aca="false">W671-R671</f>
        <v>1875.71</v>
      </c>
      <c r="Y671" s="7" t="n">
        <f aca="false">IFERROR(X671/W671,0)</f>
        <v>0.367630572149835</v>
      </c>
      <c r="Z671" s="9" t="n">
        <f aca="false">C671-B671</f>
        <v>8</v>
      </c>
      <c r="AA671" s="1" t="str">
        <f aca="false">IF(B671="","",TEXT(B671,"mmm"))</f>
        <v>Mar</v>
      </c>
      <c r="AB671" s="9" t="n">
        <f aca="false">IF(B671="","",YEAR(B671))</f>
        <v>2024</v>
      </c>
      <c r="AC671" s="3"/>
      <c r="AD671" s="3" t="str">
        <f aca="false">IF(LEFT(AC671&amp;IF(B671="","; Missing Order Date","")&amp;IF(C671="","; Missing Ship Date","")&amp;IF(P671&lt;0,"; Invalid Discount (Negative)","")&amp;IF(P671&gt;0.5,"; Invalid Discount (Too High)","")&amp;IF(Z671&lt;0,"; Invalid Shipping Record (Ship Before Order)","")&amp;IF(ABS(Q671-W671)&gt;1,"; Sales Mismatch","")&amp;IF(ABS(S671-X671)&gt;1,"; Profit Mismatch","")&amp;IF(COUNTIF($A$2:$A$913,A671)&gt;1,"; Duplicate Order ID Conflict",""),2)="; ",MID(AC671&amp;IF(B671="","; Missing Order Date","")&amp;IF(C671="","; Missing Ship Date","")&amp;IF(P671&lt;0,"; Invalid Discount (Negative)","")&amp;IF(P671&gt;0.5,"; Invalid Discount (Too High)","")&amp;IF(Z671&lt;0,"; Invalid Shipping Record (Ship Before Order)","")&amp;IF(ABS(Q671-W671)&gt;1,"; Sales Mismatch","")&amp;IF(ABS(S671-X671)&gt;1,"; Profit Mismatch","")&amp;IF(COUNTIF($A$2:$A$913,A671)&gt;1,"; Duplicate Order ID Conflict",""),3,500),AC671&amp;IF(B671="","; Missing Order Date","")&amp;IF(C671="","; Missing Ship Date","")&amp;IF(P671&lt;0,"; Invalid Discount (Negative)","")&amp;IF(P671&gt;0.5,"; Invalid Discount (Too High)","")&amp;IF(Z671&lt;0,"; Invalid Shipping Record (Ship Before Order)","")&amp;IF(ABS(Q671-W671)&gt;1,"; Sales Mismatch","")&amp;IF(ABS(S671-X671)&gt;1,"; Profit Mismatch","")&amp;IF(COUNTIF($A$2:$A$913,A671)&gt;1,"; Duplicate Order ID Conflict",""))</f>
        <v/>
      </c>
      <c r="AE671" s="10" t="str">
        <f aca="false">IF(OR(ISNUMBER(SEARCH("Invalid Discount",AD671)),ISNUMBER(SEARCH("Invalid Shipping Record",AD671)),ISNUMBER(SEARCH("Sales Mismatch",AD671)),ISNUMBER(SEARCH("Profit Mismatch",AD671)),ISNUMBER(SEARCH("Duplicate Order ID Conflict",AD671)),ISNUMBER(SEARCH("Missing Order Date",AD671)),ISNUMBER(SEARCH("Missing Ship Date",AD671))),"Invalid",IF(AD671&lt;&gt;"","Warning","Clean"))</f>
        <v>Clean</v>
      </c>
    </row>
    <row r="672" customFormat="false" ht="15" hidden="false" customHeight="true" outlineLevel="0" collapsed="false">
      <c r="A672" s="3" t="s">
        <v>2018</v>
      </c>
      <c r="B672" s="4" t="n">
        <v>45690</v>
      </c>
      <c r="C672" s="4" t="n">
        <v>45694</v>
      </c>
      <c r="D672" s="3" t="s">
        <v>1520</v>
      </c>
      <c r="E672" s="3" t="str">
        <f aca="false">PROPER(TRIM(SUBSTITUTE(Raw_Text_Fields!B673,CHAR(160)," ")))</f>
        <v>Sneha Kapoor</v>
      </c>
      <c r="F672" s="3" t="str">
        <f aca="false">PROPER(TRIM(SUBSTITUTE(Raw_Text_Fields!C673,CHAR(160)," ")))</f>
        <v>Corporate</v>
      </c>
      <c r="G672" s="3" t="str">
        <f aca="false">PROPER(TRIM(SUBSTITUTE(Raw_Text_Fields!D673,CHAR(160)," ")))</f>
        <v>North</v>
      </c>
      <c r="H672" s="3" t="str">
        <f aca="false">PROPER(TRIM(SUBSTITUTE(Raw_Text_Fields!E673,CHAR(160)," ")))</f>
        <v>Uttar Pradesh</v>
      </c>
      <c r="I672" s="3" t="str">
        <f aca="false">PROPER(TRIM(SUBSTITUTE(Raw_Text_Fields!F673,CHAR(160)," ")))</f>
        <v>Noida</v>
      </c>
      <c r="J672" s="3" t="str">
        <f aca="false">PROPER(TRIM(SUBSTITUTE(Raw_Text_Fields!G673,CHAR(160)," ")))</f>
        <v>Furniture</v>
      </c>
      <c r="K672" s="3" t="str">
        <f aca="false">PROPER(TRIM(SUBSTITUTE(Raw_Text_Fields!H673,CHAR(160)," ")))</f>
        <v>Tables</v>
      </c>
      <c r="L672" s="3" t="s">
        <v>2019</v>
      </c>
      <c r="M672" s="3" t="str">
        <f aca="false">PROPER(TRIM(SUBSTITUTE(Raw_Text_Fields!I673,CHAR(160)," ")))</f>
        <v>Standard Class</v>
      </c>
      <c r="N672" s="3" t="n">
        <v>8</v>
      </c>
      <c r="O672" s="5" t="n">
        <v>857.86</v>
      </c>
      <c r="P672" s="6" t="n">
        <v>0.1</v>
      </c>
      <c r="Q672" s="5" t="n">
        <v>6176.59</v>
      </c>
      <c r="R672" s="5" t="n">
        <v>3560.96</v>
      </c>
      <c r="S672" s="5" t="n">
        <v>2615.63</v>
      </c>
      <c r="T672" s="3" t="str">
        <f aca="false">PROPER(TRIM(SUBSTITUTE(Raw_Text_Fields!J673,CHAR(160)," ")))</f>
        <v>Paid</v>
      </c>
      <c r="U672" s="3" t="str">
        <f aca="false">PROPER(TRIM(SUBSTITUTE(Raw_Text_Fields!K673,CHAR(160)," ")))</f>
        <v>Completed</v>
      </c>
      <c r="V672" s="7" t="n">
        <f aca="false">IF(OR(P672&lt;0,P672&gt;0.5),0,P672)</f>
        <v>0.1</v>
      </c>
      <c r="W672" s="8" t="n">
        <f aca="false">N672*O672*(1-V672)</f>
        <v>6176.592</v>
      </c>
      <c r="X672" s="8" t="n">
        <f aca="false">W672-R672</f>
        <v>2615.632</v>
      </c>
      <c r="Y672" s="7" t="n">
        <f aca="false">IFERROR(X672/W672,0)</f>
        <v>0.423474951882851</v>
      </c>
      <c r="Z672" s="9" t="n">
        <f aca="false">C672-B672</f>
        <v>4</v>
      </c>
      <c r="AA672" s="1" t="str">
        <f aca="false">IF(B672="","",TEXT(B672,"mmm"))</f>
        <v>Feb</v>
      </c>
      <c r="AB672" s="9" t="n">
        <f aca="false">IF(B672="","",YEAR(B672))</f>
        <v>2025</v>
      </c>
      <c r="AC672" s="3"/>
      <c r="AD672" s="3" t="str">
        <f aca="false">IF(LEFT(AC672&amp;IF(B672="","; Missing Order Date","")&amp;IF(C672="","; Missing Ship Date","")&amp;IF(P672&lt;0,"; Invalid Discount (Negative)","")&amp;IF(P672&gt;0.5,"; Invalid Discount (Too High)","")&amp;IF(Z672&lt;0,"; Invalid Shipping Record (Ship Before Order)","")&amp;IF(ABS(Q672-W672)&gt;1,"; Sales Mismatch","")&amp;IF(ABS(S672-X672)&gt;1,"; Profit Mismatch","")&amp;IF(COUNTIF($A$2:$A$913,A672)&gt;1,"; Duplicate Order ID Conflict",""),2)="; ",MID(AC672&amp;IF(B672="","; Missing Order Date","")&amp;IF(C672="","; Missing Ship Date","")&amp;IF(P672&lt;0,"; Invalid Discount (Negative)","")&amp;IF(P672&gt;0.5,"; Invalid Discount (Too High)","")&amp;IF(Z672&lt;0,"; Invalid Shipping Record (Ship Before Order)","")&amp;IF(ABS(Q672-W672)&gt;1,"; Sales Mismatch","")&amp;IF(ABS(S672-X672)&gt;1,"; Profit Mismatch","")&amp;IF(COUNTIF($A$2:$A$913,A672)&gt;1,"; Duplicate Order ID Conflict",""),3,500),AC672&amp;IF(B672="","; Missing Order Date","")&amp;IF(C672="","; Missing Ship Date","")&amp;IF(P672&lt;0,"; Invalid Discount (Negative)","")&amp;IF(P672&gt;0.5,"; Invalid Discount (Too High)","")&amp;IF(Z672&lt;0,"; Invalid Shipping Record (Ship Before Order)","")&amp;IF(ABS(Q672-W672)&gt;1,"; Sales Mismatch","")&amp;IF(ABS(S672-X672)&gt;1,"; Profit Mismatch","")&amp;IF(COUNTIF($A$2:$A$913,A672)&gt;1,"; Duplicate Order ID Conflict",""))</f>
        <v/>
      </c>
      <c r="AE672" s="10" t="str">
        <f aca="false">IF(OR(ISNUMBER(SEARCH("Invalid Discount",AD672)),ISNUMBER(SEARCH("Invalid Shipping Record",AD672)),ISNUMBER(SEARCH("Sales Mismatch",AD672)),ISNUMBER(SEARCH("Profit Mismatch",AD672)),ISNUMBER(SEARCH("Duplicate Order ID Conflict",AD672)),ISNUMBER(SEARCH("Missing Order Date",AD672)),ISNUMBER(SEARCH("Missing Ship Date",AD672))),"Invalid",IF(AD672&lt;&gt;"","Warning","Clean"))</f>
        <v>Clean</v>
      </c>
    </row>
    <row r="673" customFormat="false" ht="15" hidden="false" customHeight="true" outlineLevel="0" collapsed="false">
      <c r="A673" s="3" t="s">
        <v>2020</v>
      </c>
      <c r="B673" s="4" t="n">
        <v>45373</v>
      </c>
      <c r="C673" s="4" t="n">
        <v>45378</v>
      </c>
      <c r="D673" s="3" t="s">
        <v>2021</v>
      </c>
      <c r="E673" s="3" t="str">
        <f aca="false">PROPER(TRIM(SUBSTITUTE(Raw_Text_Fields!B674,CHAR(160)," ")))</f>
        <v>Aditi Sen</v>
      </c>
      <c r="F673" s="3" t="str">
        <f aca="false">PROPER(TRIM(SUBSTITUTE(Raw_Text_Fields!C674,CHAR(160)," ")))</f>
        <v>Home Office</v>
      </c>
      <c r="G673" s="3" t="str">
        <f aca="false">PROPER(TRIM(SUBSTITUTE(Raw_Text_Fields!D674,CHAR(160)," ")))</f>
        <v>West</v>
      </c>
      <c r="H673" s="3" t="str">
        <f aca="false">PROPER(TRIM(SUBSTITUTE(Raw_Text_Fields!E674,CHAR(160)," ")))</f>
        <v>Goa</v>
      </c>
      <c r="I673" s="3" t="str">
        <f aca="false">PROPER(TRIM(SUBSTITUTE(Raw_Text_Fields!F674,CHAR(160)," ")))</f>
        <v>Panaji</v>
      </c>
      <c r="J673" s="3" t="str">
        <f aca="false">PROPER(TRIM(SUBSTITUTE(Raw_Text_Fields!G674,CHAR(160)," ")))</f>
        <v>Technology</v>
      </c>
      <c r="K673" s="3" t="str">
        <f aca="false">PROPER(TRIM(SUBSTITUTE(Raw_Text_Fields!H674,CHAR(160)," ")))</f>
        <v>Copiers</v>
      </c>
      <c r="L673" s="3" t="s">
        <v>2022</v>
      </c>
      <c r="M673" s="3" t="str">
        <f aca="false">PROPER(TRIM(SUBSTITUTE(Raw_Text_Fields!I674,CHAR(160)," ")))</f>
        <v>Second Class</v>
      </c>
      <c r="N673" s="3" t="n">
        <v>9</v>
      </c>
      <c r="O673" s="5" t="n">
        <v>3649.51</v>
      </c>
      <c r="P673" s="6" t="n">
        <v>0.05</v>
      </c>
      <c r="Q673" s="5" t="n">
        <v>31203.31</v>
      </c>
      <c r="R673" s="5" t="n">
        <v>17738.13</v>
      </c>
      <c r="S673" s="5" t="n">
        <v>13465.18</v>
      </c>
      <c r="T673" s="3" t="str">
        <f aca="false">PROPER(TRIM(SUBSTITUTE(Raw_Text_Fields!J674,CHAR(160)," ")))</f>
        <v>Paid</v>
      </c>
      <c r="U673" s="3" t="str">
        <f aca="false">PROPER(TRIM(SUBSTITUTE(Raw_Text_Fields!K674,CHAR(160)," ")))</f>
        <v>Completed</v>
      </c>
      <c r="V673" s="7" t="n">
        <f aca="false">IF(OR(P673&lt;0,P673&gt;0.5),0,P673)</f>
        <v>0.05</v>
      </c>
      <c r="W673" s="8" t="n">
        <f aca="false">N673*O673*(1-V673)</f>
        <v>31203.3105</v>
      </c>
      <c r="X673" s="8" t="n">
        <f aca="false">W673-R673</f>
        <v>13465.1805</v>
      </c>
      <c r="Y673" s="7" t="n">
        <f aca="false">IFERROR(X673/W673,0)</f>
        <v>0.431530510200192</v>
      </c>
      <c r="Z673" s="9" t="n">
        <f aca="false">C673-B673</f>
        <v>5</v>
      </c>
      <c r="AA673" s="1" t="str">
        <f aca="false">IF(B673="","",TEXT(B673,"mmm"))</f>
        <v>Mar</v>
      </c>
      <c r="AB673" s="9" t="n">
        <f aca="false">IF(B673="","",YEAR(B673))</f>
        <v>2024</v>
      </c>
      <c r="AC673" s="3"/>
      <c r="AD673" s="3" t="str">
        <f aca="false">IF(LEFT(AC673&amp;IF(B673="","; Missing Order Date","")&amp;IF(C673="","; Missing Ship Date","")&amp;IF(P673&lt;0,"; Invalid Discount (Negative)","")&amp;IF(P673&gt;0.5,"; Invalid Discount (Too High)","")&amp;IF(Z673&lt;0,"; Invalid Shipping Record (Ship Before Order)","")&amp;IF(ABS(Q673-W673)&gt;1,"; Sales Mismatch","")&amp;IF(ABS(S673-X673)&gt;1,"; Profit Mismatch","")&amp;IF(COUNTIF($A$2:$A$913,A673)&gt;1,"; Duplicate Order ID Conflict",""),2)="; ",MID(AC673&amp;IF(B673="","; Missing Order Date","")&amp;IF(C673="","; Missing Ship Date","")&amp;IF(P673&lt;0,"; Invalid Discount (Negative)","")&amp;IF(P673&gt;0.5,"; Invalid Discount (Too High)","")&amp;IF(Z673&lt;0,"; Invalid Shipping Record (Ship Before Order)","")&amp;IF(ABS(Q673-W673)&gt;1,"; Sales Mismatch","")&amp;IF(ABS(S673-X673)&gt;1,"; Profit Mismatch","")&amp;IF(COUNTIF($A$2:$A$913,A673)&gt;1,"; Duplicate Order ID Conflict",""),3,500),AC673&amp;IF(B673="","; Missing Order Date","")&amp;IF(C673="","; Missing Ship Date","")&amp;IF(P673&lt;0,"; Invalid Discount (Negative)","")&amp;IF(P673&gt;0.5,"; Invalid Discount (Too High)","")&amp;IF(Z673&lt;0,"; Invalid Shipping Record (Ship Before Order)","")&amp;IF(ABS(Q673-W673)&gt;1,"; Sales Mismatch","")&amp;IF(ABS(S673-X673)&gt;1,"; Profit Mismatch","")&amp;IF(COUNTIF($A$2:$A$913,A673)&gt;1,"; Duplicate Order ID Conflict",""))</f>
        <v/>
      </c>
      <c r="AE673" s="10" t="str">
        <f aca="false">IF(OR(ISNUMBER(SEARCH("Invalid Discount",AD673)),ISNUMBER(SEARCH("Invalid Shipping Record",AD673)),ISNUMBER(SEARCH("Sales Mismatch",AD673)),ISNUMBER(SEARCH("Profit Mismatch",AD673)),ISNUMBER(SEARCH("Duplicate Order ID Conflict",AD673)),ISNUMBER(SEARCH("Missing Order Date",AD673)),ISNUMBER(SEARCH("Missing Ship Date",AD673))),"Invalid",IF(AD673&lt;&gt;"","Warning","Clean"))</f>
        <v>Clean</v>
      </c>
    </row>
    <row r="674" customFormat="false" ht="15" hidden="false" customHeight="true" outlineLevel="0" collapsed="false">
      <c r="A674" s="3" t="s">
        <v>2023</v>
      </c>
      <c r="B674" s="4" t="n">
        <v>45539</v>
      </c>
      <c r="C674" s="4" t="n">
        <v>45540</v>
      </c>
      <c r="D674" s="3" t="s">
        <v>2024</v>
      </c>
      <c r="E674" s="3" t="str">
        <f aca="false">PROPER(TRIM(SUBSTITUTE(Raw_Text_Fields!B675,CHAR(160)," ")))</f>
        <v>Aditi Sen</v>
      </c>
      <c r="F674" s="3" t="str">
        <f aca="false">PROPER(TRIM(SUBSTITUTE(Raw_Text_Fields!C675,CHAR(160)," ")))</f>
        <v>Corporate</v>
      </c>
      <c r="G674" s="3" t="str">
        <f aca="false">PROPER(TRIM(SUBSTITUTE(Raw_Text_Fields!D675,CHAR(160)," ")))</f>
        <v>West</v>
      </c>
      <c r="H674" s="3" t="str">
        <f aca="false">PROPER(TRIM(SUBSTITUTE(Raw_Text_Fields!E675,CHAR(160)," ")))</f>
        <v>Madhya Pradesh</v>
      </c>
      <c r="I674" s="3" t="str">
        <f aca="false">PROPER(TRIM(SUBSTITUTE(Raw_Text_Fields!F675,CHAR(160)," ")))</f>
        <v>Indore</v>
      </c>
      <c r="J674" s="3" t="str">
        <f aca="false">PROPER(TRIM(SUBSTITUTE(Raw_Text_Fields!G675,CHAR(160)," ")))</f>
        <v>Furniture</v>
      </c>
      <c r="K674" s="3" t="str">
        <f aca="false">PROPER(TRIM(SUBSTITUTE(Raw_Text_Fields!H675,CHAR(160)," ")))</f>
        <v>Chairs</v>
      </c>
      <c r="L674" s="3" t="s">
        <v>2025</v>
      </c>
      <c r="M674" s="3" t="str">
        <f aca="false">PROPER(TRIM(SUBSTITUTE(Raw_Text_Fields!I675,CHAR(160)," ")))</f>
        <v>Standard Class</v>
      </c>
      <c r="N674" s="3" t="n">
        <v>5</v>
      </c>
      <c r="O674" s="5" t="n">
        <v>2528.53</v>
      </c>
      <c r="P674" s="6" t="n">
        <v>0.05</v>
      </c>
      <c r="Q674" s="5" t="n">
        <v>12010.52</v>
      </c>
      <c r="R674" s="5" t="n">
        <v>7864.61</v>
      </c>
      <c r="S674" s="5" t="n">
        <v>4145.91</v>
      </c>
      <c r="T674" s="3" t="str">
        <f aca="false">PROPER(TRIM(SUBSTITUTE(Raw_Text_Fields!J675,CHAR(160)," ")))</f>
        <v>Paid</v>
      </c>
      <c r="U674" s="3" t="str">
        <f aca="false">PROPER(TRIM(SUBSTITUTE(Raw_Text_Fields!K675,CHAR(160)," ")))</f>
        <v>Returned</v>
      </c>
      <c r="V674" s="7" t="n">
        <f aca="false">IF(OR(P674&lt;0,P674&gt;0.5),0,P674)</f>
        <v>0.05</v>
      </c>
      <c r="W674" s="8" t="n">
        <f aca="false">N674*O674*(1-V674)</f>
        <v>12010.5175</v>
      </c>
      <c r="X674" s="8" t="n">
        <f aca="false">W674-R674</f>
        <v>4145.9075</v>
      </c>
      <c r="Y674" s="7" t="n">
        <f aca="false">IFERROR(X674/W674,0)</f>
        <v>0.34518974723612</v>
      </c>
      <c r="Z674" s="9" t="n">
        <f aca="false">C674-B674</f>
        <v>1</v>
      </c>
      <c r="AA674" s="1" t="str">
        <f aca="false">IF(B674="","",TEXT(B674,"mmm"))</f>
        <v>Sep</v>
      </c>
      <c r="AB674" s="9" t="n">
        <f aca="false">IF(B674="","",YEAR(B674))</f>
        <v>2024</v>
      </c>
      <c r="AC674" s="3"/>
      <c r="AD674" s="3" t="str">
        <f aca="false">IF(LEFT(AC674&amp;IF(B674="","; Missing Order Date","")&amp;IF(C674="","; Missing Ship Date","")&amp;IF(P674&lt;0,"; Invalid Discount (Negative)","")&amp;IF(P674&gt;0.5,"; Invalid Discount (Too High)","")&amp;IF(Z674&lt;0,"; Invalid Shipping Record (Ship Before Order)","")&amp;IF(ABS(Q674-W674)&gt;1,"; Sales Mismatch","")&amp;IF(ABS(S674-X674)&gt;1,"; Profit Mismatch","")&amp;IF(COUNTIF($A$2:$A$913,A674)&gt;1,"; Duplicate Order ID Conflict",""),2)="; ",MID(AC674&amp;IF(B674="","; Missing Order Date","")&amp;IF(C674="","; Missing Ship Date","")&amp;IF(P674&lt;0,"; Invalid Discount (Negative)","")&amp;IF(P674&gt;0.5,"; Invalid Discount (Too High)","")&amp;IF(Z674&lt;0,"; Invalid Shipping Record (Ship Before Order)","")&amp;IF(ABS(Q674-W674)&gt;1,"; Sales Mismatch","")&amp;IF(ABS(S674-X674)&gt;1,"; Profit Mismatch","")&amp;IF(COUNTIF($A$2:$A$913,A674)&gt;1,"; Duplicate Order ID Conflict",""),3,500),AC674&amp;IF(B674="","; Missing Order Date","")&amp;IF(C674="","; Missing Ship Date","")&amp;IF(P674&lt;0,"; Invalid Discount (Negative)","")&amp;IF(P674&gt;0.5,"; Invalid Discount (Too High)","")&amp;IF(Z674&lt;0,"; Invalid Shipping Record (Ship Before Order)","")&amp;IF(ABS(Q674-W674)&gt;1,"; Sales Mismatch","")&amp;IF(ABS(S674-X674)&gt;1,"; Profit Mismatch","")&amp;IF(COUNTIF($A$2:$A$913,A674)&gt;1,"; Duplicate Order ID Conflict",""))</f>
        <v/>
      </c>
      <c r="AE674" s="10" t="str">
        <f aca="false">IF(OR(ISNUMBER(SEARCH("Invalid Discount",AD674)),ISNUMBER(SEARCH("Invalid Shipping Record",AD674)),ISNUMBER(SEARCH("Sales Mismatch",AD674)),ISNUMBER(SEARCH("Profit Mismatch",AD674)),ISNUMBER(SEARCH("Duplicate Order ID Conflict",AD674)),ISNUMBER(SEARCH("Missing Order Date",AD674)),ISNUMBER(SEARCH("Missing Ship Date",AD674))),"Invalid",IF(AD674&lt;&gt;"","Warning","Clean"))</f>
        <v>Clean</v>
      </c>
    </row>
    <row r="675" customFormat="false" ht="15" hidden="false" customHeight="true" outlineLevel="0" collapsed="false">
      <c r="A675" s="3" t="s">
        <v>2026</v>
      </c>
      <c r="B675" s="4" t="n">
        <v>45701</v>
      </c>
      <c r="C675" s="4" t="n">
        <v>45704</v>
      </c>
      <c r="D675" s="3" t="s">
        <v>2027</v>
      </c>
      <c r="E675" s="3" t="str">
        <f aca="false">PROPER(TRIM(SUBSTITUTE(Raw_Text_Fields!B676,CHAR(160)," ")))</f>
        <v>Arjun Bose</v>
      </c>
      <c r="F675" s="3" t="str">
        <f aca="false">PROPER(TRIM(SUBSTITUTE(Raw_Text_Fields!C676,CHAR(160)," ")))</f>
        <v>Small Business</v>
      </c>
      <c r="G675" s="3" t="str">
        <f aca="false">PROPER(TRIM(SUBSTITUTE(Raw_Text_Fields!D676,CHAR(160)," ")))</f>
        <v>West</v>
      </c>
      <c r="H675" s="3" t="str">
        <f aca="false">PROPER(TRIM(SUBSTITUTE(Raw_Text_Fields!E676,CHAR(160)," ")))</f>
        <v>Rajasthan</v>
      </c>
      <c r="I675" s="3" t="str">
        <f aca="false">PROPER(TRIM(SUBSTITUTE(Raw_Text_Fields!F676,CHAR(160)," ")))</f>
        <v>Udaipur</v>
      </c>
      <c r="J675" s="3" t="str">
        <f aca="false">PROPER(TRIM(SUBSTITUTE(Raw_Text_Fields!G676,CHAR(160)," ")))</f>
        <v>Furniture</v>
      </c>
      <c r="K675" s="3" t="str">
        <f aca="false">PROPER(TRIM(SUBSTITUTE(Raw_Text_Fields!H676,CHAR(160)," ")))</f>
        <v>Bookcases</v>
      </c>
      <c r="L675" s="3" t="s">
        <v>2028</v>
      </c>
      <c r="M675" s="3" t="str">
        <f aca="false">PROPER(TRIM(SUBSTITUTE(Raw_Text_Fields!I676,CHAR(160)," ")))</f>
        <v>Second Class</v>
      </c>
      <c r="N675" s="3" t="n">
        <v>4</v>
      </c>
      <c r="O675" s="5" t="n">
        <v>4072.9</v>
      </c>
      <c r="P675" s="6" t="n">
        <v>0.15</v>
      </c>
      <c r="Q675" s="5" t="n">
        <v>13847.86</v>
      </c>
      <c r="R675" s="5" t="n">
        <v>8471.78</v>
      </c>
      <c r="S675" s="5" t="n">
        <v>5376.08</v>
      </c>
      <c r="T675" s="3" t="str">
        <f aca="false">PROPER(TRIM(SUBSTITUTE(Raw_Text_Fields!J676,CHAR(160)," ")))</f>
        <v>Paid</v>
      </c>
      <c r="U675" s="3" t="str">
        <f aca="false">PROPER(TRIM(SUBSTITUTE(Raw_Text_Fields!K676,CHAR(160)," ")))</f>
        <v>Completed</v>
      </c>
      <c r="V675" s="7" t="n">
        <f aca="false">IF(OR(P675&lt;0,P675&gt;0.5),0,P675)</f>
        <v>0.15</v>
      </c>
      <c r="W675" s="8" t="n">
        <f aca="false">N675*O675*(1-V675)</f>
        <v>13847.86</v>
      </c>
      <c r="X675" s="8" t="n">
        <f aca="false">W675-R675</f>
        <v>5376.08</v>
      </c>
      <c r="Y675" s="7" t="n">
        <f aca="false">IFERROR(X675/W675,0)</f>
        <v>0.388224606545705</v>
      </c>
      <c r="Z675" s="9" t="n">
        <f aca="false">C675-B675</f>
        <v>3</v>
      </c>
      <c r="AA675" s="1" t="str">
        <f aca="false">IF(B675="","",TEXT(B675,"mmm"))</f>
        <v>Feb</v>
      </c>
      <c r="AB675" s="9" t="n">
        <f aca="false">IF(B675="","",YEAR(B675))</f>
        <v>2025</v>
      </c>
      <c r="AC675" s="3"/>
      <c r="AD675" s="3" t="str">
        <f aca="false">IF(LEFT(AC675&amp;IF(B675="","; Missing Order Date","")&amp;IF(C675="","; Missing Ship Date","")&amp;IF(P675&lt;0,"; Invalid Discount (Negative)","")&amp;IF(P675&gt;0.5,"; Invalid Discount (Too High)","")&amp;IF(Z675&lt;0,"; Invalid Shipping Record (Ship Before Order)","")&amp;IF(ABS(Q675-W675)&gt;1,"; Sales Mismatch","")&amp;IF(ABS(S675-X675)&gt;1,"; Profit Mismatch","")&amp;IF(COUNTIF($A$2:$A$913,A675)&gt;1,"; Duplicate Order ID Conflict",""),2)="; ",MID(AC675&amp;IF(B675="","; Missing Order Date","")&amp;IF(C675="","; Missing Ship Date","")&amp;IF(P675&lt;0,"; Invalid Discount (Negative)","")&amp;IF(P675&gt;0.5,"; Invalid Discount (Too High)","")&amp;IF(Z675&lt;0,"; Invalid Shipping Record (Ship Before Order)","")&amp;IF(ABS(Q675-W675)&gt;1,"; Sales Mismatch","")&amp;IF(ABS(S675-X675)&gt;1,"; Profit Mismatch","")&amp;IF(COUNTIF($A$2:$A$913,A675)&gt;1,"; Duplicate Order ID Conflict",""),3,500),AC675&amp;IF(B675="","; Missing Order Date","")&amp;IF(C675="","; Missing Ship Date","")&amp;IF(P675&lt;0,"; Invalid Discount (Negative)","")&amp;IF(P675&gt;0.5,"; Invalid Discount (Too High)","")&amp;IF(Z675&lt;0,"; Invalid Shipping Record (Ship Before Order)","")&amp;IF(ABS(Q675-W675)&gt;1,"; Sales Mismatch","")&amp;IF(ABS(S675-X675)&gt;1,"; Profit Mismatch","")&amp;IF(COUNTIF($A$2:$A$913,A675)&gt;1,"; Duplicate Order ID Conflict",""))</f>
        <v/>
      </c>
      <c r="AE675" s="10" t="str">
        <f aca="false">IF(OR(ISNUMBER(SEARCH("Invalid Discount",AD675)),ISNUMBER(SEARCH("Invalid Shipping Record",AD675)),ISNUMBER(SEARCH("Sales Mismatch",AD675)),ISNUMBER(SEARCH("Profit Mismatch",AD675)),ISNUMBER(SEARCH("Duplicate Order ID Conflict",AD675)),ISNUMBER(SEARCH("Missing Order Date",AD675)),ISNUMBER(SEARCH("Missing Ship Date",AD675))),"Invalid",IF(AD675&lt;&gt;"","Warning","Clean"))</f>
        <v>Clean</v>
      </c>
    </row>
    <row r="676" customFormat="false" ht="15" hidden="false" customHeight="true" outlineLevel="0" collapsed="false">
      <c r="A676" s="3" t="s">
        <v>2029</v>
      </c>
      <c r="B676" s="4" t="n">
        <v>45430</v>
      </c>
      <c r="C676" s="4" t="n">
        <v>45433</v>
      </c>
      <c r="D676" s="3" t="s">
        <v>2030</v>
      </c>
      <c r="E676" s="3" t="str">
        <f aca="false">PROPER(TRIM(SUBSTITUTE(Raw_Text_Fields!B677,CHAR(160)," ")))</f>
        <v>Vikram Iyer</v>
      </c>
      <c r="F676" s="3" t="str">
        <f aca="false">PROPER(TRIM(SUBSTITUTE(Raw_Text_Fields!C677,CHAR(160)," ")))</f>
        <v>Corporate</v>
      </c>
      <c r="G676" s="3" t="str">
        <f aca="false">PROPER(TRIM(SUBSTITUTE(Raw_Text_Fields!D677,CHAR(160)," ")))</f>
        <v>East</v>
      </c>
      <c r="H676" s="3" t="str">
        <f aca="false">PROPER(TRIM(SUBSTITUTE(Raw_Text_Fields!E677,CHAR(160)," ")))</f>
        <v>Jharkhand</v>
      </c>
      <c r="I676" s="3" t="str">
        <f aca="false">PROPER(TRIM(SUBSTITUTE(Raw_Text_Fields!F677,CHAR(160)," ")))</f>
        <v>Ranchi</v>
      </c>
      <c r="J676" s="3" t="str">
        <f aca="false">PROPER(TRIM(SUBSTITUTE(Raw_Text_Fields!G677,CHAR(160)," ")))</f>
        <v>Technology</v>
      </c>
      <c r="K676" s="3" t="str">
        <f aca="false">PROPER(TRIM(SUBSTITUTE(Raw_Text_Fields!H677,CHAR(160)," ")))</f>
        <v>Accessories</v>
      </c>
      <c r="L676" s="3" t="s">
        <v>2031</v>
      </c>
      <c r="M676" s="3" t="str">
        <f aca="false">PROPER(TRIM(SUBSTITUTE(Raw_Text_Fields!I677,CHAR(160)," ")))</f>
        <v>Second Class</v>
      </c>
      <c r="N676" s="3" t="n">
        <v>1</v>
      </c>
      <c r="O676" s="5" t="n">
        <v>1033.71</v>
      </c>
      <c r="P676" s="6" t="n">
        <v>0</v>
      </c>
      <c r="Q676" s="5" t="n">
        <v>1033.71</v>
      </c>
      <c r="R676" s="5" t="n">
        <v>630.82</v>
      </c>
      <c r="S676" s="5" t="n">
        <v>402.89</v>
      </c>
      <c r="T676" s="3" t="str">
        <f aca="false">PROPER(TRIM(SUBSTITUTE(Raw_Text_Fields!J677,CHAR(160)," ")))</f>
        <v>Pending</v>
      </c>
      <c r="U676" s="3" t="str">
        <f aca="false">PROPER(TRIM(SUBSTITUTE(Raw_Text_Fields!K677,CHAR(160)," ")))</f>
        <v>Returned</v>
      </c>
      <c r="V676" s="7" t="n">
        <f aca="false">IF(OR(P676&lt;0,P676&gt;0.5),0,P676)</f>
        <v>0</v>
      </c>
      <c r="W676" s="8" t="n">
        <f aca="false">N676*O676*(1-V676)</f>
        <v>1033.71</v>
      </c>
      <c r="X676" s="8" t="n">
        <f aca="false">W676-R676</f>
        <v>402.89</v>
      </c>
      <c r="Y676" s="7" t="n">
        <f aca="false">IFERROR(X676/W676,0)</f>
        <v>0.389751477687166</v>
      </c>
      <c r="Z676" s="9" t="n">
        <f aca="false">C676-B676</f>
        <v>3</v>
      </c>
      <c r="AA676" s="1" t="str">
        <f aca="false">IF(B676="","",TEXT(B676,"mmm"))</f>
        <v>May</v>
      </c>
      <c r="AB676" s="9" t="n">
        <f aca="false">IF(B676="","",YEAR(B676))</f>
        <v>2024</v>
      </c>
      <c r="AC676" s="3"/>
      <c r="AD676" s="3" t="str">
        <f aca="false">IF(LEFT(AC676&amp;IF(B676="","; Missing Order Date","")&amp;IF(C676="","; Missing Ship Date","")&amp;IF(P676&lt;0,"; Invalid Discount (Negative)","")&amp;IF(P676&gt;0.5,"; Invalid Discount (Too High)","")&amp;IF(Z676&lt;0,"; Invalid Shipping Record (Ship Before Order)","")&amp;IF(ABS(Q676-W676)&gt;1,"; Sales Mismatch","")&amp;IF(ABS(S676-X676)&gt;1,"; Profit Mismatch","")&amp;IF(COUNTIF($A$2:$A$913,A676)&gt;1,"; Duplicate Order ID Conflict",""),2)="; ",MID(AC676&amp;IF(B676="","; Missing Order Date","")&amp;IF(C676="","; Missing Ship Date","")&amp;IF(P676&lt;0,"; Invalid Discount (Negative)","")&amp;IF(P676&gt;0.5,"; Invalid Discount (Too High)","")&amp;IF(Z676&lt;0,"; Invalid Shipping Record (Ship Before Order)","")&amp;IF(ABS(Q676-W676)&gt;1,"; Sales Mismatch","")&amp;IF(ABS(S676-X676)&gt;1,"; Profit Mismatch","")&amp;IF(COUNTIF($A$2:$A$913,A676)&gt;1,"; Duplicate Order ID Conflict",""),3,500),AC676&amp;IF(B676="","; Missing Order Date","")&amp;IF(C676="","; Missing Ship Date","")&amp;IF(P676&lt;0,"; Invalid Discount (Negative)","")&amp;IF(P676&gt;0.5,"; Invalid Discount (Too High)","")&amp;IF(Z676&lt;0,"; Invalid Shipping Record (Ship Before Order)","")&amp;IF(ABS(Q676-W676)&gt;1,"; Sales Mismatch","")&amp;IF(ABS(S676-X676)&gt;1,"; Profit Mismatch","")&amp;IF(COUNTIF($A$2:$A$913,A676)&gt;1,"; Duplicate Order ID Conflict",""))</f>
        <v/>
      </c>
      <c r="AE676" s="10" t="str">
        <f aca="false">IF(OR(ISNUMBER(SEARCH("Invalid Discount",AD676)),ISNUMBER(SEARCH("Invalid Shipping Record",AD676)),ISNUMBER(SEARCH("Sales Mismatch",AD676)),ISNUMBER(SEARCH("Profit Mismatch",AD676)),ISNUMBER(SEARCH("Duplicate Order ID Conflict",AD676)),ISNUMBER(SEARCH("Missing Order Date",AD676)),ISNUMBER(SEARCH("Missing Ship Date",AD676))),"Invalid",IF(AD676&lt;&gt;"","Warning","Clean"))</f>
        <v>Clean</v>
      </c>
    </row>
    <row r="677" customFormat="false" ht="15" hidden="false" customHeight="true" outlineLevel="0" collapsed="false">
      <c r="A677" s="3" t="s">
        <v>2032</v>
      </c>
      <c r="B677" s="4" t="n">
        <v>45815</v>
      </c>
      <c r="C677" s="4" t="n">
        <v>45818</v>
      </c>
      <c r="D677" s="3" t="s">
        <v>1933</v>
      </c>
      <c r="E677" s="3" t="str">
        <f aca="false">PROPER(TRIM(SUBSTITUTE(Raw_Text_Fields!B678,CHAR(160)," ")))</f>
        <v>Aarav Sharma</v>
      </c>
      <c r="F677" s="3" t="str">
        <f aca="false">PROPER(TRIM(SUBSTITUTE(Raw_Text_Fields!C678,CHAR(160)," ")))</f>
        <v>Consumer</v>
      </c>
      <c r="G677" s="3" t="str">
        <f aca="false">PROPER(TRIM(SUBSTITUTE(Raw_Text_Fields!D678,CHAR(160)," ")))</f>
        <v>North</v>
      </c>
      <c r="H677" s="3" t="str">
        <f aca="false">PROPER(TRIM(SUBSTITUTE(Raw_Text_Fields!E678,CHAR(160)," ")))</f>
        <v>Rajasthan</v>
      </c>
      <c r="I677" s="3" t="str">
        <f aca="false">PROPER(TRIM(SUBSTITUTE(Raw_Text_Fields!F678,CHAR(160)," ")))</f>
        <v>Jaipur</v>
      </c>
      <c r="J677" s="3" t="str">
        <f aca="false">PROPER(TRIM(SUBSTITUTE(Raw_Text_Fields!G678,CHAR(160)," ")))</f>
        <v>Furniture</v>
      </c>
      <c r="K677" s="3" t="str">
        <f aca="false">PROPER(TRIM(SUBSTITUTE(Raw_Text_Fields!H678,CHAR(160)," ")))</f>
        <v>Furnishings</v>
      </c>
      <c r="L677" s="3" t="s">
        <v>2033</v>
      </c>
      <c r="M677" s="3" t="str">
        <f aca="false">PROPER(TRIM(SUBSTITUTE(Raw_Text_Fields!I678,CHAR(160)," ")))</f>
        <v>Same Day</v>
      </c>
      <c r="N677" s="3" t="n">
        <v>3</v>
      </c>
      <c r="O677" s="5" t="n">
        <v>963.26</v>
      </c>
      <c r="P677" s="6" t="n">
        <v>0</v>
      </c>
      <c r="Q677" s="5" t="n">
        <v>2889.78</v>
      </c>
      <c r="R677" s="5" t="n">
        <v>1811.23</v>
      </c>
      <c r="S677" s="5" t="n">
        <v>1078.55</v>
      </c>
      <c r="T677" s="3" t="str">
        <f aca="false">PROPER(TRIM(SUBSTITUTE(Raw_Text_Fields!J678,CHAR(160)," ")))</f>
        <v>Paid</v>
      </c>
      <c r="U677" s="3" t="str">
        <f aca="false">PROPER(TRIM(SUBSTITUTE(Raw_Text_Fields!K678,CHAR(160)," ")))</f>
        <v>Completed</v>
      </c>
      <c r="V677" s="7" t="n">
        <f aca="false">IF(OR(P677&lt;0,P677&gt;0.5),0,P677)</f>
        <v>0</v>
      </c>
      <c r="W677" s="8" t="n">
        <f aca="false">N677*O677*(1-V677)</f>
        <v>2889.78</v>
      </c>
      <c r="X677" s="8" t="n">
        <f aca="false">W677-R677</f>
        <v>1078.55</v>
      </c>
      <c r="Y677" s="7" t="n">
        <f aca="false">IFERROR(X677/W677,0)</f>
        <v>0.373229103945629</v>
      </c>
      <c r="Z677" s="9" t="n">
        <f aca="false">C677-B677</f>
        <v>3</v>
      </c>
      <c r="AA677" s="1" t="str">
        <f aca="false">IF(B677="","",TEXT(B677,"mmm"))</f>
        <v>Jun</v>
      </c>
      <c r="AB677" s="9" t="n">
        <f aca="false">IF(B677="","",YEAR(B677))</f>
        <v>2025</v>
      </c>
      <c r="AC677" s="3"/>
      <c r="AD677" s="3" t="str">
        <f aca="false">IF(LEFT(AC677&amp;IF(B677="","; Missing Order Date","")&amp;IF(C677="","; Missing Ship Date","")&amp;IF(P677&lt;0,"; Invalid Discount (Negative)","")&amp;IF(P677&gt;0.5,"; Invalid Discount (Too High)","")&amp;IF(Z677&lt;0,"; Invalid Shipping Record (Ship Before Order)","")&amp;IF(ABS(Q677-W677)&gt;1,"; Sales Mismatch","")&amp;IF(ABS(S677-X677)&gt;1,"; Profit Mismatch","")&amp;IF(COUNTIF($A$2:$A$913,A677)&gt;1,"; Duplicate Order ID Conflict",""),2)="; ",MID(AC677&amp;IF(B677="","; Missing Order Date","")&amp;IF(C677="","; Missing Ship Date","")&amp;IF(P677&lt;0,"; Invalid Discount (Negative)","")&amp;IF(P677&gt;0.5,"; Invalid Discount (Too High)","")&amp;IF(Z677&lt;0,"; Invalid Shipping Record (Ship Before Order)","")&amp;IF(ABS(Q677-W677)&gt;1,"; Sales Mismatch","")&amp;IF(ABS(S677-X677)&gt;1,"; Profit Mismatch","")&amp;IF(COUNTIF($A$2:$A$913,A677)&gt;1,"; Duplicate Order ID Conflict",""),3,500),AC677&amp;IF(B677="","; Missing Order Date","")&amp;IF(C677="","; Missing Ship Date","")&amp;IF(P677&lt;0,"; Invalid Discount (Negative)","")&amp;IF(P677&gt;0.5,"; Invalid Discount (Too High)","")&amp;IF(Z677&lt;0,"; Invalid Shipping Record (Ship Before Order)","")&amp;IF(ABS(Q677-W677)&gt;1,"; Sales Mismatch","")&amp;IF(ABS(S677-X677)&gt;1,"; Profit Mismatch","")&amp;IF(COUNTIF($A$2:$A$913,A677)&gt;1,"; Duplicate Order ID Conflict",""))</f>
        <v/>
      </c>
      <c r="AE677" s="10" t="str">
        <f aca="false">IF(OR(ISNUMBER(SEARCH("Invalid Discount",AD677)),ISNUMBER(SEARCH("Invalid Shipping Record",AD677)),ISNUMBER(SEARCH("Sales Mismatch",AD677)),ISNUMBER(SEARCH("Profit Mismatch",AD677)),ISNUMBER(SEARCH("Duplicate Order ID Conflict",AD677)),ISNUMBER(SEARCH("Missing Order Date",AD677)),ISNUMBER(SEARCH("Missing Ship Date",AD677))),"Invalid",IF(AD677&lt;&gt;"","Warning","Clean"))</f>
        <v>Clean</v>
      </c>
    </row>
    <row r="678" customFormat="false" ht="15" hidden="false" customHeight="true" outlineLevel="0" collapsed="false">
      <c r="A678" s="3" t="s">
        <v>2034</v>
      </c>
      <c r="B678" s="4" t="n">
        <v>45911</v>
      </c>
      <c r="C678" s="4" t="n">
        <v>45918</v>
      </c>
      <c r="D678" s="3" t="s">
        <v>2035</v>
      </c>
      <c r="E678" s="3" t="str">
        <f aca="false">PROPER(TRIM(SUBSTITUTE(Raw_Text_Fields!B679,CHAR(160)," ")))</f>
        <v>Rahul Verma</v>
      </c>
      <c r="F678" s="3" t="str">
        <f aca="false">PROPER(TRIM(SUBSTITUTE(Raw_Text_Fields!C679,CHAR(160)," ")))</f>
        <v>Small Business</v>
      </c>
      <c r="G678" s="3" t="str">
        <f aca="false">PROPER(TRIM(SUBSTITUTE(Raw_Text_Fields!D679,CHAR(160)," ")))</f>
        <v>North</v>
      </c>
      <c r="H678" s="3" t="str">
        <f aca="false">PROPER(TRIM(SUBSTITUTE(Raw_Text_Fields!E679,CHAR(160)," ")))</f>
        <v>Delhi</v>
      </c>
      <c r="I678" s="3" t="str">
        <f aca="false">PROPER(TRIM(SUBSTITUTE(Raw_Text_Fields!F679,CHAR(160)," ")))</f>
        <v>New Delhi</v>
      </c>
      <c r="J678" s="3" t="str">
        <f aca="false">PROPER(TRIM(SUBSTITUTE(Raw_Text_Fields!G679,CHAR(160)," ")))</f>
        <v>Technology</v>
      </c>
      <c r="K678" s="3" t="str">
        <f aca="false">PROPER(TRIM(SUBSTITUTE(Raw_Text_Fields!H679,CHAR(160)," ")))</f>
        <v>Phones</v>
      </c>
      <c r="L678" s="3" t="s">
        <v>2036</v>
      </c>
      <c r="M678" s="3" t="str">
        <f aca="false">PROPER(TRIM(SUBSTITUTE(Raw_Text_Fields!I679,CHAR(160)," ")))</f>
        <v>Same Day</v>
      </c>
      <c r="N678" s="3" t="n">
        <v>7</v>
      </c>
      <c r="O678" s="5" t="n">
        <v>3411.21</v>
      </c>
      <c r="P678" s="6" t="n">
        <v>0.15</v>
      </c>
      <c r="Q678" s="5" t="n">
        <v>20296.7</v>
      </c>
      <c r="R678" s="5" t="n">
        <v>14920.87</v>
      </c>
      <c r="S678" s="5" t="n">
        <v>5375.83</v>
      </c>
      <c r="T678" s="3" t="str">
        <f aca="false">PROPER(TRIM(SUBSTITUTE(Raw_Text_Fields!J679,CHAR(160)," ")))</f>
        <v>Paid</v>
      </c>
      <c r="U678" s="3" t="str">
        <f aca="false">PROPER(TRIM(SUBSTITUTE(Raw_Text_Fields!K679,CHAR(160)," ")))</f>
        <v>Completed</v>
      </c>
      <c r="V678" s="7" t="n">
        <f aca="false">IF(OR(P678&lt;0,P678&gt;0.5),0,P678)</f>
        <v>0.15</v>
      </c>
      <c r="W678" s="8" t="n">
        <f aca="false">N678*O678*(1-V678)</f>
        <v>20296.6995</v>
      </c>
      <c r="X678" s="8" t="n">
        <f aca="false">W678-R678</f>
        <v>5375.8295</v>
      </c>
      <c r="Y678" s="7" t="n">
        <f aca="false">IFERROR(X678/W678,0)</f>
        <v>0.264862250140719</v>
      </c>
      <c r="Z678" s="9" t="n">
        <f aca="false">C678-B678</f>
        <v>7</v>
      </c>
      <c r="AA678" s="1" t="str">
        <f aca="false">IF(B678="","",TEXT(B678,"mmm"))</f>
        <v>Sep</v>
      </c>
      <c r="AB678" s="9" t="n">
        <f aca="false">IF(B678="","",YEAR(B678))</f>
        <v>2025</v>
      </c>
      <c r="AC678" s="3"/>
      <c r="AD678" s="3" t="str">
        <f aca="false">IF(LEFT(AC678&amp;IF(B678="","; Missing Order Date","")&amp;IF(C678="","; Missing Ship Date","")&amp;IF(P678&lt;0,"; Invalid Discount (Negative)","")&amp;IF(P678&gt;0.5,"; Invalid Discount (Too High)","")&amp;IF(Z678&lt;0,"; Invalid Shipping Record (Ship Before Order)","")&amp;IF(ABS(Q678-W678)&gt;1,"; Sales Mismatch","")&amp;IF(ABS(S678-X678)&gt;1,"; Profit Mismatch","")&amp;IF(COUNTIF($A$2:$A$913,A678)&gt;1,"; Duplicate Order ID Conflict",""),2)="; ",MID(AC678&amp;IF(B678="","; Missing Order Date","")&amp;IF(C678="","; Missing Ship Date","")&amp;IF(P678&lt;0,"; Invalid Discount (Negative)","")&amp;IF(P678&gt;0.5,"; Invalid Discount (Too High)","")&amp;IF(Z678&lt;0,"; Invalid Shipping Record (Ship Before Order)","")&amp;IF(ABS(Q678-W678)&gt;1,"; Sales Mismatch","")&amp;IF(ABS(S678-X678)&gt;1,"; Profit Mismatch","")&amp;IF(COUNTIF($A$2:$A$913,A678)&gt;1,"; Duplicate Order ID Conflict",""),3,500),AC678&amp;IF(B678="","; Missing Order Date","")&amp;IF(C678="","; Missing Ship Date","")&amp;IF(P678&lt;0,"; Invalid Discount (Negative)","")&amp;IF(P678&gt;0.5,"; Invalid Discount (Too High)","")&amp;IF(Z678&lt;0,"; Invalid Shipping Record (Ship Before Order)","")&amp;IF(ABS(Q678-W678)&gt;1,"; Sales Mismatch","")&amp;IF(ABS(S678-X678)&gt;1,"; Profit Mismatch","")&amp;IF(COUNTIF($A$2:$A$913,A678)&gt;1,"; Duplicate Order ID Conflict",""))</f>
        <v/>
      </c>
      <c r="AE678" s="10" t="str">
        <f aca="false">IF(OR(ISNUMBER(SEARCH("Invalid Discount",AD678)),ISNUMBER(SEARCH("Invalid Shipping Record",AD678)),ISNUMBER(SEARCH("Sales Mismatch",AD678)),ISNUMBER(SEARCH("Profit Mismatch",AD678)),ISNUMBER(SEARCH("Duplicate Order ID Conflict",AD678)),ISNUMBER(SEARCH("Missing Order Date",AD678)),ISNUMBER(SEARCH("Missing Ship Date",AD678))),"Invalid",IF(AD678&lt;&gt;"","Warning","Clean"))</f>
        <v>Clean</v>
      </c>
    </row>
    <row r="679" customFormat="false" ht="15" hidden="false" customHeight="true" outlineLevel="0" collapsed="false">
      <c r="A679" s="3" t="s">
        <v>2037</v>
      </c>
      <c r="B679" s="4" t="n">
        <v>45465</v>
      </c>
      <c r="C679" s="4" t="n">
        <v>45470</v>
      </c>
      <c r="D679" s="3" t="s">
        <v>32</v>
      </c>
      <c r="E679" s="3" t="str">
        <f aca="false">PROPER(TRIM(SUBSTITUTE(Raw_Text_Fields!B680,CHAR(160)," ")))</f>
        <v>Isha Nair</v>
      </c>
      <c r="F679" s="3" t="str">
        <f aca="false">PROPER(TRIM(SUBSTITUTE(Raw_Text_Fields!C680,CHAR(160)," ")))</f>
        <v>Home Office</v>
      </c>
      <c r="G679" s="3" t="str">
        <f aca="false">PROPER(TRIM(SUBSTITUTE(Raw_Text_Fields!D680,CHAR(160)," ")))</f>
        <v>South</v>
      </c>
      <c r="H679" s="3" t="str">
        <f aca="false">PROPER(TRIM(SUBSTITUTE(Raw_Text_Fields!E680,CHAR(160)," ")))</f>
        <v>Karnataka</v>
      </c>
      <c r="I679" s="3" t="str">
        <f aca="false">PROPER(TRIM(SUBSTITUTE(Raw_Text_Fields!F680,CHAR(160)," ")))</f>
        <v>Bengaluru</v>
      </c>
      <c r="J679" s="3" t="str">
        <f aca="false">PROPER(TRIM(SUBSTITUTE(Raw_Text_Fields!G680,CHAR(160)," ")))</f>
        <v>Furniture</v>
      </c>
      <c r="K679" s="3" t="str">
        <f aca="false">PROPER(TRIM(SUBSTITUTE(Raw_Text_Fields!H680,CHAR(160)," ")))</f>
        <v>Chairs</v>
      </c>
      <c r="L679" s="3" t="s">
        <v>2038</v>
      </c>
      <c r="M679" s="3" t="str">
        <f aca="false">PROPER(TRIM(SUBSTITUTE(Raw_Text_Fields!I680,CHAR(160)," ")))</f>
        <v>Same Day</v>
      </c>
      <c r="N679" s="3" t="n">
        <v>7</v>
      </c>
      <c r="O679" s="5" t="n">
        <v>2623.48</v>
      </c>
      <c r="P679" s="6" t="n">
        <v>0</v>
      </c>
      <c r="Q679" s="5" t="n">
        <v>18364.36</v>
      </c>
      <c r="R679" s="5" t="n">
        <v>15445.81</v>
      </c>
      <c r="S679" s="5" t="n">
        <v>2918.55</v>
      </c>
      <c r="T679" s="3" t="str">
        <f aca="false">PROPER(TRIM(SUBSTITUTE(Raw_Text_Fields!J680,CHAR(160)," ")))</f>
        <v>Paid</v>
      </c>
      <c r="U679" s="3" t="str">
        <f aca="false">PROPER(TRIM(SUBSTITUTE(Raw_Text_Fields!K680,CHAR(160)," ")))</f>
        <v>Completed</v>
      </c>
      <c r="V679" s="7" t="n">
        <f aca="false">IF(OR(P679&lt;0,P679&gt;0.5),0,P679)</f>
        <v>0</v>
      </c>
      <c r="W679" s="8" t="n">
        <f aca="false">N679*O679*(1-V679)</f>
        <v>18364.36</v>
      </c>
      <c r="X679" s="8" t="n">
        <f aca="false">W679-R679</f>
        <v>2918.55</v>
      </c>
      <c r="Y679" s="7" t="n">
        <f aca="false">IFERROR(X679/W679,0)</f>
        <v>0.158924678017639</v>
      </c>
      <c r="Z679" s="9" t="n">
        <f aca="false">C679-B679</f>
        <v>5</v>
      </c>
      <c r="AA679" s="1" t="str">
        <f aca="false">IF(B679="","",TEXT(B679,"mmm"))</f>
        <v>Jun</v>
      </c>
      <c r="AB679" s="9" t="n">
        <f aca="false">IF(B679="","",YEAR(B679))</f>
        <v>2024</v>
      </c>
      <c r="AC679" s="3"/>
      <c r="AD679" s="3" t="str">
        <f aca="false">IF(LEFT(AC679&amp;IF(B679="","; Missing Order Date","")&amp;IF(C679="","; Missing Ship Date","")&amp;IF(P679&lt;0,"; Invalid Discount (Negative)","")&amp;IF(P679&gt;0.5,"; Invalid Discount (Too High)","")&amp;IF(Z679&lt;0,"; Invalid Shipping Record (Ship Before Order)","")&amp;IF(ABS(Q679-W679)&gt;1,"; Sales Mismatch","")&amp;IF(ABS(S679-X679)&gt;1,"; Profit Mismatch","")&amp;IF(COUNTIF($A$2:$A$913,A679)&gt;1,"; Duplicate Order ID Conflict",""),2)="; ",MID(AC679&amp;IF(B679="","; Missing Order Date","")&amp;IF(C679="","; Missing Ship Date","")&amp;IF(P679&lt;0,"; Invalid Discount (Negative)","")&amp;IF(P679&gt;0.5,"; Invalid Discount (Too High)","")&amp;IF(Z679&lt;0,"; Invalid Shipping Record (Ship Before Order)","")&amp;IF(ABS(Q679-W679)&gt;1,"; Sales Mismatch","")&amp;IF(ABS(S679-X679)&gt;1,"; Profit Mismatch","")&amp;IF(COUNTIF($A$2:$A$913,A679)&gt;1,"; Duplicate Order ID Conflict",""),3,500),AC679&amp;IF(B679="","; Missing Order Date","")&amp;IF(C679="","; Missing Ship Date","")&amp;IF(P679&lt;0,"; Invalid Discount (Negative)","")&amp;IF(P679&gt;0.5,"; Invalid Discount (Too High)","")&amp;IF(Z679&lt;0,"; Invalid Shipping Record (Ship Before Order)","")&amp;IF(ABS(Q679-W679)&gt;1,"; Sales Mismatch","")&amp;IF(ABS(S679-X679)&gt;1,"; Profit Mismatch","")&amp;IF(COUNTIF($A$2:$A$913,A679)&gt;1,"; Duplicate Order ID Conflict",""))</f>
        <v/>
      </c>
      <c r="AE679" s="10" t="str">
        <f aca="false">IF(OR(ISNUMBER(SEARCH("Invalid Discount",AD679)),ISNUMBER(SEARCH("Invalid Shipping Record",AD679)),ISNUMBER(SEARCH("Sales Mismatch",AD679)),ISNUMBER(SEARCH("Profit Mismatch",AD679)),ISNUMBER(SEARCH("Duplicate Order ID Conflict",AD679)),ISNUMBER(SEARCH("Missing Order Date",AD679)),ISNUMBER(SEARCH("Missing Ship Date",AD679))),"Invalid",IF(AD679&lt;&gt;"","Warning","Clean"))</f>
        <v>Clean</v>
      </c>
    </row>
    <row r="680" customFormat="false" ht="15" hidden="false" customHeight="true" outlineLevel="0" collapsed="false">
      <c r="A680" s="3" t="s">
        <v>2039</v>
      </c>
      <c r="B680" s="4" t="n">
        <v>45620</v>
      </c>
      <c r="C680" s="4" t="n">
        <v>45627</v>
      </c>
      <c r="D680" s="3" t="s">
        <v>2040</v>
      </c>
      <c r="E680" s="3" t="str">
        <f aca="false">PROPER(TRIM(SUBSTITUTE(Raw_Text_Fields!B681,CHAR(160)," ")))</f>
        <v>Kabir Singh</v>
      </c>
      <c r="F680" s="3" t="str">
        <f aca="false">PROPER(TRIM(SUBSTITUTE(Raw_Text_Fields!C681,CHAR(160)," ")))</f>
        <v>Corporate</v>
      </c>
      <c r="G680" s="3" t="str">
        <f aca="false">PROPER(TRIM(SUBSTITUTE(Raw_Text_Fields!D681,CHAR(160)," ")))</f>
        <v>South</v>
      </c>
      <c r="H680" s="3" t="str">
        <f aca="false">PROPER(TRIM(SUBSTITUTE(Raw_Text_Fields!E681,CHAR(160)," ")))</f>
        <v>Karnataka</v>
      </c>
      <c r="I680" s="3" t="str">
        <f aca="false">PROPER(TRIM(SUBSTITUTE(Raw_Text_Fields!F681,CHAR(160)," ")))</f>
        <v>Bengaluru</v>
      </c>
      <c r="J680" s="3" t="str">
        <f aca="false">PROPER(TRIM(SUBSTITUTE(Raw_Text_Fields!G681,CHAR(160)," ")))</f>
        <v>Furniture</v>
      </c>
      <c r="K680" s="3" t="str">
        <f aca="false">PROPER(TRIM(SUBSTITUTE(Raw_Text_Fields!H681,CHAR(160)," ")))</f>
        <v>Tables</v>
      </c>
      <c r="L680" s="3" t="s">
        <v>2041</v>
      </c>
      <c r="M680" s="3" t="str">
        <f aca="false">PROPER(TRIM(SUBSTITUTE(Raw_Text_Fields!I681,CHAR(160)," ")))</f>
        <v>Second Class</v>
      </c>
      <c r="N680" s="3" t="n">
        <v>9</v>
      </c>
      <c r="O680" s="5" t="n">
        <v>2763.61</v>
      </c>
      <c r="P680" s="6" t="n">
        <v>0.15</v>
      </c>
      <c r="Q680" s="5" t="n">
        <v>21141.62</v>
      </c>
      <c r="R680" s="5" t="n">
        <v>11676.33</v>
      </c>
      <c r="S680" s="5" t="n">
        <v>9465.29</v>
      </c>
      <c r="T680" s="3" t="str">
        <f aca="false">PROPER(TRIM(SUBSTITUTE(Raw_Text_Fields!J681,CHAR(160)," ")))</f>
        <v>Paid</v>
      </c>
      <c r="U680" s="3" t="str">
        <f aca="false">PROPER(TRIM(SUBSTITUTE(Raw_Text_Fields!K681,CHAR(160)," ")))</f>
        <v>Completed</v>
      </c>
      <c r="V680" s="7" t="n">
        <f aca="false">IF(OR(P680&lt;0,P680&gt;0.5),0,P680)</f>
        <v>0.15</v>
      </c>
      <c r="W680" s="8" t="n">
        <f aca="false">N680*O680*(1-V680)</f>
        <v>21141.6165</v>
      </c>
      <c r="X680" s="8" t="n">
        <f aca="false">W680-R680</f>
        <v>9465.2865</v>
      </c>
      <c r="Y680" s="7" t="n">
        <f aca="false">IFERROR(X680/W680,0)</f>
        <v>0.447708740719992</v>
      </c>
      <c r="Z680" s="9" t="n">
        <f aca="false">C680-B680</f>
        <v>7</v>
      </c>
      <c r="AA680" s="1" t="str">
        <f aca="false">IF(B680="","",TEXT(B680,"mmm"))</f>
        <v>Nov</v>
      </c>
      <c r="AB680" s="9" t="n">
        <f aca="false">IF(B680="","",YEAR(B680))</f>
        <v>2024</v>
      </c>
      <c r="AC680" s="3"/>
      <c r="AD680" s="3" t="str">
        <f aca="false">IF(LEFT(AC680&amp;IF(B680="","; Missing Order Date","")&amp;IF(C680="","; Missing Ship Date","")&amp;IF(P680&lt;0,"; Invalid Discount (Negative)","")&amp;IF(P680&gt;0.5,"; Invalid Discount (Too High)","")&amp;IF(Z680&lt;0,"; Invalid Shipping Record (Ship Before Order)","")&amp;IF(ABS(Q680-W680)&gt;1,"; Sales Mismatch","")&amp;IF(ABS(S680-X680)&gt;1,"; Profit Mismatch","")&amp;IF(COUNTIF($A$2:$A$913,A680)&gt;1,"; Duplicate Order ID Conflict",""),2)="; ",MID(AC680&amp;IF(B680="","; Missing Order Date","")&amp;IF(C680="","; Missing Ship Date","")&amp;IF(P680&lt;0,"; Invalid Discount (Negative)","")&amp;IF(P680&gt;0.5,"; Invalid Discount (Too High)","")&amp;IF(Z680&lt;0,"; Invalid Shipping Record (Ship Before Order)","")&amp;IF(ABS(Q680-W680)&gt;1,"; Sales Mismatch","")&amp;IF(ABS(S680-X680)&gt;1,"; Profit Mismatch","")&amp;IF(COUNTIF($A$2:$A$913,A680)&gt;1,"; Duplicate Order ID Conflict",""),3,500),AC680&amp;IF(B680="","; Missing Order Date","")&amp;IF(C680="","; Missing Ship Date","")&amp;IF(P680&lt;0,"; Invalid Discount (Negative)","")&amp;IF(P680&gt;0.5,"; Invalid Discount (Too High)","")&amp;IF(Z680&lt;0,"; Invalid Shipping Record (Ship Before Order)","")&amp;IF(ABS(Q680-W680)&gt;1,"; Sales Mismatch","")&amp;IF(ABS(S680-X680)&gt;1,"; Profit Mismatch","")&amp;IF(COUNTIF($A$2:$A$913,A680)&gt;1,"; Duplicate Order ID Conflict",""))</f>
        <v/>
      </c>
      <c r="AE680" s="10" t="str">
        <f aca="false">IF(OR(ISNUMBER(SEARCH("Invalid Discount",AD680)),ISNUMBER(SEARCH("Invalid Shipping Record",AD680)),ISNUMBER(SEARCH("Sales Mismatch",AD680)),ISNUMBER(SEARCH("Profit Mismatch",AD680)),ISNUMBER(SEARCH("Duplicate Order ID Conflict",AD680)),ISNUMBER(SEARCH("Missing Order Date",AD680)),ISNUMBER(SEARCH("Missing Ship Date",AD680))),"Invalid",IF(AD680&lt;&gt;"","Warning","Clean"))</f>
        <v>Clean</v>
      </c>
    </row>
    <row r="681" customFormat="false" ht="15" hidden="false" customHeight="true" outlineLevel="0" collapsed="false">
      <c r="A681" s="3" t="s">
        <v>2042</v>
      </c>
      <c r="B681" s="4" t="n">
        <v>45885</v>
      </c>
      <c r="C681" s="4" t="n">
        <v>45892</v>
      </c>
      <c r="D681" s="3" t="s">
        <v>2043</v>
      </c>
      <c r="E681" s="3" t="str">
        <f aca="false">PROPER(TRIM(SUBSTITUTE(Raw_Text_Fields!B682,CHAR(160)," ")))</f>
        <v>Rohan Mehta</v>
      </c>
      <c r="F681" s="3" t="str">
        <f aca="false">PROPER(TRIM(SUBSTITUTE(Raw_Text_Fields!C682,CHAR(160)," ")))</f>
        <v>Corporate</v>
      </c>
      <c r="G681" s="3" t="str">
        <f aca="false">PROPER(TRIM(SUBSTITUTE(Raw_Text_Fields!D682,CHAR(160)," ")))</f>
        <v>North</v>
      </c>
      <c r="H681" s="3" t="str">
        <f aca="false">PROPER(TRIM(SUBSTITUTE(Raw_Text_Fields!E682,CHAR(160)," ")))</f>
        <v>Punjab</v>
      </c>
      <c r="I681" s="3" t="str">
        <f aca="false">PROPER(TRIM(SUBSTITUTE(Raw_Text_Fields!F682,CHAR(160)," ")))</f>
        <v>Ludhiana</v>
      </c>
      <c r="J681" s="3" t="str">
        <f aca="false">PROPER(TRIM(SUBSTITUTE(Raw_Text_Fields!G682,CHAR(160)," ")))</f>
        <v>Technology</v>
      </c>
      <c r="K681" s="3" t="str">
        <f aca="false">PROPER(TRIM(SUBSTITUTE(Raw_Text_Fields!H682,CHAR(160)," ")))</f>
        <v>Copiers</v>
      </c>
      <c r="L681" s="3" t="s">
        <v>2044</v>
      </c>
      <c r="M681" s="3" t="str">
        <f aca="false">PROPER(TRIM(SUBSTITUTE(Raw_Text_Fields!I682,CHAR(160)," ")))</f>
        <v>Same Day</v>
      </c>
      <c r="N681" s="3" t="n">
        <v>4</v>
      </c>
      <c r="O681" s="5" t="n">
        <v>1410.57</v>
      </c>
      <c r="P681" s="6" t="n">
        <v>0.7</v>
      </c>
      <c r="Q681" s="5" t="n">
        <v>5360.17</v>
      </c>
      <c r="R681" s="5" t="n">
        <v>3881.51</v>
      </c>
      <c r="S681" s="5" t="n">
        <v>1478.66</v>
      </c>
      <c r="T681" s="3" t="str">
        <f aca="false">PROPER(TRIM(SUBSTITUTE(Raw_Text_Fields!J682,CHAR(160)," ")))</f>
        <v>Refunded</v>
      </c>
      <c r="U681" s="3" t="str">
        <f aca="false">PROPER(TRIM(SUBSTITUTE(Raw_Text_Fields!K682,CHAR(160)," ")))</f>
        <v>Cancelled</v>
      </c>
      <c r="V681" s="7" t="n">
        <f aca="false">IF(OR(P681&lt;0,P681&gt;0.5),0,P681)</f>
        <v>0</v>
      </c>
      <c r="W681" s="8" t="n">
        <f aca="false">N681*O681*(1-V681)</f>
        <v>5642.28</v>
      </c>
      <c r="X681" s="8" t="n">
        <f aca="false">W681-R681</f>
        <v>1760.77</v>
      </c>
      <c r="Y681" s="7" t="n">
        <f aca="false">IFERROR(X681/W681,0)</f>
        <v>0.312067107623159</v>
      </c>
      <c r="Z681" s="9" t="n">
        <f aca="false">C681-B681</f>
        <v>7</v>
      </c>
      <c r="AA681" s="1" t="str">
        <f aca="false">IF(B681="","",TEXT(B681,"mmm"))</f>
        <v>Aug</v>
      </c>
      <c r="AB681" s="9" t="n">
        <f aca="false">IF(B681="","",YEAR(B681))</f>
        <v>2025</v>
      </c>
      <c r="AC681" s="3"/>
      <c r="AD681" s="3" t="str">
        <f aca="false">IF(LEFT(AC681&amp;IF(B681="","; Missing Order Date","")&amp;IF(C681="","; Missing Ship Date","")&amp;IF(P681&lt;0,"; Invalid Discount (Negative)","")&amp;IF(P681&gt;0.5,"; Invalid Discount (Too High)","")&amp;IF(Z681&lt;0,"; Invalid Shipping Record (Ship Before Order)","")&amp;IF(ABS(Q681-W681)&gt;1,"; Sales Mismatch","")&amp;IF(ABS(S681-X681)&gt;1,"; Profit Mismatch","")&amp;IF(COUNTIF($A$2:$A$913,A681)&gt;1,"; Duplicate Order ID Conflict",""),2)="; ",MID(AC681&amp;IF(B681="","; Missing Order Date","")&amp;IF(C681="","; Missing Ship Date","")&amp;IF(P681&lt;0,"; Invalid Discount (Negative)","")&amp;IF(P681&gt;0.5,"; Invalid Discount (Too High)","")&amp;IF(Z681&lt;0,"; Invalid Shipping Record (Ship Before Order)","")&amp;IF(ABS(Q681-W681)&gt;1,"; Sales Mismatch","")&amp;IF(ABS(S681-X681)&gt;1,"; Profit Mismatch","")&amp;IF(COUNTIF($A$2:$A$913,A681)&gt;1,"; Duplicate Order ID Conflict",""),3,500),AC681&amp;IF(B681="","; Missing Order Date","")&amp;IF(C681="","; Missing Ship Date","")&amp;IF(P681&lt;0,"; Invalid Discount (Negative)","")&amp;IF(P681&gt;0.5,"; Invalid Discount (Too High)","")&amp;IF(Z681&lt;0,"; Invalid Shipping Record (Ship Before Order)","")&amp;IF(ABS(Q681-W681)&gt;1,"; Sales Mismatch","")&amp;IF(ABS(S681-X681)&gt;1,"; Profit Mismatch","")&amp;IF(COUNTIF($A$2:$A$913,A681)&gt;1,"; Duplicate Order ID Conflict",""))</f>
        <v>Invalid Discount (Too High); Sales Mismatch; Profit Mismatch</v>
      </c>
      <c r="AE681" s="10" t="str">
        <f aca="false">IF(OR(ISNUMBER(SEARCH("Invalid Discount",AD681)),ISNUMBER(SEARCH("Invalid Shipping Record",AD681)),ISNUMBER(SEARCH("Sales Mismatch",AD681)),ISNUMBER(SEARCH("Profit Mismatch",AD681)),ISNUMBER(SEARCH("Duplicate Order ID Conflict",AD681)),ISNUMBER(SEARCH("Missing Order Date",AD681)),ISNUMBER(SEARCH("Missing Ship Date",AD681))),"Invalid",IF(AD681&lt;&gt;"","Warning","Clean"))</f>
        <v>Invalid</v>
      </c>
    </row>
    <row r="682" customFormat="false" ht="15" hidden="false" customHeight="true" outlineLevel="0" collapsed="false">
      <c r="A682" s="3" t="s">
        <v>2045</v>
      </c>
      <c r="B682" s="4" t="n">
        <v>45441</v>
      </c>
      <c r="C682" s="4" t="n">
        <v>45448</v>
      </c>
      <c r="D682" s="3" t="s">
        <v>2046</v>
      </c>
      <c r="E682" s="3" t="str">
        <f aca="false">PROPER(TRIM(SUBSTITUTE(Raw_Text_Fields!B683,CHAR(160)," ")))</f>
        <v>Kabir Singh</v>
      </c>
      <c r="F682" s="3" t="str">
        <f aca="false">PROPER(TRIM(SUBSTITUTE(Raw_Text_Fields!C683,CHAR(160)," ")))</f>
        <v>Corporate</v>
      </c>
      <c r="G682" s="3" t="str">
        <f aca="false">PROPER(TRIM(SUBSTITUTE(Raw_Text_Fields!D683,CHAR(160)," ")))</f>
        <v>South</v>
      </c>
      <c r="H682" s="3" t="str">
        <f aca="false">PROPER(TRIM(SUBSTITUTE(Raw_Text_Fields!E683,CHAR(160)," ")))</f>
        <v>Tamil Nadu</v>
      </c>
      <c r="I682" s="3" t="str">
        <f aca="false">PROPER(TRIM(SUBSTITUTE(Raw_Text_Fields!F683,CHAR(160)," ")))</f>
        <v>Chennai</v>
      </c>
      <c r="J682" s="3" t="str">
        <f aca="false">PROPER(TRIM(SUBSTITUTE(Raw_Text_Fields!G683,CHAR(160)," ")))</f>
        <v>Technology</v>
      </c>
      <c r="K682" s="3" t="str">
        <f aca="false">PROPER(TRIM(SUBSTITUTE(Raw_Text_Fields!H683,CHAR(160)," ")))</f>
        <v>Accessories</v>
      </c>
      <c r="L682" s="3" t="s">
        <v>2047</v>
      </c>
      <c r="M682" s="3" t="str">
        <f aca="false">PROPER(TRIM(SUBSTITUTE(Raw_Text_Fields!I683,CHAR(160)," ")))</f>
        <v>First Class</v>
      </c>
      <c r="N682" s="3" t="n">
        <v>4</v>
      </c>
      <c r="O682" s="5" t="n">
        <v>3700.24</v>
      </c>
      <c r="P682" s="6" t="n">
        <v>0</v>
      </c>
      <c r="Q682" s="5" t="n">
        <v>14800.96</v>
      </c>
      <c r="R682" s="5" t="n">
        <v>12048.39</v>
      </c>
      <c r="S682" s="5" t="n">
        <v>2752.57</v>
      </c>
      <c r="T682" s="3" t="str">
        <f aca="false">PROPER(TRIM(SUBSTITUTE(Raw_Text_Fields!J683,CHAR(160)," ")))</f>
        <v>Paid</v>
      </c>
      <c r="U682" s="3" t="str">
        <f aca="false">PROPER(TRIM(SUBSTITUTE(Raw_Text_Fields!K683,CHAR(160)," ")))</f>
        <v>Completed</v>
      </c>
      <c r="V682" s="7" t="n">
        <f aca="false">IF(OR(P682&lt;0,P682&gt;0.5),0,P682)</f>
        <v>0</v>
      </c>
      <c r="W682" s="8" t="n">
        <f aca="false">N682*O682*(1-V682)</f>
        <v>14800.96</v>
      </c>
      <c r="X682" s="8" t="n">
        <f aca="false">W682-R682</f>
        <v>2752.57</v>
      </c>
      <c r="Y682" s="7" t="n">
        <f aca="false">IFERROR(X682/W682,0)</f>
        <v>0.185972396385099</v>
      </c>
      <c r="Z682" s="9" t="n">
        <f aca="false">C682-B682</f>
        <v>7</v>
      </c>
      <c r="AA682" s="1" t="str">
        <f aca="false">IF(B682="","",TEXT(B682,"mmm"))</f>
        <v>May</v>
      </c>
      <c r="AB682" s="9" t="n">
        <f aca="false">IF(B682="","",YEAR(B682))</f>
        <v>2024</v>
      </c>
      <c r="AC682" s="3"/>
      <c r="AD682" s="3" t="str">
        <f aca="false">IF(LEFT(AC682&amp;IF(B682="","; Missing Order Date","")&amp;IF(C682="","; Missing Ship Date","")&amp;IF(P682&lt;0,"; Invalid Discount (Negative)","")&amp;IF(P682&gt;0.5,"; Invalid Discount (Too High)","")&amp;IF(Z682&lt;0,"; Invalid Shipping Record (Ship Before Order)","")&amp;IF(ABS(Q682-W682)&gt;1,"; Sales Mismatch","")&amp;IF(ABS(S682-X682)&gt;1,"; Profit Mismatch","")&amp;IF(COUNTIF($A$2:$A$913,A682)&gt;1,"; Duplicate Order ID Conflict",""),2)="; ",MID(AC682&amp;IF(B682="","; Missing Order Date","")&amp;IF(C682="","; Missing Ship Date","")&amp;IF(P682&lt;0,"; Invalid Discount (Negative)","")&amp;IF(P682&gt;0.5,"; Invalid Discount (Too High)","")&amp;IF(Z682&lt;0,"; Invalid Shipping Record (Ship Before Order)","")&amp;IF(ABS(Q682-W682)&gt;1,"; Sales Mismatch","")&amp;IF(ABS(S682-X682)&gt;1,"; Profit Mismatch","")&amp;IF(COUNTIF($A$2:$A$913,A682)&gt;1,"; Duplicate Order ID Conflict",""),3,500),AC682&amp;IF(B682="","; Missing Order Date","")&amp;IF(C682="","; Missing Ship Date","")&amp;IF(P682&lt;0,"; Invalid Discount (Negative)","")&amp;IF(P682&gt;0.5,"; Invalid Discount (Too High)","")&amp;IF(Z682&lt;0,"; Invalid Shipping Record (Ship Before Order)","")&amp;IF(ABS(Q682-W682)&gt;1,"; Sales Mismatch","")&amp;IF(ABS(S682-X682)&gt;1,"; Profit Mismatch","")&amp;IF(COUNTIF($A$2:$A$913,A682)&gt;1,"; Duplicate Order ID Conflict",""))</f>
        <v/>
      </c>
      <c r="AE682" s="10" t="str">
        <f aca="false">IF(OR(ISNUMBER(SEARCH("Invalid Discount",AD682)),ISNUMBER(SEARCH("Invalid Shipping Record",AD682)),ISNUMBER(SEARCH("Sales Mismatch",AD682)),ISNUMBER(SEARCH("Profit Mismatch",AD682)),ISNUMBER(SEARCH("Duplicate Order ID Conflict",AD682)),ISNUMBER(SEARCH("Missing Order Date",AD682)),ISNUMBER(SEARCH("Missing Ship Date",AD682))),"Invalid",IF(AD682&lt;&gt;"","Warning","Clean"))</f>
        <v>Clean</v>
      </c>
    </row>
    <row r="683" customFormat="false" ht="15" hidden="false" customHeight="true" outlineLevel="0" collapsed="false">
      <c r="A683" s="3" t="s">
        <v>2048</v>
      </c>
      <c r="B683" s="4" t="n">
        <v>45477</v>
      </c>
      <c r="C683" s="4" t="n">
        <v>45483</v>
      </c>
      <c r="D683" s="3" t="s">
        <v>2049</v>
      </c>
      <c r="E683" s="3" t="str">
        <f aca="false">PROPER(TRIM(SUBSTITUTE(Raw_Text_Fields!B684,CHAR(160)," ")))</f>
        <v>Vikram Iyer</v>
      </c>
      <c r="F683" s="3" t="str">
        <f aca="false">PROPER(TRIM(SUBSTITUTE(Raw_Text_Fields!C684,CHAR(160)," ")))</f>
        <v>Corporate</v>
      </c>
      <c r="G683" s="3" t="str">
        <f aca="false">PROPER(TRIM(SUBSTITUTE(Raw_Text_Fields!D684,CHAR(160)," ")))</f>
        <v>North</v>
      </c>
      <c r="H683" s="3" t="str">
        <f aca="false">PROPER(TRIM(SUBSTITUTE(Raw_Text_Fields!E684,CHAR(160)," ")))</f>
        <v>Delhi</v>
      </c>
      <c r="I683" s="3" t="str">
        <f aca="false">PROPER(TRIM(SUBSTITUTE(Raw_Text_Fields!F684,CHAR(160)," ")))</f>
        <v>New Delhi</v>
      </c>
      <c r="J683" s="3" t="str">
        <f aca="false">PROPER(TRIM(SUBSTITUTE(Raw_Text_Fields!G684,CHAR(160)," ")))</f>
        <v>Furniture</v>
      </c>
      <c r="K683" s="3" t="str">
        <f aca="false">PROPER(TRIM(SUBSTITUTE(Raw_Text_Fields!H684,CHAR(160)," ")))</f>
        <v>Tables</v>
      </c>
      <c r="L683" s="3" t="s">
        <v>2050</v>
      </c>
      <c r="M683" s="3" t="str">
        <f aca="false">PROPER(TRIM(SUBSTITUTE(Raw_Text_Fields!I684,CHAR(160)," ")))</f>
        <v>Second Class</v>
      </c>
      <c r="N683" s="3" t="n">
        <v>5</v>
      </c>
      <c r="O683" s="5" t="n">
        <v>1200.27</v>
      </c>
      <c r="P683" s="6" t="n">
        <v>0</v>
      </c>
      <c r="Q683" s="5" t="n">
        <v>6001.35</v>
      </c>
      <c r="R683" s="5" t="n">
        <v>4182.99</v>
      </c>
      <c r="S683" s="5" t="n">
        <v>1818.36</v>
      </c>
      <c r="T683" s="3" t="str">
        <f aca="false">PROPER(TRIM(SUBSTITUTE(Raw_Text_Fields!J684,CHAR(160)," ")))</f>
        <v>Paid</v>
      </c>
      <c r="U683" s="3" t="str">
        <f aca="false">PROPER(TRIM(SUBSTITUTE(Raw_Text_Fields!K684,CHAR(160)," ")))</f>
        <v>Cancelled</v>
      </c>
      <c r="V683" s="7" t="n">
        <f aca="false">IF(OR(P683&lt;0,P683&gt;0.5),0,P683)</f>
        <v>0</v>
      </c>
      <c r="W683" s="8" t="n">
        <f aca="false">N683*O683*(1-V683)</f>
        <v>6001.35</v>
      </c>
      <c r="X683" s="8" t="n">
        <f aca="false">W683-R683</f>
        <v>1818.36</v>
      </c>
      <c r="Y683" s="7" t="n">
        <f aca="false">IFERROR(X683/W683,0)</f>
        <v>0.302991826838961</v>
      </c>
      <c r="Z683" s="9" t="n">
        <f aca="false">C683-B683</f>
        <v>6</v>
      </c>
      <c r="AA683" s="1" t="str">
        <f aca="false">IF(B683="","",TEXT(B683,"mmm"))</f>
        <v>Jul</v>
      </c>
      <c r="AB683" s="9" t="n">
        <f aca="false">IF(B683="","",YEAR(B683))</f>
        <v>2024</v>
      </c>
      <c r="AC683" s="3"/>
      <c r="AD683" s="3" t="str">
        <f aca="false">IF(LEFT(AC683&amp;IF(B683="","; Missing Order Date","")&amp;IF(C683="","; Missing Ship Date","")&amp;IF(P683&lt;0,"; Invalid Discount (Negative)","")&amp;IF(P683&gt;0.5,"; Invalid Discount (Too High)","")&amp;IF(Z683&lt;0,"; Invalid Shipping Record (Ship Before Order)","")&amp;IF(ABS(Q683-W683)&gt;1,"; Sales Mismatch","")&amp;IF(ABS(S683-X683)&gt;1,"; Profit Mismatch","")&amp;IF(COUNTIF($A$2:$A$913,A683)&gt;1,"; Duplicate Order ID Conflict",""),2)="; ",MID(AC683&amp;IF(B683="","; Missing Order Date","")&amp;IF(C683="","; Missing Ship Date","")&amp;IF(P683&lt;0,"; Invalid Discount (Negative)","")&amp;IF(P683&gt;0.5,"; Invalid Discount (Too High)","")&amp;IF(Z683&lt;0,"; Invalid Shipping Record (Ship Before Order)","")&amp;IF(ABS(Q683-W683)&gt;1,"; Sales Mismatch","")&amp;IF(ABS(S683-X683)&gt;1,"; Profit Mismatch","")&amp;IF(COUNTIF($A$2:$A$913,A683)&gt;1,"; Duplicate Order ID Conflict",""),3,500),AC683&amp;IF(B683="","; Missing Order Date","")&amp;IF(C683="","; Missing Ship Date","")&amp;IF(P683&lt;0,"; Invalid Discount (Negative)","")&amp;IF(P683&gt;0.5,"; Invalid Discount (Too High)","")&amp;IF(Z683&lt;0,"; Invalid Shipping Record (Ship Before Order)","")&amp;IF(ABS(Q683-W683)&gt;1,"; Sales Mismatch","")&amp;IF(ABS(S683-X683)&gt;1,"; Profit Mismatch","")&amp;IF(COUNTIF($A$2:$A$913,A683)&gt;1,"; Duplicate Order ID Conflict",""))</f>
        <v/>
      </c>
      <c r="AE683" s="10" t="str">
        <f aca="false">IF(OR(ISNUMBER(SEARCH("Invalid Discount",AD683)),ISNUMBER(SEARCH("Invalid Shipping Record",AD683)),ISNUMBER(SEARCH("Sales Mismatch",AD683)),ISNUMBER(SEARCH("Profit Mismatch",AD683)),ISNUMBER(SEARCH("Duplicate Order ID Conflict",AD683)),ISNUMBER(SEARCH("Missing Order Date",AD683)),ISNUMBER(SEARCH("Missing Ship Date",AD683))),"Invalid",IF(AD683&lt;&gt;"","Warning","Clean"))</f>
        <v>Clean</v>
      </c>
    </row>
    <row r="684" customFormat="false" ht="15" hidden="false" customHeight="true" outlineLevel="0" collapsed="false">
      <c r="A684" s="3" t="s">
        <v>2051</v>
      </c>
      <c r="B684" s="4" t="n">
        <v>45693</v>
      </c>
      <c r="C684" s="4" t="n">
        <v>45693</v>
      </c>
      <c r="D684" s="3" t="s">
        <v>2052</v>
      </c>
      <c r="E684" s="3" t="str">
        <f aca="false">PROPER(TRIM(SUBSTITUTE(Raw_Text_Fields!B685,CHAR(160)," ")))</f>
        <v>Ananya Rao</v>
      </c>
      <c r="F684" s="3" t="str">
        <f aca="false">PROPER(TRIM(SUBSTITUTE(Raw_Text_Fields!C685,CHAR(160)," ")))</f>
        <v>Corporate</v>
      </c>
      <c r="G684" s="3" t="str">
        <f aca="false">PROPER(TRIM(SUBSTITUTE(Raw_Text_Fields!D685,CHAR(160)," ")))</f>
        <v>North</v>
      </c>
      <c r="H684" s="3" t="str">
        <f aca="false">PROPER(TRIM(SUBSTITUTE(Raw_Text_Fields!E685,CHAR(160)," ")))</f>
        <v>Haryana</v>
      </c>
      <c r="I684" s="3" t="str">
        <f aca="false">PROPER(TRIM(SUBSTITUTE(Raw_Text_Fields!F685,CHAR(160)," ")))</f>
        <v>Gurugram</v>
      </c>
      <c r="J684" s="3" t="str">
        <f aca="false">PROPER(TRIM(SUBSTITUTE(Raw_Text_Fields!G685,CHAR(160)," ")))</f>
        <v>Office Supplies</v>
      </c>
      <c r="K684" s="3" t="str">
        <f aca="false">PROPER(TRIM(SUBSTITUTE(Raw_Text_Fields!H685,CHAR(160)," ")))</f>
        <v>Storage</v>
      </c>
      <c r="L684" s="3" t="s">
        <v>2053</v>
      </c>
      <c r="M684" s="3" t="str">
        <f aca="false">PROPER(TRIM(SUBSTITUTE(Raw_Text_Fields!I685,CHAR(160)," ")))</f>
        <v>Same Day</v>
      </c>
      <c r="N684" s="3" t="n">
        <v>3</v>
      </c>
      <c r="O684" s="5" t="n">
        <v>2590.78</v>
      </c>
      <c r="P684" s="6" t="n">
        <v>0</v>
      </c>
      <c r="Q684" s="5" t="n">
        <v>7383.72</v>
      </c>
      <c r="R684" s="5" t="n">
        <v>4113.66</v>
      </c>
      <c r="S684" s="5" t="n">
        <v>3270.06</v>
      </c>
      <c r="T684" s="3" t="str">
        <f aca="false">PROPER(TRIM(SUBSTITUTE(Raw_Text_Fields!J685,CHAR(160)," ")))</f>
        <v>Paid</v>
      </c>
      <c r="U684" s="3" t="str">
        <f aca="false">PROPER(TRIM(SUBSTITUTE(Raw_Text_Fields!K685,CHAR(160)," ")))</f>
        <v>Completed</v>
      </c>
      <c r="V684" s="7" t="n">
        <f aca="false">IF(OR(P684&lt;0,P684&gt;0.5),0,P684)</f>
        <v>0</v>
      </c>
      <c r="W684" s="8" t="n">
        <f aca="false">N684*O684*(1-V684)</f>
        <v>7772.34</v>
      </c>
      <c r="X684" s="8" t="n">
        <f aca="false">W684-R684</f>
        <v>3658.68</v>
      </c>
      <c r="Y684" s="7" t="n">
        <f aca="false">IFERROR(X684/W684,0)</f>
        <v>0.470730822377817</v>
      </c>
      <c r="Z684" s="9" t="n">
        <f aca="false">C684-B684</f>
        <v>0</v>
      </c>
      <c r="AA684" s="1" t="str">
        <f aca="false">IF(B684="","",TEXT(B684,"mmm"))</f>
        <v>Feb</v>
      </c>
      <c r="AB684" s="9" t="n">
        <f aca="false">IF(B684="","",YEAR(B684))</f>
        <v>2025</v>
      </c>
      <c r="AC684" s="3" t="s">
        <v>130</v>
      </c>
      <c r="AD684" s="3" t="str">
        <f aca="false">IF(LEFT(AC684&amp;IF(B684="","; Missing Order Date","")&amp;IF(C684="","; Missing Ship Date","")&amp;IF(P684&lt;0,"; Invalid Discount (Negative)","")&amp;IF(P684&gt;0.5,"; Invalid Discount (Too High)","")&amp;IF(Z684&lt;0,"; Invalid Shipping Record (Ship Before Order)","")&amp;IF(ABS(Q684-W684)&gt;1,"; Sales Mismatch","")&amp;IF(ABS(S684-X684)&gt;1,"; Profit Mismatch","")&amp;IF(COUNTIF($A$2:$A$913,A684)&gt;1,"; Duplicate Order ID Conflict",""),2)="; ",MID(AC684&amp;IF(B684="","; Missing Order Date","")&amp;IF(C684="","; Missing Ship Date","")&amp;IF(P684&lt;0,"; Invalid Discount (Negative)","")&amp;IF(P684&gt;0.5,"; Invalid Discount (Too High)","")&amp;IF(Z684&lt;0,"; Invalid Shipping Record (Ship Before Order)","")&amp;IF(ABS(Q684-W684)&gt;1,"; Sales Mismatch","")&amp;IF(ABS(S684-X684)&gt;1,"; Profit Mismatch","")&amp;IF(COUNTIF($A$2:$A$913,A684)&gt;1,"; Duplicate Order ID Conflict",""),3,500),AC684&amp;IF(B684="","; Missing Order Date","")&amp;IF(C684="","; Missing Ship Date","")&amp;IF(P684&lt;0,"; Invalid Discount (Negative)","")&amp;IF(P684&gt;0.5,"; Invalid Discount (Too High)","")&amp;IF(Z684&lt;0,"; Invalid Shipping Record (Ship Before Order)","")&amp;IF(ABS(Q684-W684)&gt;1,"; Sales Mismatch","")&amp;IF(ABS(S684-X684)&gt;1,"; Profit Mismatch","")&amp;IF(COUNTIF($A$2:$A$913,A684)&gt;1,"; Duplicate Order ID Conflict",""))</f>
        <v>Missing Discount (defaulted 0); Sales Mismatch; Profit Mismatch</v>
      </c>
      <c r="AE684" s="10" t="str">
        <f aca="false">IF(OR(ISNUMBER(SEARCH("Invalid Discount",AD684)),ISNUMBER(SEARCH("Invalid Shipping Record",AD684)),ISNUMBER(SEARCH("Sales Mismatch",AD684)),ISNUMBER(SEARCH("Profit Mismatch",AD684)),ISNUMBER(SEARCH("Duplicate Order ID Conflict",AD684)),ISNUMBER(SEARCH("Missing Order Date",AD684)),ISNUMBER(SEARCH("Missing Ship Date",AD684))),"Invalid",IF(AD684&lt;&gt;"","Warning","Clean"))</f>
        <v>Invalid</v>
      </c>
    </row>
    <row r="685" customFormat="false" ht="15" hidden="false" customHeight="true" outlineLevel="0" collapsed="false">
      <c r="A685" s="3" t="s">
        <v>2054</v>
      </c>
      <c r="B685" s="4" t="n">
        <v>45858</v>
      </c>
      <c r="C685" s="4" t="n">
        <v>45862</v>
      </c>
      <c r="D685" s="3" t="s">
        <v>2055</v>
      </c>
      <c r="E685" s="3" t="str">
        <f aca="false">PROPER(TRIM(SUBSTITUTE(Raw_Text_Fields!B686,CHAR(160)," ")))</f>
        <v>Arjun Bose</v>
      </c>
      <c r="F685" s="3" t="str">
        <f aca="false">PROPER(TRIM(SUBSTITUTE(Raw_Text_Fields!C686,CHAR(160)," ")))</f>
        <v>Small Business</v>
      </c>
      <c r="G685" s="3" t="str">
        <f aca="false">PROPER(TRIM(SUBSTITUTE(Raw_Text_Fields!D686,CHAR(160)," ")))</f>
        <v>South</v>
      </c>
      <c r="H685" s="3" t="str">
        <f aca="false">PROPER(TRIM(SUBSTITUTE(Raw_Text_Fields!E686,CHAR(160)," ")))</f>
        <v>Telangana</v>
      </c>
      <c r="I685" s="3" t="str">
        <f aca="false">PROPER(TRIM(SUBSTITUTE(Raw_Text_Fields!F686,CHAR(160)," ")))</f>
        <v>Hyderabad</v>
      </c>
      <c r="J685" s="3" t="str">
        <f aca="false">PROPER(TRIM(SUBSTITUTE(Raw_Text_Fields!G686,CHAR(160)," ")))</f>
        <v>Furniture</v>
      </c>
      <c r="K685" s="3" t="str">
        <f aca="false">PROPER(TRIM(SUBSTITUTE(Raw_Text_Fields!H686,CHAR(160)," ")))</f>
        <v>Furnishings</v>
      </c>
      <c r="L685" s="3" t="s">
        <v>2056</v>
      </c>
      <c r="M685" s="3" t="str">
        <f aca="false">PROPER(TRIM(SUBSTITUTE(Raw_Text_Fields!I686,CHAR(160)," ")))</f>
        <v>Second Class</v>
      </c>
      <c r="N685" s="3" t="n">
        <v>6</v>
      </c>
      <c r="O685" s="5" t="n">
        <v>1646.45</v>
      </c>
      <c r="P685" s="6" t="n">
        <v>0.2</v>
      </c>
      <c r="Q685" s="5" t="n">
        <v>7902.96</v>
      </c>
      <c r="R685" s="5" t="n">
        <v>5512.03</v>
      </c>
      <c r="S685" s="5" t="n">
        <v>2390.93</v>
      </c>
      <c r="T685" s="3" t="str">
        <f aca="false">PROPER(TRIM(SUBSTITUTE(Raw_Text_Fields!J686,CHAR(160)," ")))</f>
        <v>Refunded</v>
      </c>
      <c r="U685" s="3" t="str">
        <f aca="false">PROPER(TRIM(SUBSTITUTE(Raw_Text_Fields!K686,CHAR(160)," ")))</f>
        <v>Cancelled</v>
      </c>
      <c r="V685" s="7" t="n">
        <f aca="false">IF(OR(P685&lt;0,P685&gt;0.5),0,P685)</f>
        <v>0.2</v>
      </c>
      <c r="W685" s="8" t="n">
        <f aca="false">N685*O685*(1-V685)</f>
        <v>7902.96</v>
      </c>
      <c r="X685" s="8" t="n">
        <f aca="false">W685-R685</f>
        <v>2390.93</v>
      </c>
      <c r="Y685" s="7" t="n">
        <f aca="false">IFERROR(X685/W685,0)</f>
        <v>0.302536011823418</v>
      </c>
      <c r="Z685" s="9" t="n">
        <f aca="false">C685-B685</f>
        <v>4</v>
      </c>
      <c r="AA685" s="1" t="str">
        <f aca="false">IF(B685="","",TEXT(B685,"mmm"))</f>
        <v>Jul</v>
      </c>
      <c r="AB685" s="9" t="n">
        <f aca="false">IF(B685="","",YEAR(B685))</f>
        <v>2025</v>
      </c>
      <c r="AC685" s="3"/>
      <c r="AD685" s="3" t="str">
        <f aca="false">IF(LEFT(AC685&amp;IF(B685="","; Missing Order Date","")&amp;IF(C685="","; Missing Ship Date","")&amp;IF(P685&lt;0,"; Invalid Discount (Negative)","")&amp;IF(P685&gt;0.5,"; Invalid Discount (Too High)","")&amp;IF(Z685&lt;0,"; Invalid Shipping Record (Ship Before Order)","")&amp;IF(ABS(Q685-W685)&gt;1,"; Sales Mismatch","")&amp;IF(ABS(S685-X685)&gt;1,"; Profit Mismatch","")&amp;IF(COUNTIF($A$2:$A$913,A685)&gt;1,"; Duplicate Order ID Conflict",""),2)="; ",MID(AC685&amp;IF(B685="","; Missing Order Date","")&amp;IF(C685="","; Missing Ship Date","")&amp;IF(P685&lt;0,"; Invalid Discount (Negative)","")&amp;IF(P685&gt;0.5,"; Invalid Discount (Too High)","")&amp;IF(Z685&lt;0,"; Invalid Shipping Record (Ship Before Order)","")&amp;IF(ABS(Q685-W685)&gt;1,"; Sales Mismatch","")&amp;IF(ABS(S685-X685)&gt;1,"; Profit Mismatch","")&amp;IF(COUNTIF($A$2:$A$913,A685)&gt;1,"; Duplicate Order ID Conflict",""),3,500),AC685&amp;IF(B685="","; Missing Order Date","")&amp;IF(C685="","; Missing Ship Date","")&amp;IF(P685&lt;0,"; Invalid Discount (Negative)","")&amp;IF(P685&gt;0.5,"; Invalid Discount (Too High)","")&amp;IF(Z685&lt;0,"; Invalid Shipping Record (Ship Before Order)","")&amp;IF(ABS(Q685-W685)&gt;1,"; Sales Mismatch","")&amp;IF(ABS(S685-X685)&gt;1,"; Profit Mismatch","")&amp;IF(COUNTIF($A$2:$A$913,A685)&gt;1,"; Duplicate Order ID Conflict",""))</f>
        <v/>
      </c>
      <c r="AE685" s="10" t="str">
        <f aca="false">IF(OR(ISNUMBER(SEARCH("Invalid Discount",AD685)),ISNUMBER(SEARCH("Invalid Shipping Record",AD685)),ISNUMBER(SEARCH("Sales Mismatch",AD685)),ISNUMBER(SEARCH("Profit Mismatch",AD685)),ISNUMBER(SEARCH("Duplicate Order ID Conflict",AD685)),ISNUMBER(SEARCH("Missing Order Date",AD685)),ISNUMBER(SEARCH("Missing Ship Date",AD685))),"Invalid",IF(AD685&lt;&gt;"","Warning","Clean"))</f>
        <v>Clean</v>
      </c>
    </row>
    <row r="686" customFormat="false" ht="15" hidden="false" customHeight="true" outlineLevel="0" collapsed="false">
      <c r="A686" s="3" t="s">
        <v>2057</v>
      </c>
      <c r="B686" s="4" t="n">
        <v>45859</v>
      </c>
      <c r="C686" s="4" t="n">
        <v>45859</v>
      </c>
      <c r="D686" s="3" t="s">
        <v>2058</v>
      </c>
      <c r="E686" s="3" t="str">
        <f aca="false">PROPER(TRIM(SUBSTITUTE(Raw_Text_Fields!B687,CHAR(160)," ")))</f>
        <v>Isha Nair</v>
      </c>
      <c r="F686" s="3" t="str">
        <f aca="false">PROPER(TRIM(SUBSTITUTE(Raw_Text_Fields!C687,CHAR(160)," ")))</f>
        <v>Home Office</v>
      </c>
      <c r="G686" s="3" t="str">
        <f aca="false">PROPER(TRIM(SUBSTITUTE(Raw_Text_Fields!D687,CHAR(160)," ")))</f>
        <v>South</v>
      </c>
      <c r="H686" s="3" t="str">
        <f aca="false">PROPER(TRIM(SUBSTITUTE(Raw_Text_Fields!E687,CHAR(160)," ")))</f>
        <v>Tamil Nadu</v>
      </c>
      <c r="I686" s="3" t="str">
        <f aca="false">PROPER(TRIM(SUBSTITUTE(Raw_Text_Fields!F687,CHAR(160)," ")))</f>
        <v>Chennai</v>
      </c>
      <c r="J686" s="3" t="str">
        <f aca="false">PROPER(TRIM(SUBSTITUTE(Raw_Text_Fields!G687,CHAR(160)," ")))</f>
        <v>Furniture</v>
      </c>
      <c r="K686" s="3" t="str">
        <f aca="false">PROPER(TRIM(SUBSTITUTE(Raw_Text_Fields!H687,CHAR(160)," ")))</f>
        <v>Bookcases</v>
      </c>
      <c r="L686" s="3" t="s">
        <v>2059</v>
      </c>
      <c r="M686" s="3" t="str">
        <f aca="false">PROPER(TRIM(SUBSTITUTE(Raw_Text_Fields!I687,CHAR(160)," ")))</f>
        <v>First Class</v>
      </c>
      <c r="N686" s="3" t="n">
        <v>7</v>
      </c>
      <c r="O686" s="5" t="n">
        <v>4396.65</v>
      </c>
      <c r="P686" s="6" t="n">
        <v>0.2</v>
      </c>
      <c r="Q686" s="5" t="n">
        <v>24621.24</v>
      </c>
      <c r="R686" s="5" t="n">
        <v>17155.48</v>
      </c>
      <c r="S686" s="5" t="n">
        <v>7465.76</v>
      </c>
      <c r="T686" s="3" t="str">
        <f aca="false">PROPER(TRIM(SUBSTITUTE(Raw_Text_Fields!J687,CHAR(160)," ")))</f>
        <v>Refunded</v>
      </c>
      <c r="U686" s="3" t="str">
        <f aca="false">PROPER(TRIM(SUBSTITUTE(Raw_Text_Fields!K687,CHAR(160)," ")))</f>
        <v>Cancelled</v>
      </c>
      <c r="V686" s="7" t="n">
        <f aca="false">IF(OR(P686&lt;0,P686&gt;0.5),0,P686)</f>
        <v>0.2</v>
      </c>
      <c r="W686" s="8" t="n">
        <f aca="false">N686*O686*(1-V686)</f>
        <v>24621.24</v>
      </c>
      <c r="X686" s="8" t="n">
        <f aca="false">W686-R686</f>
        <v>7465.76</v>
      </c>
      <c r="Y686" s="7" t="n">
        <f aca="false">IFERROR(X686/W686,0)</f>
        <v>0.303224370502867</v>
      </c>
      <c r="Z686" s="9" t="n">
        <f aca="false">C686-B686</f>
        <v>0</v>
      </c>
      <c r="AA686" s="1" t="str">
        <f aca="false">IF(B686="","",TEXT(B686,"mmm"))</f>
        <v>Jul</v>
      </c>
      <c r="AB686" s="9" t="n">
        <f aca="false">IF(B686="","",YEAR(B686))</f>
        <v>2025</v>
      </c>
      <c r="AC686" s="3"/>
      <c r="AD686" s="3" t="str">
        <f aca="false">IF(LEFT(AC686&amp;IF(B686="","; Missing Order Date","")&amp;IF(C686="","; Missing Ship Date","")&amp;IF(P686&lt;0,"; Invalid Discount (Negative)","")&amp;IF(P686&gt;0.5,"; Invalid Discount (Too High)","")&amp;IF(Z686&lt;0,"; Invalid Shipping Record (Ship Before Order)","")&amp;IF(ABS(Q686-W686)&gt;1,"; Sales Mismatch","")&amp;IF(ABS(S686-X686)&gt;1,"; Profit Mismatch","")&amp;IF(COUNTIF($A$2:$A$913,A686)&gt;1,"; Duplicate Order ID Conflict",""),2)="; ",MID(AC686&amp;IF(B686="","; Missing Order Date","")&amp;IF(C686="","; Missing Ship Date","")&amp;IF(P686&lt;0,"; Invalid Discount (Negative)","")&amp;IF(P686&gt;0.5,"; Invalid Discount (Too High)","")&amp;IF(Z686&lt;0,"; Invalid Shipping Record (Ship Before Order)","")&amp;IF(ABS(Q686-W686)&gt;1,"; Sales Mismatch","")&amp;IF(ABS(S686-X686)&gt;1,"; Profit Mismatch","")&amp;IF(COUNTIF($A$2:$A$913,A686)&gt;1,"; Duplicate Order ID Conflict",""),3,500),AC686&amp;IF(B686="","; Missing Order Date","")&amp;IF(C686="","; Missing Ship Date","")&amp;IF(P686&lt;0,"; Invalid Discount (Negative)","")&amp;IF(P686&gt;0.5,"; Invalid Discount (Too High)","")&amp;IF(Z686&lt;0,"; Invalid Shipping Record (Ship Before Order)","")&amp;IF(ABS(Q686-W686)&gt;1,"; Sales Mismatch","")&amp;IF(ABS(S686-X686)&gt;1,"; Profit Mismatch","")&amp;IF(COUNTIF($A$2:$A$913,A686)&gt;1,"; Duplicate Order ID Conflict",""))</f>
        <v/>
      </c>
      <c r="AE686" s="10" t="str">
        <f aca="false">IF(OR(ISNUMBER(SEARCH("Invalid Discount",AD686)),ISNUMBER(SEARCH("Invalid Shipping Record",AD686)),ISNUMBER(SEARCH("Sales Mismatch",AD686)),ISNUMBER(SEARCH("Profit Mismatch",AD686)),ISNUMBER(SEARCH("Duplicate Order ID Conflict",AD686)),ISNUMBER(SEARCH("Missing Order Date",AD686)),ISNUMBER(SEARCH("Missing Ship Date",AD686))),"Invalid",IF(AD686&lt;&gt;"","Warning","Clean"))</f>
        <v>Clean</v>
      </c>
    </row>
    <row r="687" customFormat="false" ht="15" hidden="false" customHeight="true" outlineLevel="0" collapsed="false">
      <c r="A687" s="3" t="s">
        <v>2060</v>
      </c>
      <c r="B687" s="4" t="n">
        <v>45931</v>
      </c>
      <c r="C687" s="4" t="n">
        <v>45933</v>
      </c>
      <c r="D687" s="3" t="s">
        <v>1726</v>
      </c>
      <c r="E687" s="3" t="str">
        <f aca="false">PROPER(TRIM(SUBSTITUTE(Raw_Text_Fields!B688,CHAR(160)," ")))</f>
        <v>Neha Gupta</v>
      </c>
      <c r="F687" s="3" t="str">
        <f aca="false">PROPER(TRIM(SUBSTITUTE(Raw_Text_Fields!C688,CHAR(160)," ")))</f>
        <v>Corporate</v>
      </c>
      <c r="G687" s="3" t="str">
        <f aca="false">PROPER(TRIM(SUBSTITUTE(Raw_Text_Fields!D688,CHAR(160)," ")))</f>
        <v>West</v>
      </c>
      <c r="H687" s="3" t="str">
        <f aca="false">PROPER(TRIM(SUBSTITUTE(Raw_Text_Fields!E688,CHAR(160)," ")))</f>
        <v>Goa</v>
      </c>
      <c r="I687" s="3" t="str">
        <f aca="false">PROPER(TRIM(SUBSTITUTE(Raw_Text_Fields!F688,CHAR(160)," ")))</f>
        <v>Panaji</v>
      </c>
      <c r="J687" s="3" t="str">
        <f aca="false">PROPER(TRIM(SUBSTITUTE(Raw_Text_Fields!G688,CHAR(160)," ")))</f>
        <v>Office Supplies</v>
      </c>
      <c r="K687" s="3" t="str">
        <f aca="false">PROPER(TRIM(SUBSTITUTE(Raw_Text_Fields!H688,CHAR(160)," ")))</f>
        <v>Art</v>
      </c>
      <c r="L687" s="3" t="s">
        <v>2061</v>
      </c>
      <c r="M687" s="3" t="str">
        <f aca="false">PROPER(TRIM(SUBSTITUTE(Raw_Text_Fields!I688,CHAR(160)," ")))</f>
        <v>Standard Class</v>
      </c>
      <c r="N687" s="3" t="n">
        <v>9</v>
      </c>
      <c r="O687" s="5" t="n">
        <v>818.15</v>
      </c>
      <c r="P687" s="6" t="n">
        <v>0.55</v>
      </c>
      <c r="Q687" s="5" t="n">
        <v>6627.01</v>
      </c>
      <c r="R687" s="5" t="n">
        <v>5606.79</v>
      </c>
      <c r="S687" s="5" t="n">
        <v>1020.22</v>
      </c>
      <c r="T687" s="3" t="str">
        <f aca="false">PROPER(TRIM(SUBSTITUTE(Raw_Text_Fields!J688,CHAR(160)," ")))</f>
        <v>Failed</v>
      </c>
      <c r="U687" s="3" t="str">
        <f aca="false">PROPER(TRIM(SUBSTITUTE(Raw_Text_Fields!K688,CHAR(160)," ")))</f>
        <v>Cancelled</v>
      </c>
      <c r="V687" s="7" t="n">
        <f aca="false">IF(OR(P687&lt;0,P687&gt;0.5),0,P687)</f>
        <v>0</v>
      </c>
      <c r="W687" s="8" t="n">
        <f aca="false">N687*O687*(1-V687)</f>
        <v>7363.35</v>
      </c>
      <c r="X687" s="8" t="n">
        <f aca="false">W687-R687</f>
        <v>1756.56</v>
      </c>
      <c r="Y687" s="7" t="n">
        <f aca="false">IFERROR(X687/W687,0)</f>
        <v>0.238554462303164</v>
      </c>
      <c r="Z687" s="9" t="n">
        <f aca="false">C687-B687</f>
        <v>2</v>
      </c>
      <c r="AA687" s="1" t="str">
        <f aca="false">IF(B687="","",TEXT(B687,"mmm"))</f>
        <v>Oct</v>
      </c>
      <c r="AB687" s="9" t="n">
        <f aca="false">IF(B687="","",YEAR(B687))</f>
        <v>2025</v>
      </c>
      <c r="AC687" s="3"/>
      <c r="AD687" s="3" t="str">
        <f aca="false">IF(LEFT(AC687&amp;IF(B687="","; Missing Order Date","")&amp;IF(C687="","; Missing Ship Date","")&amp;IF(P687&lt;0,"; Invalid Discount (Negative)","")&amp;IF(P687&gt;0.5,"; Invalid Discount (Too High)","")&amp;IF(Z687&lt;0,"; Invalid Shipping Record (Ship Before Order)","")&amp;IF(ABS(Q687-W687)&gt;1,"; Sales Mismatch","")&amp;IF(ABS(S687-X687)&gt;1,"; Profit Mismatch","")&amp;IF(COUNTIF($A$2:$A$913,A687)&gt;1,"; Duplicate Order ID Conflict",""),2)="; ",MID(AC687&amp;IF(B687="","; Missing Order Date","")&amp;IF(C687="","; Missing Ship Date","")&amp;IF(P687&lt;0,"; Invalid Discount (Negative)","")&amp;IF(P687&gt;0.5,"; Invalid Discount (Too High)","")&amp;IF(Z687&lt;0,"; Invalid Shipping Record (Ship Before Order)","")&amp;IF(ABS(Q687-W687)&gt;1,"; Sales Mismatch","")&amp;IF(ABS(S687-X687)&gt;1,"; Profit Mismatch","")&amp;IF(COUNTIF($A$2:$A$913,A687)&gt;1,"; Duplicate Order ID Conflict",""),3,500),AC687&amp;IF(B687="","; Missing Order Date","")&amp;IF(C687="","; Missing Ship Date","")&amp;IF(P687&lt;0,"; Invalid Discount (Negative)","")&amp;IF(P687&gt;0.5,"; Invalid Discount (Too High)","")&amp;IF(Z687&lt;0,"; Invalid Shipping Record (Ship Before Order)","")&amp;IF(ABS(Q687-W687)&gt;1,"; Sales Mismatch","")&amp;IF(ABS(S687-X687)&gt;1,"; Profit Mismatch","")&amp;IF(COUNTIF($A$2:$A$913,A687)&gt;1,"; Duplicate Order ID Conflict",""))</f>
        <v>Invalid Discount (Too High); Sales Mismatch; Profit Mismatch</v>
      </c>
      <c r="AE687" s="10" t="str">
        <f aca="false">IF(OR(ISNUMBER(SEARCH("Invalid Discount",AD687)),ISNUMBER(SEARCH("Invalid Shipping Record",AD687)),ISNUMBER(SEARCH("Sales Mismatch",AD687)),ISNUMBER(SEARCH("Profit Mismatch",AD687)),ISNUMBER(SEARCH("Duplicate Order ID Conflict",AD687)),ISNUMBER(SEARCH("Missing Order Date",AD687)),ISNUMBER(SEARCH("Missing Ship Date",AD687))),"Invalid",IF(AD687&lt;&gt;"","Warning","Clean"))</f>
        <v>Invalid</v>
      </c>
    </row>
    <row r="688" customFormat="false" ht="15" hidden="false" customHeight="true" outlineLevel="0" collapsed="false">
      <c r="A688" s="3" t="s">
        <v>2062</v>
      </c>
      <c r="B688" s="4" t="n">
        <v>45376</v>
      </c>
      <c r="C688" s="4" t="n">
        <v>45384</v>
      </c>
      <c r="D688" s="3" t="s">
        <v>2063</v>
      </c>
      <c r="E688" s="3" t="str">
        <f aca="false">PROPER(TRIM(SUBSTITUTE(Raw_Text_Fields!B689,CHAR(160)," ")))</f>
        <v>Sneha Kapoor</v>
      </c>
      <c r="F688" s="3" t="str">
        <f aca="false">PROPER(TRIM(SUBSTITUTE(Raw_Text_Fields!C689,CHAR(160)," ")))</f>
        <v>Home Office</v>
      </c>
      <c r="G688" s="3" t="str">
        <f aca="false">PROPER(TRIM(SUBSTITUTE(Raw_Text_Fields!D689,CHAR(160)," ")))</f>
        <v>South</v>
      </c>
      <c r="H688" s="3" t="str">
        <f aca="false">PROPER(TRIM(SUBSTITUTE(Raw_Text_Fields!E689,CHAR(160)," ")))</f>
        <v>Tamil Nadu</v>
      </c>
      <c r="I688" s="3" t="str">
        <f aca="false">PROPER(TRIM(SUBSTITUTE(Raw_Text_Fields!F689,CHAR(160)," ")))</f>
        <v>Chennai</v>
      </c>
      <c r="J688" s="3" t="str">
        <f aca="false">PROPER(TRIM(SUBSTITUTE(Raw_Text_Fields!G689,CHAR(160)," ")))</f>
        <v>Technology</v>
      </c>
      <c r="K688" s="3" t="str">
        <f aca="false">PROPER(TRIM(SUBSTITUTE(Raw_Text_Fields!H689,CHAR(160)," ")))</f>
        <v>Copiers</v>
      </c>
      <c r="L688" s="3" t="s">
        <v>2064</v>
      </c>
      <c r="M688" s="3" t="str">
        <f aca="false">PROPER(TRIM(SUBSTITUTE(Raw_Text_Fields!I689,CHAR(160)," ")))</f>
        <v>Standard Class</v>
      </c>
      <c r="N688" s="3" t="n">
        <v>2</v>
      </c>
      <c r="O688" s="5" t="n">
        <v>2349.13</v>
      </c>
      <c r="P688" s="6" t="n">
        <v>0</v>
      </c>
      <c r="Q688" s="5" t="n">
        <v>4698.26</v>
      </c>
      <c r="R688" s="5" t="n">
        <v>2654.92</v>
      </c>
      <c r="S688" s="5" t="n">
        <v>2043.34</v>
      </c>
      <c r="T688" s="3" t="str">
        <f aca="false">PROPER(TRIM(SUBSTITUTE(Raw_Text_Fields!J689,CHAR(160)," ")))</f>
        <v>Paid</v>
      </c>
      <c r="U688" s="3" t="str">
        <f aca="false">PROPER(TRIM(SUBSTITUTE(Raw_Text_Fields!K689,CHAR(160)," ")))</f>
        <v>Completed</v>
      </c>
      <c r="V688" s="7" t="n">
        <f aca="false">IF(OR(P688&lt;0,P688&gt;0.5),0,P688)</f>
        <v>0</v>
      </c>
      <c r="W688" s="8" t="n">
        <f aca="false">N688*O688*(1-V688)</f>
        <v>4698.26</v>
      </c>
      <c r="X688" s="8" t="n">
        <f aca="false">W688-R688</f>
        <v>2043.34</v>
      </c>
      <c r="Y688" s="7" t="n">
        <f aca="false">IFERROR(X688/W688,0)</f>
        <v>0.434914202279142</v>
      </c>
      <c r="Z688" s="9" t="n">
        <f aca="false">C688-B688</f>
        <v>8</v>
      </c>
      <c r="AA688" s="1" t="str">
        <f aca="false">IF(B688="","",TEXT(B688,"mmm"))</f>
        <v>Mar</v>
      </c>
      <c r="AB688" s="9" t="n">
        <f aca="false">IF(B688="","",YEAR(B688))</f>
        <v>2024</v>
      </c>
      <c r="AC688" s="3"/>
      <c r="AD688" s="3" t="str">
        <f aca="false">IF(LEFT(AC688&amp;IF(B688="","; Missing Order Date","")&amp;IF(C688="","; Missing Ship Date","")&amp;IF(P688&lt;0,"; Invalid Discount (Negative)","")&amp;IF(P688&gt;0.5,"; Invalid Discount (Too High)","")&amp;IF(Z688&lt;0,"; Invalid Shipping Record (Ship Before Order)","")&amp;IF(ABS(Q688-W688)&gt;1,"; Sales Mismatch","")&amp;IF(ABS(S688-X688)&gt;1,"; Profit Mismatch","")&amp;IF(COUNTIF($A$2:$A$913,A688)&gt;1,"; Duplicate Order ID Conflict",""),2)="; ",MID(AC688&amp;IF(B688="","; Missing Order Date","")&amp;IF(C688="","; Missing Ship Date","")&amp;IF(P688&lt;0,"; Invalid Discount (Negative)","")&amp;IF(P688&gt;0.5,"; Invalid Discount (Too High)","")&amp;IF(Z688&lt;0,"; Invalid Shipping Record (Ship Before Order)","")&amp;IF(ABS(Q688-W688)&gt;1,"; Sales Mismatch","")&amp;IF(ABS(S688-X688)&gt;1,"; Profit Mismatch","")&amp;IF(COUNTIF($A$2:$A$913,A688)&gt;1,"; Duplicate Order ID Conflict",""),3,500),AC688&amp;IF(B688="","; Missing Order Date","")&amp;IF(C688="","; Missing Ship Date","")&amp;IF(P688&lt;0,"; Invalid Discount (Negative)","")&amp;IF(P688&gt;0.5,"; Invalid Discount (Too High)","")&amp;IF(Z688&lt;0,"; Invalid Shipping Record (Ship Before Order)","")&amp;IF(ABS(Q688-W688)&gt;1,"; Sales Mismatch","")&amp;IF(ABS(S688-X688)&gt;1,"; Profit Mismatch","")&amp;IF(COUNTIF($A$2:$A$913,A688)&gt;1,"; Duplicate Order ID Conflict",""))</f>
        <v/>
      </c>
      <c r="AE688" s="10" t="str">
        <f aca="false">IF(OR(ISNUMBER(SEARCH("Invalid Discount",AD688)),ISNUMBER(SEARCH("Invalid Shipping Record",AD688)),ISNUMBER(SEARCH("Sales Mismatch",AD688)),ISNUMBER(SEARCH("Profit Mismatch",AD688)),ISNUMBER(SEARCH("Duplicate Order ID Conflict",AD688)),ISNUMBER(SEARCH("Missing Order Date",AD688)),ISNUMBER(SEARCH("Missing Ship Date",AD688))),"Invalid",IF(AD688&lt;&gt;"","Warning","Clean"))</f>
        <v>Clean</v>
      </c>
    </row>
    <row r="689" customFormat="false" ht="15" hidden="false" customHeight="true" outlineLevel="0" collapsed="false">
      <c r="A689" s="3" t="s">
        <v>2065</v>
      </c>
      <c r="B689" s="4" t="n">
        <v>45938</v>
      </c>
      <c r="C689" s="4" t="n">
        <v>45943</v>
      </c>
      <c r="D689" s="3" t="s">
        <v>2066</v>
      </c>
      <c r="E689" s="3" t="str">
        <f aca="false">PROPER(TRIM(SUBSTITUTE(Raw_Text_Fields!B690,CHAR(160)," ")))</f>
        <v>Mira Das</v>
      </c>
      <c r="F689" s="3" t="str">
        <f aca="false">PROPER(TRIM(SUBSTITUTE(Raw_Text_Fields!C690,CHAR(160)," ")))</f>
        <v>Home Office</v>
      </c>
      <c r="G689" s="3" t="str">
        <f aca="false">PROPER(TRIM(SUBSTITUTE(Raw_Text_Fields!D690,CHAR(160)," ")))</f>
        <v>North</v>
      </c>
      <c r="H689" s="3" t="str">
        <f aca="false">PROPER(TRIM(SUBSTITUTE(Raw_Text_Fields!E690,CHAR(160)," ")))</f>
        <v>Punjab</v>
      </c>
      <c r="I689" s="3" t="str">
        <f aca="false">PROPER(TRIM(SUBSTITUTE(Raw_Text_Fields!F690,CHAR(160)," ")))</f>
        <v>Ludhiana</v>
      </c>
      <c r="J689" s="3" t="str">
        <f aca="false">PROPER(TRIM(SUBSTITUTE(Raw_Text_Fields!G690,CHAR(160)," ")))</f>
        <v>Furniture</v>
      </c>
      <c r="K689" s="3" t="str">
        <f aca="false">PROPER(TRIM(SUBSTITUTE(Raw_Text_Fields!H690,CHAR(160)," ")))</f>
        <v>Tables</v>
      </c>
      <c r="L689" s="3" t="s">
        <v>2067</v>
      </c>
      <c r="M689" s="3" t="str">
        <f aca="false">PROPER(TRIM(SUBSTITUTE(Raw_Text_Fields!I690,CHAR(160)," ")))</f>
        <v>First Class</v>
      </c>
      <c r="N689" s="3" t="n">
        <v>4</v>
      </c>
      <c r="O689" s="5" t="n">
        <v>172.05</v>
      </c>
      <c r="P689" s="6" t="n">
        <v>0</v>
      </c>
      <c r="Q689" s="5" t="n">
        <v>688.2</v>
      </c>
      <c r="R689" s="5" t="n">
        <v>497.68</v>
      </c>
      <c r="S689" s="5" t="n">
        <v>190.52</v>
      </c>
      <c r="T689" s="3" t="str">
        <f aca="false">PROPER(TRIM(SUBSTITUTE(Raw_Text_Fields!J690,CHAR(160)," ")))</f>
        <v>Failed</v>
      </c>
      <c r="U689" s="3" t="str">
        <f aca="false">PROPER(TRIM(SUBSTITUTE(Raw_Text_Fields!K690,CHAR(160)," ")))</f>
        <v>Cancelled</v>
      </c>
      <c r="V689" s="7" t="n">
        <f aca="false">IF(OR(P689&lt;0,P689&gt;0.5),0,P689)</f>
        <v>0</v>
      </c>
      <c r="W689" s="8" t="n">
        <f aca="false">N689*O689*(1-V689)</f>
        <v>688.2</v>
      </c>
      <c r="X689" s="8" t="n">
        <f aca="false">W689-R689</f>
        <v>190.52</v>
      </c>
      <c r="Y689" s="7" t="n">
        <f aca="false">IFERROR(X689/W689,0)</f>
        <v>0.276838128451032</v>
      </c>
      <c r="Z689" s="9" t="n">
        <f aca="false">C689-B689</f>
        <v>5</v>
      </c>
      <c r="AA689" s="1" t="str">
        <f aca="false">IF(B689="","",TEXT(B689,"mmm"))</f>
        <v>Oct</v>
      </c>
      <c r="AB689" s="9" t="n">
        <f aca="false">IF(B689="","",YEAR(B689))</f>
        <v>2025</v>
      </c>
      <c r="AC689" s="3"/>
      <c r="AD689" s="3" t="str">
        <f aca="false">IF(LEFT(AC689&amp;IF(B689="","; Missing Order Date","")&amp;IF(C689="","; Missing Ship Date","")&amp;IF(P689&lt;0,"; Invalid Discount (Negative)","")&amp;IF(P689&gt;0.5,"; Invalid Discount (Too High)","")&amp;IF(Z689&lt;0,"; Invalid Shipping Record (Ship Before Order)","")&amp;IF(ABS(Q689-W689)&gt;1,"; Sales Mismatch","")&amp;IF(ABS(S689-X689)&gt;1,"; Profit Mismatch","")&amp;IF(COUNTIF($A$2:$A$913,A689)&gt;1,"; Duplicate Order ID Conflict",""),2)="; ",MID(AC689&amp;IF(B689="","; Missing Order Date","")&amp;IF(C689="","; Missing Ship Date","")&amp;IF(P689&lt;0,"; Invalid Discount (Negative)","")&amp;IF(P689&gt;0.5,"; Invalid Discount (Too High)","")&amp;IF(Z689&lt;0,"; Invalid Shipping Record (Ship Before Order)","")&amp;IF(ABS(Q689-W689)&gt;1,"; Sales Mismatch","")&amp;IF(ABS(S689-X689)&gt;1,"; Profit Mismatch","")&amp;IF(COUNTIF($A$2:$A$913,A689)&gt;1,"; Duplicate Order ID Conflict",""),3,500),AC689&amp;IF(B689="","; Missing Order Date","")&amp;IF(C689="","; Missing Ship Date","")&amp;IF(P689&lt;0,"; Invalid Discount (Negative)","")&amp;IF(P689&gt;0.5,"; Invalid Discount (Too High)","")&amp;IF(Z689&lt;0,"; Invalid Shipping Record (Ship Before Order)","")&amp;IF(ABS(Q689-W689)&gt;1,"; Sales Mismatch","")&amp;IF(ABS(S689-X689)&gt;1,"; Profit Mismatch","")&amp;IF(COUNTIF($A$2:$A$913,A689)&gt;1,"; Duplicate Order ID Conflict",""))</f>
        <v/>
      </c>
      <c r="AE689" s="10" t="str">
        <f aca="false">IF(OR(ISNUMBER(SEARCH("Invalid Discount",AD689)),ISNUMBER(SEARCH("Invalid Shipping Record",AD689)),ISNUMBER(SEARCH("Sales Mismatch",AD689)),ISNUMBER(SEARCH("Profit Mismatch",AD689)),ISNUMBER(SEARCH("Duplicate Order ID Conflict",AD689)),ISNUMBER(SEARCH("Missing Order Date",AD689)),ISNUMBER(SEARCH("Missing Ship Date",AD689))),"Invalid",IF(AD689&lt;&gt;"","Warning","Clean"))</f>
        <v>Clean</v>
      </c>
    </row>
    <row r="690" customFormat="false" ht="15" hidden="false" customHeight="true" outlineLevel="0" collapsed="false">
      <c r="A690" s="3" t="s">
        <v>2068</v>
      </c>
      <c r="B690" s="4" t="n">
        <v>45714</v>
      </c>
      <c r="C690" s="4" t="n">
        <v>45715</v>
      </c>
      <c r="D690" s="3" t="s">
        <v>2069</v>
      </c>
      <c r="E690" s="3" t="str">
        <f aca="false">PROPER(TRIM(SUBSTITUTE(Raw_Text_Fields!B691,CHAR(160)," ")))</f>
        <v>Neha Gupta</v>
      </c>
      <c r="F690" s="3" t="str">
        <f aca="false">PROPER(TRIM(SUBSTITUTE(Raw_Text_Fields!C691,CHAR(160)," ")))</f>
        <v>Home Office</v>
      </c>
      <c r="G690" s="3" t="str">
        <f aca="false">PROPER(TRIM(SUBSTITUTE(Raw_Text_Fields!D691,CHAR(160)," ")))</f>
        <v>North</v>
      </c>
      <c r="H690" s="3" t="str">
        <f aca="false">PROPER(TRIM(SUBSTITUTE(Raw_Text_Fields!E691,CHAR(160)," ")))</f>
        <v>Haryana</v>
      </c>
      <c r="I690" s="3" t="str">
        <f aca="false">PROPER(TRIM(SUBSTITUTE(Raw_Text_Fields!F691,CHAR(160)," ")))</f>
        <v>Gurugram</v>
      </c>
      <c r="J690" s="3" t="str">
        <f aca="false">PROPER(TRIM(SUBSTITUTE(Raw_Text_Fields!G691,CHAR(160)," ")))</f>
        <v>Office Supplies</v>
      </c>
      <c r="K690" s="3" t="str">
        <f aca="false">PROPER(TRIM(SUBSTITUTE(Raw_Text_Fields!H691,CHAR(160)," ")))</f>
        <v>Art</v>
      </c>
      <c r="L690" s="3" t="s">
        <v>2070</v>
      </c>
      <c r="M690" s="3" t="str">
        <f aca="false">PROPER(TRIM(SUBSTITUTE(Raw_Text_Fields!I691,CHAR(160)," ")))</f>
        <v>Second Class</v>
      </c>
      <c r="N690" s="3" t="n">
        <v>6</v>
      </c>
      <c r="O690" s="5" t="n">
        <v>3037.66</v>
      </c>
      <c r="P690" s="6" t="n">
        <v>0.15</v>
      </c>
      <c r="Q690" s="5" t="n">
        <v>15492.07</v>
      </c>
      <c r="R690" s="5" t="n">
        <v>12581.23</v>
      </c>
      <c r="S690" s="5" t="n">
        <v>2910.84</v>
      </c>
      <c r="T690" s="3" t="str">
        <f aca="false">PROPER(TRIM(SUBSTITUTE(Raw_Text_Fields!J691,CHAR(160)," ")))</f>
        <v>Paid</v>
      </c>
      <c r="U690" s="3" t="str">
        <f aca="false">PROPER(TRIM(SUBSTITUTE(Raw_Text_Fields!K691,CHAR(160)," ")))</f>
        <v>Completed</v>
      </c>
      <c r="V690" s="7" t="n">
        <f aca="false">IF(OR(P690&lt;0,P690&gt;0.5),0,P690)</f>
        <v>0.15</v>
      </c>
      <c r="W690" s="8" t="n">
        <f aca="false">N690*O690*(1-V690)</f>
        <v>15492.066</v>
      </c>
      <c r="X690" s="8" t="n">
        <f aca="false">W690-R690</f>
        <v>2910.836</v>
      </c>
      <c r="Y690" s="7" t="n">
        <f aca="false">IFERROR(X690/W690,0)</f>
        <v>0.187892047451902</v>
      </c>
      <c r="Z690" s="9" t="n">
        <f aca="false">C690-B690</f>
        <v>1</v>
      </c>
      <c r="AA690" s="1" t="str">
        <f aca="false">IF(B690="","",TEXT(B690,"mmm"))</f>
        <v>Feb</v>
      </c>
      <c r="AB690" s="9" t="n">
        <f aca="false">IF(B690="","",YEAR(B690))</f>
        <v>2025</v>
      </c>
      <c r="AC690" s="3"/>
      <c r="AD690" s="3" t="str">
        <f aca="false">IF(LEFT(AC690&amp;IF(B690="","; Missing Order Date","")&amp;IF(C690="","; Missing Ship Date","")&amp;IF(P690&lt;0,"; Invalid Discount (Negative)","")&amp;IF(P690&gt;0.5,"; Invalid Discount (Too High)","")&amp;IF(Z690&lt;0,"; Invalid Shipping Record (Ship Before Order)","")&amp;IF(ABS(Q690-W690)&gt;1,"; Sales Mismatch","")&amp;IF(ABS(S690-X690)&gt;1,"; Profit Mismatch","")&amp;IF(COUNTIF($A$2:$A$913,A690)&gt;1,"; Duplicate Order ID Conflict",""),2)="; ",MID(AC690&amp;IF(B690="","; Missing Order Date","")&amp;IF(C690="","; Missing Ship Date","")&amp;IF(P690&lt;0,"; Invalid Discount (Negative)","")&amp;IF(P690&gt;0.5,"; Invalid Discount (Too High)","")&amp;IF(Z690&lt;0,"; Invalid Shipping Record (Ship Before Order)","")&amp;IF(ABS(Q690-W690)&gt;1,"; Sales Mismatch","")&amp;IF(ABS(S690-X690)&gt;1,"; Profit Mismatch","")&amp;IF(COUNTIF($A$2:$A$913,A690)&gt;1,"; Duplicate Order ID Conflict",""),3,500),AC690&amp;IF(B690="","; Missing Order Date","")&amp;IF(C690="","; Missing Ship Date","")&amp;IF(P690&lt;0,"; Invalid Discount (Negative)","")&amp;IF(P690&gt;0.5,"; Invalid Discount (Too High)","")&amp;IF(Z690&lt;0,"; Invalid Shipping Record (Ship Before Order)","")&amp;IF(ABS(Q690-W690)&gt;1,"; Sales Mismatch","")&amp;IF(ABS(S690-X690)&gt;1,"; Profit Mismatch","")&amp;IF(COUNTIF($A$2:$A$913,A690)&gt;1,"; Duplicate Order ID Conflict",""))</f>
        <v/>
      </c>
      <c r="AE690" s="10" t="str">
        <f aca="false">IF(OR(ISNUMBER(SEARCH("Invalid Discount",AD690)),ISNUMBER(SEARCH("Invalid Shipping Record",AD690)),ISNUMBER(SEARCH("Sales Mismatch",AD690)),ISNUMBER(SEARCH("Profit Mismatch",AD690)),ISNUMBER(SEARCH("Duplicate Order ID Conflict",AD690)),ISNUMBER(SEARCH("Missing Order Date",AD690)),ISNUMBER(SEARCH("Missing Ship Date",AD690))),"Invalid",IF(AD690&lt;&gt;"","Warning","Clean"))</f>
        <v>Clean</v>
      </c>
    </row>
    <row r="691" customFormat="false" ht="15" hidden="false" customHeight="true" outlineLevel="0" collapsed="false">
      <c r="A691" s="3" t="s">
        <v>2071</v>
      </c>
      <c r="B691" s="4" t="n">
        <v>45570</v>
      </c>
      <c r="C691" s="4" t="n">
        <v>45571</v>
      </c>
      <c r="D691" s="3" t="s">
        <v>2072</v>
      </c>
      <c r="E691" s="3" t="str">
        <f aca="false">PROPER(TRIM(SUBSTITUTE(Raw_Text_Fields!B692,CHAR(160)," ")))</f>
        <v>Rohan Mehta</v>
      </c>
      <c r="F691" s="3" t="str">
        <f aca="false">PROPER(TRIM(SUBSTITUTE(Raw_Text_Fields!C692,CHAR(160)," ")))</f>
        <v>Small Business</v>
      </c>
      <c r="G691" s="3" t="str">
        <f aca="false">PROPER(TRIM(SUBSTITUTE(Raw_Text_Fields!D692,CHAR(160)," ")))</f>
        <v>North</v>
      </c>
      <c r="H691" s="3" t="str">
        <f aca="false">PROPER(TRIM(SUBSTITUTE(Raw_Text_Fields!E692,CHAR(160)," ")))</f>
        <v>Punjab</v>
      </c>
      <c r="I691" s="3" t="str">
        <f aca="false">PROPER(TRIM(SUBSTITUTE(Raw_Text_Fields!F692,CHAR(160)," ")))</f>
        <v>Ludhiana</v>
      </c>
      <c r="J691" s="3" t="str">
        <f aca="false">PROPER(TRIM(SUBSTITUTE(Raw_Text_Fields!G692,CHAR(160)," ")))</f>
        <v>Furniture</v>
      </c>
      <c r="K691" s="3" t="str">
        <f aca="false">PROPER(TRIM(SUBSTITUTE(Raw_Text_Fields!H692,CHAR(160)," ")))</f>
        <v>Tables</v>
      </c>
      <c r="L691" s="3" t="s">
        <v>2073</v>
      </c>
      <c r="M691" s="3" t="str">
        <f aca="false">PROPER(TRIM(SUBSTITUTE(Raw_Text_Fields!I692,CHAR(160)," ")))</f>
        <v>Standard Class</v>
      </c>
      <c r="N691" s="3" t="n">
        <v>9</v>
      </c>
      <c r="O691" s="5" t="n">
        <v>489.58</v>
      </c>
      <c r="P691" s="6" t="n">
        <v>0.15</v>
      </c>
      <c r="Q691" s="5" t="n">
        <v>3745.29</v>
      </c>
      <c r="R691" s="5" t="n">
        <v>2302.65</v>
      </c>
      <c r="S691" s="5" t="n">
        <v>1442.64</v>
      </c>
      <c r="T691" s="3" t="str">
        <f aca="false">PROPER(TRIM(SUBSTITUTE(Raw_Text_Fields!J692,CHAR(160)," ")))</f>
        <v>Failed</v>
      </c>
      <c r="U691" s="3" t="str">
        <f aca="false">PROPER(TRIM(SUBSTITUTE(Raw_Text_Fields!K692,CHAR(160)," ")))</f>
        <v>Cancelled</v>
      </c>
      <c r="V691" s="7" t="n">
        <f aca="false">IF(OR(P691&lt;0,P691&gt;0.5),0,P691)</f>
        <v>0.15</v>
      </c>
      <c r="W691" s="8" t="n">
        <f aca="false">N691*O691*(1-V691)</f>
        <v>3745.287</v>
      </c>
      <c r="X691" s="8" t="n">
        <f aca="false">W691-R691</f>
        <v>1442.637</v>
      </c>
      <c r="Y691" s="7" t="n">
        <f aca="false">IFERROR(X691/W691,0)</f>
        <v>0.385187303402917</v>
      </c>
      <c r="Z691" s="9" t="n">
        <f aca="false">C691-B691</f>
        <v>1</v>
      </c>
      <c r="AA691" s="1" t="str">
        <f aca="false">IF(B691="","",TEXT(B691,"mmm"))</f>
        <v>Oct</v>
      </c>
      <c r="AB691" s="9" t="n">
        <f aca="false">IF(B691="","",YEAR(B691))</f>
        <v>2024</v>
      </c>
      <c r="AC691" s="3"/>
      <c r="AD691" s="3" t="str">
        <f aca="false">IF(LEFT(AC691&amp;IF(B691="","; Missing Order Date","")&amp;IF(C691="","; Missing Ship Date","")&amp;IF(P691&lt;0,"; Invalid Discount (Negative)","")&amp;IF(P691&gt;0.5,"; Invalid Discount (Too High)","")&amp;IF(Z691&lt;0,"; Invalid Shipping Record (Ship Before Order)","")&amp;IF(ABS(Q691-W691)&gt;1,"; Sales Mismatch","")&amp;IF(ABS(S691-X691)&gt;1,"; Profit Mismatch","")&amp;IF(COUNTIF($A$2:$A$913,A691)&gt;1,"; Duplicate Order ID Conflict",""),2)="; ",MID(AC691&amp;IF(B691="","; Missing Order Date","")&amp;IF(C691="","; Missing Ship Date","")&amp;IF(P691&lt;0,"; Invalid Discount (Negative)","")&amp;IF(P691&gt;0.5,"; Invalid Discount (Too High)","")&amp;IF(Z691&lt;0,"; Invalid Shipping Record (Ship Before Order)","")&amp;IF(ABS(Q691-W691)&gt;1,"; Sales Mismatch","")&amp;IF(ABS(S691-X691)&gt;1,"; Profit Mismatch","")&amp;IF(COUNTIF($A$2:$A$913,A691)&gt;1,"; Duplicate Order ID Conflict",""),3,500),AC691&amp;IF(B691="","; Missing Order Date","")&amp;IF(C691="","; Missing Ship Date","")&amp;IF(P691&lt;0,"; Invalid Discount (Negative)","")&amp;IF(P691&gt;0.5,"; Invalid Discount (Too High)","")&amp;IF(Z691&lt;0,"; Invalid Shipping Record (Ship Before Order)","")&amp;IF(ABS(Q691-W691)&gt;1,"; Sales Mismatch","")&amp;IF(ABS(S691-X691)&gt;1,"; Profit Mismatch","")&amp;IF(COUNTIF($A$2:$A$913,A691)&gt;1,"; Duplicate Order ID Conflict",""))</f>
        <v/>
      </c>
      <c r="AE691" s="10" t="str">
        <f aca="false">IF(OR(ISNUMBER(SEARCH("Invalid Discount",AD691)),ISNUMBER(SEARCH("Invalid Shipping Record",AD691)),ISNUMBER(SEARCH("Sales Mismatch",AD691)),ISNUMBER(SEARCH("Profit Mismatch",AD691)),ISNUMBER(SEARCH("Duplicate Order ID Conflict",AD691)),ISNUMBER(SEARCH("Missing Order Date",AD691)),ISNUMBER(SEARCH("Missing Ship Date",AD691))),"Invalid",IF(AD691&lt;&gt;"","Warning","Clean"))</f>
        <v>Clean</v>
      </c>
    </row>
    <row r="692" customFormat="false" ht="15" hidden="false" customHeight="true" outlineLevel="0" collapsed="false">
      <c r="A692" s="3" t="s">
        <v>2074</v>
      </c>
      <c r="B692" s="4" t="n">
        <v>45546</v>
      </c>
      <c r="C692" s="4" t="n">
        <v>45550</v>
      </c>
      <c r="D692" s="3" t="s">
        <v>2075</v>
      </c>
      <c r="E692" s="3" t="str">
        <f aca="false">PROPER(TRIM(SUBSTITUTE(Raw_Text_Fields!B693,CHAR(160)," ")))</f>
        <v>Sneha Kapoor</v>
      </c>
      <c r="F692" s="3" t="str">
        <f aca="false">PROPER(TRIM(SUBSTITUTE(Raw_Text_Fields!C693,CHAR(160)," ")))</f>
        <v>Corporate</v>
      </c>
      <c r="G692" s="3" t="str">
        <f aca="false">PROPER(TRIM(SUBSTITUTE(Raw_Text_Fields!D693,CHAR(160)," ")))</f>
        <v>South</v>
      </c>
      <c r="H692" s="3" t="str">
        <f aca="false">PROPER(TRIM(SUBSTITUTE(Raw_Text_Fields!E693,CHAR(160)," ")))</f>
        <v>Tamil Nadu</v>
      </c>
      <c r="I692" s="3" t="str">
        <f aca="false">PROPER(TRIM(SUBSTITUTE(Raw_Text_Fields!F693,CHAR(160)," ")))</f>
        <v>Chennai</v>
      </c>
      <c r="J692" s="3" t="str">
        <f aca="false">PROPER(TRIM(SUBSTITUTE(Raw_Text_Fields!G693,CHAR(160)," ")))</f>
        <v>Office Supplies</v>
      </c>
      <c r="K692" s="3" t="str">
        <f aca="false">PROPER(TRIM(SUBSTITUTE(Raw_Text_Fields!H693,CHAR(160)," ")))</f>
        <v>Art</v>
      </c>
      <c r="L692" s="3" t="s">
        <v>2076</v>
      </c>
      <c r="M692" s="3" t="str">
        <f aca="false">PROPER(TRIM(SUBSTITUTE(Raw_Text_Fields!I693,CHAR(160)," ")))</f>
        <v>Standard Class</v>
      </c>
      <c r="N692" s="3" t="n">
        <v>4</v>
      </c>
      <c r="O692" s="5" t="n">
        <v>865.63</v>
      </c>
      <c r="P692" s="6" t="n">
        <v>0</v>
      </c>
      <c r="Q692" s="5" t="n">
        <v>3462.52</v>
      </c>
      <c r="R692" s="5" t="n">
        <v>2797.29</v>
      </c>
      <c r="S692" s="5" t="n">
        <v>665.23</v>
      </c>
      <c r="T692" s="3" t="str">
        <f aca="false">PROPER(TRIM(SUBSTITUTE(Raw_Text_Fields!J693,CHAR(160)," ")))</f>
        <v>Failed</v>
      </c>
      <c r="U692" s="3" t="str">
        <f aca="false">PROPER(TRIM(SUBSTITUTE(Raw_Text_Fields!K693,CHAR(160)," ")))</f>
        <v>Returned</v>
      </c>
      <c r="V692" s="7" t="n">
        <f aca="false">IF(OR(P692&lt;0,P692&gt;0.5),0,P692)</f>
        <v>0</v>
      </c>
      <c r="W692" s="8" t="n">
        <f aca="false">N692*O692*(1-V692)</f>
        <v>3462.52</v>
      </c>
      <c r="X692" s="8" t="n">
        <f aca="false">W692-R692</f>
        <v>665.23</v>
      </c>
      <c r="Y692" s="7" t="n">
        <f aca="false">IFERROR(X692/W692,0)</f>
        <v>0.192123077989441</v>
      </c>
      <c r="Z692" s="9" t="n">
        <f aca="false">C692-B692</f>
        <v>4</v>
      </c>
      <c r="AA692" s="1" t="str">
        <f aca="false">IF(B692="","",TEXT(B692,"mmm"))</f>
        <v>Sep</v>
      </c>
      <c r="AB692" s="9" t="n">
        <f aca="false">IF(B692="","",YEAR(B692))</f>
        <v>2024</v>
      </c>
      <c r="AC692" s="3"/>
      <c r="AD692" s="3" t="str">
        <f aca="false">IF(LEFT(AC692&amp;IF(B692="","; Missing Order Date","")&amp;IF(C692="","; Missing Ship Date","")&amp;IF(P692&lt;0,"; Invalid Discount (Negative)","")&amp;IF(P692&gt;0.5,"; Invalid Discount (Too High)","")&amp;IF(Z692&lt;0,"; Invalid Shipping Record (Ship Before Order)","")&amp;IF(ABS(Q692-W692)&gt;1,"; Sales Mismatch","")&amp;IF(ABS(S692-X692)&gt;1,"; Profit Mismatch","")&amp;IF(COUNTIF($A$2:$A$913,A692)&gt;1,"; Duplicate Order ID Conflict",""),2)="; ",MID(AC692&amp;IF(B692="","; Missing Order Date","")&amp;IF(C692="","; Missing Ship Date","")&amp;IF(P692&lt;0,"; Invalid Discount (Negative)","")&amp;IF(P692&gt;0.5,"; Invalid Discount (Too High)","")&amp;IF(Z692&lt;0,"; Invalid Shipping Record (Ship Before Order)","")&amp;IF(ABS(Q692-W692)&gt;1,"; Sales Mismatch","")&amp;IF(ABS(S692-X692)&gt;1,"; Profit Mismatch","")&amp;IF(COUNTIF($A$2:$A$913,A692)&gt;1,"; Duplicate Order ID Conflict",""),3,500),AC692&amp;IF(B692="","; Missing Order Date","")&amp;IF(C692="","; Missing Ship Date","")&amp;IF(P692&lt;0,"; Invalid Discount (Negative)","")&amp;IF(P692&gt;0.5,"; Invalid Discount (Too High)","")&amp;IF(Z692&lt;0,"; Invalid Shipping Record (Ship Before Order)","")&amp;IF(ABS(Q692-W692)&gt;1,"; Sales Mismatch","")&amp;IF(ABS(S692-X692)&gt;1,"; Profit Mismatch","")&amp;IF(COUNTIF($A$2:$A$913,A692)&gt;1,"; Duplicate Order ID Conflict",""))</f>
        <v/>
      </c>
      <c r="AE692" s="10" t="str">
        <f aca="false">IF(OR(ISNUMBER(SEARCH("Invalid Discount",AD692)),ISNUMBER(SEARCH("Invalid Shipping Record",AD692)),ISNUMBER(SEARCH("Sales Mismatch",AD692)),ISNUMBER(SEARCH("Profit Mismatch",AD692)),ISNUMBER(SEARCH("Duplicate Order ID Conflict",AD692)),ISNUMBER(SEARCH("Missing Order Date",AD692)),ISNUMBER(SEARCH("Missing Ship Date",AD692))),"Invalid",IF(AD692&lt;&gt;"","Warning","Clean"))</f>
        <v>Clean</v>
      </c>
    </row>
    <row r="693" customFormat="false" ht="15" hidden="false" customHeight="true" outlineLevel="0" collapsed="false">
      <c r="A693" s="3" t="s">
        <v>2077</v>
      </c>
      <c r="B693" s="4" t="n">
        <v>45641</v>
      </c>
      <c r="C693" s="4" t="n">
        <v>45642</v>
      </c>
      <c r="D693" s="3" t="s">
        <v>2078</v>
      </c>
      <c r="E693" s="3" t="str">
        <f aca="false">PROPER(TRIM(SUBSTITUTE(Raw_Text_Fields!B694,CHAR(160)," ")))</f>
        <v>Rohan Mehta</v>
      </c>
      <c r="F693" s="3" t="str">
        <f aca="false">PROPER(TRIM(SUBSTITUTE(Raw_Text_Fields!C694,CHAR(160)," ")))</f>
        <v>Consumer</v>
      </c>
      <c r="G693" s="3" t="str">
        <f aca="false">PROPER(TRIM(SUBSTITUTE(Raw_Text_Fields!D694,CHAR(160)," ")))</f>
        <v>East</v>
      </c>
      <c r="H693" s="3" t="str">
        <f aca="false">PROPER(TRIM(SUBSTITUTE(Raw_Text_Fields!E694,CHAR(160)," ")))</f>
        <v>Odisha</v>
      </c>
      <c r="I693" s="3" t="str">
        <f aca="false">PROPER(TRIM(SUBSTITUTE(Raw_Text_Fields!F694,CHAR(160)," ")))</f>
        <v>Bhubaneswar</v>
      </c>
      <c r="J693" s="3" t="str">
        <f aca="false">PROPER(TRIM(SUBSTITUTE(Raw_Text_Fields!G694,CHAR(160)," ")))</f>
        <v>Technology</v>
      </c>
      <c r="K693" s="3" t="str">
        <f aca="false">PROPER(TRIM(SUBSTITUTE(Raw_Text_Fields!H694,CHAR(160)," ")))</f>
        <v>Copiers</v>
      </c>
      <c r="L693" s="3" t="s">
        <v>2079</v>
      </c>
      <c r="M693" s="3" t="str">
        <f aca="false">PROPER(TRIM(SUBSTITUTE(Raw_Text_Fields!I694,CHAR(160)," ")))</f>
        <v>Second Class</v>
      </c>
      <c r="N693" s="3" t="n">
        <v>6</v>
      </c>
      <c r="O693" s="5" t="n">
        <v>1538.1</v>
      </c>
      <c r="P693" s="6" t="n">
        <v>0.05</v>
      </c>
      <c r="Q693" s="5" t="n">
        <v>8767.17</v>
      </c>
      <c r="R693" s="5" t="n">
        <v>5098.2</v>
      </c>
      <c r="S693" s="5" t="n">
        <v>3668.97</v>
      </c>
      <c r="T693" s="3" t="str">
        <f aca="false">PROPER(TRIM(SUBSTITUTE(Raw_Text_Fields!J694,CHAR(160)," ")))</f>
        <v>Paid</v>
      </c>
      <c r="U693" s="3" t="str">
        <f aca="false">PROPER(TRIM(SUBSTITUTE(Raw_Text_Fields!K694,CHAR(160)," ")))</f>
        <v>Completed</v>
      </c>
      <c r="V693" s="7" t="n">
        <f aca="false">IF(OR(P693&lt;0,P693&gt;0.5),0,P693)</f>
        <v>0.05</v>
      </c>
      <c r="W693" s="8" t="n">
        <f aca="false">N693*O693*(1-V693)</f>
        <v>8767.17</v>
      </c>
      <c r="X693" s="8" t="n">
        <f aca="false">W693-R693</f>
        <v>3668.97</v>
      </c>
      <c r="Y693" s="7" t="n">
        <f aca="false">IFERROR(X693/W693,0)</f>
        <v>0.418489660859776</v>
      </c>
      <c r="Z693" s="9" t="n">
        <f aca="false">C693-B693</f>
        <v>1</v>
      </c>
      <c r="AA693" s="1" t="str">
        <f aca="false">IF(B693="","",TEXT(B693,"mmm"))</f>
        <v>Dec</v>
      </c>
      <c r="AB693" s="9" t="n">
        <f aca="false">IF(B693="","",YEAR(B693))</f>
        <v>2024</v>
      </c>
      <c r="AC693" s="3"/>
      <c r="AD693" s="3" t="str">
        <f aca="false">IF(LEFT(AC693&amp;IF(B693="","; Missing Order Date","")&amp;IF(C693="","; Missing Ship Date","")&amp;IF(P693&lt;0,"; Invalid Discount (Negative)","")&amp;IF(P693&gt;0.5,"; Invalid Discount (Too High)","")&amp;IF(Z693&lt;0,"; Invalid Shipping Record (Ship Before Order)","")&amp;IF(ABS(Q693-W693)&gt;1,"; Sales Mismatch","")&amp;IF(ABS(S693-X693)&gt;1,"; Profit Mismatch","")&amp;IF(COUNTIF($A$2:$A$913,A693)&gt;1,"; Duplicate Order ID Conflict",""),2)="; ",MID(AC693&amp;IF(B693="","; Missing Order Date","")&amp;IF(C693="","; Missing Ship Date","")&amp;IF(P693&lt;0,"; Invalid Discount (Negative)","")&amp;IF(P693&gt;0.5,"; Invalid Discount (Too High)","")&amp;IF(Z693&lt;0,"; Invalid Shipping Record (Ship Before Order)","")&amp;IF(ABS(Q693-W693)&gt;1,"; Sales Mismatch","")&amp;IF(ABS(S693-X693)&gt;1,"; Profit Mismatch","")&amp;IF(COUNTIF($A$2:$A$913,A693)&gt;1,"; Duplicate Order ID Conflict",""),3,500),AC693&amp;IF(B693="","; Missing Order Date","")&amp;IF(C693="","; Missing Ship Date","")&amp;IF(P693&lt;0,"; Invalid Discount (Negative)","")&amp;IF(P693&gt;0.5,"; Invalid Discount (Too High)","")&amp;IF(Z693&lt;0,"; Invalid Shipping Record (Ship Before Order)","")&amp;IF(ABS(Q693-W693)&gt;1,"; Sales Mismatch","")&amp;IF(ABS(S693-X693)&gt;1,"; Profit Mismatch","")&amp;IF(COUNTIF($A$2:$A$913,A693)&gt;1,"; Duplicate Order ID Conflict",""))</f>
        <v/>
      </c>
      <c r="AE693" s="10" t="str">
        <f aca="false">IF(OR(ISNUMBER(SEARCH("Invalid Discount",AD693)),ISNUMBER(SEARCH("Invalid Shipping Record",AD693)),ISNUMBER(SEARCH("Sales Mismatch",AD693)),ISNUMBER(SEARCH("Profit Mismatch",AD693)),ISNUMBER(SEARCH("Duplicate Order ID Conflict",AD693)),ISNUMBER(SEARCH("Missing Order Date",AD693)),ISNUMBER(SEARCH("Missing Ship Date",AD693))),"Invalid",IF(AD693&lt;&gt;"","Warning","Clean"))</f>
        <v>Clean</v>
      </c>
    </row>
    <row r="694" customFormat="false" ht="15" hidden="false" customHeight="true" outlineLevel="0" collapsed="false">
      <c r="A694" s="3" t="s">
        <v>2080</v>
      </c>
      <c r="B694" s="4" t="n">
        <v>45935</v>
      </c>
      <c r="C694" s="4" t="n">
        <v>45940</v>
      </c>
      <c r="D694" s="3" t="s">
        <v>2081</v>
      </c>
      <c r="E694" s="3" t="str">
        <f aca="false">PROPER(TRIM(SUBSTITUTE(Raw_Text_Fields!B695,CHAR(160)," ")))</f>
        <v>Isha Nair</v>
      </c>
      <c r="F694" s="3" t="str">
        <f aca="false">PROPER(TRIM(SUBSTITUTE(Raw_Text_Fields!C695,CHAR(160)," ")))</f>
        <v>Corporate</v>
      </c>
      <c r="G694" s="3" t="str">
        <f aca="false">PROPER(TRIM(SUBSTITUTE(Raw_Text_Fields!D695,CHAR(160)," ")))</f>
        <v>South</v>
      </c>
      <c r="H694" s="3" t="str">
        <f aca="false">PROPER(TRIM(SUBSTITUTE(Raw_Text_Fields!E695,CHAR(160)," ")))</f>
        <v>Karnataka</v>
      </c>
      <c r="I694" s="3" t="str">
        <f aca="false">PROPER(TRIM(SUBSTITUTE(Raw_Text_Fields!F695,CHAR(160)," ")))</f>
        <v>Bengaluru</v>
      </c>
      <c r="J694" s="3" t="str">
        <f aca="false">PROPER(TRIM(SUBSTITUTE(Raw_Text_Fields!G695,CHAR(160)," ")))</f>
        <v>Furniture</v>
      </c>
      <c r="K694" s="3" t="str">
        <f aca="false">PROPER(TRIM(SUBSTITUTE(Raw_Text_Fields!H695,CHAR(160)," ")))</f>
        <v>Furnishings</v>
      </c>
      <c r="L694" s="3" t="s">
        <v>2082</v>
      </c>
      <c r="M694" s="3" t="str">
        <f aca="false">PROPER(TRIM(SUBSTITUTE(Raw_Text_Fields!I695,CHAR(160)," ")))</f>
        <v>Second Class</v>
      </c>
      <c r="N694" s="3" t="n">
        <v>4</v>
      </c>
      <c r="O694" s="5" t="n">
        <v>2365.68</v>
      </c>
      <c r="P694" s="6" t="n">
        <v>0.1</v>
      </c>
      <c r="Q694" s="5" t="n">
        <v>8516.45</v>
      </c>
      <c r="R694" s="5" t="n">
        <v>5903.81</v>
      </c>
      <c r="S694" s="5" t="n">
        <v>2612.64</v>
      </c>
      <c r="T694" s="3" t="str">
        <f aca="false">PROPER(TRIM(SUBSTITUTE(Raw_Text_Fields!J695,CHAR(160)," ")))</f>
        <v>Paid</v>
      </c>
      <c r="U694" s="3" t="str">
        <f aca="false">PROPER(TRIM(SUBSTITUTE(Raw_Text_Fields!K695,CHAR(160)," ")))</f>
        <v>Completed</v>
      </c>
      <c r="V694" s="7" t="n">
        <f aca="false">IF(OR(P694&lt;0,P694&gt;0.5),0,P694)</f>
        <v>0.1</v>
      </c>
      <c r="W694" s="8" t="n">
        <f aca="false">N694*O694*(1-V694)</f>
        <v>8516.448</v>
      </c>
      <c r="X694" s="8" t="n">
        <f aca="false">W694-R694</f>
        <v>2612.638</v>
      </c>
      <c r="Y694" s="7" t="n">
        <f aca="false">IFERROR(X694/W694,0)</f>
        <v>0.306775547740091</v>
      </c>
      <c r="Z694" s="9" t="n">
        <f aca="false">C694-B694</f>
        <v>5</v>
      </c>
      <c r="AA694" s="1" t="str">
        <f aca="false">IF(B694="","",TEXT(B694,"mmm"))</f>
        <v>Oct</v>
      </c>
      <c r="AB694" s="9" t="n">
        <f aca="false">IF(B694="","",YEAR(B694))</f>
        <v>2025</v>
      </c>
      <c r="AC694" s="3"/>
      <c r="AD694" s="3" t="str">
        <f aca="false">IF(LEFT(AC694&amp;IF(B694="","; Missing Order Date","")&amp;IF(C694="","; Missing Ship Date","")&amp;IF(P694&lt;0,"; Invalid Discount (Negative)","")&amp;IF(P694&gt;0.5,"; Invalid Discount (Too High)","")&amp;IF(Z694&lt;0,"; Invalid Shipping Record (Ship Before Order)","")&amp;IF(ABS(Q694-W694)&gt;1,"; Sales Mismatch","")&amp;IF(ABS(S694-X694)&gt;1,"; Profit Mismatch","")&amp;IF(COUNTIF($A$2:$A$913,A694)&gt;1,"; Duplicate Order ID Conflict",""),2)="; ",MID(AC694&amp;IF(B694="","; Missing Order Date","")&amp;IF(C694="","; Missing Ship Date","")&amp;IF(P694&lt;0,"; Invalid Discount (Negative)","")&amp;IF(P694&gt;0.5,"; Invalid Discount (Too High)","")&amp;IF(Z694&lt;0,"; Invalid Shipping Record (Ship Before Order)","")&amp;IF(ABS(Q694-W694)&gt;1,"; Sales Mismatch","")&amp;IF(ABS(S694-X694)&gt;1,"; Profit Mismatch","")&amp;IF(COUNTIF($A$2:$A$913,A694)&gt;1,"; Duplicate Order ID Conflict",""),3,500),AC694&amp;IF(B694="","; Missing Order Date","")&amp;IF(C694="","; Missing Ship Date","")&amp;IF(P694&lt;0,"; Invalid Discount (Negative)","")&amp;IF(P694&gt;0.5,"; Invalid Discount (Too High)","")&amp;IF(Z694&lt;0,"; Invalid Shipping Record (Ship Before Order)","")&amp;IF(ABS(Q694-W694)&gt;1,"; Sales Mismatch","")&amp;IF(ABS(S694-X694)&gt;1,"; Profit Mismatch","")&amp;IF(COUNTIF($A$2:$A$913,A694)&gt;1,"; Duplicate Order ID Conflict",""))</f>
        <v/>
      </c>
      <c r="AE694" s="10" t="str">
        <f aca="false">IF(OR(ISNUMBER(SEARCH("Invalid Discount",AD694)),ISNUMBER(SEARCH("Invalid Shipping Record",AD694)),ISNUMBER(SEARCH("Sales Mismatch",AD694)),ISNUMBER(SEARCH("Profit Mismatch",AD694)),ISNUMBER(SEARCH("Duplicate Order ID Conflict",AD694)),ISNUMBER(SEARCH("Missing Order Date",AD694)),ISNUMBER(SEARCH("Missing Ship Date",AD694))),"Invalid",IF(AD694&lt;&gt;"","Warning","Clean"))</f>
        <v>Clean</v>
      </c>
    </row>
    <row r="695" customFormat="false" ht="15" hidden="false" customHeight="true" outlineLevel="0" collapsed="false">
      <c r="A695" s="3" t="s">
        <v>2083</v>
      </c>
      <c r="B695" s="4" t="n">
        <v>45750</v>
      </c>
      <c r="C695" s="4" t="n">
        <v>45758</v>
      </c>
      <c r="D695" s="3" t="s">
        <v>2084</v>
      </c>
      <c r="E695" s="3" t="str">
        <f aca="false">PROPER(TRIM(SUBSTITUTE(Raw_Text_Fields!B696,CHAR(160)," ")))</f>
        <v>Arjun Bose</v>
      </c>
      <c r="F695" s="3" t="str">
        <f aca="false">PROPER(TRIM(SUBSTITUTE(Raw_Text_Fields!C696,CHAR(160)," ")))</f>
        <v>Consumer</v>
      </c>
      <c r="G695" s="3" t="str">
        <f aca="false">PROPER(TRIM(SUBSTITUTE(Raw_Text_Fields!D696,CHAR(160)," ")))</f>
        <v>South</v>
      </c>
      <c r="H695" s="3" t="str">
        <f aca="false">PROPER(TRIM(SUBSTITUTE(Raw_Text_Fields!E696,CHAR(160)," ")))</f>
        <v>Tamil Nadu</v>
      </c>
      <c r="I695" s="3" t="str">
        <f aca="false">PROPER(TRIM(SUBSTITUTE(Raw_Text_Fields!F696,CHAR(160)," ")))</f>
        <v>Chennai</v>
      </c>
      <c r="J695" s="3" t="str">
        <f aca="false">PROPER(TRIM(SUBSTITUTE(Raw_Text_Fields!G696,CHAR(160)," ")))</f>
        <v>Furniture</v>
      </c>
      <c r="K695" s="3" t="str">
        <f aca="false">PROPER(TRIM(SUBSTITUTE(Raw_Text_Fields!H696,CHAR(160)," ")))</f>
        <v>Bookcases</v>
      </c>
      <c r="L695" s="3" t="s">
        <v>2085</v>
      </c>
      <c r="M695" s="3" t="str">
        <f aca="false">PROPER(TRIM(SUBSTITUTE(Raw_Text_Fields!I696,CHAR(160)," ")))</f>
        <v>Second Class</v>
      </c>
      <c r="N695" s="3" t="n">
        <v>3</v>
      </c>
      <c r="O695" s="5" t="n">
        <v>4149.77</v>
      </c>
      <c r="P695" s="6" t="n">
        <v>0.05</v>
      </c>
      <c r="Q695" s="5" t="n">
        <v>11826.84</v>
      </c>
      <c r="R695" s="5" t="n">
        <v>8035.96</v>
      </c>
      <c r="S695" s="5" t="n">
        <v>3790.88</v>
      </c>
      <c r="T695" s="3" t="str">
        <f aca="false">PROPER(TRIM(SUBSTITUTE(Raw_Text_Fields!J696,CHAR(160)," ")))</f>
        <v>Paid</v>
      </c>
      <c r="U695" s="3" t="str">
        <f aca="false">PROPER(TRIM(SUBSTITUTE(Raw_Text_Fields!K696,CHAR(160)," ")))</f>
        <v>Completed</v>
      </c>
      <c r="V695" s="7" t="n">
        <f aca="false">IF(OR(P695&lt;0,P695&gt;0.5),0,P695)</f>
        <v>0.05</v>
      </c>
      <c r="W695" s="8" t="n">
        <f aca="false">N695*O695*(1-V695)</f>
        <v>11826.8445</v>
      </c>
      <c r="X695" s="8" t="n">
        <f aca="false">W695-R695</f>
        <v>3790.8845</v>
      </c>
      <c r="Y695" s="7" t="n">
        <f aca="false">IFERROR(X695/W695,0)</f>
        <v>0.320532201129388</v>
      </c>
      <c r="Z695" s="9" t="n">
        <f aca="false">C695-B695</f>
        <v>8</v>
      </c>
      <c r="AA695" s="1" t="str">
        <f aca="false">IF(B695="","",TEXT(B695,"mmm"))</f>
        <v>Apr</v>
      </c>
      <c r="AB695" s="9" t="n">
        <f aca="false">IF(B695="","",YEAR(B695))</f>
        <v>2025</v>
      </c>
      <c r="AC695" s="3"/>
      <c r="AD695" s="3" t="str">
        <f aca="false">IF(LEFT(AC695&amp;IF(B695="","; Missing Order Date","")&amp;IF(C695="","; Missing Ship Date","")&amp;IF(P695&lt;0,"; Invalid Discount (Negative)","")&amp;IF(P695&gt;0.5,"; Invalid Discount (Too High)","")&amp;IF(Z695&lt;0,"; Invalid Shipping Record (Ship Before Order)","")&amp;IF(ABS(Q695-W695)&gt;1,"; Sales Mismatch","")&amp;IF(ABS(S695-X695)&gt;1,"; Profit Mismatch","")&amp;IF(COUNTIF($A$2:$A$913,A695)&gt;1,"; Duplicate Order ID Conflict",""),2)="; ",MID(AC695&amp;IF(B695="","; Missing Order Date","")&amp;IF(C695="","; Missing Ship Date","")&amp;IF(P695&lt;0,"; Invalid Discount (Negative)","")&amp;IF(P695&gt;0.5,"; Invalid Discount (Too High)","")&amp;IF(Z695&lt;0,"; Invalid Shipping Record (Ship Before Order)","")&amp;IF(ABS(Q695-W695)&gt;1,"; Sales Mismatch","")&amp;IF(ABS(S695-X695)&gt;1,"; Profit Mismatch","")&amp;IF(COUNTIF($A$2:$A$913,A695)&gt;1,"; Duplicate Order ID Conflict",""),3,500),AC695&amp;IF(B695="","; Missing Order Date","")&amp;IF(C695="","; Missing Ship Date","")&amp;IF(P695&lt;0,"; Invalid Discount (Negative)","")&amp;IF(P695&gt;0.5,"; Invalid Discount (Too High)","")&amp;IF(Z695&lt;0,"; Invalid Shipping Record (Ship Before Order)","")&amp;IF(ABS(Q695-W695)&gt;1,"; Sales Mismatch","")&amp;IF(ABS(S695-X695)&gt;1,"; Profit Mismatch","")&amp;IF(COUNTIF($A$2:$A$913,A695)&gt;1,"; Duplicate Order ID Conflict",""))</f>
        <v/>
      </c>
      <c r="AE695" s="10" t="str">
        <f aca="false">IF(OR(ISNUMBER(SEARCH("Invalid Discount",AD695)),ISNUMBER(SEARCH("Invalid Shipping Record",AD695)),ISNUMBER(SEARCH("Sales Mismatch",AD695)),ISNUMBER(SEARCH("Profit Mismatch",AD695)),ISNUMBER(SEARCH("Duplicate Order ID Conflict",AD695)),ISNUMBER(SEARCH("Missing Order Date",AD695)),ISNUMBER(SEARCH("Missing Ship Date",AD695))),"Invalid",IF(AD695&lt;&gt;"","Warning","Clean"))</f>
        <v>Clean</v>
      </c>
    </row>
    <row r="696" customFormat="false" ht="15" hidden="false" customHeight="true" outlineLevel="0" collapsed="false">
      <c r="A696" s="3" t="s">
        <v>2086</v>
      </c>
      <c r="B696" s="4" t="n">
        <v>45870</v>
      </c>
      <c r="C696" s="4" t="n">
        <v>45878</v>
      </c>
      <c r="D696" s="3" t="s">
        <v>1059</v>
      </c>
      <c r="E696" s="3" t="str">
        <f aca="false">PROPER(TRIM(SUBSTITUTE(Raw_Text_Fields!B697,CHAR(160)," ")))</f>
        <v>Isha Nair</v>
      </c>
      <c r="F696" s="3" t="str">
        <f aca="false">PROPER(TRIM(SUBSTITUTE(Raw_Text_Fields!C697,CHAR(160)," ")))</f>
        <v>Consumer</v>
      </c>
      <c r="G696" s="3" t="str">
        <f aca="false">PROPER(TRIM(SUBSTITUTE(Raw_Text_Fields!D697,CHAR(160)," ")))</f>
        <v>South</v>
      </c>
      <c r="H696" s="3" t="str">
        <f aca="false">PROPER(TRIM(SUBSTITUTE(Raw_Text_Fields!E697,CHAR(160)," ")))</f>
        <v>Andhra Pradesh</v>
      </c>
      <c r="I696" s="3" t="str">
        <f aca="false">PROPER(TRIM(SUBSTITUTE(Raw_Text_Fields!F697,CHAR(160)," ")))</f>
        <v>Vijayawada</v>
      </c>
      <c r="J696" s="3" t="str">
        <f aca="false">PROPER(TRIM(SUBSTITUTE(Raw_Text_Fields!G697,CHAR(160)," ")))</f>
        <v>Office Supplies</v>
      </c>
      <c r="K696" s="3" t="str">
        <f aca="false">PROPER(TRIM(SUBSTITUTE(Raw_Text_Fields!H697,CHAR(160)," ")))</f>
        <v>Storage</v>
      </c>
      <c r="L696" s="3" t="s">
        <v>2087</v>
      </c>
      <c r="M696" s="3" t="str">
        <f aca="false">PROPER(TRIM(SUBSTITUTE(Raw_Text_Fields!I697,CHAR(160)," ")))</f>
        <v>First Class</v>
      </c>
      <c r="N696" s="3" t="n">
        <v>5</v>
      </c>
      <c r="O696" s="5" t="n">
        <v>2736.24</v>
      </c>
      <c r="P696" s="6" t="n">
        <v>0.15</v>
      </c>
      <c r="Q696" s="5" t="n">
        <v>11629.02</v>
      </c>
      <c r="R696" s="5" t="n">
        <v>9627.21</v>
      </c>
      <c r="S696" s="5" t="n">
        <v>2001.81</v>
      </c>
      <c r="T696" s="3" t="str">
        <f aca="false">PROPER(TRIM(SUBSTITUTE(Raw_Text_Fields!J697,CHAR(160)," ")))</f>
        <v>Paid</v>
      </c>
      <c r="U696" s="3" t="str">
        <f aca="false">PROPER(TRIM(SUBSTITUTE(Raw_Text_Fields!K697,CHAR(160)," ")))</f>
        <v>Completed</v>
      </c>
      <c r="V696" s="7" t="n">
        <f aca="false">IF(OR(P696&lt;0,P696&gt;0.5),0,P696)</f>
        <v>0.15</v>
      </c>
      <c r="W696" s="8" t="n">
        <f aca="false">N696*O696*(1-V696)</f>
        <v>11629.02</v>
      </c>
      <c r="X696" s="8" t="n">
        <f aca="false">W696-R696</f>
        <v>2001.81</v>
      </c>
      <c r="Y696" s="7" t="n">
        <f aca="false">IFERROR(X696/W696,0)</f>
        <v>0.172139182837419</v>
      </c>
      <c r="Z696" s="9" t="n">
        <f aca="false">C696-B696</f>
        <v>8</v>
      </c>
      <c r="AA696" s="1" t="str">
        <f aca="false">IF(B696="","",TEXT(B696,"mmm"))</f>
        <v>Aug</v>
      </c>
      <c r="AB696" s="9" t="n">
        <f aca="false">IF(B696="","",YEAR(B696))</f>
        <v>2025</v>
      </c>
      <c r="AC696" s="3"/>
      <c r="AD696" s="3" t="str">
        <f aca="false">IF(LEFT(AC696&amp;IF(B696="","; Missing Order Date","")&amp;IF(C696="","; Missing Ship Date","")&amp;IF(P696&lt;0,"; Invalid Discount (Negative)","")&amp;IF(P696&gt;0.5,"; Invalid Discount (Too High)","")&amp;IF(Z696&lt;0,"; Invalid Shipping Record (Ship Before Order)","")&amp;IF(ABS(Q696-W696)&gt;1,"; Sales Mismatch","")&amp;IF(ABS(S696-X696)&gt;1,"; Profit Mismatch","")&amp;IF(COUNTIF($A$2:$A$913,A696)&gt;1,"; Duplicate Order ID Conflict",""),2)="; ",MID(AC696&amp;IF(B696="","; Missing Order Date","")&amp;IF(C696="","; Missing Ship Date","")&amp;IF(P696&lt;0,"; Invalid Discount (Negative)","")&amp;IF(P696&gt;0.5,"; Invalid Discount (Too High)","")&amp;IF(Z696&lt;0,"; Invalid Shipping Record (Ship Before Order)","")&amp;IF(ABS(Q696-W696)&gt;1,"; Sales Mismatch","")&amp;IF(ABS(S696-X696)&gt;1,"; Profit Mismatch","")&amp;IF(COUNTIF($A$2:$A$913,A696)&gt;1,"; Duplicate Order ID Conflict",""),3,500),AC696&amp;IF(B696="","; Missing Order Date","")&amp;IF(C696="","; Missing Ship Date","")&amp;IF(P696&lt;0,"; Invalid Discount (Negative)","")&amp;IF(P696&gt;0.5,"; Invalid Discount (Too High)","")&amp;IF(Z696&lt;0,"; Invalid Shipping Record (Ship Before Order)","")&amp;IF(ABS(Q696-W696)&gt;1,"; Sales Mismatch","")&amp;IF(ABS(S696-X696)&gt;1,"; Profit Mismatch","")&amp;IF(COUNTIF($A$2:$A$913,A696)&gt;1,"; Duplicate Order ID Conflict",""))</f>
        <v/>
      </c>
      <c r="AE696" s="10" t="str">
        <f aca="false">IF(OR(ISNUMBER(SEARCH("Invalid Discount",AD696)),ISNUMBER(SEARCH("Invalid Shipping Record",AD696)),ISNUMBER(SEARCH("Sales Mismatch",AD696)),ISNUMBER(SEARCH("Profit Mismatch",AD696)),ISNUMBER(SEARCH("Duplicate Order ID Conflict",AD696)),ISNUMBER(SEARCH("Missing Order Date",AD696)),ISNUMBER(SEARCH("Missing Ship Date",AD696))),"Invalid",IF(AD696&lt;&gt;"","Warning","Clean"))</f>
        <v>Clean</v>
      </c>
    </row>
    <row r="697" customFormat="false" ht="15" hidden="false" customHeight="true" outlineLevel="0" collapsed="false">
      <c r="A697" s="3" t="s">
        <v>2088</v>
      </c>
      <c r="B697" s="4" t="n">
        <v>45474</v>
      </c>
      <c r="C697" s="4" t="n">
        <v>45474</v>
      </c>
      <c r="D697" s="3" t="s">
        <v>2089</v>
      </c>
      <c r="E697" s="3" t="str">
        <f aca="false">PROPER(TRIM(SUBSTITUTE(Raw_Text_Fields!B698,CHAR(160)," ")))</f>
        <v>Aarav Sharma</v>
      </c>
      <c r="F697" s="3" t="str">
        <f aca="false">PROPER(TRIM(SUBSTITUTE(Raw_Text_Fields!C698,CHAR(160)," ")))</f>
        <v>Consumer</v>
      </c>
      <c r="G697" s="3" t="str">
        <f aca="false">PROPER(TRIM(SUBSTITUTE(Raw_Text_Fields!D698,CHAR(160)," ")))</f>
        <v>West</v>
      </c>
      <c r="H697" s="3" t="str">
        <f aca="false">PROPER(TRIM(SUBSTITUTE(Raw_Text_Fields!E698,CHAR(160)," ")))</f>
        <v>Madhya Pradesh</v>
      </c>
      <c r="I697" s="3" t="str">
        <f aca="false">PROPER(TRIM(SUBSTITUTE(Raw_Text_Fields!F698,CHAR(160)," ")))</f>
        <v>Indore</v>
      </c>
      <c r="J697" s="3" t="str">
        <f aca="false">PROPER(TRIM(SUBSTITUTE(Raw_Text_Fields!G698,CHAR(160)," ")))</f>
        <v>Technology</v>
      </c>
      <c r="K697" s="3" t="str">
        <f aca="false">PROPER(TRIM(SUBSTITUTE(Raw_Text_Fields!H698,CHAR(160)," ")))</f>
        <v>Machines</v>
      </c>
      <c r="L697" s="3" t="s">
        <v>2090</v>
      </c>
      <c r="M697" s="3" t="str">
        <f aca="false">PROPER(TRIM(SUBSTITUTE(Raw_Text_Fields!I698,CHAR(160)," ")))</f>
        <v>Standard Class</v>
      </c>
      <c r="N697" s="3" t="n">
        <v>4</v>
      </c>
      <c r="O697" s="5" t="n">
        <v>257.39</v>
      </c>
      <c r="P697" s="6" t="n">
        <v>0</v>
      </c>
      <c r="Q697" s="5" t="n">
        <v>1029.56</v>
      </c>
      <c r="R697" s="5" t="n">
        <v>626.33</v>
      </c>
      <c r="S697" s="5" t="n">
        <v>403.23</v>
      </c>
      <c r="T697" s="3" t="str">
        <f aca="false">PROPER(TRIM(SUBSTITUTE(Raw_Text_Fields!J698,CHAR(160)," ")))</f>
        <v>Paid</v>
      </c>
      <c r="U697" s="3" t="str">
        <f aca="false">PROPER(TRIM(SUBSTITUTE(Raw_Text_Fields!K698,CHAR(160)," ")))</f>
        <v>Completed</v>
      </c>
      <c r="V697" s="7" t="n">
        <f aca="false">IF(OR(P697&lt;0,P697&gt;0.5),0,P697)</f>
        <v>0</v>
      </c>
      <c r="W697" s="8" t="n">
        <f aca="false">N697*O697*(1-V697)</f>
        <v>1029.56</v>
      </c>
      <c r="X697" s="8" t="n">
        <f aca="false">W697-R697</f>
        <v>403.23</v>
      </c>
      <c r="Y697" s="7" t="n">
        <f aca="false">IFERROR(X697/W697,0)</f>
        <v>0.391652744861883</v>
      </c>
      <c r="Z697" s="9" t="n">
        <f aca="false">C697-B697</f>
        <v>0</v>
      </c>
      <c r="AA697" s="1" t="str">
        <f aca="false">IF(B697="","",TEXT(B697,"mmm"))</f>
        <v>Jul</v>
      </c>
      <c r="AB697" s="9" t="n">
        <f aca="false">IF(B697="","",YEAR(B697))</f>
        <v>2024</v>
      </c>
      <c r="AC697" s="3"/>
      <c r="AD697" s="3" t="str">
        <f aca="false">IF(LEFT(AC697&amp;IF(B697="","; Missing Order Date","")&amp;IF(C697="","; Missing Ship Date","")&amp;IF(P697&lt;0,"; Invalid Discount (Negative)","")&amp;IF(P697&gt;0.5,"; Invalid Discount (Too High)","")&amp;IF(Z697&lt;0,"; Invalid Shipping Record (Ship Before Order)","")&amp;IF(ABS(Q697-W697)&gt;1,"; Sales Mismatch","")&amp;IF(ABS(S697-X697)&gt;1,"; Profit Mismatch","")&amp;IF(COUNTIF($A$2:$A$913,A697)&gt;1,"; Duplicate Order ID Conflict",""),2)="; ",MID(AC697&amp;IF(B697="","; Missing Order Date","")&amp;IF(C697="","; Missing Ship Date","")&amp;IF(P697&lt;0,"; Invalid Discount (Negative)","")&amp;IF(P697&gt;0.5,"; Invalid Discount (Too High)","")&amp;IF(Z697&lt;0,"; Invalid Shipping Record (Ship Before Order)","")&amp;IF(ABS(Q697-W697)&gt;1,"; Sales Mismatch","")&amp;IF(ABS(S697-X697)&gt;1,"; Profit Mismatch","")&amp;IF(COUNTIF($A$2:$A$913,A697)&gt;1,"; Duplicate Order ID Conflict",""),3,500),AC697&amp;IF(B697="","; Missing Order Date","")&amp;IF(C697="","; Missing Ship Date","")&amp;IF(P697&lt;0,"; Invalid Discount (Negative)","")&amp;IF(P697&gt;0.5,"; Invalid Discount (Too High)","")&amp;IF(Z697&lt;0,"; Invalid Shipping Record (Ship Before Order)","")&amp;IF(ABS(Q697-W697)&gt;1,"; Sales Mismatch","")&amp;IF(ABS(S697-X697)&gt;1,"; Profit Mismatch","")&amp;IF(COUNTIF($A$2:$A$913,A697)&gt;1,"; Duplicate Order ID Conflict",""))</f>
        <v/>
      </c>
      <c r="AE697" s="10" t="str">
        <f aca="false">IF(OR(ISNUMBER(SEARCH("Invalid Discount",AD697)),ISNUMBER(SEARCH("Invalid Shipping Record",AD697)),ISNUMBER(SEARCH("Sales Mismatch",AD697)),ISNUMBER(SEARCH("Profit Mismatch",AD697)),ISNUMBER(SEARCH("Duplicate Order ID Conflict",AD697)),ISNUMBER(SEARCH("Missing Order Date",AD697)),ISNUMBER(SEARCH("Missing Ship Date",AD697))),"Invalid",IF(AD697&lt;&gt;"","Warning","Clean"))</f>
        <v>Clean</v>
      </c>
    </row>
    <row r="698" customFormat="false" ht="15" hidden="false" customHeight="true" outlineLevel="0" collapsed="false">
      <c r="A698" s="3" t="s">
        <v>2091</v>
      </c>
      <c r="B698" s="4" t="n">
        <v>45922</v>
      </c>
      <c r="C698" s="4" t="n">
        <v>45925</v>
      </c>
      <c r="D698" s="3" t="s">
        <v>2092</v>
      </c>
      <c r="E698" s="3" t="str">
        <f aca="false">PROPER(TRIM(SUBSTITUTE(Raw_Text_Fields!B699,CHAR(160)," ")))</f>
        <v>Isha Nair</v>
      </c>
      <c r="F698" s="3" t="str">
        <f aca="false">PROPER(TRIM(SUBSTITUTE(Raw_Text_Fields!C699,CHAR(160)," ")))</f>
        <v>Small Business</v>
      </c>
      <c r="G698" s="3" t="str">
        <f aca="false">PROPER(TRIM(SUBSTITUTE(Raw_Text_Fields!D699,CHAR(160)," ")))</f>
        <v>South</v>
      </c>
      <c r="H698" s="3" t="str">
        <f aca="false">PROPER(TRIM(SUBSTITUTE(Raw_Text_Fields!E699,CHAR(160)," ")))</f>
        <v>Kerala</v>
      </c>
      <c r="I698" s="3" t="str">
        <f aca="false">PROPER(TRIM(SUBSTITUTE(Raw_Text_Fields!F699,CHAR(160)," ")))</f>
        <v>Kochi</v>
      </c>
      <c r="J698" s="3" t="str">
        <f aca="false">PROPER(TRIM(SUBSTITUTE(Raw_Text_Fields!G699,CHAR(160)," ")))</f>
        <v>Technology</v>
      </c>
      <c r="K698" s="3" t="str">
        <f aca="false">PROPER(TRIM(SUBSTITUTE(Raw_Text_Fields!H699,CHAR(160)," ")))</f>
        <v>Phones</v>
      </c>
      <c r="L698" s="3" t="s">
        <v>2093</v>
      </c>
      <c r="M698" s="3" t="str">
        <f aca="false">PROPER(TRIM(SUBSTITUTE(Raw_Text_Fields!I699,CHAR(160)," ")))</f>
        <v>Unknown</v>
      </c>
      <c r="N698" s="3" t="n">
        <v>4</v>
      </c>
      <c r="O698" s="5" t="n">
        <v>1178.84</v>
      </c>
      <c r="P698" s="6" t="n">
        <v>0.25</v>
      </c>
      <c r="Q698" s="5" t="n">
        <v>3536.52</v>
      </c>
      <c r="R698" s="5" t="n">
        <v>2102.41</v>
      </c>
      <c r="S698" s="5" t="n">
        <v>1363.28</v>
      </c>
      <c r="T698" s="3" t="str">
        <f aca="false">PROPER(TRIM(SUBSTITUTE(Raw_Text_Fields!J699,CHAR(160)," ")))</f>
        <v>Paid</v>
      </c>
      <c r="U698" s="3" t="str">
        <f aca="false">PROPER(TRIM(SUBSTITUTE(Raw_Text_Fields!K699,CHAR(160)," ")))</f>
        <v>Completed</v>
      </c>
      <c r="V698" s="7" t="n">
        <f aca="false">IF(OR(P698&lt;0,P698&gt;0.5),0,P698)</f>
        <v>0.25</v>
      </c>
      <c r="W698" s="8" t="n">
        <f aca="false">N698*O698*(1-V698)</f>
        <v>3536.52</v>
      </c>
      <c r="X698" s="8" t="n">
        <f aca="false">W698-R698</f>
        <v>1434.11</v>
      </c>
      <c r="Y698" s="7" t="n">
        <f aca="false">IFERROR(X698/W698,0)</f>
        <v>0.405514460543133</v>
      </c>
      <c r="Z698" s="9" t="n">
        <f aca="false">C698-B698</f>
        <v>3</v>
      </c>
      <c r="AA698" s="1" t="str">
        <f aca="false">IF(B698="","",TEXT(B698,"mmm"))</f>
        <v>Sep</v>
      </c>
      <c r="AB698" s="9" t="n">
        <f aca="false">IF(B698="","",YEAR(B698))</f>
        <v>2025</v>
      </c>
      <c r="AC698" s="3" t="s">
        <v>137</v>
      </c>
      <c r="AD698" s="3" t="str">
        <f aca="false">IF(LEFT(AC698&amp;IF(B698="","; Missing Order Date","")&amp;IF(C698="","; Missing Ship Date","")&amp;IF(P698&lt;0,"; Invalid Discount (Negative)","")&amp;IF(P698&gt;0.5,"; Invalid Discount (Too High)","")&amp;IF(Z698&lt;0,"; Invalid Shipping Record (Ship Before Order)","")&amp;IF(ABS(Q698-W698)&gt;1,"; Sales Mismatch","")&amp;IF(ABS(S698-X698)&gt;1,"; Profit Mismatch","")&amp;IF(COUNTIF($A$2:$A$913,A698)&gt;1,"; Duplicate Order ID Conflict",""),2)="; ",MID(AC698&amp;IF(B698="","; Missing Order Date","")&amp;IF(C698="","; Missing Ship Date","")&amp;IF(P698&lt;0,"; Invalid Discount (Negative)","")&amp;IF(P698&gt;0.5,"; Invalid Discount (Too High)","")&amp;IF(Z698&lt;0,"; Invalid Shipping Record (Ship Before Order)","")&amp;IF(ABS(Q698-W698)&gt;1,"; Sales Mismatch","")&amp;IF(ABS(S698-X698)&gt;1,"; Profit Mismatch","")&amp;IF(COUNTIF($A$2:$A$913,A698)&gt;1,"; Duplicate Order ID Conflict",""),3,500),AC698&amp;IF(B698="","; Missing Order Date","")&amp;IF(C698="","; Missing Ship Date","")&amp;IF(P698&lt;0,"; Invalid Discount (Negative)","")&amp;IF(P698&gt;0.5,"; Invalid Discount (Too High)","")&amp;IF(Z698&lt;0,"; Invalid Shipping Record (Ship Before Order)","")&amp;IF(ABS(Q698-W698)&gt;1,"; Sales Mismatch","")&amp;IF(ABS(S698-X698)&gt;1,"; Profit Mismatch","")&amp;IF(COUNTIF($A$2:$A$913,A698)&gt;1,"; Duplicate Order ID Conflict",""))</f>
        <v>Missing Ship Mode (filled Unknown); Profit Mismatch</v>
      </c>
      <c r="AE698" s="10" t="str">
        <f aca="false">IF(OR(ISNUMBER(SEARCH("Invalid Discount",AD698)),ISNUMBER(SEARCH("Invalid Shipping Record",AD698)),ISNUMBER(SEARCH("Sales Mismatch",AD698)),ISNUMBER(SEARCH("Profit Mismatch",AD698)),ISNUMBER(SEARCH("Duplicate Order ID Conflict",AD698)),ISNUMBER(SEARCH("Missing Order Date",AD698)),ISNUMBER(SEARCH("Missing Ship Date",AD698))),"Invalid",IF(AD698&lt;&gt;"","Warning","Clean"))</f>
        <v>Invalid</v>
      </c>
    </row>
    <row r="699" customFormat="false" ht="15" hidden="false" customHeight="true" outlineLevel="0" collapsed="false">
      <c r="A699" s="3" t="s">
        <v>2094</v>
      </c>
      <c r="B699" s="4" t="n">
        <v>45717</v>
      </c>
      <c r="C699" s="4" t="n">
        <v>45723</v>
      </c>
      <c r="D699" s="3" t="s">
        <v>2095</v>
      </c>
      <c r="E699" s="3" t="str">
        <f aca="false">PROPER(TRIM(SUBSTITUTE(Raw_Text_Fields!B700,CHAR(160)," ")))</f>
        <v>Arjun Bose</v>
      </c>
      <c r="F699" s="3" t="str">
        <f aca="false">PROPER(TRIM(SUBSTITUTE(Raw_Text_Fields!C700,CHAR(160)," ")))</f>
        <v>Corporate</v>
      </c>
      <c r="G699" s="3" t="str">
        <f aca="false">PROPER(TRIM(SUBSTITUTE(Raw_Text_Fields!D700,CHAR(160)," ")))</f>
        <v>South</v>
      </c>
      <c r="H699" s="3" t="str">
        <f aca="false">PROPER(TRIM(SUBSTITUTE(Raw_Text_Fields!E700,CHAR(160)," ")))</f>
        <v>Andhra Pradesh</v>
      </c>
      <c r="I699" s="3" t="str">
        <f aca="false">PROPER(TRIM(SUBSTITUTE(Raw_Text_Fields!F700,CHAR(160)," ")))</f>
        <v>Vijayawada</v>
      </c>
      <c r="J699" s="3" t="str">
        <f aca="false">PROPER(TRIM(SUBSTITUTE(Raw_Text_Fields!G700,CHAR(160)," ")))</f>
        <v>Office Supplies</v>
      </c>
      <c r="K699" s="3" t="str">
        <f aca="false">PROPER(TRIM(SUBSTITUTE(Raw_Text_Fields!H700,CHAR(160)," ")))</f>
        <v>Labels</v>
      </c>
      <c r="L699" s="3" t="s">
        <v>2096</v>
      </c>
      <c r="M699" s="3" t="str">
        <f aca="false">PROPER(TRIM(SUBSTITUTE(Raw_Text_Fields!I700,CHAR(160)," ")))</f>
        <v>First Class</v>
      </c>
      <c r="N699" s="3" t="n">
        <v>7</v>
      </c>
      <c r="O699" s="5" t="n">
        <v>567.15</v>
      </c>
      <c r="P699" s="6" t="n">
        <v>0</v>
      </c>
      <c r="Q699" s="5" t="n">
        <v>2977.54</v>
      </c>
      <c r="R699" s="5" t="n">
        <v>1849.3</v>
      </c>
      <c r="S699" s="5" t="n">
        <v>1128.24</v>
      </c>
      <c r="T699" s="3" t="str">
        <f aca="false">PROPER(TRIM(SUBSTITUTE(Raw_Text_Fields!J700,CHAR(160)," ")))</f>
        <v>Refunded</v>
      </c>
      <c r="U699" s="3" t="str">
        <f aca="false">PROPER(TRIM(SUBSTITUTE(Raw_Text_Fields!K700,CHAR(160)," ")))</f>
        <v>Returned</v>
      </c>
      <c r="V699" s="7" t="n">
        <f aca="false">IF(OR(P699&lt;0,P699&gt;0.5),0,P699)</f>
        <v>0</v>
      </c>
      <c r="W699" s="8" t="n">
        <f aca="false">N699*O699*(1-V699)</f>
        <v>3970.05</v>
      </c>
      <c r="X699" s="8" t="n">
        <f aca="false">W699-R699</f>
        <v>2120.75</v>
      </c>
      <c r="Y699" s="7" t="n">
        <f aca="false">IFERROR(X699/W699,0)</f>
        <v>0.534187226861123</v>
      </c>
      <c r="Z699" s="9" t="n">
        <f aca="false">C699-B699</f>
        <v>6</v>
      </c>
      <c r="AA699" s="1" t="str">
        <f aca="false">IF(B699="","",TEXT(B699,"mmm"))</f>
        <v>Mar</v>
      </c>
      <c r="AB699" s="9" t="n">
        <f aca="false">IF(B699="","",YEAR(B699))</f>
        <v>2025</v>
      </c>
      <c r="AC699" s="3" t="s">
        <v>130</v>
      </c>
      <c r="AD699" s="3" t="str">
        <f aca="false">IF(LEFT(AC699&amp;IF(B699="","; Missing Order Date","")&amp;IF(C699="","; Missing Ship Date","")&amp;IF(P699&lt;0,"; Invalid Discount (Negative)","")&amp;IF(P699&gt;0.5,"; Invalid Discount (Too High)","")&amp;IF(Z699&lt;0,"; Invalid Shipping Record (Ship Before Order)","")&amp;IF(ABS(Q699-W699)&gt;1,"; Sales Mismatch","")&amp;IF(ABS(S699-X699)&gt;1,"; Profit Mismatch","")&amp;IF(COUNTIF($A$2:$A$913,A699)&gt;1,"; Duplicate Order ID Conflict",""),2)="; ",MID(AC699&amp;IF(B699="","; Missing Order Date","")&amp;IF(C699="","; Missing Ship Date","")&amp;IF(P699&lt;0,"; Invalid Discount (Negative)","")&amp;IF(P699&gt;0.5,"; Invalid Discount (Too High)","")&amp;IF(Z699&lt;0,"; Invalid Shipping Record (Ship Before Order)","")&amp;IF(ABS(Q699-W699)&gt;1,"; Sales Mismatch","")&amp;IF(ABS(S699-X699)&gt;1,"; Profit Mismatch","")&amp;IF(COUNTIF($A$2:$A$913,A699)&gt;1,"; Duplicate Order ID Conflict",""),3,500),AC699&amp;IF(B699="","; Missing Order Date","")&amp;IF(C699="","; Missing Ship Date","")&amp;IF(P699&lt;0,"; Invalid Discount (Negative)","")&amp;IF(P699&gt;0.5,"; Invalid Discount (Too High)","")&amp;IF(Z699&lt;0,"; Invalid Shipping Record (Ship Before Order)","")&amp;IF(ABS(Q699-W699)&gt;1,"; Sales Mismatch","")&amp;IF(ABS(S699-X699)&gt;1,"; Profit Mismatch","")&amp;IF(COUNTIF($A$2:$A$913,A699)&gt;1,"; Duplicate Order ID Conflict",""))</f>
        <v>Missing Discount (defaulted 0); Sales Mismatch; Profit Mismatch</v>
      </c>
      <c r="AE699" s="10" t="str">
        <f aca="false">IF(OR(ISNUMBER(SEARCH("Invalid Discount",AD699)),ISNUMBER(SEARCH("Invalid Shipping Record",AD699)),ISNUMBER(SEARCH("Sales Mismatch",AD699)),ISNUMBER(SEARCH("Profit Mismatch",AD699)),ISNUMBER(SEARCH("Duplicate Order ID Conflict",AD699)),ISNUMBER(SEARCH("Missing Order Date",AD699)),ISNUMBER(SEARCH("Missing Ship Date",AD699))),"Invalid",IF(AD699&lt;&gt;"","Warning","Clean"))</f>
        <v>Invalid</v>
      </c>
    </row>
    <row r="700" customFormat="false" ht="15" hidden="false" customHeight="true" outlineLevel="0" collapsed="false">
      <c r="A700" s="3" t="s">
        <v>2097</v>
      </c>
      <c r="B700" s="4" t="n">
        <v>45549</v>
      </c>
      <c r="C700" s="4" t="n">
        <v>45549</v>
      </c>
      <c r="D700" s="3" t="s">
        <v>2098</v>
      </c>
      <c r="E700" s="3" t="str">
        <f aca="false">PROPER(TRIM(SUBSTITUTE(Raw_Text_Fields!B701,CHAR(160)," ")))</f>
        <v>Mira Das</v>
      </c>
      <c r="F700" s="3" t="str">
        <f aca="false">PROPER(TRIM(SUBSTITUTE(Raw_Text_Fields!C701,CHAR(160)," ")))</f>
        <v>Corporate</v>
      </c>
      <c r="G700" s="3" t="str">
        <f aca="false">PROPER(TRIM(SUBSTITUTE(Raw_Text_Fields!D701,CHAR(160)," ")))</f>
        <v>North</v>
      </c>
      <c r="H700" s="3" t="str">
        <f aca="false">PROPER(TRIM(SUBSTITUTE(Raw_Text_Fields!E701,CHAR(160)," ")))</f>
        <v>Rajasthan</v>
      </c>
      <c r="I700" s="3" t="str">
        <f aca="false">PROPER(TRIM(SUBSTITUTE(Raw_Text_Fields!F701,CHAR(160)," ")))</f>
        <v>Jaipur</v>
      </c>
      <c r="J700" s="3" t="str">
        <f aca="false">PROPER(TRIM(SUBSTITUTE(Raw_Text_Fields!G701,CHAR(160)," ")))</f>
        <v>Technology</v>
      </c>
      <c r="K700" s="3" t="str">
        <f aca="false">PROPER(TRIM(SUBSTITUTE(Raw_Text_Fields!H701,CHAR(160)," ")))</f>
        <v>Machines</v>
      </c>
      <c r="L700" s="3" t="s">
        <v>2099</v>
      </c>
      <c r="M700" s="3" t="str">
        <f aca="false">PROPER(TRIM(SUBSTITUTE(Raw_Text_Fields!I701,CHAR(160)," ")))</f>
        <v>Standard Class</v>
      </c>
      <c r="N700" s="3" t="n">
        <v>8</v>
      </c>
      <c r="O700" s="5" t="n">
        <v>4081.66</v>
      </c>
      <c r="P700" s="6" t="n">
        <v>0.15</v>
      </c>
      <c r="Q700" s="5" t="n">
        <v>28208.1</v>
      </c>
      <c r="R700" s="5" t="n">
        <v>23751.91</v>
      </c>
      <c r="S700" s="5" t="n">
        <v>4003.38</v>
      </c>
      <c r="T700" s="3" t="str">
        <f aca="false">PROPER(TRIM(SUBSTITUTE(Raw_Text_Fields!J701,CHAR(160)," ")))</f>
        <v>Paid</v>
      </c>
      <c r="U700" s="3" t="str">
        <f aca="false">PROPER(TRIM(SUBSTITUTE(Raw_Text_Fields!K701,CHAR(160)," ")))</f>
        <v>Returned</v>
      </c>
      <c r="V700" s="7" t="n">
        <f aca="false">IF(OR(P700&lt;0,P700&gt;0.5),0,P700)</f>
        <v>0.15</v>
      </c>
      <c r="W700" s="8" t="n">
        <f aca="false">N700*O700*(1-V700)</f>
        <v>27755.288</v>
      </c>
      <c r="X700" s="8" t="n">
        <f aca="false">W700-R700</f>
        <v>4003.378</v>
      </c>
      <c r="Y700" s="7" t="n">
        <f aca="false">IFERROR(X700/W700,0)</f>
        <v>0.144238388014565</v>
      </c>
      <c r="Z700" s="9" t="n">
        <f aca="false">C700-B700</f>
        <v>0</v>
      </c>
      <c r="AA700" s="1" t="str">
        <f aca="false">IF(B700="","",TEXT(B700,"mmm"))</f>
        <v>Sep</v>
      </c>
      <c r="AB700" s="9" t="n">
        <f aca="false">IF(B700="","",YEAR(B700))</f>
        <v>2024</v>
      </c>
      <c r="AC700" s="3"/>
      <c r="AD700" s="3" t="str">
        <f aca="false">IF(LEFT(AC700&amp;IF(B700="","; Missing Order Date","")&amp;IF(C700="","; Missing Ship Date","")&amp;IF(P700&lt;0,"; Invalid Discount (Negative)","")&amp;IF(P700&gt;0.5,"; Invalid Discount (Too High)","")&amp;IF(Z700&lt;0,"; Invalid Shipping Record (Ship Before Order)","")&amp;IF(ABS(Q700-W700)&gt;1,"; Sales Mismatch","")&amp;IF(ABS(S700-X700)&gt;1,"; Profit Mismatch","")&amp;IF(COUNTIF($A$2:$A$913,A700)&gt;1,"; Duplicate Order ID Conflict",""),2)="; ",MID(AC700&amp;IF(B700="","; Missing Order Date","")&amp;IF(C700="","; Missing Ship Date","")&amp;IF(P700&lt;0,"; Invalid Discount (Negative)","")&amp;IF(P700&gt;0.5,"; Invalid Discount (Too High)","")&amp;IF(Z700&lt;0,"; Invalid Shipping Record (Ship Before Order)","")&amp;IF(ABS(Q700-W700)&gt;1,"; Sales Mismatch","")&amp;IF(ABS(S700-X700)&gt;1,"; Profit Mismatch","")&amp;IF(COUNTIF($A$2:$A$913,A700)&gt;1,"; Duplicate Order ID Conflict",""),3,500),AC700&amp;IF(B700="","; Missing Order Date","")&amp;IF(C700="","; Missing Ship Date","")&amp;IF(P700&lt;0,"; Invalid Discount (Negative)","")&amp;IF(P700&gt;0.5,"; Invalid Discount (Too High)","")&amp;IF(Z700&lt;0,"; Invalid Shipping Record (Ship Before Order)","")&amp;IF(ABS(Q700-W700)&gt;1,"; Sales Mismatch","")&amp;IF(ABS(S700-X700)&gt;1,"; Profit Mismatch","")&amp;IF(COUNTIF($A$2:$A$913,A700)&gt;1,"; Duplicate Order ID Conflict",""))</f>
        <v>Sales Mismatch</v>
      </c>
      <c r="AE700" s="10" t="str">
        <f aca="false">IF(OR(ISNUMBER(SEARCH("Invalid Discount",AD700)),ISNUMBER(SEARCH("Invalid Shipping Record",AD700)),ISNUMBER(SEARCH("Sales Mismatch",AD700)),ISNUMBER(SEARCH("Profit Mismatch",AD700)),ISNUMBER(SEARCH("Duplicate Order ID Conflict",AD700)),ISNUMBER(SEARCH("Missing Order Date",AD700)),ISNUMBER(SEARCH("Missing Ship Date",AD700))),"Invalid",IF(AD700&lt;&gt;"","Warning","Clean"))</f>
        <v>Invalid</v>
      </c>
    </row>
    <row r="701" customFormat="false" ht="15" hidden="false" customHeight="true" outlineLevel="0" collapsed="false">
      <c r="A701" s="3" t="s">
        <v>2100</v>
      </c>
      <c r="B701" s="4" t="n">
        <v>45454</v>
      </c>
      <c r="C701" s="4" t="n">
        <v>45454</v>
      </c>
      <c r="D701" s="3" t="s">
        <v>2101</v>
      </c>
      <c r="E701" s="3" t="str">
        <f aca="false">PROPER(TRIM(SUBSTITUTE(Raw_Text_Fields!B702,CHAR(160)," ")))</f>
        <v>Arjun Bose</v>
      </c>
      <c r="F701" s="3" t="str">
        <f aca="false">PROPER(TRIM(SUBSTITUTE(Raw_Text_Fields!C702,CHAR(160)," ")))</f>
        <v>Small Business</v>
      </c>
      <c r="G701" s="3" t="str">
        <f aca="false">PROPER(TRIM(SUBSTITUTE(Raw_Text_Fields!D702,CHAR(160)," ")))</f>
        <v>South</v>
      </c>
      <c r="H701" s="3" t="str">
        <f aca="false">PROPER(TRIM(SUBSTITUTE(Raw_Text_Fields!E702,CHAR(160)," ")))</f>
        <v>Karnataka</v>
      </c>
      <c r="I701" s="3" t="str">
        <f aca="false">PROPER(TRIM(SUBSTITUTE(Raw_Text_Fields!F702,CHAR(160)," ")))</f>
        <v>Bengaluru</v>
      </c>
      <c r="J701" s="3" t="str">
        <f aca="false">PROPER(TRIM(SUBSTITUTE(Raw_Text_Fields!G702,CHAR(160)," ")))</f>
        <v>Furniture</v>
      </c>
      <c r="K701" s="3" t="str">
        <f aca="false">PROPER(TRIM(SUBSTITUTE(Raw_Text_Fields!H702,CHAR(160)," ")))</f>
        <v>Bookcases</v>
      </c>
      <c r="L701" s="3" t="s">
        <v>2102</v>
      </c>
      <c r="M701" s="3" t="str">
        <f aca="false">PROPER(TRIM(SUBSTITUTE(Raw_Text_Fields!I702,CHAR(160)," ")))</f>
        <v>Standard Class</v>
      </c>
      <c r="N701" s="3" t="n">
        <v>9</v>
      </c>
      <c r="O701" s="5" t="n">
        <v>1400.11</v>
      </c>
      <c r="P701" s="6" t="n">
        <v>0.25</v>
      </c>
      <c r="Q701" s="5" t="n">
        <v>9450.74</v>
      </c>
      <c r="R701" s="5" t="n">
        <v>7798.56</v>
      </c>
      <c r="S701" s="5" t="n">
        <v>1652.18</v>
      </c>
      <c r="T701" s="3" t="str">
        <f aca="false">PROPER(TRIM(SUBSTITUTE(Raw_Text_Fields!J702,CHAR(160)," ")))</f>
        <v>Paid</v>
      </c>
      <c r="U701" s="3" t="str">
        <f aca="false">PROPER(TRIM(SUBSTITUTE(Raw_Text_Fields!K702,CHAR(160)," ")))</f>
        <v>Completed</v>
      </c>
      <c r="V701" s="7" t="n">
        <f aca="false">IF(OR(P701&lt;0,P701&gt;0.5),0,P701)</f>
        <v>0.25</v>
      </c>
      <c r="W701" s="8" t="n">
        <f aca="false">N701*O701*(1-V701)</f>
        <v>9450.7425</v>
      </c>
      <c r="X701" s="8" t="n">
        <f aca="false">W701-R701</f>
        <v>1652.1825</v>
      </c>
      <c r="Y701" s="7" t="n">
        <f aca="false">IFERROR(X701/W701,0)</f>
        <v>0.174820391096255</v>
      </c>
      <c r="Z701" s="9" t="n">
        <f aca="false">C701-B701</f>
        <v>0</v>
      </c>
      <c r="AA701" s="1" t="str">
        <f aca="false">IF(B701="","",TEXT(B701,"mmm"))</f>
        <v>Jun</v>
      </c>
      <c r="AB701" s="9" t="n">
        <f aca="false">IF(B701="","",YEAR(B701))</f>
        <v>2024</v>
      </c>
      <c r="AC701" s="3"/>
      <c r="AD701" s="3" t="str">
        <f aca="false">IF(LEFT(AC701&amp;IF(B701="","; Missing Order Date","")&amp;IF(C701="","; Missing Ship Date","")&amp;IF(P701&lt;0,"; Invalid Discount (Negative)","")&amp;IF(P701&gt;0.5,"; Invalid Discount (Too High)","")&amp;IF(Z701&lt;0,"; Invalid Shipping Record (Ship Before Order)","")&amp;IF(ABS(Q701-W701)&gt;1,"; Sales Mismatch","")&amp;IF(ABS(S701-X701)&gt;1,"; Profit Mismatch","")&amp;IF(COUNTIF($A$2:$A$913,A701)&gt;1,"; Duplicate Order ID Conflict",""),2)="; ",MID(AC701&amp;IF(B701="","; Missing Order Date","")&amp;IF(C701="","; Missing Ship Date","")&amp;IF(P701&lt;0,"; Invalid Discount (Negative)","")&amp;IF(P701&gt;0.5,"; Invalid Discount (Too High)","")&amp;IF(Z701&lt;0,"; Invalid Shipping Record (Ship Before Order)","")&amp;IF(ABS(Q701-W701)&gt;1,"; Sales Mismatch","")&amp;IF(ABS(S701-X701)&gt;1,"; Profit Mismatch","")&amp;IF(COUNTIF($A$2:$A$913,A701)&gt;1,"; Duplicate Order ID Conflict",""),3,500),AC701&amp;IF(B701="","; Missing Order Date","")&amp;IF(C701="","; Missing Ship Date","")&amp;IF(P701&lt;0,"; Invalid Discount (Negative)","")&amp;IF(P701&gt;0.5,"; Invalid Discount (Too High)","")&amp;IF(Z701&lt;0,"; Invalid Shipping Record (Ship Before Order)","")&amp;IF(ABS(Q701-W701)&gt;1,"; Sales Mismatch","")&amp;IF(ABS(S701-X701)&gt;1,"; Profit Mismatch","")&amp;IF(COUNTIF($A$2:$A$913,A701)&gt;1,"; Duplicate Order ID Conflict",""))</f>
        <v/>
      </c>
      <c r="AE701" s="10" t="str">
        <f aca="false">IF(OR(ISNUMBER(SEARCH("Invalid Discount",AD701)),ISNUMBER(SEARCH("Invalid Shipping Record",AD701)),ISNUMBER(SEARCH("Sales Mismatch",AD701)),ISNUMBER(SEARCH("Profit Mismatch",AD701)),ISNUMBER(SEARCH("Duplicate Order ID Conflict",AD701)),ISNUMBER(SEARCH("Missing Order Date",AD701)),ISNUMBER(SEARCH("Missing Ship Date",AD701))),"Invalid",IF(AD701&lt;&gt;"","Warning","Clean"))</f>
        <v>Clean</v>
      </c>
    </row>
    <row r="702" customFormat="false" ht="15" hidden="false" customHeight="true" outlineLevel="0" collapsed="false">
      <c r="A702" s="3" t="s">
        <v>2103</v>
      </c>
      <c r="B702" s="4" t="n">
        <v>45553</v>
      </c>
      <c r="C702" s="4" t="n">
        <v>45556</v>
      </c>
      <c r="D702" s="3" t="s">
        <v>2104</v>
      </c>
      <c r="E702" s="3" t="str">
        <f aca="false">PROPER(TRIM(SUBSTITUTE(Raw_Text_Fields!B703,CHAR(160)," ")))</f>
        <v>Neha Gupta</v>
      </c>
      <c r="F702" s="3" t="str">
        <f aca="false">PROPER(TRIM(SUBSTITUTE(Raw_Text_Fields!C703,CHAR(160)," ")))</f>
        <v>Corporate</v>
      </c>
      <c r="G702" s="3" t="str">
        <f aca="false">PROPER(TRIM(SUBSTITUTE(Raw_Text_Fields!D703,CHAR(160)," ")))</f>
        <v>East</v>
      </c>
      <c r="H702" s="3" t="str">
        <f aca="false">PROPER(TRIM(SUBSTITUTE(Raw_Text_Fields!E703,CHAR(160)," ")))</f>
        <v>West Bengal</v>
      </c>
      <c r="I702" s="3" t="str">
        <f aca="false">PROPER(TRIM(SUBSTITUTE(Raw_Text_Fields!F703,CHAR(160)," ")))</f>
        <v>Kolkata</v>
      </c>
      <c r="J702" s="3" t="str">
        <f aca="false">PROPER(TRIM(SUBSTITUTE(Raw_Text_Fields!G703,CHAR(160)," ")))</f>
        <v>Technology</v>
      </c>
      <c r="K702" s="3" t="str">
        <f aca="false">PROPER(TRIM(SUBSTITUTE(Raw_Text_Fields!H703,CHAR(160)," ")))</f>
        <v>Machines</v>
      </c>
      <c r="L702" s="3" t="s">
        <v>2105</v>
      </c>
      <c r="M702" s="3" t="str">
        <f aca="false">PROPER(TRIM(SUBSTITUTE(Raw_Text_Fields!I703,CHAR(160)," ")))</f>
        <v>Standard Class</v>
      </c>
      <c r="N702" s="3" t="n">
        <v>3</v>
      </c>
      <c r="O702" s="5" t="n">
        <v>3055.9</v>
      </c>
      <c r="P702" s="6" t="n">
        <v>0.15</v>
      </c>
      <c r="Q702" s="5" t="n">
        <v>7792.55</v>
      </c>
      <c r="R702" s="5" t="n">
        <v>4691.73</v>
      </c>
      <c r="S702" s="5" t="n">
        <v>3100.82</v>
      </c>
      <c r="T702" s="3" t="str">
        <f aca="false">PROPER(TRIM(SUBSTITUTE(Raw_Text_Fields!J703,CHAR(160)," ")))</f>
        <v>Paid</v>
      </c>
      <c r="U702" s="3" t="str">
        <f aca="false">PROPER(TRIM(SUBSTITUTE(Raw_Text_Fields!K703,CHAR(160)," ")))</f>
        <v>Completed</v>
      </c>
      <c r="V702" s="7" t="n">
        <f aca="false">IF(OR(P702&lt;0,P702&gt;0.5),0,P702)</f>
        <v>0.15</v>
      </c>
      <c r="W702" s="8" t="n">
        <f aca="false">N702*O702*(1-V702)</f>
        <v>7792.545</v>
      </c>
      <c r="X702" s="8" t="n">
        <f aca="false">W702-R702</f>
        <v>3100.815</v>
      </c>
      <c r="Y702" s="7" t="n">
        <f aca="false">IFERROR(X702/W702,0)</f>
        <v>0.397920704981492</v>
      </c>
      <c r="Z702" s="9" t="n">
        <f aca="false">C702-B702</f>
        <v>3</v>
      </c>
      <c r="AA702" s="1" t="str">
        <f aca="false">IF(B702="","",TEXT(B702,"mmm"))</f>
        <v>Sep</v>
      </c>
      <c r="AB702" s="9" t="n">
        <f aca="false">IF(B702="","",YEAR(B702))</f>
        <v>2024</v>
      </c>
      <c r="AC702" s="3"/>
      <c r="AD702" s="3" t="str">
        <f aca="false">IF(LEFT(AC702&amp;IF(B702="","; Missing Order Date","")&amp;IF(C702="","; Missing Ship Date","")&amp;IF(P702&lt;0,"; Invalid Discount (Negative)","")&amp;IF(P702&gt;0.5,"; Invalid Discount (Too High)","")&amp;IF(Z702&lt;0,"; Invalid Shipping Record (Ship Before Order)","")&amp;IF(ABS(Q702-W702)&gt;1,"; Sales Mismatch","")&amp;IF(ABS(S702-X702)&gt;1,"; Profit Mismatch","")&amp;IF(COUNTIF($A$2:$A$913,A702)&gt;1,"; Duplicate Order ID Conflict",""),2)="; ",MID(AC702&amp;IF(B702="","; Missing Order Date","")&amp;IF(C702="","; Missing Ship Date","")&amp;IF(P702&lt;0,"; Invalid Discount (Negative)","")&amp;IF(P702&gt;0.5,"; Invalid Discount (Too High)","")&amp;IF(Z702&lt;0,"; Invalid Shipping Record (Ship Before Order)","")&amp;IF(ABS(Q702-W702)&gt;1,"; Sales Mismatch","")&amp;IF(ABS(S702-X702)&gt;1,"; Profit Mismatch","")&amp;IF(COUNTIF($A$2:$A$913,A702)&gt;1,"; Duplicate Order ID Conflict",""),3,500),AC702&amp;IF(B702="","; Missing Order Date","")&amp;IF(C702="","; Missing Ship Date","")&amp;IF(P702&lt;0,"; Invalid Discount (Negative)","")&amp;IF(P702&gt;0.5,"; Invalid Discount (Too High)","")&amp;IF(Z702&lt;0,"; Invalid Shipping Record (Ship Before Order)","")&amp;IF(ABS(Q702-W702)&gt;1,"; Sales Mismatch","")&amp;IF(ABS(S702-X702)&gt;1,"; Profit Mismatch","")&amp;IF(COUNTIF($A$2:$A$913,A702)&gt;1,"; Duplicate Order ID Conflict",""))</f>
        <v/>
      </c>
      <c r="AE702" s="10" t="str">
        <f aca="false">IF(OR(ISNUMBER(SEARCH("Invalid Discount",AD702)),ISNUMBER(SEARCH("Invalid Shipping Record",AD702)),ISNUMBER(SEARCH("Sales Mismatch",AD702)),ISNUMBER(SEARCH("Profit Mismatch",AD702)),ISNUMBER(SEARCH("Duplicate Order ID Conflict",AD702)),ISNUMBER(SEARCH("Missing Order Date",AD702)),ISNUMBER(SEARCH("Missing Ship Date",AD702))),"Invalid",IF(AD702&lt;&gt;"","Warning","Clean"))</f>
        <v>Clean</v>
      </c>
    </row>
    <row r="703" customFormat="false" ht="15" hidden="false" customHeight="true" outlineLevel="0" collapsed="false">
      <c r="A703" s="3" t="s">
        <v>2106</v>
      </c>
      <c r="B703" s="4" t="n">
        <v>45412</v>
      </c>
      <c r="C703" s="4" t="n">
        <v>45416</v>
      </c>
      <c r="D703" s="3" t="s">
        <v>2107</v>
      </c>
      <c r="E703" s="3" t="str">
        <f aca="false">PROPER(TRIM(SUBSTITUTE(Raw_Text_Fields!B704,CHAR(160)," ")))</f>
        <v>Rohan Mehta</v>
      </c>
      <c r="F703" s="3" t="str">
        <f aca="false">PROPER(TRIM(SUBSTITUTE(Raw_Text_Fields!C704,CHAR(160)," ")))</f>
        <v>Small Business</v>
      </c>
      <c r="G703" s="3" t="str">
        <f aca="false">PROPER(TRIM(SUBSTITUTE(Raw_Text_Fields!D704,CHAR(160)," ")))</f>
        <v>West</v>
      </c>
      <c r="H703" s="3" t="str">
        <f aca="false">PROPER(TRIM(SUBSTITUTE(Raw_Text_Fields!E704,CHAR(160)," ")))</f>
        <v>Gujarat</v>
      </c>
      <c r="I703" s="3" t="str">
        <f aca="false">PROPER(TRIM(SUBSTITUTE(Raw_Text_Fields!F704,CHAR(160)," ")))</f>
        <v>Ahmedabad</v>
      </c>
      <c r="J703" s="3" t="str">
        <f aca="false">PROPER(TRIM(SUBSTITUTE(Raw_Text_Fields!G704,CHAR(160)," ")))</f>
        <v>Office Supplies</v>
      </c>
      <c r="K703" s="3" t="str">
        <f aca="false">PROPER(TRIM(SUBSTITUTE(Raw_Text_Fields!H704,CHAR(160)," ")))</f>
        <v>Art</v>
      </c>
      <c r="L703" s="3" t="s">
        <v>2108</v>
      </c>
      <c r="M703" s="3" t="str">
        <f aca="false">PROPER(TRIM(SUBSTITUTE(Raw_Text_Fields!I704,CHAR(160)," ")))</f>
        <v>Same Day</v>
      </c>
      <c r="N703" s="3" t="n">
        <v>7</v>
      </c>
      <c r="O703" s="5" t="n">
        <v>1224.94</v>
      </c>
      <c r="P703" s="6" t="n">
        <v>0</v>
      </c>
      <c r="Q703" s="5" t="n">
        <v>8574.58</v>
      </c>
      <c r="R703" s="5" t="n">
        <v>6685.81</v>
      </c>
      <c r="S703" s="5" t="n">
        <v>1888.77</v>
      </c>
      <c r="T703" s="3" t="str">
        <f aca="false">PROPER(TRIM(SUBSTITUTE(Raw_Text_Fields!J704,CHAR(160)," ")))</f>
        <v>Paid</v>
      </c>
      <c r="U703" s="3" t="str">
        <f aca="false">PROPER(TRIM(SUBSTITUTE(Raw_Text_Fields!K704,CHAR(160)," ")))</f>
        <v>Returned</v>
      </c>
      <c r="V703" s="7" t="n">
        <f aca="false">IF(OR(P703&lt;0,P703&gt;0.5),0,P703)</f>
        <v>0</v>
      </c>
      <c r="W703" s="8" t="n">
        <f aca="false">N703*O703*(1-V703)</f>
        <v>8574.58</v>
      </c>
      <c r="X703" s="8" t="n">
        <f aca="false">W703-R703</f>
        <v>1888.77</v>
      </c>
      <c r="Y703" s="7" t="n">
        <f aca="false">IFERROR(X703/W703,0)</f>
        <v>0.220275512036741</v>
      </c>
      <c r="Z703" s="9" t="n">
        <f aca="false">C703-B703</f>
        <v>4</v>
      </c>
      <c r="AA703" s="1" t="str">
        <f aca="false">IF(B703="","",TEXT(B703,"mmm"))</f>
        <v>Apr</v>
      </c>
      <c r="AB703" s="9" t="n">
        <f aca="false">IF(B703="","",YEAR(B703))</f>
        <v>2024</v>
      </c>
      <c r="AC703" s="3"/>
      <c r="AD703" s="3" t="str">
        <f aca="false">IF(LEFT(AC703&amp;IF(B703="","; Missing Order Date","")&amp;IF(C703="","; Missing Ship Date","")&amp;IF(P703&lt;0,"; Invalid Discount (Negative)","")&amp;IF(P703&gt;0.5,"; Invalid Discount (Too High)","")&amp;IF(Z703&lt;0,"; Invalid Shipping Record (Ship Before Order)","")&amp;IF(ABS(Q703-W703)&gt;1,"; Sales Mismatch","")&amp;IF(ABS(S703-X703)&gt;1,"; Profit Mismatch","")&amp;IF(COUNTIF($A$2:$A$913,A703)&gt;1,"; Duplicate Order ID Conflict",""),2)="; ",MID(AC703&amp;IF(B703="","; Missing Order Date","")&amp;IF(C703="","; Missing Ship Date","")&amp;IF(P703&lt;0,"; Invalid Discount (Negative)","")&amp;IF(P703&gt;0.5,"; Invalid Discount (Too High)","")&amp;IF(Z703&lt;0,"; Invalid Shipping Record (Ship Before Order)","")&amp;IF(ABS(Q703-W703)&gt;1,"; Sales Mismatch","")&amp;IF(ABS(S703-X703)&gt;1,"; Profit Mismatch","")&amp;IF(COUNTIF($A$2:$A$913,A703)&gt;1,"; Duplicate Order ID Conflict",""),3,500),AC703&amp;IF(B703="","; Missing Order Date","")&amp;IF(C703="","; Missing Ship Date","")&amp;IF(P703&lt;0,"; Invalid Discount (Negative)","")&amp;IF(P703&gt;0.5,"; Invalid Discount (Too High)","")&amp;IF(Z703&lt;0,"; Invalid Shipping Record (Ship Before Order)","")&amp;IF(ABS(Q703-W703)&gt;1,"; Sales Mismatch","")&amp;IF(ABS(S703-X703)&gt;1,"; Profit Mismatch","")&amp;IF(COUNTIF($A$2:$A$913,A703)&gt;1,"; Duplicate Order ID Conflict",""))</f>
        <v/>
      </c>
      <c r="AE703" s="10" t="str">
        <f aca="false">IF(OR(ISNUMBER(SEARCH("Invalid Discount",AD703)),ISNUMBER(SEARCH("Invalid Shipping Record",AD703)),ISNUMBER(SEARCH("Sales Mismatch",AD703)),ISNUMBER(SEARCH("Profit Mismatch",AD703)),ISNUMBER(SEARCH("Duplicate Order ID Conflict",AD703)),ISNUMBER(SEARCH("Missing Order Date",AD703)),ISNUMBER(SEARCH("Missing Ship Date",AD703))),"Invalid",IF(AD703&lt;&gt;"","Warning","Clean"))</f>
        <v>Clean</v>
      </c>
    </row>
    <row r="704" customFormat="false" ht="15" hidden="false" customHeight="true" outlineLevel="0" collapsed="false">
      <c r="A704" s="3" t="s">
        <v>2109</v>
      </c>
      <c r="B704" s="4" t="n">
        <v>45690</v>
      </c>
      <c r="C704" s="4" t="n">
        <v>45694</v>
      </c>
      <c r="D704" s="3" t="s">
        <v>2110</v>
      </c>
      <c r="E704" s="3" t="str">
        <f aca="false">PROPER(TRIM(SUBSTITUTE(Raw_Text_Fields!B705,CHAR(160)," ")))</f>
        <v>Karan Malhotra</v>
      </c>
      <c r="F704" s="3" t="str">
        <f aca="false">PROPER(TRIM(SUBSTITUTE(Raw_Text_Fields!C705,CHAR(160)," ")))</f>
        <v>Small Business</v>
      </c>
      <c r="G704" s="3" t="str">
        <f aca="false">PROPER(TRIM(SUBSTITUTE(Raw_Text_Fields!D705,CHAR(160)," ")))</f>
        <v>West</v>
      </c>
      <c r="H704" s="3" t="str">
        <f aca="false">PROPER(TRIM(SUBSTITUTE(Raw_Text_Fields!E705,CHAR(160)," ")))</f>
        <v>Rajasthan</v>
      </c>
      <c r="I704" s="3" t="str">
        <f aca="false">PROPER(TRIM(SUBSTITUTE(Raw_Text_Fields!F705,CHAR(160)," ")))</f>
        <v>Udaipur</v>
      </c>
      <c r="J704" s="3" t="str">
        <f aca="false">PROPER(TRIM(SUBSTITUTE(Raw_Text_Fields!G705,CHAR(160)," ")))</f>
        <v>Furniture</v>
      </c>
      <c r="K704" s="3" t="str">
        <f aca="false">PROPER(TRIM(SUBSTITUTE(Raw_Text_Fields!H705,CHAR(160)," ")))</f>
        <v>Tables</v>
      </c>
      <c r="L704" s="3" t="s">
        <v>2111</v>
      </c>
      <c r="M704" s="3" t="str">
        <f aca="false">PROPER(TRIM(SUBSTITUTE(Raw_Text_Fields!I705,CHAR(160)," ")))</f>
        <v>Second Class</v>
      </c>
      <c r="N704" s="3" t="n">
        <v>3</v>
      </c>
      <c r="O704" s="5" t="n">
        <v>997.34</v>
      </c>
      <c r="P704" s="6" t="n">
        <v>0.1</v>
      </c>
      <c r="Q704" s="5" t="n">
        <v>2692.82</v>
      </c>
      <c r="R704" s="5" t="n">
        <v>1820.08</v>
      </c>
      <c r="S704" s="5" t="n">
        <v>872.74</v>
      </c>
      <c r="T704" s="3" t="str">
        <f aca="false">PROPER(TRIM(SUBSTITUTE(Raw_Text_Fields!J705,CHAR(160)," ")))</f>
        <v>Paid</v>
      </c>
      <c r="U704" s="3" t="str">
        <f aca="false">PROPER(TRIM(SUBSTITUTE(Raw_Text_Fields!K705,CHAR(160)," ")))</f>
        <v>Completed</v>
      </c>
      <c r="V704" s="7" t="n">
        <f aca="false">IF(OR(P704&lt;0,P704&gt;0.5),0,P704)</f>
        <v>0.1</v>
      </c>
      <c r="W704" s="8" t="n">
        <f aca="false">N704*O704*(1-V704)</f>
        <v>2692.818</v>
      </c>
      <c r="X704" s="8" t="n">
        <f aca="false">W704-R704</f>
        <v>872.738</v>
      </c>
      <c r="Y704" s="7" t="n">
        <f aca="false">IFERROR(X704/W704,0)</f>
        <v>0.32409839803507</v>
      </c>
      <c r="Z704" s="9" t="n">
        <f aca="false">C704-B704</f>
        <v>4</v>
      </c>
      <c r="AA704" s="1" t="str">
        <f aca="false">IF(B704="","",TEXT(B704,"mmm"))</f>
        <v>Feb</v>
      </c>
      <c r="AB704" s="9" t="n">
        <f aca="false">IF(B704="","",YEAR(B704))</f>
        <v>2025</v>
      </c>
      <c r="AC704" s="3"/>
      <c r="AD704" s="3" t="str">
        <f aca="false">IF(LEFT(AC704&amp;IF(B704="","; Missing Order Date","")&amp;IF(C704="","; Missing Ship Date","")&amp;IF(P704&lt;0,"; Invalid Discount (Negative)","")&amp;IF(P704&gt;0.5,"; Invalid Discount (Too High)","")&amp;IF(Z704&lt;0,"; Invalid Shipping Record (Ship Before Order)","")&amp;IF(ABS(Q704-W704)&gt;1,"; Sales Mismatch","")&amp;IF(ABS(S704-X704)&gt;1,"; Profit Mismatch","")&amp;IF(COUNTIF($A$2:$A$913,A704)&gt;1,"; Duplicate Order ID Conflict",""),2)="; ",MID(AC704&amp;IF(B704="","; Missing Order Date","")&amp;IF(C704="","; Missing Ship Date","")&amp;IF(P704&lt;0,"; Invalid Discount (Negative)","")&amp;IF(P704&gt;0.5,"; Invalid Discount (Too High)","")&amp;IF(Z704&lt;0,"; Invalid Shipping Record (Ship Before Order)","")&amp;IF(ABS(Q704-W704)&gt;1,"; Sales Mismatch","")&amp;IF(ABS(S704-X704)&gt;1,"; Profit Mismatch","")&amp;IF(COUNTIF($A$2:$A$913,A704)&gt;1,"; Duplicate Order ID Conflict",""),3,500),AC704&amp;IF(B704="","; Missing Order Date","")&amp;IF(C704="","; Missing Ship Date","")&amp;IF(P704&lt;0,"; Invalid Discount (Negative)","")&amp;IF(P704&gt;0.5,"; Invalid Discount (Too High)","")&amp;IF(Z704&lt;0,"; Invalid Shipping Record (Ship Before Order)","")&amp;IF(ABS(Q704-W704)&gt;1,"; Sales Mismatch","")&amp;IF(ABS(S704-X704)&gt;1,"; Profit Mismatch","")&amp;IF(COUNTIF($A$2:$A$913,A704)&gt;1,"; Duplicate Order ID Conflict",""))</f>
        <v/>
      </c>
      <c r="AE704" s="10" t="str">
        <f aca="false">IF(OR(ISNUMBER(SEARCH("Invalid Discount",AD704)),ISNUMBER(SEARCH("Invalid Shipping Record",AD704)),ISNUMBER(SEARCH("Sales Mismatch",AD704)),ISNUMBER(SEARCH("Profit Mismatch",AD704)),ISNUMBER(SEARCH("Duplicate Order ID Conflict",AD704)),ISNUMBER(SEARCH("Missing Order Date",AD704)),ISNUMBER(SEARCH("Missing Ship Date",AD704))),"Invalid",IF(AD704&lt;&gt;"","Warning","Clean"))</f>
        <v>Clean</v>
      </c>
    </row>
    <row r="705" customFormat="false" ht="15" hidden="false" customHeight="true" outlineLevel="0" collapsed="false">
      <c r="A705" s="3" t="s">
        <v>2112</v>
      </c>
      <c r="B705" s="4" t="n">
        <v>45584</v>
      </c>
      <c r="C705" s="4" t="n">
        <v>45585</v>
      </c>
      <c r="D705" s="3" t="s">
        <v>2113</v>
      </c>
      <c r="E705" s="3" t="str">
        <f aca="false">PROPER(TRIM(SUBSTITUTE(Raw_Text_Fields!B706,CHAR(160)," ")))</f>
        <v>Aditi Sen</v>
      </c>
      <c r="F705" s="3" t="str">
        <f aca="false">PROPER(TRIM(SUBSTITUTE(Raw_Text_Fields!C706,CHAR(160)," ")))</f>
        <v>Corporate</v>
      </c>
      <c r="G705" s="3" t="str">
        <f aca="false">PROPER(TRIM(SUBSTITUTE(Raw_Text_Fields!D706,CHAR(160)," ")))</f>
        <v>North</v>
      </c>
      <c r="H705" s="3" t="str">
        <f aca="false">PROPER(TRIM(SUBSTITUTE(Raw_Text_Fields!E706,CHAR(160)," ")))</f>
        <v>Rajasthan</v>
      </c>
      <c r="I705" s="3" t="str">
        <f aca="false">PROPER(TRIM(SUBSTITUTE(Raw_Text_Fields!F706,CHAR(160)," ")))</f>
        <v>Jaipur</v>
      </c>
      <c r="J705" s="3" t="str">
        <f aca="false">PROPER(TRIM(SUBSTITUTE(Raw_Text_Fields!G706,CHAR(160)," ")))</f>
        <v>Furniture</v>
      </c>
      <c r="K705" s="3" t="str">
        <f aca="false">PROPER(TRIM(SUBSTITUTE(Raw_Text_Fields!H706,CHAR(160)," ")))</f>
        <v>Tables</v>
      </c>
      <c r="L705" s="3" t="s">
        <v>2114</v>
      </c>
      <c r="M705" s="3" t="str">
        <f aca="false">PROPER(TRIM(SUBSTITUTE(Raw_Text_Fields!I706,CHAR(160)," ")))</f>
        <v>First Class</v>
      </c>
      <c r="N705" s="3" t="n">
        <v>1</v>
      </c>
      <c r="O705" s="5" t="n">
        <v>1150.03</v>
      </c>
      <c r="P705" s="6" t="n">
        <v>0.1</v>
      </c>
      <c r="Q705" s="5" t="n">
        <v>1035.03</v>
      </c>
      <c r="R705" s="5" t="n">
        <v>854.35</v>
      </c>
      <c r="S705" s="5" t="n">
        <v>180.68</v>
      </c>
      <c r="T705" s="3" t="str">
        <f aca="false">PROPER(TRIM(SUBSTITUTE(Raw_Text_Fields!J706,CHAR(160)," ")))</f>
        <v>Paid</v>
      </c>
      <c r="U705" s="3" t="str">
        <f aca="false">PROPER(TRIM(SUBSTITUTE(Raw_Text_Fields!K706,CHAR(160)," ")))</f>
        <v>Completed</v>
      </c>
      <c r="V705" s="7" t="n">
        <f aca="false">IF(OR(P705&lt;0,P705&gt;0.5),0,P705)</f>
        <v>0.1</v>
      </c>
      <c r="W705" s="8" t="n">
        <f aca="false">N705*O705*(1-V705)</f>
        <v>1035.027</v>
      </c>
      <c r="X705" s="8" t="n">
        <f aca="false">W705-R705</f>
        <v>180.677</v>
      </c>
      <c r="Y705" s="7" t="n">
        <f aca="false">IFERROR(X705/W705,0)</f>
        <v>0.174562595951603</v>
      </c>
      <c r="Z705" s="9" t="n">
        <f aca="false">C705-B705</f>
        <v>1</v>
      </c>
      <c r="AA705" s="1" t="str">
        <f aca="false">IF(B705="","",TEXT(B705,"mmm"))</f>
        <v>Oct</v>
      </c>
      <c r="AB705" s="9" t="n">
        <f aca="false">IF(B705="","",YEAR(B705))</f>
        <v>2024</v>
      </c>
      <c r="AC705" s="3"/>
      <c r="AD705" s="3" t="str">
        <f aca="false">IF(LEFT(AC705&amp;IF(B705="","; Missing Order Date","")&amp;IF(C705="","; Missing Ship Date","")&amp;IF(P705&lt;0,"; Invalid Discount (Negative)","")&amp;IF(P705&gt;0.5,"; Invalid Discount (Too High)","")&amp;IF(Z705&lt;0,"; Invalid Shipping Record (Ship Before Order)","")&amp;IF(ABS(Q705-W705)&gt;1,"; Sales Mismatch","")&amp;IF(ABS(S705-X705)&gt;1,"; Profit Mismatch","")&amp;IF(COUNTIF($A$2:$A$913,A705)&gt;1,"; Duplicate Order ID Conflict",""),2)="; ",MID(AC705&amp;IF(B705="","; Missing Order Date","")&amp;IF(C705="","; Missing Ship Date","")&amp;IF(P705&lt;0,"; Invalid Discount (Negative)","")&amp;IF(P705&gt;0.5,"; Invalid Discount (Too High)","")&amp;IF(Z705&lt;0,"; Invalid Shipping Record (Ship Before Order)","")&amp;IF(ABS(Q705-W705)&gt;1,"; Sales Mismatch","")&amp;IF(ABS(S705-X705)&gt;1,"; Profit Mismatch","")&amp;IF(COUNTIF($A$2:$A$913,A705)&gt;1,"; Duplicate Order ID Conflict",""),3,500),AC705&amp;IF(B705="","; Missing Order Date","")&amp;IF(C705="","; Missing Ship Date","")&amp;IF(P705&lt;0,"; Invalid Discount (Negative)","")&amp;IF(P705&gt;0.5,"; Invalid Discount (Too High)","")&amp;IF(Z705&lt;0,"; Invalid Shipping Record (Ship Before Order)","")&amp;IF(ABS(Q705-W705)&gt;1,"; Sales Mismatch","")&amp;IF(ABS(S705-X705)&gt;1,"; Profit Mismatch","")&amp;IF(COUNTIF($A$2:$A$913,A705)&gt;1,"; Duplicate Order ID Conflict",""))</f>
        <v/>
      </c>
      <c r="AE705" s="10" t="str">
        <f aca="false">IF(OR(ISNUMBER(SEARCH("Invalid Discount",AD705)),ISNUMBER(SEARCH("Invalid Shipping Record",AD705)),ISNUMBER(SEARCH("Sales Mismatch",AD705)),ISNUMBER(SEARCH("Profit Mismatch",AD705)),ISNUMBER(SEARCH("Duplicate Order ID Conflict",AD705)),ISNUMBER(SEARCH("Missing Order Date",AD705)),ISNUMBER(SEARCH("Missing Ship Date",AD705))),"Invalid",IF(AD705&lt;&gt;"","Warning","Clean"))</f>
        <v>Clean</v>
      </c>
    </row>
    <row r="706" customFormat="false" ht="15" hidden="false" customHeight="true" outlineLevel="0" collapsed="false">
      <c r="A706" s="3" t="s">
        <v>2115</v>
      </c>
      <c r="B706" s="4" t="n">
        <v>45364</v>
      </c>
      <c r="C706" s="4" t="n">
        <v>45371</v>
      </c>
      <c r="D706" s="3" t="s">
        <v>2116</v>
      </c>
      <c r="E706" s="3" t="str">
        <f aca="false">PROPER(TRIM(SUBSTITUTE(Raw_Text_Fields!B707,CHAR(160)," ")))</f>
        <v>Priya Menon</v>
      </c>
      <c r="F706" s="3" t="str">
        <f aca="false">PROPER(TRIM(SUBSTITUTE(Raw_Text_Fields!C707,CHAR(160)," ")))</f>
        <v>Home Office</v>
      </c>
      <c r="G706" s="3" t="str">
        <f aca="false">PROPER(TRIM(SUBSTITUTE(Raw_Text_Fields!D707,CHAR(160)," ")))</f>
        <v>South</v>
      </c>
      <c r="H706" s="3" t="str">
        <f aca="false">PROPER(TRIM(SUBSTITUTE(Raw_Text_Fields!E707,CHAR(160)," ")))</f>
        <v>Tamil Nadu</v>
      </c>
      <c r="I706" s="3" t="str">
        <f aca="false">PROPER(TRIM(SUBSTITUTE(Raw_Text_Fields!F707,CHAR(160)," ")))</f>
        <v>Chennai</v>
      </c>
      <c r="J706" s="3" t="str">
        <f aca="false">PROPER(TRIM(SUBSTITUTE(Raw_Text_Fields!G707,CHAR(160)," ")))</f>
        <v>Furniture</v>
      </c>
      <c r="K706" s="3" t="str">
        <f aca="false">PROPER(TRIM(SUBSTITUTE(Raw_Text_Fields!H707,CHAR(160)," ")))</f>
        <v>Bookcases</v>
      </c>
      <c r="L706" s="3" t="s">
        <v>2117</v>
      </c>
      <c r="M706" s="3" t="str">
        <f aca="false">PROPER(TRIM(SUBSTITUTE(Raw_Text_Fields!I707,CHAR(160)," ")))</f>
        <v>Unknown</v>
      </c>
      <c r="N706" s="3" t="n">
        <v>1</v>
      </c>
      <c r="O706" s="5" t="n">
        <v>2825.63</v>
      </c>
      <c r="P706" s="6" t="n">
        <v>0.15</v>
      </c>
      <c r="Q706" s="5" t="n">
        <v>2401.79</v>
      </c>
      <c r="R706" s="5" t="n">
        <v>1820.34</v>
      </c>
      <c r="S706" s="5" t="n">
        <v>581.45</v>
      </c>
      <c r="T706" s="3" t="str">
        <f aca="false">PROPER(TRIM(SUBSTITUTE(Raw_Text_Fields!J707,CHAR(160)," ")))</f>
        <v>Paid</v>
      </c>
      <c r="U706" s="3" t="str">
        <f aca="false">PROPER(TRIM(SUBSTITUTE(Raw_Text_Fields!K707,CHAR(160)," ")))</f>
        <v>Completed</v>
      </c>
      <c r="V706" s="7" t="n">
        <f aca="false">IF(OR(P706&lt;0,P706&gt;0.5),0,P706)</f>
        <v>0.15</v>
      </c>
      <c r="W706" s="8" t="n">
        <f aca="false">N706*O706*(1-V706)</f>
        <v>2401.7855</v>
      </c>
      <c r="X706" s="8" t="n">
        <f aca="false">W706-R706</f>
        <v>581.4455</v>
      </c>
      <c r="Y706" s="7" t="n">
        <f aca="false">IFERROR(X706/W706,0)</f>
        <v>0.24208885431276</v>
      </c>
      <c r="Z706" s="9" t="n">
        <f aca="false">C706-B706</f>
        <v>7</v>
      </c>
      <c r="AA706" s="1" t="str">
        <f aca="false">IF(B706="","",TEXT(B706,"mmm"))</f>
        <v>Mar</v>
      </c>
      <c r="AB706" s="9" t="n">
        <f aca="false">IF(B706="","",YEAR(B706))</f>
        <v>2024</v>
      </c>
      <c r="AC706" s="3" t="s">
        <v>137</v>
      </c>
      <c r="AD706" s="3" t="str">
        <f aca="false">IF(LEFT(AC706&amp;IF(B706="","; Missing Order Date","")&amp;IF(C706="","; Missing Ship Date","")&amp;IF(P706&lt;0,"; Invalid Discount (Negative)","")&amp;IF(P706&gt;0.5,"; Invalid Discount (Too High)","")&amp;IF(Z706&lt;0,"; Invalid Shipping Record (Ship Before Order)","")&amp;IF(ABS(Q706-W706)&gt;1,"; Sales Mismatch","")&amp;IF(ABS(S706-X706)&gt;1,"; Profit Mismatch","")&amp;IF(COUNTIF($A$2:$A$913,A706)&gt;1,"; Duplicate Order ID Conflict",""),2)="; ",MID(AC706&amp;IF(B706="","; Missing Order Date","")&amp;IF(C706="","; Missing Ship Date","")&amp;IF(P706&lt;0,"; Invalid Discount (Negative)","")&amp;IF(P706&gt;0.5,"; Invalid Discount (Too High)","")&amp;IF(Z706&lt;0,"; Invalid Shipping Record (Ship Before Order)","")&amp;IF(ABS(Q706-W706)&gt;1,"; Sales Mismatch","")&amp;IF(ABS(S706-X706)&gt;1,"; Profit Mismatch","")&amp;IF(COUNTIF($A$2:$A$913,A706)&gt;1,"; Duplicate Order ID Conflict",""),3,500),AC706&amp;IF(B706="","; Missing Order Date","")&amp;IF(C706="","; Missing Ship Date","")&amp;IF(P706&lt;0,"; Invalid Discount (Negative)","")&amp;IF(P706&gt;0.5,"; Invalid Discount (Too High)","")&amp;IF(Z706&lt;0,"; Invalid Shipping Record (Ship Before Order)","")&amp;IF(ABS(Q706-W706)&gt;1,"; Sales Mismatch","")&amp;IF(ABS(S706-X706)&gt;1,"; Profit Mismatch","")&amp;IF(COUNTIF($A$2:$A$913,A706)&gt;1,"; Duplicate Order ID Conflict",""))</f>
        <v>Missing Ship Mode (filled Unknown)</v>
      </c>
      <c r="AE706" s="10" t="str">
        <f aca="false">IF(OR(ISNUMBER(SEARCH("Invalid Discount",AD706)),ISNUMBER(SEARCH("Invalid Shipping Record",AD706)),ISNUMBER(SEARCH("Sales Mismatch",AD706)),ISNUMBER(SEARCH("Profit Mismatch",AD706)),ISNUMBER(SEARCH("Duplicate Order ID Conflict",AD706)),ISNUMBER(SEARCH("Missing Order Date",AD706)),ISNUMBER(SEARCH("Missing Ship Date",AD706))),"Invalid",IF(AD706&lt;&gt;"","Warning","Clean"))</f>
        <v>Warning</v>
      </c>
    </row>
    <row r="707" customFormat="false" ht="15" hidden="false" customHeight="true" outlineLevel="0" collapsed="false">
      <c r="A707" s="3" t="s">
        <v>2118</v>
      </c>
      <c r="B707" s="4" t="n">
        <v>45543</v>
      </c>
      <c r="C707" s="4" t="n">
        <v>45549</v>
      </c>
      <c r="D707" s="3" t="s">
        <v>2119</v>
      </c>
      <c r="E707" s="3" t="str">
        <f aca="false">PROPER(TRIM(SUBSTITUTE(Raw_Text_Fields!B708,CHAR(160)," ")))</f>
        <v>Rohan Mehta</v>
      </c>
      <c r="F707" s="3" t="str">
        <f aca="false">PROPER(TRIM(SUBSTITUTE(Raw_Text_Fields!C708,CHAR(160)," ")))</f>
        <v>Consumer</v>
      </c>
      <c r="G707" s="3" t="str">
        <f aca="false">PROPER(TRIM(SUBSTITUTE(Raw_Text_Fields!D708,CHAR(160)," ")))</f>
        <v>North</v>
      </c>
      <c r="H707" s="3" t="str">
        <f aca="false">PROPER(TRIM(SUBSTITUTE(Raw_Text_Fields!E708,CHAR(160)," ")))</f>
        <v>Rajasthan</v>
      </c>
      <c r="I707" s="3" t="str">
        <f aca="false">PROPER(TRIM(SUBSTITUTE(Raw_Text_Fields!F708,CHAR(160)," ")))</f>
        <v>Jaipur</v>
      </c>
      <c r="J707" s="3" t="str">
        <f aca="false">PROPER(TRIM(SUBSTITUTE(Raw_Text_Fields!G708,CHAR(160)," ")))</f>
        <v>Office Supplies</v>
      </c>
      <c r="K707" s="3" t="str">
        <f aca="false">PROPER(TRIM(SUBSTITUTE(Raw_Text_Fields!H708,CHAR(160)," ")))</f>
        <v>Binders</v>
      </c>
      <c r="L707" s="3" t="s">
        <v>2120</v>
      </c>
      <c r="M707" s="3" t="str">
        <f aca="false">PROPER(TRIM(SUBSTITUTE(Raw_Text_Fields!I708,CHAR(160)," ")))</f>
        <v>Standard Class</v>
      </c>
      <c r="N707" s="3" t="n">
        <v>5</v>
      </c>
      <c r="O707" s="5" t="n">
        <v>3371.75</v>
      </c>
      <c r="P707" s="6" t="n">
        <v>0.05</v>
      </c>
      <c r="Q707" s="5" t="n">
        <v>16015.81</v>
      </c>
      <c r="R707" s="5" t="n">
        <v>11352.38</v>
      </c>
      <c r="S707" s="5" t="n">
        <v>4663.43</v>
      </c>
      <c r="T707" s="3" t="str">
        <f aca="false">PROPER(TRIM(SUBSTITUTE(Raw_Text_Fields!J708,CHAR(160)," ")))</f>
        <v>Paid</v>
      </c>
      <c r="U707" s="3" t="str">
        <f aca="false">PROPER(TRIM(SUBSTITUTE(Raw_Text_Fields!K708,CHAR(160)," ")))</f>
        <v>Completed</v>
      </c>
      <c r="V707" s="7" t="n">
        <f aca="false">IF(OR(P707&lt;0,P707&gt;0.5),0,P707)</f>
        <v>0.05</v>
      </c>
      <c r="W707" s="8" t="n">
        <f aca="false">N707*O707*(1-V707)</f>
        <v>16015.8125</v>
      </c>
      <c r="X707" s="8" t="n">
        <f aca="false">W707-R707</f>
        <v>4663.4325</v>
      </c>
      <c r="Y707" s="7" t="n">
        <f aca="false">IFERROR(X707/W707,0)</f>
        <v>0.291176766711024</v>
      </c>
      <c r="Z707" s="9" t="n">
        <f aca="false">C707-B707</f>
        <v>6</v>
      </c>
      <c r="AA707" s="1" t="str">
        <f aca="false">IF(B707="","",TEXT(B707,"mmm"))</f>
        <v>Sep</v>
      </c>
      <c r="AB707" s="9" t="n">
        <f aca="false">IF(B707="","",YEAR(B707))</f>
        <v>2024</v>
      </c>
      <c r="AC707" s="3"/>
      <c r="AD707" s="3" t="str">
        <f aca="false">IF(LEFT(AC707&amp;IF(B707="","; Missing Order Date","")&amp;IF(C707="","; Missing Ship Date","")&amp;IF(P707&lt;0,"; Invalid Discount (Negative)","")&amp;IF(P707&gt;0.5,"; Invalid Discount (Too High)","")&amp;IF(Z707&lt;0,"; Invalid Shipping Record (Ship Before Order)","")&amp;IF(ABS(Q707-W707)&gt;1,"; Sales Mismatch","")&amp;IF(ABS(S707-X707)&gt;1,"; Profit Mismatch","")&amp;IF(COUNTIF($A$2:$A$913,A707)&gt;1,"; Duplicate Order ID Conflict",""),2)="; ",MID(AC707&amp;IF(B707="","; Missing Order Date","")&amp;IF(C707="","; Missing Ship Date","")&amp;IF(P707&lt;0,"; Invalid Discount (Negative)","")&amp;IF(P707&gt;0.5,"; Invalid Discount (Too High)","")&amp;IF(Z707&lt;0,"; Invalid Shipping Record (Ship Before Order)","")&amp;IF(ABS(Q707-W707)&gt;1,"; Sales Mismatch","")&amp;IF(ABS(S707-X707)&gt;1,"; Profit Mismatch","")&amp;IF(COUNTIF($A$2:$A$913,A707)&gt;1,"; Duplicate Order ID Conflict",""),3,500),AC707&amp;IF(B707="","; Missing Order Date","")&amp;IF(C707="","; Missing Ship Date","")&amp;IF(P707&lt;0,"; Invalid Discount (Negative)","")&amp;IF(P707&gt;0.5,"; Invalid Discount (Too High)","")&amp;IF(Z707&lt;0,"; Invalid Shipping Record (Ship Before Order)","")&amp;IF(ABS(Q707-W707)&gt;1,"; Sales Mismatch","")&amp;IF(ABS(S707-X707)&gt;1,"; Profit Mismatch","")&amp;IF(COUNTIF($A$2:$A$913,A707)&gt;1,"; Duplicate Order ID Conflict",""))</f>
        <v/>
      </c>
      <c r="AE707" s="10" t="str">
        <f aca="false">IF(OR(ISNUMBER(SEARCH("Invalid Discount",AD707)),ISNUMBER(SEARCH("Invalid Shipping Record",AD707)),ISNUMBER(SEARCH("Sales Mismatch",AD707)),ISNUMBER(SEARCH("Profit Mismatch",AD707)),ISNUMBER(SEARCH("Duplicate Order ID Conflict",AD707)),ISNUMBER(SEARCH("Missing Order Date",AD707)),ISNUMBER(SEARCH("Missing Ship Date",AD707))),"Invalid",IF(AD707&lt;&gt;"","Warning","Clean"))</f>
        <v>Clean</v>
      </c>
    </row>
    <row r="708" customFormat="false" ht="15" hidden="false" customHeight="true" outlineLevel="0" collapsed="false">
      <c r="A708" s="3" t="s">
        <v>2121</v>
      </c>
      <c r="B708" s="4" t="n">
        <v>45467</v>
      </c>
      <c r="C708" s="4" t="n">
        <v>45471</v>
      </c>
      <c r="D708" s="3" t="s">
        <v>2122</v>
      </c>
      <c r="E708" s="3" t="str">
        <f aca="false">PROPER(TRIM(SUBSTITUTE(Raw_Text_Fields!B709,CHAR(160)," ")))</f>
        <v>Isha Nair</v>
      </c>
      <c r="F708" s="3" t="str">
        <f aca="false">PROPER(TRIM(SUBSTITUTE(Raw_Text_Fields!C709,CHAR(160)," ")))</f>
        <v>Small Business</v>
      </c>
      <c r="G708" s="3" t="str">
        <f aca="false">PROPER(TRIM(SUBSTITUTE(Raw_Text_Fields!D709,CHAR(160)," ")))</f>
        <v>East</v>
      </c>
      <c r="H708" s="3" t="str">
        <f aca="false">PROPER(TRIM(SUBSTITUTE(Raw_Text_Fields!E709,CHAR(160)," ")))</f>
        <v>Odisha</v>
      </c>
      <c r="I708" s="3" t="str">
        <f aca="false">PROPER(TRIM(SUBSTITUTE(Raw_Text_Fields!F709,CHAR(160)," ")))</f>
        <v>Bhubaneswar</v>
      </c>
      <c r="J708" s="3" t="str">
        <f aca="false">PROPER(TRIM(SUBSTITUTE(Raw_Text_Fields!G709,CHAR(160)," ")))</f>
        <v>Office Supplies</v>
      </c>
      <c r="K708" s="3" t="str">
        <f aca="false">PROPER(TRIM(SUBSTITUTE(Raw_Text_Fields!H709,CHAR(160)," ")))</f>
        <v>Paper</v>
      </c>
      <c r="L708" s="3" t="s">
        <v>2123</v>
      </c>
      <c r="M708" s="3" t="str">
        <f aca="false">PROPER(TRIM(SUBSTITUTE(Raw_Text_Fields!I709,CHAR(160)," ")))</f>
        <v>Same Day</v>
      </c>
      <c r="N708" s="3" t="n">
        <v>1</v>
      </c>
      <c r="O708" s="5" t="n">
        <v>2112.75</v>
      </c>
      <c r="P708" s="6" t="n">
        <v>0.1</v>
      </c>
      <c r="Q708" s="5" t="n">
        <v>1901.48</v>
      </c>
      <c r="R708" s="5" t="n">
        <v>1354.28</v>
      </c>
      <c r="S708" s="5" t="n">
        <v>547.2</v>
      </c>
      <c r="T708" s="3" t="str">
        <f aca="false">PROPER(TRIM(SUBSTITUTE(Raw_Text_Fields!J709,CHAR(160)," ")))</f>
        <v>Paid</v>
      </c>
      <c r="U708" s="3" t="str">
        <f aca="false">PROPER(TRIM(SUBSTITUTE(Raw_Text_Fields!K709,CHAR(160)," ")))</f>
        <v>Completed</v>
      </c>
      <c r="V708" s="7" t="n">
        <f aca="false">IF(OR(P708&lt;0,P708&gt;0.5),0,P708)</f>
        <v>0.1</v>
      </c>
      <c r="W708" s="8" t="n">
        <f aca="false">N708*O708*(1-V708)</f>
        <v>1901.475</v>
      </c>
      <c r="X708" s="8" t="n">
        <f aca="false">W708-R708</f>
        <v>547.195</v>
      </c>
      <c r="Y708" s="7" t="n">
        <f aca="false">IFERROR(X708/W708,0)</f>
        <v>0.287773964948264</v>
      </c>
      <c r="Z708" s="9" t="n">
        <f aca="false">C708-B708</f>
        <v>4</v>
      </c>
      <c r="AA708" s="1" t="str">
        <f aca="false">IF(B708="","",TEXT(B708,"mmm"))</f>
        <v>Jun</v>
      </c>
      <c r="AB708" s="9" t="n">
        <f aca="false">IF(B708="","",YEAR(B708))</f>
        <v>2024</v>
      </c>
      <c r="AC708" s="3"/>
      <c r="AD708" s="3" t="str">
        <f aca="false">IF(LEFT(AC708&amp;IF(B708="","; Missing Order Date","")&amp;IF(C708="","; Missing Ship Date","")&amp;IF(P708&lt;0,"; Invalid Discount (Negative)","")&amp;IF(P708&gt;0.5,"; Invalid Discount (Too High)","")&amp;IF(Z708&lt;0,"; Invalid Shipping Record (Ship Before Order)","")&amp;IF(ABS(Q708-W708)&gt;1,"; Sales Mismatch","")&amp;IF(ABS(S708-X708)&gt;1,"; Profit Mismatch","")&amp;IF(COUNTIF($A$2:$A$913,A708)&gt;1,"; Duplicate Order ID Conflict",""),2)="; ",MID(AC708&amp;IF(B708="","; Missing Order Date","")&amp;IF(C708="","; Missing Ship Date","")&amp;IF(P708&lt;0,"; Invalid Discount (Negative)","")&amp;IF(P708&gt;0.5,"; Invalid Discount (Too High)","")&amp;IF(Z708&lt;0,"; Invalid Shipping Record (Ship Before Order)","")&amp;IF(ABS(Q708-W708)&gt;1,"; Sales Mismatch","")&amp;IF(ABS(S708-X708)&gt;1,"; Profit Mismatch","")&amp;IF(COUNTIF($A$2:$A$913,A708)&gt;1,"; Duplicate Order ID Conflict",""),3,500),AC708&amp;IF(B708="","; Missing Order Date","")&amp;IF(C708="","; Missing Ship Date","")&amp;IF(P708&lt;0,"; Invalid Discount (Negative)","")&amp;IF(P708&gt;0.5,"; Invalid Discount (Too High)","")&amp;IF(Z708&lt;0,"; Invalid Shipping Record (Ship Before Order)","")&amp;IF(ABS(Q708-W708)&gt;1,"; Sales Mismatch","")&amp;IF(ABS(S708-X708)&gt;1,"; Profit Mismatch","")&amp;IF(COUNTIF($A$2:$A$913,A708)&gt;1,"; Duplicate Order ID Conflict",""))</f>
        <v/>
      </c>
      <c r="AE708" s="10" t="str">
        <f aca="false">IF(OR(ISNUMBER(SEARCH("Invalid Discount",AD708)),ISNUMBER(SEARCH("Invalid Shipping Record",AD708)),ISNUMBER(SEARCH("Sales Mismatch",AD708)),ISNUMBER(SEARCH("Profit Mismatch",AD708)),ISNUMBER(SEARCH("Duplicate Order ID Conflict",AD708)),ISNUMBER(SEARCH("Missing Order Date",AD708)),ISNUMBER(SEARCH("Missing Ship Date",AD708))),"Invalid",IF(AD708&lt;&gt;"","Warning","Clean"))</f>
        <v>Clean</v>
      </c>
    </row>
    <row r="709" customFormat="false" ht="15" hidden="false" customHeight="true" outlineLevel="0" collapsed="false">
      <c r="A709" s="3" t="s">
        <v>2124</v>
      </c>
      <c r="B709" s="4" t="n">
        <v>45832</v>
      </c>
      <c r="C709" s="4" t="n">
        <v>45834</v>
      </c>
      <c r="D709" s="3" t="s">
        <v>2125</v>
      </c>
      <c r="E709" s="3" t="str">
        <f aca="false">PROPER(TRIM(SUBSTITUTE(Raw_Text_Fields!B710,CHAR(160)," ")))</f>
        <v>Vikram Iyer</v>
      </c>
      <c r="F709" s="3" t="str">
        <f aca="false">PROPER(TRIM(SUBSTITUTE(Raw_Text_Fields!C710,CHAR(160)," ")))</f>
        <v>Consumer</v>
      </c>
      <c r="G709" s="3" t="str">
        <f aca="false">PROPER(TRIM(SUBSTITUTE(Raw_Text_Fields!D710,CHAR(160)," ")))</f>
        <v>North</v>
      </c>
      <c r="H709" s="3" t="str">
        <f aca="false">PROPER(TRIM(SUBSTITUTE(Raw_Text_Fields!E710,CHAR(160)," ")))</f>
        <v>Rajasthan</v>
      </c>
      <c r="I709" s="3" t="str">
        <f aca="false">PROPER(TRIM(SUBSTITUTE(Raw_Text_Fields!F710,CHAR(160)," ")))</f>
        <v>Jaipur</v>
      </c>
      <c r="J709" s="3" t="str">
        <f aca="false">PROPER(TRIM(SUBSTITUTE(Raw_Text_Fields!G710,CHAR(160)," ")))</f>
        <v>Technology</v>
      </c>
      <c r="K709" s="3" t="str">
        <f aca="false">PROPER(TRIM(SUBSTITUTE(Raw_Text_Fields!H710,CHAR(160)," ")))</f>
        <v>Accessories</v>
      </c>
      <c r="L709" s="3" t="s">
        <v>2126</v>
      </c>
      <c r="M709" s="3" t="str">
        <f aca="false">PROPER(TRIM(SUBSTITUTE(Raw_Text_Fields!I710,CHAR(160)," ")))</f>
        <v>Same Day</v>
      </c>
      <c r="N709" s="3" t="n">
        <v>5</v>
      </c>
      <c r="O709" s="5" t="n">
        <v>3722.66</v>
      </c>
      <c r="P709" s="6" t="n">
        <v>0.55</v>
      </c>
      <c r="Q709" s="5" t="n">
        <v>16751.97</v>
      </c>
      <c r="R709" s="5" t="n">
        <v>11678.32</v>
      </c>
      <c r="S709" s="5" t="n">
        <v>5073.65</v>
      </c>
      <c r="T709" s="3" t="str">
        <f aca="false">PROPER(TRIM(SUBSTITUTE(Raw_Text_Fields!J710,CHAR(160)," ")))</f>
        <v>Paid</v>
      </c>
      <c r="U709" s="3" t="str">
        <f aca="false">PROPER(TRIM(SUBSTITUTE(Raw_Text_Fields!K710,CHAR(160)," ")))</f>
        <v>Completed</v>
      </c>
      <c r="V709" s="7" t="n">
        <f aca="false">IF(OR(P709&lt;0,P709&gt;0.5),0,P709)</f>
        <v>0</v>
      </c>
      <c r="W709" s="8" t="n">
        <f aca="false">N709*O709*(1-V709)</f>
        <v>18613.3</v>
      </c>
      <c r="X709" s="8" t="n">
        <f aca="false">W709-R709</f>
        <v>6934.98</v>
      </c>
      <c r="Y709" s="7" t="n">
        <f aca="false">IFERROR(X709/W709,0)</f>
        <v>0.372581970956252</v>
      </c>
      <c r="Z709" s="9" t="n">
        <f aca="false">C709-B709</f>
        <v>2</v>
      </c>
      <c r="AA709" s="1" t="str">
        <f aca="false">IF(B709="","",TEXT(B709,"mmm"))</f>
        <v>Jun</v>
      </c>
      <c r="AB709" s="9" t="n">
        <f aca="false">IF(B709="","",YEAR(B709))</f>
        <v>2025</v>
      </c>
      <c r="AC709" s="3"/>
      <c r="AD709" s="3" t="str">
        <f aca="false">IF(LEFT(AC709&amp;IF(B709="","; Missing Order Date","")&amp;IF(C709="","; Missing Ship Date","")&amp;IF(P709&lt;0,"; Invalid Discount (Negative)","")&amp;IF(P709&gt;0.5,"; Invalid Discount (Too High)","")&amp;IF(Z709&lt;0,"; Invalid Shipping Record (Ship Before Order)","")&amp;IF(ABS(Q709-W709)&gt;1,"; Sales Mismatch","")&amp;IF(ABS(S709-X709)&gt;1,"; Profit Mismatch","")&amp;IF(COUNTIF($A$2:$A$913,A709)&gt;1,"; Duplicate Order ID Conflict",""),2)="; ",MID(AC709&amp;IF(B709="","; Missing Order Date","")&amp;IF(C709="","; Missing Ship Date","")&amp;IF(P709&lt;0,"; Invalid Discount (Negative)","")&amp;IF(P709&gt;0.5,"; Invalid Discount (Too High)","")&amp;IF(Z709&lt;0,"; Invalid Shipping Record (Ship Before Order)","")&amp;IF(ABS(Q709-W709)&gt;1,"; Sales Mismatch","")&amp;IF(ABS(S709-X709)&gt;1,"; Profit Mismatch","")&amp;IF(COUNTIF($A$2:$A$913,A709)&gt;1,"; Duplicate Order ID Conflict",""),3,500),AC709&amp;IF(B709="","; Missing Order Date","")&amp;IF(C709="","; Missing Ship Date","")&amp;IF(P709&lt;0,"; Invalid Discount (Negative)","")&amp;IF(P709&gt;0.5,"; Invalid Discount (Too High)","")&amp;IF(Z709&lt;0,"; Invalid Shipping Record (Ship Before Order)","")&amp;IF(ABS(Q709-W709)&gt;1,"; Sales Mismatch","")&amp;IF(ABS(S709-X709)&gt;1,"; Profit Mismatch","")&amp;IF(COUNTIF($A$2:$A$913,A709)&gt;1,"; Duplicate Order ID Conflict",""))</f>
        <v>Invalid Discount (Too High); Sales Mismatch; Profit Mismatch</v>
      </c>
      <c r="AE709" s="10" t="str">
        <f aca="false">IF(OR(ISNUMBER(SEARCH("Invalid Discount",AD709)),ISNUMBER(SEARCH("Invalid Shipping Record",AD709)),ISNUMBER(SEARCH("Sales Mismatch",AD709)),ISNUMBER(SEARCH("Profit Mismatch",AD709)),ISNUMBER(SEARCH("Duplicate Order ID Conflict",AD709)),ISNUMBER(SEARCH("Missing Order Date",AD709)),ISNUMBER(SEARCH("Missing Ship Date",AD709))),"Invalid",IF(AD709&lt;&gt;"","Warning","Clean"))</f>
        <v>Invalid</v>
      </c>
    </row>
    <row r="710" customFormat="false" ht="15" hidden="false" customHeight="true" outlineLevel="0" collapsed="false">
      <c r="A710" s="3" t="s">
        <v>2127</v>
      </c>
      <c r="B710" s="4" t="n">
        <v>45736</v>
      </c>
      <c r="C710" s="4" t="n">
        <v>45742</v>
      </c>
      <c r="D710" s="3" t="s">
        <v>2128</v>
      </c>
      <c r="E710" s="3" t="str">
        <f aca="false">PROPER(TRIM(SUBSTITUTE(Raw_Text_Fields!B711,CHAR(160)," ")))</f>
        <v>Sneha Kapoor</v>
      </c>
      <c r="F710" s="3" t="str">
        <f aca="false">PROPER(TRIM(SUBSTITUTE(Raw_Text_Fields!C711,CHAR(160)," ")))</f>
        <v>Consumer</v>
      </c>
      <c r="G710" s="3" t="str">
        <f aca="false">PROPER(TRIM(SUBSTITUTE(Raw_Text_Fields!D711,CHAR(160)," ")))</f>
        <v>East</v>
      </c>
      <c r="H710" s="3" t="str">
        <f aca="false">PROPER(TRIM(SUBSTITUTE(Raw_Text_Fields!E711,CHAR(160)," ")))</f>
        <v>Assam</v>
      </c>
      <c r="I710" s="3" t="str">
        <f aca="false">PROPER(TRIM(SUBSTITUTE(Raw_Text_Fields!F711,CHAR(160)," ")))</f>
        <v>Guwahati</v>
      </c>
      <c r="J710" s="3" t="str">
        <f aca="false">PROPER(TRIM(SUBSTITUTE(Raw_Text_Fields!G711,CHAR(160)," ")))</f>
        <v>Furniture</v>
      </c>
      <c r="K710" s="3" t="str">
        <f aca="false">PROPER(TRIM(SUBSTITUTE(Raw_Text_Fields!H711,CHAR(160)," ")))</f>
        <v>Bookcases</v>
      </c>
      <c r="L710" s="3" t="s">
        <v>2129</v>
      </c>
      <c r="M710" s="3" t="str">
        <f aca="false">PROPER(TRIM(SUBSTITUTE(Raw_Text_Fields!I711,CHAR(160)," ")))</f>
        <v>First Class</v>
      </c>
      <c r="N710" s="3" t="n">
        <v>4</v>
      </c>
      <c r="O710" s="5" t="n">
        <v>4357.66</v>
      </c>
      <c r="P710" s="6" t="n">
        <v>0.05</v>
      </c>
      <c r="Q710" s="5" t="n">
        <v>16559.11</v>
      </c>
      <c r="R710" s="5" t="n">
        <v>13233.79</v>
      </c>
      <c r="S710" s="5" t="n">
        <v>3325.32</v>
      </c>
      <c r="T710" s="3" t="str">
        <f aca="false">PROPER(TRIM(SUBSTITUTE(Raw_Text_Fields!J711,CHAR(160)," ")))</f>
        <v>Paid</v>
      </c>
      <c r="U710" s="3" t="str">
        <f aca="false">PROPER(TRIM(SUBSTITUTE(Raw_Text_Fields!K711,CHAR(160)," ")))</f>
        <v>Completed</v>
      </c>
      <c r="V710" s="7" t="n">
        <f aca="false">IF(OR(P710&lt;0,P710&gt;0.5),0,P710)</f>
        <v>0.05</v>
      </c>
      <c r="W710" s="8" t="n">
        <f aca="false">N710*O710*(1-V710)</f>
        <v>16559.108</v>
      </c>
      <c r="X710" s="8" t="n">
        <f aca="false">W710-R710</f>
        <v>3325.318</v>
      </c>
      <c r="Y710" s="7" t="n">
        <f aca="false">IFERROR(X710/W710,0)</f>
        <v>0.200815043902123</v>
      </c>
      <c r="Z710" s="9" t="n">
        <f aca="false">C710-B710</f>
        <v>6</v>
      </c>
      <c r="AA710" s="1" t="str">
        <f aca="false">IF(B710="","",TEXT(B710,"mmm"))</f>
        <v>Mar</v>
      </c>
      <c r="AB710" s="9" t="n">
        <f aca="false">IF(B710="","",YEAR(B710))</f>
        <v>2025</v>
      </c>
      <c r="AC710" s="3"/>
      <c r="AD710" s="3" t="str">
        <f aca="false">IF(LEFT(AC710&amp;IF(B710="","; Missing Order Date","")&amp;IF(C710="","; Missing Ship Date","")&amp;IF(P710&lt;0,"; Invalid Discount (Negative)","")&amp;IF(P710&gt;0.5,"; Invalid Discount (Too High)","")&amp;IF(Z710&lt;0,"; Invalid Shipping Record (Ship Before Order)","")&amp;IF(ABS(Q710-W710)&gt;1,"; Sales Mismatch","")&amp;IF(ABS(S710-X710)&gt;1,"; Profit Mismatch","")&amp;IF(COUNTIF($A$2:$A$913,A710)&gt;1,"; Duplicate Order ID Conflict",""),2)="; ",MID(AC710&amp;IF(B710="","; Missing Order Date","")&amp;IF(C710="","; Missing Ship Date","")&amp;IF(P710&lt;0,"; Invalid Discount (Negative)","")&amp;IF(P710&gt;0.5,"; Invalid Discount (Too High)","")&amp;IF(Z710&lt;0,"; Invalid Shipping Record (Ship Before Order)","")&amp;IF(ABS(Q710-W710)&gt;1,"; Sales Mismatch","")&amp;IF(ABS(S710-X710)&gt;1,"; Profit Mismatch","")&amp;IF(COUNTIF($A$2:$A$913,A710)&gt;1,"; Duplicate Order ID Conflict",""),3,500),AC710&amp;IF(B710="","; Missing Order Date","")&amp;IF(C710="","; Missing Ship Date","")&amp;IF(P710&lt;0,"; Invalid Discount (Negative)","")&amp;IF(P710&gt;0.5,"; Invalid Discount (Too High)","")&amp;IF(Z710&lt;0,"; Invalid Shipping Record (Ship Before Order)","")&amp;IF(ABS(Q710-W710)&gt;1,"; Sales Mismatch","")&amp;IF(ABS(S710-X710)&gt;1,"; Profit Mismatch","")&amp;IF(COUNTIF($A$2:$A$913,A710)&gt;1,"; Duplicate Order ID Conflict",""))</f>
        <v/>
      </c>
      <c r="AE710" s="10" t="str">
        <f aca="false">IF(OR(ISNUMBER(SEARCH("Invalid Discount",AD710)),ISNUMBER(SEARCH("Invalid Shipping Record",AD710)),ISNUMBER(SEARCH("Sales Mismatch",AD710)),ISNUMBER(SEARCH("Profit Mismatch",AD710)),ISNUMBER(SEARCH("Duplicate Order ID Conflict",AD710)),ISNUMBER(SEARCH("Missing Order Date",AD710)),ISNUMBER(SEARCH("Missing Ship Date",AD710))),"Invalid",IF(AD710&lt;&gt;"","Warning","Clean"))</f>
        <v>Clean</v>
      </c>
    </row>
    <row r="711" customFormat="false" ht="15" hidden="false" customHeight="true" outlineLevel="0" collapsed="false">
      <c r="A711" s="3" t="s">
        <v>2130</v>
      </c>
      <c r="B711" s="4" t="n">
        <v>45676</v>
      </c>
      <c r="C711" s="4" t="n">
        <v>45680</v>
      </c>
      <c r="D711" s="3" t="s">
        <v>2131</v>
      </c>
      <c r="E711" s="3" t="str">
        <f aca="false">PROPER(TRIM(SUBSTITUTE(Raw_Text_Fields!B712,CHAR(160)," ")))</f>
        <v>Kabir Singh</v>
      </c>
      <c r="F711" s="3" t="str">
        <f aca="false">PROPER(TRIM(SUBSTITUTE(Raw_Text_Fields!C712,CHAR(160)," ")))</f>
        <v>Home Office</v>
      </c>
      <c r="G711" s="3" t="str">
        <f aca="false">PROPER(TRIM(SUBSTITUTE(Raw_Text_Fields!D712,CHAR(160)," ")))</f>
        <v>North</v>
      </c>
      <c r="H711" s="3" t="str">
        <f aca="false">PROPER(TRIM(SUBSTITUTE(Raw_Text_Fields!E712,CHAR(160)," ")))</f>
        <v>Punjab</v>
      </c>
      <c r="I711" s="3" t="str">
        <f aca="false">PROPER(TRIM(SUBSTITUTE(Raw_Text_Fields!F712,CHAR(160)," ")))</f>
        <v>Ludhiana</v>
      </c>
      <c r="J711" s="3" t="str">
        <f aca="false">PROPER(TRIM(SUBSTITUTE(Raw_Text_Fields!G712,CHAR(160)," ")))</f>
        <v>Technology</v>
      </c>
      <c r="K711" s="3" t="str">
        <f aca="false">PROPER(TRIM(SUBSTITUTE(Raw_Text_Fields!H712,CHAR(160)," ")))</f>
        <v>Phones</v>
      </c>
      <c r="L711" s="3" t="s">
        <v>2132</v>
      </c>
      <c r="M711" s="3" t="str">
        <f aca="false">PROPER(TRIM(SUBSTITUTE(Raw_Text_Fields!I712,CHAR(160)," ")))</f>
        <v>Same Day</v>
      </c>
      <c r="N711" s="3" t="n">
        <v>7</v>
      </c>
      <c r="O711" s="5" t="n">
        <v>1363.04</v>
      </c>
      <c r="P711" s="6" t="n">
        <v>0.15</v>
      </c>
      <c r="Q711" s="5" t="n">
        <v>8110.09</v>
      </c>
      <c r="R711" s="5" t="n">
        <v>6417.32</v>
      </c>
      <c r="S711" s="5" t="n">
        <v>1692.77</v>
      </c>
      <c r="T711" s="3" t="str">
        <f aca="false">PROPER(TRIM(SUBSTITUTE(Raw_Text_Fields!J712,CHAR(160)," ")))</f>
        <v>Paid</v>
      </c>
      <c r="U711" s="3" t="str">
        <f aca="false">PROPER(TRIM(SUBSTITUTE(Raw_Text_Fields!K712,CHAR(160)," ")))</f>
        <v>Cancelled</v>
      </c>
      <c r="V711" s="7" t="n">
        <f aca="false">IF(OR(P711&lt;0,P711&gt;0.5),0,P711)</f>
        <v>0.15</v>
      </c>
      <c r="W711" s="8" t="n">
        <f aca="false">N711*O711*(1-V711)</f>
        <v>8110.088</v>
      </c>
      <c r="X711" s="8" t="n">
        <f aca="false">W711-R711</f>
        <v>1692.768</v>
      </c>
      <c r="Y711" s="7" t="n">
        <f aca="false">IFERROR(X711/W711,0)</f>
        <v>0.208723752442637</v>
      </c>
      <c r="Z711" s="9" t="n">
        <f aca="false">C711-B711</f>
        <v>4</v>
      </c>
      <c r="AA711" s="1" t="str">
        <f aca="false">IF(B711="","",TEXT(B711,"mmm"))</f>
        <v>Jan</v>
      </c>
      <c r="AB711" s="9" t="n">
        <f aca="false">IF(B711="","",YEAR(B711))</f>
        <v>2025</v>
      </c>
      <c r="AC711" s="3"/>
      <c r="AD711" s="3" t="str">
        <f aca="false">IF(LEFT(AC711&amp;IF(B711="","; Missing Order Date","")&amp;IF(C711="","; Missing Ship Date","")&amp;IF(P711&lt;0,"; Invalid Discount (Negative)","")&amp;IF(P711&gt;0.5,"; Invalid Discount (Too High)","")&amp;IF(Z711&lt;0,"; Invalid Shipping Record (Ship Before Order)","")&amp;IF(ABS(Q711-W711)&gt;1,"; Sales Mismatch","")&amp;IF(ABS(S711-X711)&gt;1,"; Profit Mismatch","")&amp;IF(COUNTIF($A$2:$A$913,A711)&gt;1,"; Duplicate Order ID Conflict",""),2)="; ",MID(AC711&amp;IF(B711="","; Missing Order Date","")&amp;IF(C711="","; Missing Ship Date","")&amp;IF(P711&lt;0,"; Invalid Discount (Negative)","")&amp;IF(P711&gt;0.5,"; Invalid Discount (Too High)","")&amp;IF(Z711&lt;0,"; Invalid Shipping Record (Ship Before Order)","")&amp;IF(ABS(Q711-W711)&gt;1,"; Sales Mismatch","")&amp;IF(ABS(S711-X711)&gt;1,"; Profit Mismatch","")&amp;IF(COUNTIF($A$2:$A$913,A711)&gt;1,"; Duplicate Order ID Conflict",""),3,500),AC711&amp;IF(B711="","; Missing Order Date","")&amp;IF(C711="","; Missing Ship Date","")&amp;IF(P711&lt;0,"; Invalid Discount (Negative)","")&amp;IF(P711&gt;0.5,"; Invalid Discount (Too High)","")&amp;IF(Z711&lt;0,"; Invalid Shipping Record (Ship Before Order)","")&amp;IF(ABS(Q711-W711)&gt;1,"; Sales Mismatch","")&amp;IF(ABS(S711-X711)&gt;1,"; Profit Mismatch","")&amp;IF(COUNTIF($A$2:$A$913,A711)&gt;1,"; Duplicate Order ID Conflict",""))</f>
        <v/>
      </c>
      <c r="AE711" s="10" t="str">
        <f aca="false">IF(OR(ISNUMBER(SEARCH("Invalid Discount",AD711)),ISNUMBER(SEARCH("Invalid Shipping Record",AD711)),ISNUMBER(SEARCH("Sales Mismatch",AD711)),ISNUMBER(SEARCH("Profit Mismatch",AD711)),ISNUMBER(SEARCH("Duplicate Order ID Conflict",AD711)),ISNUMBER(SEARCH("Missing Order Date",AD711)),ISNUMBER(SEARCH("Missing Ship Date",AD711))),"Invalid",IF(AD711&lt;&gt;"","Warning","Clean"))</f>
        <v>Clean</v>
      </c>
    </row>
    <row r="712" customFormat="false" ht="15" hidden="false" customHeight="true" outlineLevel="0" collapsed="false">
      <c r="A712" s="3" t="s">
        <v>2133</v>
      </c>
      <c r="B712" s="4" t="n">
        <v>45485</v>
      </c>
      <c r="C712" s="4" t="n">
        <v>45492</v>
      </c>
      <c r="D712" s="3" t="s">
        <v>2134</v>
      </c>
      <c r="E712" s="3" t="str">
        <f aca="false">PROPER(TRIM(SUBSTITUTE(Raw_Text_Fields!B713,CHAR(160)," ")))</f>
        <v>Vikram Iyer</v>
      </c>
      <c r="F712" s="3" t="str">
        <f aca="false">PROPER(TRIM(SUBSTITUTE(Raw_Text_Fields!C713,CHAR(160)," ")))</f>
        <v>Corporate</v>
      </c>
      <c r="G712" s="3" t="str">
        <f aca="false">PROPER(TRIM(SUBSTITUTE(Raw_Text_Fields!D713,CHAR(160)," ")))</f>
        <v>North</v>
      </c>
      <c r="H712" s="3" t="str">
        <f aca="false">PROPER(TRIM(SUBSTITUTE(Raw_Text_Fields!E713,CHAR(160)," ")))</f>
        <v>Punjab</v>
      </c>
      <c r="I712" s="3" t="str">
        <f aca="false">PROPER(TRIM(SUBSTITUTE(Raw_Text_Fields!F713,CHAR(160)," ")))</f>
        <v>Ludhiana</v>
      </c>
      <c r="J712" s="3" t="str">
        <f aca="false">PROPER(TRIM(SUBSTITUTE(Raw_Text_Fields!G713,CHAR(160)," ")))</f>
        <v>Office Supplies</v>
      </c>
      <c r="K712" s="3" t="str">
        <f aca="false">PROPER(TRIM(SUBSTITUTE(Raw_Text_Fields!H713,CHAR(160)," ")))</f>
        <v>Art</v>
      </c>
      <c r="L712" s="3" t="s">
        <v>2135</v>
      </c>
      <c r="M712" s="3" t="str">
        <f aca="false">PROPER(TRIM(SUBSTITUTE(Raw_Text_Fields!I713,CHAR(160)," ")))</f>
        <v>Second Class</v>
      </c>
      <c r="N712" s="3" t="n">
        <v>5</v>
      </c>
      <c r="O712" s="5" t="n">
        <v>1559.16</v>
      </c>
      <c r="P712" s="6" t="n">
        <v>0.05</v>
      </c>
      <c r="Q712" s="5" t="n">
        <v>7406.01</v>
      </c>
      <c r="R712" s="5" t="n">
        <v>5941.74</v>
      </c>
      <c r="S712" s="5" t="n">
        <v>1464.27</v>
      </c>
      <c r="T712" s="3" t="str">
        <f aca="false">PROPER(TRIM(SUBSTITUTE(Raw_Text_Fields!J713,CHAR(160)," ")))</f>
        <v>Paid</v>
      </c>
      <c r="U712" s="3" t="str">
        <f aca="false">PROPER(TRIM(SUBSTITUTE(Raw_Text_Fields!K713,CHAR(160)," ")))</f>
        <v>Completed</v>
      </c>
      <c r="V712" s="7" t="n">
        <f aca="false">IF(OR(P712&lt;0,P712&gt;0.5),0,P712)</f>
        <v>0.05</v>
      </c>
      <c r="W712" s="8" t="n">
        <f aca="false">N712*O712*(1-V712)</f>
        <v>7406.01</v>
      </c>
      <c r="X712" s="8" t="n">
        <f aca="false">W712-R712</f>
        <v>1464.27</v>
      </c>
      <c r="Y712" s="7" t="n">
        <f aca="false">IFERROR(X712/W712,0)</f>
        <v>0.197713748698692</v>
      </c>
      <c r="Z712" s="9" t="n">
        <f aca="false">C712-B712</f>
        <v>7</v>
      </c>
      <c r="AA712" s="1" t="str">
        <f aca="false">IF(B712="","",TEXT(B712,"mmm"))</f>
        <v>Jul</v>
      </c>
      <c r="AB712" s="9" t="n">
        <f aca="false">IF(B712="","",YEAR(B712))</f>
        <v>2024</v>
      </c>
      <c r="AC712" s="3"/>
      <c r="AD712" s="3" t="str">
        <f aca="false">IF(LEFT(AC712&amp;IF(B712="","; Missing Order Date","")&amp;IF(C712="","; Missing Ship Date","")&amp;IF(P712&lt;0,"; Invalid Discount (Negative)","")&amp;IF(P712&gt;0.5,"; Invalid Discount (Too High)","")&amp;IF(Z712&lt;0,"; Invalid Shipping Record (Ship Before Order)","")&amp;IF(ABS(Q712-W712)&gt;1,"; Sales Mismatch","")&amp;IF(ABS(S712-X712)&gt;1,"; Profit Mismatch","")&amp;IF(COUNTIF($A$2:$A$913,A712)&gt;1,"; Duplicate Order ID Conflict",""),2)="; ",MID(AC712&amp;IF(B712="","; Missing Order Date","")&amp;IF(C712="","; Missing Ship Date","")&amp;IF(P712&lt;0,"; Invalid Discount (Negative)","")&amp;IF(P712&gt;0.5,"; Invalid Discount (Too High)","")&amp;IF(Z712&lt;0,"; Invalid Shipping Record (Ship Before Order)","")&amp;IF(ABS(Q712-W712)&gt;1,"; Sales Mismatch","")&amp;IF(ABS(S712-X712)&gt;1,"; Profit Mismatch","")&amp;IF(COUNTIF($A$2:$A$913,A712)&gt;1,"; Duplicate Order ID Conflict",""),3,500),AC712&amp;IF(B712="","; Missing Order Date","")&amp;IF(C712="","; Missing Ship Date","")&amp;IF(P712&lt;0,"; Invalid Discount (Negative)","")&amp;IF(P712&gt;0.5,"; Invalid Discount (Too High)","")&amp;IF(Z712&lt;0,"; Invalid Shipping Record (Ship Before Order)","")&amp;IF(ABS(Q712-W712)&gt;1,"; Sales Mismatch","")&amp;IF(ABS(S712-X712)&gt;1,"; Profit Mismatch","")&amp;IF(COUNTIF($A$2:$A$913,A712)&gt;1,"; Duplicate Order ID Conflict",""))</f>
        <v/>
      </c>
      <c r="AE712" s="10" t="str">
        <f aca="false">IF(OR(ISNUMBER(SEARCH("Invalid Discount",AD712)),ISNUMBER(SEARCH("Invalid Shipping Record",AD712)),ISNUMBER(SEARCH("Sales Mismatch",AD712)),ISNUMBER(SEARCH("Profit Mismatch",AD712)),ISNUMBER(SEARCH("Duplicate Order ID Conflict",AD712)),ISNUMBER(SEARCH("Missing Order Date",AD712)),ISNUMBER(SEARCH("Missing Ship Date",AD712))),"Invalid",IF(AD712&lt;&gt;"","Warning","Clean"))</f>
        <v>Clean</v>
      </c>
    </row>
    <row r="713" customFormat="false" ht="15" hidden="false" customHeight="true" outlineLevel="0" collapsed="false">
      <c r="A713" s="3" t="s">
        <v>2136</v>
      </c>
      <c r="B713" s="4" t="n">
        <v>45690</v>
      </c>
      <c r="C713" s="4" t="n">
        <v>45690</v>
      </c>
      <c r="D713" s="3" t="s">
        <v>2137</v>
      </c>
      <c r="E713" s="3" t="str">
        <f aca="false">PROPER(TRIM(SUBSTITUTE(Raw_Text_Fields!B714,CHAR(160)," ")))</f>
        <v>Kabir Singh</v>
      </c>
      <c r="F713" s="3" t="str">
        <f aca="false">PROPER(TRIM(SUBSTITUTE(Raw_Text_Fields!C714,CHAR(160)," ")))</f>
        <v>Corporate</v>
      </c>
      <c r="G713" s="3" t="str">
        <f aca="false">PROPER(TRIM(SUBSTITUTE(Raw_Text_Fields!D714,CHAR(160)," ")))</f>
        <v>East</v>
      </c>
      <c r="H713" s="3" t="str">
        <f aca="false">PROPER(TRIM(SUBSTITUTE(Raw_Text_Fields!E714,CHAR(160)," ")))</f>
        <v>West Bengal</v>
      </c>
      <c r="I713" s="3" t="str">
        <f aca="false">PROPER(TRIM(SUBSTITUTE(Raw_Text_Fields!F714,CHAR(160)," ")))</f>
        <v>Kolkata</v>
      </c>
      <c r="J713" s="3" t="str">
        <f aca="false">PROPER(TRIM(SUBSTITUTE(Raw_Text_Fields!G714,CHAR(160)," ")))</f>
        <v>Technology</v>
      </c>
      <c r="K713" s="3" t="str">
        <f aca="false">PROPER(TRIM(SUBSTITUTE(Raw_Text_Fields!H714,CHAR(160)," ")))</f>
        <v>Machines</v>
      </c>
      <c r="L713" s="3" t="s">
        <v>2138</v>
      </c>
      <c r="M713" s="3" t="str">
        <f aca="false">PROPER(TRIM(SUBSTITUTE(Raw_Text_Fields!I714,CHAR(160)," ")))</f>
        <v>First Class</v>
      </c>
      <c r="N713" s="3" t="n">
        <v>1</v>
      </c>
      <c r="O713" s="5" t="n">
        <v>4326.75</v>
      </c>
      <c r="P713" s="6" t="n">
        <v>0.05</v>
      </c>
      <c r="Q713" s="5" t="n">
        <v>4110.41</v>
      </c>
      <c r="R713" s="5" t="n">
        <v>2394.14</v>
      </c>
      <c r="S713" s="5" t="n">
        <v>1716.27</v>
      </c>
      <c r="T713" s="3" t="str">
        <f aca="false">PROPER(TRIM(SUBSTITUTE(Raw_Text_Fields!J714,CHAR(160)," ")))</f>
        <v>Pending</v>
      </c>
      <c r="U713" s="3" t="str">
        <f aca="false">PROPER(TRIM(SUBSTITUTE(Raw_Text_Fields!K714,CHAR(160)," ")))</f>
        <v>Returned</v>
      </c>
      <c r="V713" s="7" t="n">
        <f aca="false">IF(OR(P713&lt;0,P713&gt;0.5),0,P713)</f>
        <v>0.05</v>
      </c>
      <c r="W713" s="8" t="n">
        <f aca="false">N713*O713*(1-V713)</f>
        <v>4110.4125</v>
      </c>
      <c r="X713" s="8" t="n">
        <f aca="false">W713-R713</f>
        <v>1716.2725</v>
      </c>
      <c r="Y713" s="7" t="n">
        <f aca="false">IFERROR(X713/W713,0)</f>
        <v>0.417542643226197</v>
      </c>
      <c r="Z713" s="9" t="n">
        <f aca="false">C713-B713</f>
        <v>0</v>
      </c>
      <c r="AA713" s="1" t="str">
        <f aca="false">IF(B713="","",TEXT(B713,"mmm"))</f>
        <v>Feb</v>
      </c>
      <c r="AB713" s="9" t="n">
        <f aca="false">IF(B713="","",YEAR(B713))</f>
        <v>2025</v>
      </c>
      <c r="AC713" s="3"/>
      <c r="AD713" s="3" t="str">
        <f aca="false">IF(LEFT(AC713&amp;IF(B713="","; Missing Order Date","")&amp;IF(C713="","; Missing Ship Date","")&amp;IF(P713&lt;0,"; Invalid Discount (Negative)","")&amp;IF(P713&gt;0.5,"; Invalid Discount (Too High)","")&amp;IF(Z713&lt;0,"; Invalid Shipping Record (Ship Before Order)","")&amp;IF(ABS(Q713-W713)&gt;1,"; Sales Mismatch","")&amp;IF(ABS(S713-X713)&gt;1,"; Profit Mismatch","")&amp;IF(COUNTIF($A$2:$A$913,A713)&gt;1,"; Duplicate Order ID Conflict",""),2)="; ",MID(AC713&amp;IF(B713="","; Missing Order Date","")&amp;IF(C713="","; Missing Ship Date","")&amp;IF(P713&lt;0,"; Invalid Discount (Negative)","")&amp;IF(P713&gt;0.5,"; Invalid Discount (Too High)","")&amp;IF(Z713&lt;0,"; Invalid Shipping Record (Ship Before Order)","")&amp;IF(ABS(Q713-W713)&gt;1,"; Sales Mismatch","")&amp;IF(ABS(S713-X713)&gt;1,"; Profit Mismatch","")&amp;IF(COUNTIF($A$2:$A$913,A713)&gt;1,"; Duplicate Order ID Conflict",""),3,500),AC713&amp;IF(B713="","; Missing Order Date","")&amp;IF(C713="","; Missing Ship Date","")&amp;IF(P713&lt;0,"; Invalid Discount (Negative)","")&amp;IF(P713&gt;0.5,"; Invalid Discount (Too High)","")&amp;IF(Z713&lt;0,"; Invalid Shipping Record (Ship Before Order)","")&amp;IF(ABS(Q713-W713)&gt;1,"; Sales Mismatch","")&amp;IF(ABS(S713-X713)&gt;1,"; Profit Mismatch","")&amp;IF(COUNTIF($A$2:$A$913,A713)&gt;1,"; Duplicate Order ID Conflict",""))</f>
        <v/>
      </c>
      <c r="AE713" s="10" t="str">
        <f aca="false">IF(OR(ISNUMBER(SEARCH("Invalid Discount",AD713)),ISNUMBER(SEARCH("Invalid Shipping Record",AD713)),ISNUMBER(SEARCH("Sales Mismatch",AD713)),ISNUMBER(SEARCH("Profit Mismatch",AD713)),ISNUMBER(SEARCH("Duplicate Order ID Conflict",AD713)),ISNUMBER(SEARCH("Missing Order Date",AD713)),ISNUMBER(SEARCH("Missing Ship Date",AD713))),"Invalid",IF(AD713&lt;&gt;"","Warning","Clean"))</f>
        <v>Clean</v>
      </c>
    </row>
    <row r="714" customFormat="false" ht="15" hidden="false" customHeight="true" outlineLevel="0" collapsed="false">
      <c r="A714" s="3" t="s">
        <v>2139</v>
      </c>
      <c r="B714" s="4" t="n">
        <v>45332</v>
      </c>
      <c r="C714" s="4" t="n">
        <v>45340</v>
      </c>
      <c r="D714" s="3" t="s">
        <v>2140</v>
      </c>
      <c r="E714" s="3" t="str">
        <f aca="false">PROPER(TRIM(SUBSTITUTE(Raw_Text_Fields!B715,CHAR(160)," ")))</f>
        <v>Isha Nair</v>
      </c>
      <c r="F714" s="3" t="str">
        <f aca="false">PROPER(TRIM(SUBSTITUTE(Raw_Text_Fields!C715,CHAR(160)," ")))</f>
        <v>Home Office</v>
      </c>
      <c r="G714" s="3" t="str">
        <f aca="false">PROPER(TRIM(SUBSTITUTE(Raw_Text_Fields!D715,CHAR(160)," ")))</f>
        <v>West</v>
      </c>
      <c r="H714" s="3" t="str">
        <f aca="false">PROPER(TRIM(SUBSTITUTE(Raw_Text_Fields!E715,CHAR(160)," ")))</f>
        <v>Madhya Pradesh</v>
      </c>
      <c r="I714" s="3" t="str">
        <f aca="false">PROPER(TRIM(SUBSTITUTE(Raw_Text_Fields!F715,CHAR(160)," ")))</f>
        <v>Indore</v>
      </c>
      <c r="J714" s="3" t="str">
        <f aca="false">PROPER(TRIM(SUBSTITUTE(Raw_Text_Fields!G715,CHAR(160)," ")))</f>
        <v>Furniture</v>
      </c>
      <c r="K714" s="3" t="str">
        <f aca="false">PROPER(TRIM(SUBSTITUTE(Raw_Text_Fields!H715,CHAR(160)," ")))</f>
        <v>Chairs</v>
      </c>
      <c r="L714" s="3" t="s">
        <v>2141</v>
      </c>
      <c r="M714" s="3" t="str">
        <f aca="false">PROPER(TRIM(SUBSTITUTE(Raw_Text_Fields!I715,CHAR(160)," ")))</f>
        <v>First Class</v>
      </c>
      <c r="N714" s="3" t="n">
        <v>7</v>
      </c>
      <c r="O714" s="5" t="n">
        <v>1382.86</v>
      </c>
      <c r="P714" s="6" t="n">
        <v>0</v>
      </c>
      <c r="Q714" s="5" t="n">
        <v>9680.02</v>
      </c>
      <c r="R714" s="5" t="n">
        <v>6876.66</v>
      </c>
      <c r="S714" s="5" t="n">
        <v>2803.36</v>
      </c>
      <c r="T714" s="3" t="str">
        <f aca="false">PROPER(TRIM(SUBSTITUTE(Raw_Text_Fields!J715,CHAR(160)," ")))</f>
        <v>Paid</v>
      </c>
      <c r="U714" s="3" t="str">
        <f aca="false">PROPER(TRIM(SUBSTITUTE(Raw_Text_Fields!K715,CHAR(160)," ")))</f>
        <v>Completed</v>
      </c>
      <c r="V714" s="7" t="n">
        <f aca="false">IF(OR(P714&lt;0,P714&gt;0.5),0,P714)</f>
        <v>0</v>
      </c>
      <c r="W714" s="8" t="n">
        <f aca="false">N714*O714*(1-V714)</f>
        <v>9680.02</v>
      </c>
      <c r="X714" s="8" t="n">
        <f aca="false">W714-R714</f>
        <v>2803.36</v>
      </c>
      <c r="Y714" s="7" t="n">
        <f aca="false">IFERROR(X714/W714,0)</f>
        <v>0.289602707432423</v>
      </c>
      <c r="Z714" s="9" t="n">
        <f aca="false">C714-B714</f>
        <v>8</v>
      </c>
      <c r="AA714" s="1" t="str">
        <f aca="false">IF(B714="","",TEXT(B714,"mmm"))</f>
        <v>Feb</v>
      </c>
      <c r="AB714" s="9" t="n">
        <f aca="false">IF(B714="","",YEAR(B714))</f>
        <v>2024</v>
      </c>
      <c r="AC714" s="3"/>
      <c r="AD714" s="3" t="str">
        <f aca="false">IF(LEFT(AC714&amp;IF(B714="","; Missing Order Date","")&amp;IF(C714="","; Missing Ship Date","")&amp;IF(P714&lt;0,"; Invalid Discount (Negative)","")&amp;IF(P714&gt;0.5,"; Invalid Discount (Too High)","")&amp;IF(Z714&lt;0,"; Invalid Shipping Record (Ship Before Order)","")&amp;IF(ABS(Q714-W714)&gt;1,"; Sales Mismatch","")&amp;IF(ABS(S714-X714)&gt;1,"; Profit Mismatch","")&amp;IF(COUNTIF($A$2:$A$913,A714)&gt;1,"; Duplicate Order ID Conflict",""),2)="; ",MID(AC714&amp;IF(B714="","; Missing Order Date","")&amp;IF(C714="","; Missing Ship Date","")&amp;IF(P714&lt;0,"; Invalid Discount (Negative)","")&amp;IF(P714&gt;0.5,"; Invalid Discount (Too High)","")&amp;IF(Z714&lt;0,"; Invalid Shipping Record (Ship Before Order)","")&amp;IF(ABS(Q714-W714)&gt;1,"; Sales Mismatch","")&amp;IF(ABS(S714-X714)&gt;1,"; Profit Mismatch","")&amp;IF(COUNTIF($A$2:$A$913,A714)&gt;1,"; Duplicate Order ID Conflict",""),3,500),AC714&amp;IF(B714="","; Missing Order Date","")&amp;IF(C714="","; Missing Ship Date","")&amp;IF(P714&lt;0,"; Invalid Discount (Negative)","")&amp;IF(P714&gt;0.5,"; Invalid Discount (Too High)","")&amp;IF(Z714&lt;0,"; Invalid Shipping Record (Ship Before Order)","")&amp;IF(ABS(Q714-W714)&gt;1,"; Sales Mismatch","")&amp;IF(ABS(S714-X714)&gt;1,"; Profit Mismatch","")&amp;IF(COUNTIF($A$2:$A$913,A714)&gt;1,"; Duplicate Order ID Conflict",""))</f>
        <v/>
      </c>
      <c r="AE714" s="10" t="str">
        <f aca="false">IF(OR(ISNUMBER(SEARCH("Invalid Discount",AD714)),ISNUMBER(SEARCH("Invalid Shipping Record",AD714)),ISNUMBER(SEARCH("Sales Mismatch",AD714)),ISNUMBER(SEARCH("Profit Mismatch",AD714)),ISNUMBER(SEARCH("Duplicate Order ID Conflict",AD714)),ISNUMBER(SEARCH("Missing Order Date",AD714)),ISNUMBER(SEARCH("Missing Ship Date",AD714))),"Invalid",IF(AD714&lt;&gt;"","Warning","Clean"))</f>
        <v>Clean</v>
      </c>
    </row>
    <row r="715" customFormat="false" ht="15" hidden="false" customHeight="true" outlineLevel="0" collapsed="false">
      <c r="A715" s="3" t="s">
        <v>2142</v>
      </c>
      <c r="B715" s="4" t="n">
        <v>45814</v>
      </c>
      <c r="C715" s="4" t="n">
        <v>45818</v>
      </c>
      <c r="D715" s="3" t="s">
        <v>522</v>
      </c>
      <c r="E715" s="3" t="str">
        <f aca="false">PROPER(TRIM(SUBSTITUTE(Raw_Text_Fields!B716,CHAR(160)," ")))</f>
        <v>Mira Das</v>
      </c>
      <c r="F715" s="3" t="str">
        <f aca="false">PROPER(TRIM(SUBSTITUTE(Raw_Text_Fields!C716,CHAR(160)," ")))</f>
        <v>Consumer</v>
      </c>
      <c r="G715" s="3" t="str">
        <f aca="false">PROPER(TRIM(SUBSTITUTE(Raw_Text_Fields!D716,CHAR(160)," ")))</f>
        <v>West</v>
      </c>
      <c r="H715" s="3" t="str">
        <f aca="false">PROPER(TRIM(SUBSTITUTE(Raw_Text_Fields!E716,CHAR(160)," ")))</f>
        <v>Rajasthan</v>
      </c>
      <c r="I715" s="3" t="str">
        <f aca="false">PROPER(TRIM(SUBSTITUTE(Raw_Text_Fields!F716,CHAR(160)," ")))</f>
        <v>Udaipur</v>
      </c>
      <c r="J715" s="3" t="str">
        <f aca="false">PROPER(TRIM(SUBSTITUTE(Raw_Text_Fields!G716,CHAR(160)," ")))</f>
        <v>Technology</v>
      </c>
      <c r="K715" s="3" t="str">
        <f aca="false">PROPER(TRIM(SUBSTITUTE(Raw_Text_Fields!H716,CHAR(160)," ")))</f>
        <v>Machines</v>
      </c>
      <c r="L715" s="3" t="s">
        <v>2143</v>
      </c>
      <c r="M715" s="3" t="str">
        <f aca="false">PROPER(TRIM(SUBSTITUTE(Raw_Text_Fields!I716,CHAR(160)," ")))</f>
        <v>Second Class</v>
      </c>
      <c r="N715" s="3" t="n">
        <v>1</v>
      </c>
      <c r="O715" s="5" t="n">
        <v>289.97</v>
      </c>
      <c r="P715" s="6" t="n">
        <v>0.25</v>
      </c>
      <c r="Q715" s="5" t="n">
        <v>217.48</v>
      </c>
      <c r="R715" s="5" t="n">
        <v>132.13</v>
      </c>
      <c r="S715" s="5" t="n">
        <v>85.35</v>
      </c>
      <c r="T715" s="3" t="str">
        <f aca="false">PROPER(TRIM(SUBSTITUTE(Raw_Text_Fields!J716,CHAR(160)," ")))</f>
        <v>Paid</v>
      </c>
      <c r="U715" s="3" t="str">
        <f aca="false">PROPER(TRIM(SUBSTITUTE(Raw_Text_Fields!K716,CHAR(160)," ")))</f>
        <v>Completed</v>
      </c>
      <c r="V715" s="7" t="n">
        <f aca="false">IF(OR(P715&lt;0,P715&gt;0.5),0,P715)</f>
        <v>0.25</v>
      </c>
      <c r="W715" s="8" t="n">
        <f aca="false">N715*O715*(1-V715)</f>
        <v>217.4775</v>
      </c>
      <c r="X715" s="8" t="n">
        <f aca="false">W715-R715</f>
        <v>85.3475</v>
      </c>
      <c r="Y715" s="7" t="n">
        <f aca="false">IFERROR(X715/W715,0)</f>
        <v>0.392442896391581</v>
      </c>
      <c r="Z715" s="9" t="n">
        <f aca="false">C715-B715</f>
        <v>4</v>
      </c>
      <c r="AA715" s="1" t="str">
        <f aca="false">IF(B715="","",TEXT(B715,"mmm"))</f>
        <v>Jun</v>
      </c>
      <c r="AB715" s="9" t="n">
        <f aca="false">IF(B715="","",YEAR(B715))</f>
        <v>2025</v>
      </c>
      <c r="AC715" s="3"/>
      <c r="AD715" s="3" t="str">
        <f aca="false">IF(LEFT(AC715&amp;IF(B715="","; Missing Order Date","")&amp;IF(C715="","; Missing Ship Date","")&amp;IF(P715&lt;0,"; Invalid Discount (Negative)","")&amp;IF(P715&gt;0.5,"; Invalid Discount (Too High)","")&amp;IF(Z715&lt;0,"; Invalid Shipping Record (Ship Before Order)","")&amp;IF(ABS(Q715-W715)&gt;1,"; Sales Mismatch","")&amp;IF(ABS(S715-X715)&gt;1,"; Profit Mismatch","")&amp;IF(COUNTIF($A$2:$A$913,A715)&gt;1,"; Duplicate Order ID Conflict",""),2)="; ",MID(AC715&amp;IF(B715="","; Missing Order Date","")&amp;IF(C715="","; Missing Ship Date","")&amp;IF(P715&lt;0,"; Invalid Discount (Negative)","")&amp;IF(P715&gt;0.5,"; Invalid Discount (Too High)","")&amp;IF(Z715&lt;0,"; Invalid Shipping Record (Ship Before Order)","")&amp;IF(ABS(Q715-W715)&gt;1,"; Sales Mismatch","")&amp;IF(ABS(S715-X715)&gt;1,"; Profit Mismatch","")&amp;IF(COUNTIF($A$2:$A$913,A715)&gt;1,"; Duplicate Order ID Conflict",""),3,500),AC715&amp;IF(B715="","; Missing Order Date","")&amp;IF(C715="","; Missing Ship Date","")&amp;IF(P715&lt;0,"; Invalid Discount (Negative)","")&amp;IF(P715&gt;0.5,"; Invalid Discount (Too High)","")&amp;IF(Z715&lt;0,"; Invalid Shipping Record (Ship Before Order)","")&amp;IF(ABS(Q715-W715)&gt;1,"; Sales Mismatch","")&amp;IF(ABS(S715-X715)&gt;1,"; Profit Mismatch","")&amp;IF(COUNTIF($A$2:$A$913,A715)&gt;1,"; Duplicate Order ID Conflict",""))</f>
        <v/>
      </c>
      <c r="AE715" s="10" t="str">
        <f aca="false">IF(OR(ISNUMBER(SEARCH("Invalid Discount",AD715)),ISNUMBER(SEARCH("Invalid Shipping Record",AD715)),ISNUMBER(SEARCH("Sales Mismatch",AD715)),ISNUMBER(SEARCH("Profit Mismatch",AD715)),ISNUMBER(SEARCH("Duplicate Order ID Conflict",AD715)),ISNUMBER(SEARCH("Missing Order Date",AD715)),ISNUMBER(SEARCH("Missing Ship Date",AD715))),"Invalid",IF(AD715&lt;&gt;"","Warning","Clean"))</f>
        <v>Clean</v>
      </c>
    </row>
    <row r="716" customFormat="false" ht="15" hidden="false" customHeight="true" outlineLevel="0" collapsed="false">
      <c r="A716" s="3" t="s">
        <v>2144</v>
      </c>
      <c r="B716" s="4" t="n">
        <v>45738</v>
      </c>
      <c r="C716" s="4" t="n">
        <v>45739</v>
      </c>
      <c r="D716" s="3" t="s">
        <v>2145</v>
      </c>
      <c r="E716" s="3" t="str">
        <f aca="false">PROPER(TRIM(SUBSTITUTE(Raw_Text_Fields!B717,CHAR(160)," ")))</f>
        <v>Karan Malhotra</v>
      </c>
      <c r="F716" s="3" t="str">
        <f aca="false">PROPER(TRIM(SUBSTITUTE(Raw_Text_Fields!C717,CHAR(160)," ")))</f>
        <v>Home Office</v>
      </c>
      <c r="G716" s="3" t="str">
        <f aca="false">PROPER(TRIM(SUBSTITUTE(Raw_Text_Fields!D717,CHAR(160)," ")))</f>
        <v>North</v>
      </c>
      <c r="H716" s="3" t="str">
        <f aca="false">PROPER(TRIM(SUBSTITUTE(Raw_Text_Fields!E717,CHAR(160)," ")))</f>
        <v>Delhi</v>
      </c>
      <c r="I716" s="3" t="str">
        <f aca="false">PROPER(TRIM(SUBSTITUTE(Raw_Text_Fields!F717,CHAR(160)," ")))</f>
        <v>New Delhi</v>
      </c>
      <c r="J716" s="3" t="str">
        <f aca="false">PROPER(TRIM(SUBSTITUTE(Raw_Text_Fields!G717,CHAR(160)," ")))</f>
        <v>Technology</v>
      </c>
      <c r="K716" s="3" t="str">
        <f aca="false">PROPER(TRIM(SUBSTITUTE(Raw_Text_Fields!H717,CHAR(160)," ")))</f>
        <v>Copiers</v>
      </c>
      <c r="L716" s="3" t="s">
        <v>2146</v>
      </c>
      <c r="M716" s="3" t="str">
        <f aca="false">PROPER(TRIM(SUBSTITUTE(Raw_Text_Fields!I717,CHAR(160)," ")))</f>
        <v>Standard Class</v>
      </c>
      <c r="N716" s="3" t="n">
        <v>9</v>
      </c>
      <c r="O716" s="5" t="n">
        <v>2075.02</v>
      </c>
      <c r="P716" s="6" t="n">
        <v>0</v>
      </c>
      <c r="Q716" s="5" t="n">
        <v>18675.18</v>
      </c>
      <c r="R716" s="5" t="n">
        <v>13974.7</v>
      </c>
      <c r="S716" s="5" t="n">
        <v>4700.48</v>
      </c>
      <c r="T716" s="3" t="str">
        <f aca="false">PROPER(TRIM(SUBSTITUTE(Raw_Text_Fields!J717,CHAR(160)," ")))</f>
        <v>Paid</v>
      </c>
      <c r="U716" s="3" t="str">
        <f aca="false">PROPER(TRIM(SUBSTITUTE(Raw_Text_Fields!K717,CHAR(160)," ")))</f>
        <v>Completed</v>
      </c>
      <c r="V716" s="7" t="n">
        <f aca="false">IF(OR(P716&lt;0,P716&gt;0.5),0,P716)</f>
        <v>0</v>
      </c>
      <c r="W716" s="8" t="n">
        <f aca="false">N716*O716*(1-V716)</f>
        <v>18675.18</v>
      </c>
      <c r="X716" s="8" t="n">
        <f aca="false">W716-R716</f>
        <v>4700.48</v>
      </c>
      <c r="Y716" s="7" t="n">
        <f aca="false">IFERROR(X716/W716,0)</f>
        <v>0.251696636926659</v>
      </c>
      <c r="Z716" s="9" t="n">
        <f aca="false">C716-B716</f>
        <v>1</v>
      </c>
      <c r="AA716" s="1" t="str">
        <f aca="false">IF(B716="","",TEXT(B716,"mmm"))</f>
        <v>Mar</v>
      </c>
      <c r="AB716" s="9" t="n">
        <f aca="false">IF(B716="","",YEAR(B716))</f>
        <v>2025</v>
      </c>
      <c r="AC716" s="3"/>
      <c r="AD716" s="3" t="str">
        <f aca="false">IF(LEFT(AC716&amp;IF(B716="","; Missing Order Date","")&amp;IF(C716="","; Missing Ship Date","")&amp;IF(P716&lt;0,"; Invalid Discount (Negative)","")&amp;IF(P716&gt;0.5,"; Invalid Discount (Too High)","")&amp;IF(Z716&lt;0,"; Invalid Shipping Record (Ship Before Order)","")&amp;IF(ABS(Q716-W716)&gt;1,"; Sales Mismatch","")&amp;IF(ABS(S716-X716)&gt;1,"; Profit Mismatch","")&amp;IF(COUNTIF($A$2:$A$913,A716)&gt;1,"; Duplicate Order ID Conflict",""),2)="; ",MID(AC716&amp;IF(B716="","; Missing Order Date","")&amp;IF(C716="","; Missing Ship Date","")&amp;IF(P716&lt;0,"; Invalid Discount (Negative)","")&amp;IF(P716&gt;0.5,"; Invalid Discount (Too High)","")&amp;IF(Z716&lt;0,"; Invalid Shipping Record (Ship Before Order)","")&amp;IF(ABS(Q716-W716)&gt;1,"; Sales Mismatch","")&amp;IF(ABS(S716-X716)&gt;1,"; Profit Mismatch","")&amp;IF(COUNTIF($A$2:$A$913,A716)&gt;1,"; Duplicate Order ID Conflict",""),3,500),AC716&amp;IF(B716="","; Missing Order Date","")&amp;IF(C716="","; Missing Ship Date","")&amp;IF(P716&lt;0,"; Invalid Discount (Negative)","")&amp;IF(P716&gt;0.5,"; Invalid Discount (Too High)","")&amp;IF(Z716&lt;0,"; Invalid Shipping Record (Ship Before Order)","")&amp;IF(ABS(Q716-W716)&gt;1,"; Sales Mismatch","")&amp;IF(ABS(S716-X716)&gt;1,"; Profit Mismatch","")&amp;IF(COUNTIF($A$2:$A$913,A716)&gt;1,"; Duplicate Order ID Conflict",""))</f>
        <v/>
      </c>
      <c r="AE716" s="10" t="str">
        <f aca="false">IF(OR(ISNUMBER(SEARCH("Invalid Discount",AD716)),ISNUMBER(SEARCH("Invalid Shipping Record",AD716)),ISNUMBER(SEARCH("Sales Mismatch",AD716)),ISNUMBER(SEARCH("Profit Mismatch",AD716)),ISNUMBER(SEARCH("Duplicate Order ID Conflict",AD716)),ISNUMBER(SEARCH("Missing Order Date",AD716)),ISNUMBER(SEARCH("Missing Ship Date",AD716))),"Invalid",IF(AD716&lt;&gt;"","Warning","Clean"))</f>
        <v>Clean</v>
      </c>
    </row>
    <row r="717" customFormat="false" ht="15" hidden="false" customHeight="true" outlineLevel="0" collapsed="false">
      <c r="A717" s="3" t="s">
        <v>2147</v>
      </c>
      <c r="B717" s="4" t="n">
        <v>45891</v>
      </c>
      <c r="C717" s="4" t="n">
        <v>45896</v>
      </c>
      <c r="D717" s="3" t="s">
        <v>2148</v>
      </c>
      <c r="E717" s="3" t="str">
        <f aca="false">PROPER(TRIM(SUBSTITUTE(Raw_Text_Fields!B718,CHAR(160)," ")))</f>
        <v>Priya Menon</v>
      </c>
      <c r="F717" s="3" t="str">
        <f aca="false">PROPER(TRIM(SUBSTITUTE(Raw_Text_Fields!C718,CHAR(160)," ")))</f>
        <v>Consumer</v>
      </c>
      <c r="G717" s="3" t="str">
        <f aca="false">PROPER(TRIM(SUBSTITUTE(Raw_Text_Fields!D718,CHAR(160)," ")))</f>
        <v>North</v>
      </c>
      <c r="H717" s="3" t="str">
        <f aca="false">PROPER(TRIM(SUBSTITUTE(Raw_Text_Fields!E718,CHAR(160)," ")))</f>
        <v>Haryana</v>
      </c>
      <c r="I717" s="3" t="str">
        <f aca="false">PROPER(TRIM(SUBSTITUTE(Raw_Text_Fields!F718,CHAR(160)," ")))</f>
        <v>Gurugram</v>
      </c>
      <c r="J717" s="3" t="str">
        <f aca="false">PROPER(TRIM(SUBSTITUTE(Raw_Text_Fields!G718,CHAR(160)," ")))</f>
        <v>Furniture</v>
      </c>
      <c r="K717" s="3" t="str">
        <f aca="false">PROPER(TRIM(SUBSTITUTE(Raw_Text_Fields!H718,CHAR(160)," ")))</f>
        <v>Chairs</v>
      </c>
      <c r="L717" s="3" t="s">
        <v>2149</v>
      </c>
      <c r="M717" s="3" t="str">
        <f aca="false">PROPER(TRIM(SUBSTITUTE(Raw_Text_Fields!I718,CHAR(160)," ")))</f>
        <v>Second Class</v>
      </c>
      <c r="N717" s="3" t="n">
        <v>7</v>
      </c>
      <c r="O717" s="5" t="n">
        <v>2843.09</v>
      </c>
      <c r="P717" s="6" t="n">
        <v>0</v>
      </c>
      <c r="Q717" s="5" t="n">
        <v>19901.63</v>
      </c>
      <c r="R717" s="5" t="n">
        <v>15492.03</v>
      </c>
      <c r="S717" s="5" t="n">
        <v>4409.6</v>
      </c>
      <c r="T717" s="3" t="str">
        <f aca="false">PROPER(TRIM(SUBSTITUTE(Raw_Text_Fields!J718,CHAR(160)," ")))</f>
        <v>Refunded</v>
      </c>
      <c r="U717" s="3" t="str">
        <f aca="false">PROPER(TRIM(SUBSTITUTE(Raw_Text_Fields!K718,CHAR(160)," ")))</f>
        <v>Cancelled</v>
      </c>
      <c r="V717" s="7" t="n">
        <f aca="false">IF(OR(P717&lt;0,P717&gt;0.5),0,P717)</f>
        <v>0</v>
      </c>
      <c r="W717" s="8" t="n">
        <f aca="false">N717*O717*(1-V717)</f>
        <v>19901.63</v>
      </c>
      <c r="X717" s="8" t="n">
        <f aca="false">W717-R717</f>
        <v>4409.6</v>
      </c>
      <c r="Y717" s="7" t="n">
        <f aca="false">IFERROR(X717/W717,0)</f>
        <v>0.221569791017118</v>
      </c>
      <c r="Z717" s="9" t="n">
        <f aca="false">C717-B717</f>
        <v>5</v>
      </c>
      <c r="AA717" s="1" t="str">
        <f aca="false">IF(B717="","",TEXT(B717,"mmm"))</f>
        <v>Aug</v>
      </c>
      <c r="AB717" s="9" t="n">
        <f aca="false">IF(B717="","",YEAR(B717))</f>
        <v>2025</v>
      </c>
      <c r="AC717" s="3"/>
      <c r="AD717" s="3" t="str">
        <f aca="false">IF(LEFT(AC717&amp;IF(B717="","; Missing Order Date","")&amp;IF(C717="","; Missing Ship Date","")&amp;IF(P717&lt;0,"; Invalid Discount (Negative)","")&amp;IF(P717&gt;0.5,"; Invalid Discount (Too High)","")&amp;IF(Z717&lt;0,"; Invalid Shipping Record (Ship Before Order)","")&amp;IF(ABS(Q717-W717)&gt;1,"; Sales Mismatch","")&amp;IF(ABS(S717-X717)&gt;1,"; Profit Mismatch","")&amp;IF(COUNTIF($A$2:$A$913,A717)&gt;1,"; Duplicate Order ID Conflict",""),2)="; ",MID(AC717&amp;IF(B717="","; Missing Order Date","")&amp;IF(C717="","; Missing Ship Date","")&amp;IF(P717&lt;0,"; Invalid Discount (Negative)","")&amp;IF(P717&gt;0.5,"; Invalid Discount (Too High)","")&amp;IF(Z717&lt;0,"; Invalid Shipping Record (Ship Before Order)","")&amp;IF(ABS(Q717-W717)&gt;1,"; Sales Mismatch","")&amp;IF(ABS(S717-X717)&gt;1,"; Profit Mismatch","")&amp;IF(COUNTIF($A$2:$A$913,A717)&gt;1,"; Duplicate Order ID Conflict",""),3,500),AC717&amp;IF(B717="","; Missing Order Date","")&amp;IF(C717="","; Missing Ship Date","")&amp;IF(P717&lt;0,"; Invalid Discount (Negative)","")&amp;IF(P717&gt;0.5,"; Invalid Discount (Too High)","")&amp;IF(Z717&lt;0,"; Invalid Shipping Record (Ship Before Order)","")&amp;IF(ABS(Q717-W717)&gt;1,"; Sales Mismatch","")&amp;IF(ABS(S717-X717)&gt;1,"; Profit Mismatch","")&amp;IF(COUNTIF($A$2:$A$913,A717)&gt;1,"; Duplicate Order ID Conflict",""))</f>
        <v/>
      </c>
      <c r="AE717" s="10" t="str">
        <f aca="false">IF(OR(ISNUMBER(SEARCH("Invalid Discount",AD717)),ISNUMBER(SEARCH("Invalid Shipping Record",AD717)),ISNUMBER(SEARCH("Sales Mismatch",AD717)),ISNUMBER(SEARCH("Profit Mismatch",AD717)),ISNUMBER(SEARCH("Duplicate Order ID Conflict",AD717)),ISNUMBER(SEARCH("Missing Order Date",AD717)),ISNUMBER(SEARCH("Missing Ship Date",AD717))),"Invalid",IF(AD717&lt;&gt;"","Warning","Clean"))</f>
        <v>Clean</v>
      </c>
    </row>
    <row r="718" customFormat="false" ht="15" hidden="false" customHeight="true" outlineLevel="0" collapsed="false">
      <c r="A718" s="3" t="s">
        <v>2150</v>
      </c>
      <c r="B718" s="4" t="n">
        <v>45895</v>
      </c>
      <c r="C718" s="4" t="n">
        <v>45900</v>
      </c>
      <c r="D718" s="3" t="s">
        <v>2151</v>
      </c>
      <c r="E718" s="3" t="str">
        <f aca="false">PROPER(TRIM(SUBSTITUTE(Raw_Text_Fields!B719,CHAR(160)," ")))</f>
        <v>Diya Patel</v>
      </c>
      <c r="F718" s="3" t="str">
        <f aca="false">PROPER(TRIM(SUBSTITUTE(Raw_Text_Fields!C719,CHAR(160)," ")))</f>
        <v>Small Business</v>
      </c>
      <c r="G718" s="3" t="str">
        <f aca="false">PROPER(TRIM(SUBSTITUTE(Raw_Text_Fields!D719,CHAR(160)," ")))</f>
        <v>North</v>
      </c>
      <c r="H718" s="3" t="str">
        <f aca="false">PROPER(TRIM(SUBSTITUTE(Raw_Text_Fields!E719,CHAR(160)," ")))</f>
        <v>Haryana</v>
      </c>
      <c r="I718" s="3" t="str">
        <f aca="false">PROPER(TRIM(SUBSTITUTE(Raw_Text_Fields!F719,CHAR(160)," ")))</f>
        <v>Gurugram</v>
      </c>
      <c r="J718" s="3" t="str">
        <f aca="false">PROPER(TRIM(SUBSTITUTE(Raw_Text_Fields!G719,CHAR(160)," ")))</f>
        <v>Technology</v>
      </c>
      <c r="K718" s="3" t="str">
        <f aca="false">PROPER(TRIM(SUBSTITUTE(Raw_Text_Fields!H719,CHAR(160)," ")))</f>
        <v>Phones</v>
      </c>
      <c r="L718" s="3" t="s">
        <v>2152</v>
      </c>
      <c r="M718" s="3" t="str">
        <f aca="false">PROPER(TRIM(SUBSTITUTE(Raw_Text_Fields!I719,CHAR(160)," ")))</f>
        <v>First Class</v>
      </c>
      <c r="N718" s="3" t="n">
        <v>1</v>
      </c>
      <c r="O718" s="5" t="n">
        <v>3388.02</v>
      </c>
      <c r="P718" s="6" t="n">
        <v>0.15</v>
      </c>
      <c r="Q718" s="5" t="n">
        <v>2879.82</v>
      </c>
      <c r="R718" s="5" t="n">
        <v>1824.88</v>
      </c>
      <c r="S718" s="5" t="n">
        <v>1054.94</v>
      </c>
      <c r="T718" s="3" t="str">
        <f aca="false">PROPER(TRIM(SUBSTITUTE(Raw_Text_Fields!J719,CHAR(160)," ")))</f>
        <v>Paid</v>
      </c>
      <c r="U718" s="3" t="str">
        <f aca="false">PROPER(TRIM(SUBSTITUTE(Raw_Text_Fields!K719,CHAR(160)," ")))</f>
        <v>Completed</v>
      </c>
      <c r="V718" s="7" t="n">
        <f aca="false">IF(OR(P718&lt;0,P718&gt;0.5),0,P718)</f>
        <v>0.15</v>
      </c>
      <c r="W718" s="8" t="n">
        <f aca="false">N718*O718*(1-V718)</f>
        <v>2879.817</v>
      </c>
      <c r="X718" s="8" t="n">
        <f aca="false">W718-R718</f>
        <v>1054.937</v>
      </c>
      <c r="Y718" s="7" t="n">
        <f aca="false">IFERROR(X718/W718,0)</f>
        <v>0.366320846081539</v>
      </c>
      <c r="Z718" s="9" t="n">
        <f aca="false">C718-B718</f>
        <v>5</v>
      </c>
      <c r="AA718" s="1" t="str">
        <f aca="false">IF(B718="","",TEXT(B718,"mmm"))</f>
        <v>Aug</v>
      </c>
      <c r="AB718" s="9" t="n">
        <f aca="false">IF(B718="","",YEAR(B718))</f>
        <v>2025</v>
      </c>
      <c r="AC718" s="3"/>
      <c r="AD718" s="3" t="str">
        <f aca="false">IF(LEFT(AC718&amp;IF(B718="","; Missing Order Date","")&amp;IF(C718="","; Missing Ship Date","")&amp;IF(P718&lt;0,"; Invalid Discount (Negative)","")&amp;IF(P718&gt;0.5,"; Invalid Discount (Too High)","")&amp;IF(Z718&lt;0,"; Invalid Shipping Record (Ship Before Order)","")&amp;IF(ABS(Q718-W718)&gt;1,"; Sales Mismatch","")&amp;IF(ABS(S718-X718)&gt;1,"; Profit Mismatch","")&amp;IF(COUNTIF($A$2:$A$913,A718)&gt;1,"; Duplicate Order ID Conflict",""),2)="; ",MID(AC718&amp;IF(B718="","; Missing Order Date","")&amp;IF(C718="","; Missing Ship Date","")&amp;IF(P718&lt;0,"; Invalid Discount (Negative)","")&amp;IF(P718&gt;0.5,"; Invalid Discount (Too High)","")&amp;IF(Z718&lt;0,"; Invalid Shipping Record (Ship Before Order)","")&amp;IF(ABS(Q718-W718)&gt;1,"; Sales Mismatch","")&amp;IF(ABS(S718-X718)&gt;1,"; Profit Mismatch","")&amp;IF(COUNTIF($A$2:$A$913,A718)&gt;1,"; Duplicate Order ID Conflict",""),3,500),AC718&amp;IF(B718="","; Missing Order Date","")&amp;IF(C718="","; Missing Ship Date","")&amp;IF(P718&lt;0,"; Invalid Discount (Negative)","")&amp;IF(P718&gt;0.5,"; Invalid Discount (Too High)","")&amp;IF(Z718&lt;0,"; Invalid Shipping Record (Ship Before Order)","")&amp;IF(ABS(Q718-W718)&gt;1,"; Sales Mismatch","")&amp;IF(ABS(S718-X718)&gt;1,"; Profit Mismatch","")&amp;IF(COUNTIF($A$2:$A$913,A718)&gt;1,"; Duplicate Order ID Conflict",""))</f>
        <v/>
      </c>
      <c r="AE718" s="10" t="str">
        <f aca="false">IF(OR(ISNUMBER(SEARCH("Invalid Discount",AD718)),ISNUMBER(SEARCH("Invalid Shipping Record",AD718)),ISNUMBER(SEARCH("Sales Mismatch",AD718)),ISNUMBER(SEARCH("Profit Mismatch",AD718)),ISNUMBER(SEARCH("Duplicate Order ID Conflict",AD718)),ISNUMBER(SEARCH("Missing Order Date",AD718)),ISNUMBER(SEARCH("Missing Ship Date",AD718))),"Invalid",IF(AD718&lt;&gt;"","Warning","Clean"))</f>
        <v>Clean</v>
      </c>
    </row>
    <row r="719" customFormat="false" ht="15" hidden="false" customHeight="true" outlineLevel="0" collapsed="false">
      <c r="A719" s="3" t="s">
        <v>2153</v>
      </c>
      <c r="B719" s="4" t="n">
        <v>45942</v>
      </c>
      <c r="C719" s="4" t="n">
        <v>45945</v>
      </c>
      <c r="D719" s="3" t="s">
        <v>2154</v>
      </c>
      <c r="E719" s="3" t="str">
        <f aca="false">PROPER(TRIM(SUBSTITUTE(Raw_Text_Fields!B720,CHAR(160)," ")))</f>
        <v>Kabir Singh</v>
      </c>
      <c r="F719" s="3" t="str">
        <f aca="false">PROPER(TRIM(SUBSTITUTE(Raw_Text_Fields!C720,CHAR(160)," ")))</f>
        <v>Small Business</v>
      </c>
      <c r="G719" s="3" t="str">
        <f aca="false">PROPER(TRIM(SUBSTITUTE(Raw_Text_Fields!D720,CHAR(160)," ")))</f>
        <v>North</v>
      </c>
      <c r="H719" s="3" t="str">
        <f aca="false">PROPER(TRIM(SUBSTITUTE(Raw_Text_Fields!E720,CHAR(160)," ")))</f>
        <v>Haryana</v>
      </c>
      <c r="I719" s="3" t="str">
        <f aca="false">PROPER(TRIM(SUBSTITUTE(Raw_Text_Fields!F720,CHAR(160)," ")))</f>
        <v>Gurugram</v>
      </c>
      <c r="J719" s="3" t="str">
        <f aca="false">PROPER(TRIM(SUBSTITUTE(Raw_Text_Fields!G720,CHAR(160)," ")))</f>
        <v>Technology</v>
      </c>
      <c r="K719" s="3" t="str">
        <f aca="false">PROPER(TRIM(SUBSTITUTE(Raw_Text_Fields!H720,CHAR(160)," ")))</f>
        <v>Machines</v>
      </c>
      <c r="L719" s="3" t="s">
        <v>2155</v>
      </c>
      <c r="M719" s="3" t="str">
        <f aca="false">PROPER(TRIM(SUBSTITUTE(Raw_Text_Fields!I720,CHAR(160)," ")))</f>
        <v>Standard Class</v>
      </c>
      <c r="N719" s="3" t="n">
        <v>9</v>
      </c>
      <c r="O719" s="5" t="n">
        <v>2598.92</v>
      </c>
      <c r="P719" s="6" t="n">
        <v>0.2</v>
      </c>
      <c r="Q719" s="5" t="n">
        <v>18712.22</v>
      </c>
      <c r="R719" s="5" t="n">
        <v>11852.22</v>
      </c>
      <c r="S719" s="5" t="n">
        <v>6860</v>
      </c>
      <c r="T719" s="3" t="str">
        <f aca="false">PROPER(TRIM(SUBSTITUTE(Raw_Text_Fields!J720,CHAR(160)," ")))</f>
        <v>Pending</v>
      </c>
      <c r="U719" s="3" t="str">
        <f aca="false">PROPER(TRIM(SUBSTITUTE(Raw_Text_Fields!K720,CHAR(160)," ")))</f>
        <v>Cancelled</v>
      </c>
      <c r="V719" s="7" t="n">
        <f aca="false">IF(OR(P719&lt;0,P719&gt;0.5),0,P719)</f>
        <v>0.2</v>
      </c>
      <c r="W719" s="8" t="n">
        <f aca="false">N719*O719*(1-V719)</f>
        <v>18712.224</v>
      </c>
      <c r="X719" s="8" t="n">
        <f aca="false">W719-R719</f>
        <v>6860.004</v>
      </c>
      <c r="Y719" s="7" t="n">
        <f aca="false">IFERROR(X719/W719,0)</f>
        <v>0.36660548740759</v>
      </c>
      <c r="Z719" s="9" t="n">
        <f aca="false">C719-B719</f>
        <v>3</v>
      </c>
      <c r="AA719" s="1" t="str">
        <f aca="false">IF(B719="","",TEXT(B719,"mmm"))</f>
        <v>Oct</v>
      </c>
      <c r="AB719" s="9" t="n">
        <f aca="false">IF(B719="","",YEAR(B719))</f>
        <v>2025</v>
      </c>
      <c r="AC719" s="3"/>
      <c r="AD719" s="3" t="str">
        <f aca="false">IF(LEFT(AC719&amp;IF(B719="","; Missing Order Date","")&amp;IF(C719="","; Missing Ship Date","")&amp;IF(P719&lt;0,"; Invalid Discount (Negative)","")&amp;IF(P719&gt;0.5,"; Invalid Discount (Too High)","")&amp;IF(Z719&lt;0,"; Invalid Shipping Record (Ship Before Order)","")&amp;IF(ABS(Q719-W719)&gt;1,"; Sales Mismatch","")&amp;IF(ABS(S719-X719)&gt;1,"; Profit Mismatch","")&amp;IF(COUNTIF($A$2:$A$913,A719)&gt;1,"; Duplicate Order ID Conflict",""),2)="; ",MID(AC719&amp;IF(B719="","; Missing Order Date","")&amp;IF(C719="","; Missing Ship Date","")&amp;IF(P719&lt;0,"; Invalid Discount (Negative)","")&amp;IF(P719&gt;0.5,"; Invalid Discount (Too High)","")&amp;IF(Z719&lt;0,"; Invalid Shipping Record (Ship Before Order)","")&amp;IF(ABS(Q719-W719)&gt;1,"; Sales Mismatch","")&amp;IF(ABS(S719-X719)&gt;1,"; Profit Mismatch","")&amp;IF(COUNTIF($A$2:$A$913,A719)&gt;1,"; Duplicate Order ID Conflict",""),3,500),AC719&amp;IF(B719="","; Missing Order Date","")&amp;IF(C719="","; Missing Ship Date","")&amp;IF(P719&lt;0,"; Invalid Discount (Negative)","")&amp;IF(P719&gt;0.5,"; Invalid Discount (Too High)","")&amp;IF(Z719&lt;0,"; Invalid Shipping Record (Ship Before Order)","")&amp;IF(ABS(Q719-W719)&gt;1,"; Sales Mismatch","")&amp;IF(ABS(S719-X719)&gt;1,"; Profit Mismatch","")&amp;IF(COUNTIF($A$2:$A$913,A719)&gt;1,"; Duplicate Order ID Conflict",""))</f>
        <v/>
      </c>
      <c r="AE719" s="10" t="str">
        <f aca="false">IF(OR(ISNUMBER(SEARCH("Invalid Discount",AD719)),ISNUMBER(SEARCH("Invalid Shipping Record",AD719)),ISNUMBER(SEARCH("Sales Mismatch",AD719)),ISNUMBER(SEARCH("Profit Mismatch",AD719)),ISNUMBER(SEARCH("Duplicate Order ID Conflict",AD719)),ISNUMBER(SEARCH("Missing Order Date",AD719)),ISNUMBER(SEARCH("Missing Ship Date",AD719))),"Invalid",IF(AD719&lt;&gt;"","Warning","Clean"))</f>
        <v>Clean</v>
      </c>
    </row>
    <row r="720" customFormat="false" ht="15" hidden="false" customHeight="true" outlineLevel="0" collapsed="false">
      <c r="A720" s="3" t="s">
        <v>2156</v>
      </c>
      <c r="B720" s="4" t="n">
        <v>45541</v>
      </c>
      <c r="C720" s="4" t="n">
        <v>45544</v>
      </c>
      <c r="D720" s="3" t="s">
        <v>2157</v>
      </c>
      <c r="E720" s="3" t="str">
        <f aca="false">PROPER(TRIM(SUBSTITUTE(Raw_Text_Fields!B721,CHAR(160)," ")))</f>
        <v>Mira Das</v>
      </c>
      <c r="F720" s="3" t="str">
        <f aca="false">PROPER(TRIM(SUBSTITUTE(Raw_Text_Fields!C721,CHAR(160)," ")))</f>
        <v>Consumer</v>
      </c>
      <c r="G720" s="3" t="str">
        <f aca="false">PROPER(TRIM(SUBSTITUTE(Raw_Text_Fields!D721,CHAR(160)," ")))</f>
        <v>West</v>
      </c>
      <c r="H720" s="3" t="str">
        <f aca="false">PROPER(TRIM(SUBSTITUTE(Raw_Text_Fields!E721,CHAR(160)," ")))</f>
        <v>Maharashtra</v>
      </c>
      <c r="I720" s="3" t="str">
        <f aca="false">PROPER(TRIM(SUBSTITUTE(Raw_Text_Fields!F721,CHAR(160)," ")))</f>
        <v>Mumbai</v>
      </c>
      <c r="J720" s="3" t="str">
        <f aca="false">PROPER(TRIM(SUBSTITUTE(Raw_Text_Fields!G721,CHAR(160)," ")))</f>
        <v>Office Supplies</v>
      </c>
      <c r="K720" s="3" t="str">
        <f aca="false">PROPER(TRIM(SUBSTITUTE(Raw_Text_Fields!H721,CHAR(160)," ")))</f>
        <v>Art</v>
      </c>
      <c r="L720" s="3" t="s">
        <v>2158</v>
      </c>
      <c r="M720" s="3" t="str">
        <f aca="false">PROPER(TRIM(SUBSTITUTE(Raw_Text_Fields!I721,CHAR(160)," ")))</f>
        <v>Same Day</v>
      </c>
      <c r="N720" s="3" t="n">
        <v>3</v>
      </c>
      <c r="O720" s="5" t="n">
        <v>1972.27</v>
      </c>
      <c r="P720" s="6" t="n">
        <v>0.2</v>
      </c>
      <c r="Q720" s="5" t="n">
        <v>4733.45</v>
      </c>
      <c r="R720" s="5" t="n">
        <v>3672.32</v>
      </c>
      <c r="S720" s="5" t="n">
        <v>1061.13</v>
      </c>
      <c r="T720" s="3" t="str">
        <f aca="false">PROPER(TRIM(SUBSTITUTE(Raw_Text_Fields!J721,CHAR(160)," ")))</f>
        <v>Paid</v>
      </c>
      <c r="U720" s="3" t="str">
        <f aca="false">PROPER(TRIM(SUBSTITUTE(Raw_Text_Fields!K721,CHAR(160)," ")))</f>
        <v>Completed</v>
      </c>
      <c r="V720" s="7" t="n">
        <f aca="false">IF(OR(P720&lt;0,P720&gt;0.5),0,P720)</f>
        <v>0.2</v>
      </c>
      <c r="W720" s="8" t="n">
        <f aca="false">N720*O720*(1-V720)</f>
        <v>4733.448</v>
      </c>
      <c r="X720" s="8" t="n">
        <f aca="false">W720-R720</f>
        <v>1061.128</v>
      </c>
      <c r="Y720" s="7" t="n">
        <f aca="false">IFERROR(X720/W720,0)</f>
        <v>0.224176541075343</v>
      </c>
      <c r="Z720" s="9" t="n">
        <f aca="false">C720-B720</f>
        <v>3</v>
      </c>
      <c r="AA720" s="1" t="str">
        <f aca="false">IF(B720="","",TEXT(B720,"mmm"))</f>
        <v>Sep</v>
      </c>
      <c r="AB720" s="9" t="n">
        <f aca="false">IF(B720="","",YEAR(B720))</f>
        <v>2024</v>
      </c>
      <c r="AC720" s="3"/>
      <c r="AD720" s="3" t="str">
        <f aca="false">IF(LEFT(AC720&amp;IF(B720="","; Missing Order Date","")&amp;IF(C720="","; Missing Ship Date","")&amp;IF(P720&lt;0,"; Invalid Discount (Negative)","")&amp;IF(P720&gt;0.5,"; Invalid Discount (Too High)","")&amp;IF(Z720&lt;0,"; Invalid Shipping Record (Ship Before Order)","")&amp;IF(ABS(Q720-W720)&gt;1,"; Sales Mismatch","")&amp;IF(ABS(S720-X720)&gt;1,"; Profit Mismatch","")&amp;IF(COUNTIF($A$2:$A$913,A720)&gt;1,"; Duplicate Order ID Conflict",""),2)="; ",MID(AC720&amp;IF(B720="","; Missing Order Date","")&amp;IF(C720="","; Missing Ship Date","")&amp;IF(P720&lt;0,"; Invalid Discount (Negative)","")&amp;IF(P720&gt;0.5,"; Invalid Discount (Too High)","")&amp;IF(Z720&lt;0,"; Invalid Shipping Record (Ship Before Order)","")&amp;IF(ABS(Q720-W720)&gt;1,"; Sales Mismatch","")&amp;IF(ABS(S720-X720)&gt;1,"; Profit Mismatch","")&amp;IF(COUNTIF($A$2:$A$913,A720)&gt;1,"; Duplicate Order ID Conflict",""),3,500),AC720&amp;IF(B720="","; Missing Order Date","")&amp;IF(C720="","; Missing Ship Date","")&amp;IF(P720&lt;0,"; Invalid Discount (Negative)","")&amp;IF(P720&gt;0.5,"; Invalid Discount (Too High)","")&amp;IF(Z720&lt;0,"; Invalid Shipping Record (Ship Before Order)","")&amp;IF(ABS(Q720-W720)&gt;1,"; Sales Mismatch","")&amp;IF(ABS(S720-X720)&gt;1,"; Profit Mismatch","")&amp;IF(COUNTIF($A$2:$A$913,A720)&gt;1,"; Duplicate Order ID Conflict",""))</f>
        <v/>
      </c>
      <c r="AE720" s="10" t="str">
        <f aca="false">IF(OR(ISNUMBER(SEARCH("Invalid Discount",AD720)),ISNUMBER(SEARCH("Invalid Shipping Record",AD720)),ISNUMBER(SEARCH("Sales Mismatch",AD720)),ISNUMBER(SEARCH("Profit Mismatch",AD720)),ISNUMBER(SEARCH("Duplicate Order ID Conflict",AD720)),ISNUMBER(SEARCH("Missing Order Date",AD720)),ISNUMBER(SEARCH("Missing Ship Date",AD720))),"Invalid",IF(AD720&lt;&gt;"","Warning","Clean"))</f>
        <v>Clean</v>
      </c>
    </row>
    <row r="721" customFormat="false" ht="15" hidden="false" customHeight="true" outlineLevel="0" collapsed="false">
      <c r="A721" s="3" t="s">
        <v>2159</v>
      </c>
      <c r="B721" s="4" t="n">
        <v>45908</v>
      </c>
      <c r="C721" s="4" t="n">
        <v>45909</v>
      </c>
      <c r="D721" s="3" t="s">
        <v>92</v>
      </c>
      <c r="E721" s="3" t="str">
        <f aca="false">PROPER(TRIM(SUBSTITUTE(Raw_Text_Fields!B722,CHAR(160)," ")))</f>
        <v>Kabir Singh</v>
      </c>
      <c r="F721" s="3" t="str">
        <f aca="false">PROPER(TRIM(SUBSTITUTE(Raw_Text_Fields!C722,CHAR(160)," ")))</f>
        <v>Corporate</v>
      </c>
      <c r="G721" s="3" t="str">
        <f aca="false">PROPER(TRIM(SUBSTITUTE(Raw_Text_Fields!D722,CHAR(160)," ")))</f>
        <v>West</v>
      </c>
      <c r="H721" s="3" t="str">
        <f aca="false">PROPER(TRIM(SUBSTITUTE(Raw_Text_Fields!E722,CHAR(160)," ")))</f>
        <v>Gujarat</v>
      </c>
      <c r="I721" s="3" t="str">
        <f aca="false">PROPER(TRIM(SUBSTITUTE(Raw_Text_Fields!F722,CHAR(160)," ")))</f>
        <v>Ahmedabad</v>
      </c>
      <c r="J721" s="3" t="str">
        <f aca="false">PROPER(TRIM(SUBSTITUTE(Raw_Text_Fields!G722,CHAR(160)," ")))</f>
        <v>Office Supplies</v>
      </c>
      <c r="K721" s="3" t="str">
        <f aca="false">PROPER(TRIM(SUBSTITUTE(Raw_Text_Fields!H722,CHAR(160)," ")))</f>
        <v>Art</v>
      </c>
      <c r="L721" s="3" t="s">
        <v>2160</v>
      </c>
      <c r="M721" s="3" t="str">
        <f aca="false">PROPER(TRIM(SUBSTITUTE(Raw_Text_Fields!I722,CHAR(160)," ")))</f>
        <v>Same Day</v>
      </c>
      <c r="N721" s="3" t="n">
        <v>2</v>
      </c>
      <c r="O721" s="5" t="n">
        <v>2372.41</v>
      </c>
      <c r="P721" s="6" t="n">
        <v>0.2</v>
      </c>
      <c r="Q721" s="5" t="n">
        <v>3795.86</v>
      </c>
      <c r="R721" s="5" t="n">
        <v>2264.92</v>
      </c>
      <c r="S721" s="5" t="n">
        <v>1530.94</v>
      </c>
      <c r="T721" s="3" t="str">
        <f aca="false">PROPER(TRIM(SUBSTITUTE(Raw_Text_Fields!J722,CHAR(160)," ")))</f>
        <v>Paid</v>
      </c>
      <c r="U721" s="3" t="str">
        <f aca="false">PROPER(TRIM(SUBSTITUTE(Raw_Text_Fields!K722,CHAR(160)," ")))</f>
        <v>Completed</v>
      </c>
      <c r="V721" s="7" t="n">
        <f aca="false">IF(OR(P721&lt;0,P721&gt;0.5),0,P721)</f>
        <v>0.2</v>
      </c>
      <c r="W721" s="8" t="n">
        <f aca="false">N721*O721*(1-V721)</f>
        <v>3795.856</v>
      </c>
      <c r="X721" s="8" t="n">
        <f aca="false">W721-R721</f>
        <v>1530.936</v>
      </c>
      <c r="Y721" s="7" t="n">
        <f aca="false">IFERROR(X721/W721,0)</f>
        <v>0.403317723327755</v>
      </c>
      <c r="Z721" s="9" t="n">
        <f aca="false">C721-B721</f>
        <v>1</v>
      </c>
      <c r="AA721" s="1" t="str">
        <f aca="false">IF(B721="","",TEXT(B721,"mmm"))</f>
        <v>Sep</v>
      </c>
      <c r="AB721" s="9" t="n">
        <f aca="false">IF(B721="","",YEAR(B721))</f>
        <v>2025</v>
      </c>
      <c r="AC721" s="3"/>
      <c r="AD721" s="3" t="str">
        <f aca="false">IF(LEFT(AC721&amp;IF(B721="","; Missing Order Date","")&amp;IF(C721="","; Missing Ship Date","")&amp;IF(P721&lt;0,"; Invalid Discount (Negative)","")&amp;IF(P721&gt;0.5,"; Invalid Discount (Too High)","")&amp;IF(Z721&lt;0,"; Invalid Shipping Record (Ship Before Order)","")&amp;IF(ABS(Q721-W721)&gt;1,"; Sales Mismatch","")&amp;IF(ABS(S721-X721)&gt;1,"; Profit Mismatch","")&amp;IF(COUNTIF($A$2:$A$913,A721)&gt;1,"; Duplicate Order ID Conflict",""),2)="; ",MID(AC721&amp;IF(B721="","; Missing Order Date","")&amp;IF(C721="","; Missing Ship Date","")&amp;IF(P721&lt;0,"; Invalid Discount (Negative)","")&amp;IF(P721&gt;0.5,"; Invalid Discount (Too High)","")&amp;IF(Z721&lt;0,"; Invalid Shipping Record (Ship Before Order)","")&amp;IF(ABS(Q721-W721)&gt;1,"; Sales Mismatch","")&amp;IF(ABS(S721-X721)&gt;1,"; Profit Mismatch","")&amp;IF(COUNTIF($A$2:$A$913,A721)&gt;1,"; Duplicate Order ID Conflict",""),3,500),AC721&amp;IF(B721="","; Missing Order Date","")&amp;IF(C721="","; Missing Ship Date","")&amp;IF(P721&lt;0,"; Invalid Discount (Negative)","")&amp;IF(P721&gt;0.5,"; Invalid Discount (Too High)","")&amp;IF(Z721&lt;0,"; Invalid Shipping Record (Ship Before Order)","")&amp;IF(ABS(Q721-W721)&gt;1,"; Sales Mismatch","")&amp;IF(ABS(S721-X721)&gt;1,"; Profit Mismatch","")&amp;IF(COUNTIF($A$2:$A$913,A721)&gt;1,"; Duplicate Order ID Conflict",""))</f>
        <v/>
      </c>
      <c r="AE721" s="10" t="str">
        <f aca="false">IF(OR(ISNUMBER(SEARCH("Invalid Discount",AD721)),ISNUMBER(SEARCH("Invalid Shipping Record",AD721)),ISNUMBER(SEARCH("Sales Mismatch",AD721)),ISNUMBER(SEARCH("Profit Mismatch",AD721)),ISNUMBER(SEARCH("Duplicate Order ID Conflict",AD721)),ISNUMBER(SEARCH("Missing Order Date",AD721)),ISNUMBER(SEARCH("Missing Ship Date",AD721))),"Invalid",IF(AD721&lt;&gt;"","Warning","Clean"))</f>
        <v>Clean</v>
      </c>
    </row>
    <row r="722" customFormat="false" ht="15" hidden="false" customHeight="true" outlineLevel="0" collapsed="false">
      <c r="A722" s="3" t="s">
        <v>2161</v>
      </c>
      <c r="B722" s="4" t="n">
        <v>45489</v>
      </c>
      <c r="C722" s="4" t="n">
        <v>45489</v>
      </c>
      <c r="D722" s="3" t="s">
        <v>2162</v>
      </c>
      <c r="E722" s="3" t="str">
        <f aca="false">PROPER(TRIM(SUBSTITUTE(Raw_Text_Fields!B723,CHAR(160)," ")))</f>
        <v>Aditi Sen</v>
      </c>
      <c r="F722" s="3" t="str">
        <f aca="false">PROPER(TRIM(SUBSTITUTE(Raw_Text_Fields!C723,CHAR(160)," ")))</f>
        <v>Home Office</v>
      </c>
      <c r="G722" s="3" t="str">
        <f aca="false">PROPER(TRIM(SUBSTITUTE(Raw_Text_Fields!D723,CHAR(160)," ")))</f>
        <v>West</v>
      </c>
      <c r="H722" s="3" t="str">
        <f aca="false">PROPER(TRIM(SUBSTITUTE(Raw_Text_Fields!E723,CHAR(160)," ")))</f>
        <v>Madhya Pradesh</v>
      </c>
      <c r="I722" s="3" t="str">
        <f aca="false">PROPER(TRIM(SUBSTITUTE(Raw_Text_Fields!F723,CHAR(160)," ")))</f>
        <v>Indore</v>
      </c>
      <c r="J722" s="3" t="str">
        <f aca="false">PROPER(TRIM(SUBSTITUTE(Raw_Text_Fields!G723,CHAR(160)," ")))</f>
        <v>Technology</v>
      </c>
      <c r="K722" s="3" t="str">
        <f aca="false">PROPER(TRIM(SUBSTITUTE(Raw_Text_Fields!H723,CHAR(160)," ")))</f>
        <v>Copiers</v>
      </c>
      <c r="L722" s="3" t="s">
        <v>2163</v>
      </c>
      <c r="M722" s="3" t="str">
        <f aca="false">PROPER(TRIM(SUBSTITUTE(Raw_Text_Fields!I723,CHAR(160)," ")))</f>
        <v>Same Day</v>
      </c>
      <c r="N722" s="3" t="n">
        <v>4</v>
      </c>
      <c r="O722" s="5" t="n">
        <v>4479.92</v>
      </c>
      <c r="P722" s="6" t="n">
        <v>0.15</v>
      </c>
      <c r="Q722" s="5" t="n">
        <v>15231.73</v>
      </c>
      <c r="R722" s="5" t="n">
        <v>12451.46</v>
      </c>
      <c r="S722" s="5" t="n">
        <v>2780.27</v>
      </c>
      <c r="T722" s="3" t="str">
        <f aca="false">PROPER(TRIM(SUBSTITUTE(Raw_Text_Fields!J723,CHAR(160)," ")))</f>
        <v>Paid</v>
      </c>
      <c r="U722" s="3" t="str">
        <f aca="false">PROPER(TRIM(SUBSTITUTE(Raw_Text_Fields!K723,CHAR(160)," ")))</f>
        <v>Completed</v>
      </c>
      <c r="V722" s="7" t="n">
        <f aca="false">IF(OR(P722&lt;0,P722&gt;0.5),0,P722)</f>
        <v>0.15</v>
      </c>
      <c r="W722" s="8" t="n">
        <f aca="false">N722*O722*(1-V722)</f>
        <v>15231.728</v>
      </c>
      <c r="X722" s="8" t="n">
        <f aca="false">W722-R722</f>
        <v>2780.268</v>
      </c>
      <c r="Y722" s="7" t="n">
        <f aca="false">IFERROR(X722/W722,0)</f>
        <v>0.182531358228036</v>
      </c>
      <c r="Z722" s="9" t="n">
        <f aca="false">C722-B722</f>
        <v>0</v>
      </c>
      <c r="AA722" s="1" t="str">
        <f aca="false">IF(B722="","",TEXT(B722,"mmm"))</f>
        <v>Jul</v>
      </c>
      <c r="AB722" s="9" t="n">
        <f aca="false">IF(B722="","",YEAR(B722))</f>
        <v>2024</v>
      </c>
      <c r="AC722" s="3"/>
      <c r="AD722" s="3" t="str">
        <f aca="false">IF(LEFT(AC722&amp;IF(B722="","; Missing Order Date","")&amp;IF(C722="","; Missing Ship Date","")&amp;IF(P722&lt;0,"; Invalid Discount (Negative)","")&amp;IF(P722&gt;0.5,"; Invalid Discount (Too High)","")&amp;IF(Z722&lt;0,"; Invalid Shipping Record (Ship Before Order)","")&amp;IF(ABS(Q722-W722)&gt;1,"; Sales Mismatch","")&amp;IF(ABS(S722-X722)&gt;1,"; Profit Mismatch","")&amp;IF(COUNTIF($A$2:$A$913,A722)&gt;1,"; Duplicate Order ID Conflict",""),2)="; ",MID(AC722&amp;IF(B722="","; Missing Order Date","")&amp;IF(C722="","; Missing Ship Date","")&amp;IF(P722&lt;0,"; Invalid Discount (Negative)","")&amp;IF(P722&gt;0.5,"; Invalid Discount (Too High)","")&amp;IF(Z722&lt;0,"; Invalid Shipping Record (Ship Before Order)","")&amp;IF(ABS(Q722-W722)&gt;1,"; Sales Mismatch","")&amp;IF(ABS(S722-X722)&gt;1,"; Profit Mismatch","")&amp;IF(COUNTIF($A$2:$A$913,A722)&gt;1,"; Duplicate Order ID Conflict",""),3,500),AC722&amp;IF(B722="","; Missing Order Date","")&amp;IF(C722="","; Missing Ship Date","")&amp;IF(P722&lt;0,"; Invalid Discount (Negative)","")&amp;IF(P722&gt;0.5,"; Invalid Discount (Too High)","")&amp;IF(Z722&lt;0,"; Invalid Shipping Record (Ship Before Order)","")&amp;IF(ABS(Q722-W722)&gt;1,"; Sales Mismatch","")&amp;IF(ABS(S722-X722)&gt;1,"; Profit Mismatch","")&amp;IF(COUNTIF($A$2:$A$913,A722)&gt;1,"; Duplicate Order ID Conflict",""))</f>
        <v/>
      </c>
      <c r="AE722" s="10" t="str">
        <f aca="false">IF(OR(ISNUMBER(SEARCH("Invalid Discount",AD722)),ISNUMBER(SEARCH("Invalid Shipping Record",AD722)),ISNUMBER(SEARCH("Sales Mismatch",AD722)),ISNUMBER(SEARCH("Profit Mismatch",AD722)),ISNUMBER(SEARCH("Duplicate Order ID Conflict",AD722)),ISNUMBER(SEARCH("Missing Order Date",AD722)),ISNUMBER(SEARCH("Missing Ship Date",AD722))),"Invalid",IF(AD722&lt;&gt;"","Warning","Clean"))</f>
        <v>Clean</v>
      </c>
    </row>
    <row r="723" customFormat="false" ht="15" hidden="false" customHeight="true" outlineLevel="0" collapsed="false">
      <c r="A723" s="3" t="s">
        <v>2164</v>
      </c>
      <c r="B723" s="4" t="n">
        <v>45827</v>
      </c>
      <c r="C723" s="4" t="n">
        <v>45831</v>
      </c>
      <c r="D723" s="3" t="s">
        <v>2165</v>
      </c>
      <c r="E723" s="3" t="str">
        <f aca="false">PROPER(TRIM(SUBSTITUTE(Raw_Text_Fields!B724,CHAR(160)," ")))</f>
        <v>Sneha Kapoor</v>
      </c>
      <c r="F723" s="3" t="str">
        <f aca="false">PROPER(TRIM(SUBSTITUTE(Raw_Text_Fields!C724,CHAR(160)," ")))</f>
        <v>Consumer</v>
      </c>
      <c r="G723" s="3" t="str">
        <f aca="false">PROPER(TRIM(SUBSTITUTE(Raw_Text_Fields!D724,CHAR(160)," ")))</f>
        <v>South</v>
      </c>
      <c r="H723" s="3" t="str">
        <f aca="false">PROPER(TRIM(SUBSTITUTE(Raw_Text_Fields!E724,CHAR(160)," ")))</f>
        <v>Karnataka</v>
      </c>
      <c r="I723" s="3" t="str">
        <f aca="false">PROPER(TRIM(SUBSTITUTE(Raw_Text_Fields!F724,CHAR(160)," ")))</f>
        <v>Bengaluru</v>
      </c>
      <c r="J723" s="3" t="str">
        <f aca="false">PROPER(TRIM(SUBSTITUTE(Raw_Text_Fields!G724,CHAR(160)," ")))</f>
        <v>Technology</v>
      </c>
      <c r="K723" s="3" t="str">
        <f aca="false">PROPER(TRIM(SUBSTITUTE(Raw_Text_Fields!H724,CHAR(160)," ")))</f>
        <v>Copiers</v>
      </c>
      <c r="L723" s="3" t="s">
        <v>2166</v>
      </c>
      <c r="M723" s="3" t="str">
        <f aca="false">PROPER(TRIM(SUBSTITUTE(Raw_Text_Fields!I724,CHAR(160)," ")))</f>
        <v>First Class</v>
      </c>
      <c r="N723" s="3" t="n">
        <v>5</v>
      </c>
      <c r="O723" s="5" t="n">
        <v>2729.95</v>
      </c>
      <c r="P723" s="6" t="n">
        <v>0</v>
      </c>
      <c r="Q723" s="5" t="n">
        <v>13649.75</v>
      </c>
      <c r="R723" s="5" t="n">
        <v>10288.03</v>
      </c>
      <c r="S723" s="5" t="n">
        <v>3361.72</v>
      </c>
      <c r="T723" s="3" t="str">
        <f aca="false">PROPER(TRIM(SUBSTITUTE(Raw_Text_Fields!J724,CHAR(160)," ")))</f>
        <v>Paid</v>
      </c>
      <c r="U723" s="3" t="str">
        <f aca="false">PROPER(TRIM(SUBSTITUTE(Raw_Text_Fields!K724,CHAR(160)," ")))</f>
        <v>Completed</v>
      </c>
      <c r="V723" s="7" t="n">
        <f aca="false">IF(OR(P723&lt;0,P723&gt;0.5),0,P723)</f>
        <v>0</v>
      </c>
      <c r="W723" s="8" t="n">
        <f aca="false">N723*O723*(1-V723)</f>
        <v>13649.75</v>
      </c>
      <c r="X723" s="8" t="n">
        <f aca="false">W723-R723</f>
        <v>3361.72</v>
      </c>
      <c r="Y723" s="7" t="n">
        <f aca="false">IFERROR(X723/W723,0)</f>
        <v>0.246284364182494</v>
      </c>
      <c r="Z723" s="9" t="n">
        <f aca="false">C723-B723</f>
        <v>4</v>
      </c>
      <c r="AA723" s="1" t="str">
        <f aca="false">IF(B723="","",TEXT(B723,"mmm"))</f>
        <v>Jun</v>
      </c>
      <c r="AB723" s="9" t="n">
        <f aca="false">IF(B723="","",YEAR(B723))</f>
        <v>2025</v>
      </c>
      <c r="AC723" s="3"/>
      <c r="AD723" s="3" t="str">
        <f aca="false">IF(LEFT(AC723&amp;IF(B723="","; Missing Order Date","")&amp;IF(C723="","; Missing Ship Date","")&amp;IF(P723&lt;0,"; Invalid Discount (Negative)","")&amp;IF(P723&gt;0.5,"; Invalid Discount (Too High)","")&amp;IF(Z723&lt;0,"; Invalid Shipping Record (Ship Before Order)","")&amp;IF(ABS(Q723-W723)&gt;1,"; Sales Mismatch","")&amp;IF(ABS(S723-X723)&gt;1,"; Profit Mismatch","")&amp;IF(COUNTIF($A$2:$A$913,A723)&gt;1,"; Duplicate Order ID Conflict",""),2)="; ",MID(AC723&amp;IF(B723="","; Missing Order Date","")&amp;IF(C723="","; Missing Ship Date","")&amp;IF(P723&lt;0,"; Invalid Discount (Negative)","")&amp;IF(P723&gt;0.5,"; Invalid Discount (Too High)","")&amp;IF(Z723&lt;0,"; Invalid Shipping Record (Ship Before Order)","")&amp;IF(ABS(Q723-W723)&gt;1,"; Sales Mismatch","")&amp;IF(ABS(S723-X723)&gt;1,"; Profit Mismatch","")&amp;IF(COUNTIF($A$2:$A$913,A723)&gt;1,"; Duplicate Order ID Conflict",""),3,500),AC723&amp;IF(B723="","; Missing Order Date","")&amp;IF(C723="","; Missing Ship Date","")&amp;IF(P723&lt;0,"; Invalid Discount (Negative)","")&amp;IF(P723&gt;0.5,"; Invalid Discount (Too High)","")&amp;IF(Z723&lt;0,"; Invalid Shipping Record (Ship Before Order)","")&amp;IF(ABS(Q723-W723)&gt;1,"; Sales Mismatch","")&amp;IF(ABS(S723-X723)&gt;1,"; Profit Mismatch","")&amp;IF(COUNTIF($A$2:$A$913,A723)&gt;1,"; Duplicate Order ID Conflict",""))</f>
        <v/>
      </c>
      <c r="AE723" s="10" t="str">
        <f aca="false">IF(OR(ISNUMBER(SEARCH("Invalid Discount",AD723)),ISNUMBER(SEARCH("Invalid Shipping Record",AD723)),ISNUMBER(SEARCH("Sales Mismatch",AD723)),ISNUMBER(SEARCH("Profit Mismatch",AD723)),ISNUMBER(SEARCH("Duplicate Order ID Conflict",AD723)),ISNUMBER(SEARCH("Missing Order Date",AD723)),ISNUMBER(SEARCH("Missing Ship Date",AD723))),"Invalid",IF(AD723&lt;&gt;"","Warning","Clean"))</f>
        <v>Clean</v>
      </c>
    </row>
    <row r="724" customFormat="false" ht="15" hidden="false" customHeight="true" outlineLevel="0" collapsed="false">
      <c r="A724" s="3" t="s">
        <v>2167</v>
      </c>
      <c r="B724" s="4" t="n">
        <v>45572</v>
      </c>
      <c r="C724" s="4" t="n">
        <v>45575</v>
      </c>
      <c r="D724" s="3" t="s">
        <v>2168</v>
      </c>
      <c r="E724" s="3" t="str">
        <f aca="false">PROPER(TRIM(SUBSTITUTE(Raw_Text_Fields!B725,CHAR(160)," ")))</f>
        <v>Vikram Iyer</v>
      </c>
      <c r="F724" s="3" t="str">
        <f aca="false">PROPER(TRIM(SUBSTITUTE(Raw_Text_Fields!C725,CHAR(160)," ")))</f>
        <v>Consumer</v>
      </c>
      <c r="G724" s="3" t="str">
        <f aca="false">PROPER(TRIM(SUBSTITUTE(Raw_Text_Fields!D725,CHAR(160)," ")))</f>
        <v>East</v>
      </c>
      <c r="H724" s="3" t="str">
        <f aca="false">PROPER(TRIM(SUBSTITUTE(Raw_Text_Fields!E725,CHAR(160)," ")))</f>
        <v>West Bengal</v>
      </c>
      <c r="I724" s="3" t="str">
        <f aca="false">PROPER(TRIM(SUBSTITUTE(Raw_Text_Fields!F725,CHAR(160)," ")))</f>
        <v>Kolkata</v>
      </c>
      <c r="J724" s="3" t="str">
        <f aca="false">PROPER(TRIM(SUBSTITUTE(Raw_Text_Fields!G725,CHAR(160)," ")))</f>
        <v>Furniture</v>
      </c>
      <c r="K724" s="3" t="str">
        <f aca="false">PROPER(TRIM(SUBSTITUTE(Raw_Text_Fields!H725,CHAR(160)," ")))</f>
        <v>Chairs</v>
      </c>
      <c r="L724" s="3" t="s">
        <v>2169</v>
      </c>
      <c r="M724" s="3" t="str">
        <f aca="false">PROPER(TRIM(SUBSTITUTE(Raw_Text_Fields!I725,CHAR(160)," ")))</f>
        <v>Second Class</v>
      </c>
      <c r="N724" s="3" t="n">
        <v>9</v>
      </c>
      <c r="O724" s="5" t="n">
        <v>481.51</v>
      </c>
      <c r="P724" s="6" t="n">
        <v>0</v>
      </c>
      <c r="Q724" s="5" t="n">
        <v>4333.59</v>
      </c>
      <c r="R724" s="5" t="n">
        <v>2533.59</v>
      </c>
      <c r="S724" s="5" t="n">
        <v>1800</v>
      </c>
      <c r="T724" s="3" t="str">
        <f aca="false">PROPER(TRIM(SUBSTITUTE(Raw_Text_Fields!J725,CHAR(160)," ")))</f>
        <v>Refunded</v>
      </c>
      <c r="U724" s="3" t="str">
        <f aca="false">PROPER(TRIM(SUBSTITUTE(Raw_Text_Fields!K725,CHAR(160)," ")))</f>
        <v>Cancelled</v>
      </c>
      <c r="V724" s="7" t="n">
        <f aca="false">IF(OR(P724&lt;0,P724&gt;0.5),0,P724)</f>
        <v>0</v>
      </c>
      <c r="W724" s="8" t="n">
        <f aca="false">N724*O724*(1-V724)</f>
        <v>4333.59</v>
      </c>
      <c r="X724" s="8" t="n">
        <f aca="false">W724-R724</f>
        <v>1800</v>
      </c>
      <c r="Y724" s="7" t="n">
        <f aca="false">IFERROR(X724/W724,0)</f>
        <v>0.41536001329152</v>
      </c>
      <c r="Z724" s="9" t="n">
        <f aca="false">C724-B724</f>
        <v>3</v>
      </c>
      <c r="AA724" s="1" t="str">
        <f aca="false">IF(B724="","",TEXT(B724,"mmm"))</f>
        <v>Oct</v>
      </c>
      <c r="AB724" s="9" t="n">
        <f aca="false">IF(B724="","",YEAR(B724))</f>
        <v>2024</v>
      </c>
      <c r="AC724" s="3" t="s">
        <v>130</v>
      </c>
      <c r="AD724" s="3" t="str">
        <f aca="false">IF(LEFT(AC724&amp;IF(B724="","; Missing Order Date","")&amp;IF(C724="","; Missing Ship Date","")&amp;IF(P724&lt;0,"; Invalid Discount (Negative)","")&amp;IF(P724&gt;0.5,"; Invalid Discount (Too High)","")&amp;IF(Z724&lt;0,"; Invalid Shipping Record (Ship Before Order)","")&amp;IF(ABS(Q724-W724)&gt;1,"; Sales Mismatch","")&amp;IF(ABS(S724-X724)&gt;1,"; Profit Mismatch","")&amp;IF(COUNTIF($A$2:$A$913,A724)&gt;1,"; Duplicate Order ID Conflict",""),2)="; ",MID(AC724&amp;IF(B724="","; Missing Order Date","")&amp;IF(C724="","; Missing Ship Date","")&amp;IF(P724&lt;0,"; Invalid Discount (Negative)","")&amp;IF(P724&gt;0.5,"; Invalid Discount (Too High)","")&amp;IF(Z724&lt;0,"; Invalid Shipping Record (Ship Before Order)","")&amp;IF(ABS(Q724-W724)&gt;1,"; Sales Mismatch","")&amp;IF(ABS(S724-X724)&gt;1,"; Profit Mismatch","")&amp;IF(COUNTIF($A$2:$A$913,A724)&gt;1,"; Duplicate Order ID Conflict",""),3,500),AC724&amp;IF(B724="","; Missing Order Date","")&amp;IF(C724="","; Missing Ship Date","")&amp;IF(P724&lt;0,"; Invalid Discount (Negative)","")&amp;IF(P724&gt;0.5,"; Invalid Discount (Too High)","")&amp;IF(Z724&lt;0,"; Invalid Shipping Record (Ship Before Order)","")&amp;IF(ABS(Q724-W724)&gt;1,"; Sales Mismatch","")&amp;IF(ABS(S724-X724)&gt;1,"; Profit Mismatch","")&amp;IF(COUNTIF($A$2:$A$913,A724)&gt;1,"; Duplicate Order ID Conflict",""))</f>
        <v>Missing Discount (defaulted 0)</v>
      </c>
      <c r="AE724" s="10" t="str">
        <f aca="false">IF(OR(ISNUMBER(SEARCH("Invalid Discount",AD724)),ISNUMBER(SEARCH("Invalid Shipping Record",AD724)),ISNUMBER(SEARCH("Sales Mismatch",AD724)),ISNUMBER(SEARCH("Profit Mismatch",AD724)),ISNUMBER(SEARCH("Duplicate Order ID Conflict",AD724)),ISNUMBER(SEARCH("Missing Order Date",AD724)),ISNUMBER(SEARCH("Missing Ship Date",AD724))),"Invalid",IF(AD724&lt;&gt;"","Warning","Clean"))</f>
        <v>Warning</v>
      </c>
    </row>
    <row r="725" customFormat="false" ht="15" hidden="false" customHeight="true" outlineLevel="0" collapsed="false">
      <c r="A725" s="3" t="s">
        <v>2170</v>
      </c>
      <c r="B725" s="4" t="n">
        <v>45936</v>
      </c>
      <c r="C725" s="4" t="n">
        <v>45943</v>
      </c>
      <c r="D725" s="3" t="s">
        <v>2171</v>
      </c>
      <c r="E725" s="3" t="str">
        <f aca="false">PROPER(TRIM(SUBSTITUTE(Raw_Text_Fields!B726,CHAR(160)," ")))</f>
        <v>Kabir Singh</v>
      </c>
      <c r="F725" s="3" t="str">
        <f aca="false">PROPER(TRIM(SUBSTITUTE(Raw_Text_Fields!C726,CHAR(160)," ")))</f>
        <v>Home Office</v>
      </c>
      <c r="G725" s="3" t="str">
        <f aca="false">PROPER(TRIM(SUBSTITUTE(Raw_Text_Fields!D726,CHAR(160)," ")))</f>
        <v>East</v>
      </c>
      <c r="H725" s="3" t="str">
        <f aca="false">PROPER(TRIM(SUBSTITUTE(Raw_Text_Fields!E726,CHAR(160)," ")))</f>
        <v>Jharkhand</v>
      </c>
      <c r="I725" s="3" t="str">
        <f aca="false">PROPER(TRIM(SUBSTITUTE(Raw_Text_Fields!F726,CHAR(160)," ")))</f>
        <v>Ranchi</v>
      </c>
      <c r="J725" s="3" t="str">
        <f aca="false">PROPER(TRIM(SUBSTITUTE(Raw_Text_Fields!G726,CHAR(160)," ")))</f>
        <v>Technology</v>
      </c>
      <c r="K725" s="3" t="str">
        <f aca="false">PROPER(TRIM(SUBSTITUTE(Raw_Text_Fields!H726,CHAR(160)," ")))</f>
        <v>Accessories</v>
      </c>
      <c r="L725" s="3" t="s">
        <v>2172</v>
      </c>
      <c r="M725" s="3" t="str">
        <f aca="false">PROPER(TRIM(SUBSTITUTE(Raw_Text_Fields!I726,CHAR(160)," ")))</f>
        <v>Standard Class</v>
      </c>
      <c r="N725" s="3" t="n">
        <v>6</v>
      </c>
      <c r="O725" s="5" t="n">
        <v>2391.93</v>
      </c>
      <c r="P725" s="6" t="n">
        <v>0.05</v>
      </c>
      <c r="Q725" s="5" t="n">
        <v>13634</v>
      </c>
      <c r="R725" s="5" t="n">
        <v>9589.81</v>
      </c>
      <c r="S725" s="5" t="n">
        <v>4044.19</v>
      </c>
      <c r="T725" s="3" t="str">
        <f aca="false">PROPER(TRIM(SUBSTITUTE(Raw_Text_Fields!J726,CHAR(160)," ")))</f>
        <v>Failed</v>
      </c>
      <c r="U725" s="3" t="str">
        <f aca="false">PROPER(TRIM(SUBSTITUTE(Raw_Text_Fields!K726,CHAR(160)," ")))</f>
        <v>Returned</v>
      </c>
      <c r="V725" s="7" t="n">
        <f aca="false">IF(OR(P725&lt;0,P725&gt;0.5),0,P725)</f>
        <v>0.05</v>
      </c>
      <c r="W725" s="8" t="n">
        <f aca="false">N725*O725*(1-V725)</f>
        <v>13634.001</v>
      </c>
      <c r="X725" s="8" t="n">
        <f aca="false">W725-R725</f>
        <v>4044.191</v>
      </c>
      <c r="Y725" s="7" t="n">
        <f aca="false">IFERROR(X725/W725,0)</f>
        <v>0.296625399983468</v>
      </c>
      <c r="Z725" s="9" t="n">
        <f aca="false">C725-B725</f>
        <v>7</v>
      </c>
      <c r="AA725" s="1" t="str">
        <f aca="false">IF(B725="","",TEXT(B725,"mmm"))</f>
        <v>Oct</v>
      </c>
      <c r="AB725" s="9" t="n">
        <f aca="false">IF(B725="","",YEAR(B725))</f>
        <v>2025</v>
      </c>
      <c r="AC725" s="3"/>
      <c r="AD725" s="3" t="str">
        <f aca="false">IF(LEFT(AC725&amp;IF(B725="","; Missing Order Date","")&amp;IF(C725="","; Missing Ship Date","")&amp;IF(P725&lt;0,"; Invalid Discount (Negative)","")&amp;IF(P725&gt;0.5,"; Invalid Discount (Too High)","")&amp;IF(Z725&lt;0,"; Invalid Shipping Record (Ship Before Order)","")&amp;IF(ABS(Q725-W725)&gt;1,"; Sales Mismatch","")&amp;IF(ABS(S725-X725)&gt;1,"; Profit Mismatch","")&amp;IF(COUNTIF($A$2:$A$913,A725)&gt;1,"; Duplicate Order ID Conflict",""),2)="; ",MID(AC725&amp;IF(B725="","; Missing Order Date","")&amp;IF(C725="","; Missing Ship Date","")&amp;IF(P725&lt;0,"; Invalid Discount (Negative)","")&amp;IF(P725&gt;0.5,"; Invalid Discount (Too High)","")&amp;IF(Z725&lt;0,"; Invalid Shipping Record (Ship Before Order)","")&amp;IF(ABS(Q725-W725)&gt;1,"; Sales Mismatch","")&amp;IF(ABS(S725-X725)&gt;1,"; Profit Mismatch","")&amp;IF(COUNTIF($A$2:$A$913,A725)&gt;1,"; Duplicate Order ID Conflict",""),3,500),AC725&amp;IF(B725="","; Missing Order Date","")&amp;IF(C725="","; Missing Ship Date","")&amp;IF(P725&lt;0,"; Invalid Discount (Negative)","")&amp;IF(P725&gt;0.5,"; Invalid Discount (Too High)","")&amp;IF(Z725&lt;0,"; Invalid Shipping Record (Ship Before Order)","")&amp;IF(ABS(Q725-W725)&gt;1,"; Sales Mismatch","")&amp;IF(ABS(S725-X725)&gt;1,"; Profit Mismatch","")&amp;IF(COUNTIF($A$2:$A$913,A725)&gt;1,"; Duplicate Order ID Conflict",""))</f>
        <v/>
      </c>
      <c r="AE725" s="10" t="str">
        <f aca="false">IF(OR(ISNUMBER(SEARCH("Invalid Discount",AD725)),ISNUMBER(SEARCH("Invalid Shipping Record",AD725)),ISNUMBER(SEARCH("Sales Mismatch",AD725)),ISNUMBER(SEARCH("Profit Mismatch",AD725)),ISNUMBER(SEARCH("Duplicate Order ID Conflict",AD725)),ISNUMBER(SEARCH("Missing Order Date",AD725)),ISNUMBER(SEARCH("Missing Ship Date",AD725))),"Invalid",IF(AD725&lt;&gt;"","Warning","Clean"))</f>
        <v>Clean</v>
      </c>
    </row>
    <row r="726" customFormat="false" ht="15" hidden="false" customHeight="true" outlineLevel="0" collapsed="false">
      <c r="A726" s="3" t="s">
        <v>2173</v>
      </c>
      <c r="B726" s="4" t="n">
        <v>45332</v>
      </c>
      <c r="C726" s="4" t="n">
        <v>45338</v>
      </c>
      <c r="D726" s="3" t="s">
        <v>2174</v>
      </c>
      <c r="E726" s="3" t="str">
        <f aca="false">PROPER(TRIM(SUBSTITUTE(Raw_Text_Fields!B727,CHAR(160)," ")))</f>
        <v>Karan Malhotra</v>
      </c>
      <c r="F726" s="3" t="str">
        <f aca="false">PROPER(TRIM(SUBSTITUTE(Raw_Text_Fields!C727,CHAR(160)," ")))</f>
        <v>Consumer</v>
      </c>
      <c r="G726" s="3" t="str">
        <f aca="false">PROPER(TRIM(SUBSTITUTE(Raw_Text_Fields!D727,CHAR(160)," ")))</f>
        <v>West</v>
      </c>
      <c r="H726" s="3" t="str">
        <f aca="false">PROPER(TRIM(SUBSTITUTE(Raw_Text_Fields!E727,CHAR(160)," ")))</f>
        <v>Goa</v>
      </c>
      <c r="I726" s="3" t="str">
        <f aca="false">PROPER(TRIM(SUBSTITUTE(Raw_Text_Fields!F727,CHAR(160)," ")))</f>
        <v>Panaji</v>
      </c>
      <c r="J726" s="3" t="str">
        <f aca="false">PROPER(TRIM(SUBSTITUTE(Raw_Text_Fields!G727,CHAR(160)," ")))</f>
        <v>Furniture</v>
      </c>
      <c r="K726" s="3" t="str">
        <f aca="false">PROPER(TRIM(SUBSTITUTE(Raw_Text_Fields!H727,CHAR(160)," ")))</f>
        <v>Furnishings</v>
      </c>
      <c r="L726" s="3" t="s">
        <v>2175</v>
      </c>
      <c r="M726" s="3" t="str">
        <f aca="false">PROPER(TRIM(SUBSTITUTE(Raw_Text_Fields!I727,CHAR(160)," ")))</f>
        <v>Second Class</v>
      </c>
      <c r="N726" s="3" t="n">
        <v>3</v>
      </c>
      <c r="O726" s="5" t="n">
        <v>253.43</v>
      </c>
      <c r="P726" s="6" t="n">
        <v>0</v>
      </c>
      <c r="Q726" s="5" t="n">
        <v>760.29</v>
      </c>
      <c r="R726" s="5" t="n">
        <v>497.77</v>
      </c>
      <c r="S726" s="5" t="n">
        <v>262.52</v>
      </c>
      <c r="T726" s="3" t="str">
        <f aca="false">PROPER(TRIM(SUBSTITUTE(Raw_Text_Fields!J727,CHAR(160)," ")))</f>
        <v>Paid</v>
      </c>
      <c r="U726" s="3" t="str">
        <f aca="false">PROPER(TRIM(SUBSTITUTE(Raw_Text_Fields!K727,CHAR(160)," ")))</f>
        <v>Completed</v>
      </c>
      <c r="V726" s="7" t="n">
        <f aca="false">IF(OR(P726&lt;0,P726&gt;0.5),0,P726)</f>
        <v>0</v>
      </c>
      <c r="W726" s="8" t="n">
        <f aca="false">N726*O726*(1-V726)</f>
        <v>760.29</v>
      </c>
      <c r="X726" s="8" t="n">
        <f aca="false">W726-R726</f>
        <v>262.52</v>
      </c>
      <c r="Y726" s="7" t="n">
        <f aca="false">IFERROR(X726/W726,0)</f>
        <v>0.345289297504899</v>
      </c>
      <c r="Z726" s="9" t="n">
        <f aca="false">C726-B726</f>
        <v>6</v>
      </c>
      <c r="AA726" s="1" t="str">
        <f aca="false">IF(B726="","",TEXT(B726,"mmm"))</f>
        <v>Feb</v>
      </c>
      <c r="AB726" s="9" t="n">
        <f aca="false">IF(B726="","",YEAR(B726))</f>
        <v>2024</v>
      </c>
      <c r="AC726" s="3"/>
      <c r="AD726" s="3" t="str">
        <f aca="false">IF(LEFT(AC726&amp;IF(B726="","; Missing Order Date","")&amp;IF(C726="","; Missing Ship Date","")&amp;IF(P726&lt;0,"; Invalid Discount (Negative)","")&amp;IF(P726&gt;0.5,"; Invalid Discount (Too High)","")&amp;IF(Z726&lt;0,"; Invalid Shipping Record (Ship Before Order)","")&amp;IF(ABS(Q726-W726)&gt;1,"; Sales Mismatch","")&amp;IF(ABS(S726-X726)&gt;1,"; Profit Mismatch","")&amp;IF(COUNTIF($A$2:$A$913,A726)&gt;1,"; Duplicate Order ID Conflict",""),2)="; ",MID(AC726&amp;IF(B726="","; Missing Order Date","")&amp;IF(C726="","; Missing Ship Date","")&amp;IF(P726&lt;0,"; Invalid Discount (Negative)","")&amp;IF(P726&gt;0.5,"; Invalid Discount (Too High)","")&amp;IF(Z726&lt;0,"; Invalid Shipping Record (Ship Before Order)","")&amp;IF(ABS(Q726-W726)&gt;1,"; Sales Mismatch","")&amp;IF(ABS(S726-X726)&gt;1,"; Profit Mismatch","")&amp;IF(COUNTIF($A$2:$A$913,A726)&gt;1,"; Duplicate Order ID Conflict",""),3,500),AC726&amp;IF(B726="","; Missing Order Date","")&amp;IF(C726="","; Missing Ship Date","")&amp;IF(P726&lt;0,"; Invalid Discount (Negative)","")&amp;IF(P726&gt;0.5,"; Invalid Discount (Too High)","")&amp;IF(Z726&lt;0,"; Invalid Shipping Record (Ship Before Order)","")&amp;IF(ABS(Q726-W726)&gt;1,"; Sales Mismatch","")&amp;IF(ABS(S726-X726)&gt;1,"; Profit Mismatch","")&amp;IF(COUNTIF($A$2:$A$913,A726)&gt;1,"; Duplicate Order ID Conflict",""))</f>
        <v/>
      </c>
      <c r="AE726" s="10" t="str">
        <f aca="false">IF(OR(ISNUMBER(SEARCH("Invalid Discount",AD726)),ISNUMBER(SEARCH("Invalid Shipping Record",AD726)),ISNUMBER(SEARCH("Sales Mismatch",AD726)),ISNUMBER(SEARCH("Profit Mismatch",AD726)),ISNUMBER(SEARCH("Duplicate Order ID Conflict",AD726)),ISNUMBER(SEARCH("Missing Order Date",AD726)),ISNUMBER(SEARCH("Missing Ship Date",AD726))),"Invalid",IF(AD726&lt;&gt;"","Warning","Clean"))</f>
        <v>Clean</v>
      </c>
    </row>
    <row r="727" customFormat="false" ht="15" hidden="false" customHeight="true" outlineLevel="0" collapsed="false">
      <c r="A727" s="3" t="s">
        <v>2176</v>
      </c>
      <c r="B727" s="4" t="n">
        <v>45935</v>
      </c>
      <c r="C727" s="4" t="n">
        <v>45942</v>
      </c>
      <c r="D727" s="3" t="s">
        <v>2177</v>
      </c>
      <c r="E727" s="3" t="str">
        <f aca="false">PROPER(TRIM(SUBSTITUTE(Raw_Text_Fields!B728,CHAR(160)," ")))</f>
        <v>Priya Menon</v>
      </c>
      <c r="F727" s="3" t="str">
        <f aca="false">PROPER(TRIM(SUBSTITUTE(Raw_Text_Fields!C728,CHAR(160)," ")))</f>
        <v>Corporate</v>
      </c>
      <c r="G727" s="3" t="str">
        <f aca="false">PROPER(TRIM(SUBSTITUTE(Raw_Text_Fields!D728,CHAR(160)," ")))</f>
        <v>South</v>
      </c>
      <c r="H727" s="3" t="str">
        <f aca="false">PROPER(TRIM(SUBSTITUTE(Raw_Text_Fields!E728,CHAR(160)," ")))</f>
        <v>Karnataka</v>
      </c>
      <c r="I727" s="3" t="str">
        <f aca="false">PROPER(TRIM(SUBSTITUTE(Raw_Text_Fields!F728,CHAR(160)," ")))</f>
        <v>Bengaluru</v>
      </c>
      <c r="J727" s="3" t="str">
        <f aca="false">PROPER(TRIM(SUBSTITUTE(Raw_Text_Fields!G728,CHAR(160)," ")))</f>
        <v>Furniture</v>
      </c>
      <c r="K727" s="3" t="str">
        <f aca="false">PROPER(TRIM(SUBSTITUTE(Raw_Text_Fields!H728,CHAR(160)," ")))</f>
        <v>Tables</v>
      </c>
      <c r="L727" s="3" t="s">
        <v>2178</v>
      </c>
      <c r="M727" s="3" t="str">
        <f aca="false">PROPER(TRIM(SUBSTITUTE(Raw_Text_Fields!I728,CHAR(160)," ")))</f>
        <v>Second Class</v>
      </c>
      <c r="N727" s="3" t="n">
        <v>7</v>
      </c>
      <c r="O727" s="5" t="n">
        <v>2134.73</v>
      </c>
      <c r="P727" s="6" t="n">
        <v>0</v>
      </c>
      <c r="Q727" s="5" t="n">
        <v>14943.11</v>
      </c>
      <c r="R727" s="5" t="n">
        <v>8521.5</v>
      </c>
      <c r="S727" s="5" t="n">
        <v>6421.61</v>
      </c>
      <c r="T727" s="3" t="str">
        <f aca="false">PROPER(TRIM(SUBSTITUTE(Raw_Text_Fields!J728,CHAR(160)," ")))</f>
        <v>Paid</v>
      </c>
      <c r="U727" s="3" t="str">
        <f aca="false">PROPER(TRIM(SUBSTITUTE(Raw_Text_Fields!K728,CHAR(160)," ")))</f>
        <v>Completed</v>
      </c>
      <c r="V727" s="7" t="n">
        <f aca="false">IF(OR(P727&lt;0,P727&gt;0.5),0,P727)</f>
        <v>0</v>
      </c>
      <c r="W727" s="8" t="n">
        <f aca="false">N727*O727*(1-V727)</f>
        <v>14943.11</v>
      </c>
      <c r="X727" s="8" t="n">
        <f aca="false">W727-R727</f>
        <v>6421.61</v>
      </c>
      <c r="Y727" s="7" t="n">
        <f aca="false">IFERROR(X727/W727,0)</f>
        <v>0.429737183223573</v>
      </c>
      <c r="Z727" s="9" t="n">
        <f aca="false">C727-B727</f>
        <v>7</v>
      </c>
      <c r="AA727" s="1" t="str">
        <f aca="false">IF(B727="","",TEXT(B727,"mmm"))</f>
        <v>Oct</v>
      </c>
      <c r="AB727" s="9" t="n">
        <f aca="false">IF(B727="","",YEAR(B727))</f>
        <v>2025</v>
      </c>
      <c r="AC727" s="3"/>
      <c r="AD727" s="3" t="str">
        <f aca="false">IF(LEFT(AC727&amp;IF(B727="","; Missing Order Date","")&amp;IF(C727="","; Missing Ship Date","")&amp;IF(P727&lt;0,"; Invalid Discount (Negative)","")&amp;IF(P727&gt;0.5,"; Invalid Discount (Too High)","")&amp;IF(Z727&lt;0,"; Invalid Shipping Record (Ship Before Order)","")&amp;IF(ABS(Q727-W727)&gt;1,"; Sales Mismatch","")&amp;IF(ABS(S727-X727)&gt;1,"; Profit Mismatch","")&amp;IF(COUNTIF($A$2:$A$913,A727)&gt;1,"; Duplicate Order ID Conflict",""),2)="; ",MID(AC727&amp;IF(B727="","; Missing Order Date","")&amp;IF(C727="","; Missing Ship Date","")&amp;IF(P727&lt;0,"; Invalid Discount (Negative)","")&amp;IF(P727&gt;0.5,"; Invalid Discount (Too High)","")&amp;IF(Z727&lt;0,"; Invalid Shipping Record (Ship Before Order)","")&amp;IF(ABS(Q727-W727)&gt;1,"; Sales Mismatch","")&amp;IF(ABS(S727-X727)&gt;1,"; Profit Mismatch","")&amp;IF(COUNTIF($A$2:$A$913,A727)&gt;1,"; Duplicate Order ID Conflict",""),3,500),AC727&amp;IF(B727="","; Missing Order Date","")&amp;IF(C727="","; Missing Ship Date","")&amp;IF(P727&lt;0,"; Invalid Discount (Negative)","")&amp;IF(P727&gt;0.5,"; Invalid Discount (Too High)","")&amp;IF(Z727&lt;0,"; Invalid Shipping Record (Ship Before Order)","")&amp;IF(ABS(Q727-W727)&gt;1,"; Sales Mismatch","")&amp;IF(ABS(S727-X727)&gt;1,"; Profit Mismatch","")&amp;IF(COUNTIF($A$2:$A$913,A727)&gt;1,"; Duplicate Order ID Conflict",""))</f>
        <v/>
      </c>
      <c r="AE727" s="10" t="str">
        <f aca="false">IF(OR(ISNUMBER(SEARCH("Invalid Discount",AD727)),ISNUMBER(SEARCH("Invalid Shipping Record",AD727)),ISNUMBER(SEARCH("Sales Mismatch",AD727)),ISNUMBER(SEARCH("Profit Mismatch",AD727)),ISNUMBER(SEARCH("Duplicate Order ID Conflict",AD727)),ISNUMBER(SEARCH("Missing Order Date",AD727)),ISNUMBER(SEARCH("Missing Ship Date",AD727))),"Invalid",IF(AD727&lt;&gt;"","Warning","Clean"))</f>
        <v>Clean</v>
      </c>
    </row>
    <row r="728" customFormat="false" ht="15" hidden="false" customHeight="true" outlineLevel="0" collapsed="false">
      <c r="A728" s="3" t="s">
        <v>2179</v>
      </c>
      <c r="B728" s="4" t="n">
        <v>45308</v>
      </c>
      <c r="C728" s="4" t="n">
        <v>45314</v>
      </c>
      <c r="D728" s="3" t="s">
        <v>2180</v>
      </c>
      <c r="E728" s="3" t="str">
        <f aca="false">PROPER(TRIM(SUBSTITUTE(Raw_Text_Fields!B729,CHAR(160)," ")))</f>
        <v>Kabir Singh</v>
      </c>
      <c r="F728" s="3" t="str">
        <f aca="false">PROPER(TRIM(SUBSTITUTE(Raw_Text_Fields!C729,CHAR(160)," ")))</f>
        <v>Home Office</v>
      </c>
      <c r="G728" s="3" t="str">
        <f aca="false">PROPER(TRIM(SUBSTITUTE(Raw_Text_Fields!D729,CHAR(160)," ")))</f>
        <v>West</v>
      </c>
      <c r="H728" s="3" t="str">
        <f aca="false">PROPER(TRIM(SUBSTITUTE(Raw_Text_Fields!E729,CHAR(160)," ")))</f>
        <v>Gujarat</v>
      </c>
      <c r="I728" s="3" t="str">
        <f aca="false">PROPER(TRIM(SUBSTITUTE(Raw_Text_Fields!F729,CHAR(160)," ")))</f>
        <v>Ahmedabad</v>
      </c>
      <c r="J728" s="3" t="str">
        <f aca="false">PROPER(TRIM(SUBSTITUTE(Raw_Text_Fields!G729,CHAR(160)," ")))</f>
        <v>Technology</v>
      </c>
      <c r="K728" s="3" t="str">
        <f aca="false">PROPER(TRIM(SUBSTITUTE(Raw_Text_Fields!H729,CHAR(160)," ")))</f>
        <v>Phones</v>
      </c>
      <c r="L728" s="3" t="s">
        <v>2181</v>
      </c>
      <c r="M728" s="3" t="str">
        <f aca="false">PROPER(TRIM(SUBSTITUTE(Raw_Text_Fields!I729,CHAR(160)," ")))</f>
        <v>Standard Class</v>
      </c>
      <c r="N728" s="3" t="n">
        <v>5</v>
      </c>
      <c r="O728" s="5" t="n">
        <v>2018</v>
      </c>
      <c r="P728" s="6" t="n">
        <v>0.2</v>
      </c>
      <c r="Q728" s="5" t="n">
        <v>8072</v>
      </c>
      <c r="R728" s="5" t="n">
        <v>5379.22</v>
      </c>
      <c r="S728" s="5" t="n">
        <v>2692.78</v>
      </c>
      <c r="T728" s="3" t="str">
        <f aca="false">PROPER(TRIM(SUBSTITUTE(Raw_Text_Fields!J729,CHAR(160)," ")))</f>
        <v>Pending</v>
      </c>
      <c r="U728" s="3" t="str">
        <f aca="false">PROPER(TRIM(SUBSTITUTE(Raw_Text_Fields!K729,CHAR(160)," ")))</f>
        <v>Returned</v>
      </c>
      <c r="V728" s="7" t="n">
        <f aca="false">IF(OR(P728&lt;0,P728&gt;0.5),0,P728)</f>
        <v>0.2</v>
      </c>
      <c r="W728" s="8" t="n">
        <f aca="false">N728*O728*(1-V728)</f>
        <v>8072</v>
      </c>
      <c r="X728" s="8" t="n">
        <f aca="false">W728-R728</f>
        <v>2692.78</v>
      </c>
      <c r="Y728" s="7" t="n">
        <f aca="false">IFERROR(X728/W728,0)</f>
        <v>0.33359514370664</v>
      </c>
      <c r="Z728" s="9" t="n">
        <f aca="false">C728-B728</f>
        <v>6</v>
      </c>
      <c r="AA728" s="1" t="str">
        <f aca="false">IF(B728="","",TEXT(B728,"mmm"))</f>
        <v>Jan</v>
      </c>
      <c r="AB728" s="9" t="n">
        <f aca="false">IF(B728="","",YEAR(B728))</f>
        <v>2024</v>
      </c>
      <c r="AC728" s="3"/>
      <c r="AD728" s="3" t="str">
        <f aca="false">IF(LEFT(AC728&amp;IF(B728="","; Missing Order Date","")&amp;IF(C728="","; Missing Ship Date","")&amp;IF(P728&lt;0,"; Invalid Discount (Negative)","")&amp;IF(P728&gt;0.5,"; Invalid Discount (Too High)","")&amp;IF(Z728&lt;0,"; Invalid Shipping Record (Ship Before Order)","")&amp;IF(ABS(Q728-W728)&gt;1,"; Sales Mismatch","")&amp;IF(ABS(S728-X728)&gt;1,"; Profit Mismatch","")&amp;IF(COUNTIF($A$2:$A$913,A728)&gt;1,"; Duplicate Order ID Conflict",""),2)="; ",MID(AC728&amp;IF(B728="","; Missing Order Date","")&amp;IF(C728="","; Missing Ship Date","")&amp;IF(P728&lt;0,"; Invalid Discount (Negative)","")&amp;IF(P728&gt;0.5,"; Invalid Discount (Too High)","")&amp;IF(Z728&lt;0,"; Invalid Shipping Record (Ship Before Order)","")&amp;IF(ABS(Q728-W728)&gt;1,"; Sales Mismatch","")&amp;IF(ABS(S728-X728)&gt;1,"; Profit Mismatch","")&amp;IF(COUNTIF($A$2:$A$913,A728)&gt;1,"; Duplicate Order ID Conflict",""),3,500),AC728&amp;IF(B728="","; Missing Order Date","")&amp;IF(C728="","; Missing Ship Date","")&amp;IF(P728&lt;0,"; Invalid Discount (Negative)","")&amp;IF(P728&gt;0.5,"; Invalid Discount (Too High)","")&amp;IF(Z728&lt;0,"; Invalid Shipping Record (Ship Before Order)","")&amp;IF(ABS(Q728-W728)&gt;1,"; Sales Mismatch","")&amp;IF(ABS(S728-X728)&gt;1,"; Profit Mismatch","")&amp;IF(COUNTIF($A$2:$A$913,A728)&gt;1,"; Duplicate Order ID Conflict",""))</f>
        <v/>
      </c>
      <c r="AE728" s="10" t="str">
        <f aca="false">IF(OR(ISNUMBER(SEARCH("Invalid Discount",AD728)),ISNUMBER(SEARCH("Invalid Shipping Record",AD728)),ISNUMBER(SEARCH("Sales Mismatch",AD728)),ISNUMBER(SEARCH("Profit Mismatch",AD728)),ISNUMBER(SEARCH("Duplicate Order ID Conflict",AD728)),ISNUMBER(SEARCH("Missing Order Date",AD728)),ISNUMBER(SEARCH("Missing Ship Date",AD728))),"Invalid",IF(AD728&lt;&gt;"","Warning","Clean"))</f>
        <v>Clean</v>
      </c>
    </row>
    <row r="729" customFormat="false" ht="15" hidden="false" customHeight="true" outlineLevel="0" collapsed="false">
      <c r="A729" s="3" t="s">
        <v>2182</v>
      </c>
      <c r="B729" s="4" t="n">
        <v>45578</v>
      </c>
      <c r="C729" s="4" t="n">
        <v>45578</v>
      </c>
      <c r="D729" s="3" t="s">
        <v>2183</v>
      </c>
      <c r="E729" s="3" t="str">
        <f aca="false">PROPER(TRIM(SUBSTITUTE(Raw_Text_Fields!B730,CHAR(160)," ")))</f>
        <v>Aarav Sharma</v>
      </c>
      <c r="F729" s="3" t="str">
        <f aca="false">PROPER(TRIM(SUBSTITUTE(Raw_Text_Fields!C730,CHAR(160)," ")))</f>
        <v>Small Business</v>
      </c>
      <c r="G729" s="3" t="str">
        <f aca="false">PROPER(TRIM(SUBSTITUTE(Raw_Text_Fields!D730,CHAR(160)," ")))</f>
        <v>East</v>
      </c>
      <c r="H729" s="3" t="str">
        <f aca="false">PROPER(TRIM(SUBSTITUTE(Raw_Text_Fields!E730,CHAR(160)," ")))</f>
        <v>Assam</v>
      </c>
      <c r="I729" s="3" t="str">
        <f aca="false">PROPER(TRIM(SUBSTITUTE(Raw_Text_Fields!F730,CHAR(160)," ")))</f>
        <v>Guwahati</v>
      </c>
      <c r="J729" s="3" t="str">
        <f aca="false">PROPER(TRIM(SUBSTITUTE(Raw_Text_Fields!G730,CHAR(160)," ")))</f>
        <v>Technology</v>
      </c>
      <c r="K729" s="3" t="str">
        <f aca="false">PROPER(TRIM(SUBSTITUTE(Raw_Text_Fields!H730,CHAR(160)," ")))</f>
        <v>Accessories</v>
      </c>
      <c r="L729" s="3" t="s">
        <v>2184</v>
      </c>
      <c r="M729" s="3" t="str">
        <f aca="false">PROPER(TRIM(SUBSTITUTE(Raw_Text_Fields!I730,CHAR(160)," ")))</f>
        <v>Second Class</v>
      </c>
      <c r="N729" s="3" t="n">
        <v>8</v>
      </c>
      <c r="O729" s="5" t="n">
        <v>3730.66</v>
      </c>
      <c r="P729" s="6" t="n">
        <v>0.05</v>
      </c>
      <c r="Q729" s="5" t="n">
        <v>28353.02</v>
      </c>
      <c r="R729" s="5" t="n">
        <v>19257.85</v>
      </c>
      <c r="S729" s="5" t="n">
        <v>9095.17</v>
      </c>
      <c r="T729" s="3" t="str">
        <f aca="false">PROPER(TRIM(SUBSTITUTE(Raw_Text_Fields!J730,CHAR(160)," ")))</f>
        <v>Paid</v>
      </c>
      <c r="U729" s="3" t="str">
        <f aca="false">PROPER(TRIM(SUBSTITUTE(Raw_Text_Fields!K730,CHAR(160)," ")))</f>
        <v>Completed</v>
      </c>
      <c r="V729" s="7" t="n">
        <f aca="false">IF(OR(P729&lt;0,P729&gt;0.5),0,P729)</f>
        <v>0.05</v>
      </c>
      <c r="W729" s="8" t="n">
        <f aca="false">N729*O729*(1-V729)</f>
        <v>28353.016</v>
      </c>
      <c r="X729" s="8" t="n">
        <f aca="false">W729-R729</f>
        <v>9095.166</v>
      </c>
      <c r="Y729" s="7" t="n">
        <f aca="false">IFERROR(X729/W729,0)</f>
        <v>0.320783016522828</v>
      </c>
      <c r="Z729" s="9" t="n">
        <f aca="false">C729-B729</f>
        <v>0</v>
      </c>
      <c r="AA729" s="1" t="str">
        <f aca="false">IF(B729="","",TEXT(B729,"mmm"))</f>
        <v>Oct</v>
      </c>
      <c r="AB729" s="9" t="n">
        <f aca="false">IF(B729="","",YEAR(B729))</f>
        <v>2024</v>
      </c>
      <c r="AC729" s="3"/>
      <c r="AD729" s="3" t="str">
        <f aca="false">IF(LEFT(AC729&amp;IF(B729="","; Missing Order Date","")&amp;IF(C729="","; Missing Ship Date","")&amp;IF(P729&lt;0,"; Invalid Discount (Negative)","")&amp;IF(P729&gt;0.5,"; Invalid Discount (Too High)","")&amp;IF(Z729&lt;0,"; Invalid Shipping Record (Ship Before Order)","")&amp;IF(ABS(Q729-W729)&gt;1,"; Sales Mismatch","")&amp;IF(ABS(S729-X729)&gt;1,"; Profit Mismatch","")&amp;IF(COUNTIF($A$2:$A$913,A729)&gt;1,"; Duplicate Order ID Conflict",""),2)="; ",MID(AC729&amp;IF(B729="","; Missing Order Date","")&amp;IF(C729="","; Missing Ship Date","")&amp;IF(P729&lt;0,"; Invalid Discount (Negative)","")&amp;IF(P729&gt;0.5,"; Invalid Discount (Too High)","")&amp;IF(Z729&lt;0,"; Invalid Shipping Record (Ship Before Order)","")&amp;IF(ABS(Q729-W729)&gt;1,"; Sales Mismatch","")&amp;IF(ABS(S729-X729)&gt;1,"; Profit Mismatch","")&amp;IF(COUNTIF($A$2:$A$913,A729)&gt;1,"; Duplicate Order ID Conflict",""),3,500),AC729&amp;IF(B729="","; Missing Order Date","")&amp;IF(C729="","; Missing Ship Date","")&amp;IF(P729&lt;0,"; Invalid Discount (Negative)","")&amp;IF(P729&gt;0.5,"; Invalid Discount (Too High)","")&amp;IF(Z729&lt;0,"; Invalid Shipping Record (Ship Before Order)","")&amp;IF(ABS(Q729-W729)&gt;1,"; Sales Mismatch","")&amp;IF(ABS(S729-X729)&gt;1,"; Profit Mismatch","")&amp;IF(COUNTIF($A$2:$A$913,A729)&gt;1,"; Duplicate Order ID Conflict",""))</f>
        <v/>
      </c>
      <c r="AE729" s="10" t="str">
        <f aca="false">IF(OR(ISNUMBER(SEARCH("Invalid Discount",AD729)),ISNUMBER(SEARCH("Invalid Shipping Record",AD729)),ISNUMBER(SEARCH("Sales Mismatch",AD729)),ISNUMBER(SEARCH("Profit Mismatch",AD729)),ISNUMBER(SEARCH("Duplicate Order ID Conflict",AD729)),ISNUMBER(SEARCH("Missing Order Date",AD729)),ISNUMBER(SEARCH("Missing Ship Date",AD729))),"Invalid",IF(AD729&lt;&gt;"","Warning","Clean"))</f>
        <v>Clean</v>
      </c>
    </row>
    <row r="730" customFormat="false" ht="15" hidden="false" customHeight="true" outlineLevel="0" collapsed="false">
      <c r="A730" s="3" t="s">
        <v>2185</v>
      </c>
      <c r="B730" s="4" t="n">
        <v>45295</v>
      </c>
      <c r="C730" s="4" t="n">
        <v>45298</v>
      </c>
      <c r="D730" s="3" t="s">
        <v>2186</v>
      </c>
      <c r="E730" s="3" t="str">
        <f aca="false">PROPER(TRIM(SUBSTITUTE(Raw_Text_Fields!B731,CHAR(160)," ")))</f>
        <v>Sneha Kapoor</v>
      </c>
      <c r="F730" s="3" t="str">
        <f aca="false">PROPER(TRIM(SUBSTITUTE(Raw_Text_Fields!C731,CHAR(160)," ")))</f>
        <v>Small Business</v>
      </c>
      <c r="G730" s="3" t="str">
        <f aca="false">PROPER(TRIM(SUBSTITUTE(Raw_Text_Fields!D731,CHAR(160)," ")))</f>
        <v>South</v>
      </c>
      <c r="H730" s="3" t="str">
        <f aca="false">PROPER(TRIM(SUBSTITUTE(Raw_Text_Fields!E731,CHAR(160)," ")))</f>
        <v>Karnataka</v>
      </c>
      <c r="I730" s="3" t="str">
        <f aca="false">PROPER(TRIM(SUBSTITUTE(Raw_Text_Fields!F731,CHAR(160)," ")))</f>
        <v>Bengaluru</v>
      </c>
      <c r="J730" s="3" t="str">
        <f aca="false">PROPER(TRIM(SUBSTITUTE(Raw_Text_Fields!G731,CHAR(160)," ")))</f>
        <v>Technology</v>
      </c>
      <c r="K730" s="3" t="str">
        <f aca="false">PROPER(TRIM(SUBSTITUTE(Raw_Text_Fields!H731,CHAR(160)," ")))</f>
        <v>Machines</v>
      </c>
      <c r="L730" s="3" t="s">
        <v>2187</v>
      </c>
      <c r="M730" s="3" t="str">
        <f aca="false">PROPER(TRIM(SUBSTITUTE(Raw_Text_Fields!I731,CHAR(160)," ")))</f>
        <v>First Class</v>
      </c>
      <c r="N730" s="3" t="n">
        <v>1</v>
      </c>
      <c r="O730" s="5" t="n">
        <v>2363.02</v>
      </c>
      <c r="P730" s="6" t="n">
        <v>0.15</v>
      </c>
      <c r="Q730" s="5" t="n">
        <v>2008.57</v>
      </c>
      <c r="R730" s="5" t="n">
        <v>1194.83</v>
      </c>
      <c r="S730" s="5" t="n">
        <v>813.74</v>
      </c>
      <c r="T730" s="3" t="str">
        <f aca="false">PROPER(TRIM(SUBSTITUTE(Raw_Text_Fields!J731,CHAR(160)," ")))</f>
        <v>Paid</v>
      </c>
      <c r="U730" s="3" t="str">
        <f aca="false">PROPER(TRIM(SUBSTITUTE(Raw_Text_Fields!K731,CHAR(160)," ")))</f>
        <v>Completed</v>
      </c>
      <c r="V730" s="7" t="n">
        <f aca="false">IF(OR(P730&lt;0,P730&gt;0.5),0,P730)</f>
        <v>0.15</v>
      </c>
      <c r="W730" s="8" t="n">
        <f aca="false">N730*O730*(1-V730)</f>
        <v>2008.567</v>
      </c>
      <c r="X730" s="8" t="n">
        <f aca="false">W730-R730</f>
        <v>813.737</v>
      </c>
      <c r="Y730" s="7" t="n">
        <f aca="false">IFERROR(X730/W730,0)</f>
        <v>0.405133112313406</v>
      </c>
      <c r="Z730" s="9" t="n">
        <f aca="false">C730-B730</f>
        <v>3</v>
      </c>
      <c r="AA730" s="1" t="str">
        <f aca="false">IF(B730="","",TEXT(B730,"mmm"))</f>
        <v>Jan</v>
      </c>
      <c r="AB730" s="9" t="n">
        <f aca="false">IF(B730="","",YEAR(B730))</f>
        <v>2024</v>
      </c>
      <c r="AC730" s="3"/>
      <c r="AD730" s="3" t="str">
        <f aca="false">IF(LEFT(AC730&amp;IF(B730="","; Missing Order Date","")&amp;IF(C730="","; Missing Ship Date","")&amp;IF(P730&lt;0,"; Invalid Discount (Negative)","")&amp;IF(P730&gt;0.5,"; Invalid Discount (Too High)","")&amp;IF(Z730&lt;0,"; Invalid Shipping Record (Ship Before Order)","")&amp;IF(ABS(Q730-W730)&gt;1,"; Sales Mismatch","")&amp;IF(ABS(S730-X730)&gt;1,"; Profit Mismatch","")&amp;IF(COUNTIF($A$2:$A$913,A730)&gt;1,"; Duplicate Order ID Conflict",""),2)="; ",MID(AC730&amp;IF(B730="","; Missing Order Date","")&amp;IF(C730="","; Missing Ship Date","")&amp;IF(P730&lt;0,"; Invalid Discount (Negative)","")&amp;IF(P730&gt;0.5,"; Invalid Discount (Too High)","")&amp;IF(Z730&lt;0,"; Invalid Shipping Record (Ship Before Order)","")&amp;IF(ABS(Q730-W730)&gt;1,"; Sales Mismatch","")&amp;IF(ABS(S730-X730)&gt;1,"; Profit Mismatch","")&amp;IF(COUNTIF($A$2:$A$913,A730)&gt;1,"; Duplicate Order ID Conflict",""),3,500),AC730&amp;IF(B730="","; Missing Order Date","")&amp;IF(C730="","; Missing Ship Date","")&amp;IF(P730&lt;0,"; Invalid Discount (Negative)","")&amp;IF(P730&gt;0.5,"; Invalid Discount (Too High)","")&amp;IF(Z730&lt;0,"; Invalid Shipping Record (Ship Before Order)","")&amp;IF(ABS(Q730-W730)&gt;1,"; Sales Mismatch","")&amp;IF(ABS(S730-X730)&gt;1,"; Profit Mismatch","")&amp;IF(COUNTIF($A$2:$A$913,A730)&gt;1,"; Duplicate Order ID Conflict",""))</f>
        <v/>
      </c>
      <c r="AE730" s="10" t="str">
        <f aca="false">IF(OR(ISNUMBER(SEARCH("Invalid Discount",AD730)),ISNUMBER(SEARCH("Invalid Shipping Record",AD730)),ISNUMBER(SEARCH("Sales Mismatch",AD730)),ISNUMBER(SEARCH("Profit Mismatch",AD730)),ISNUMBER(SEARCH("Duplicate Order ID Conflict",AD730)),ISNUMBER(SEARCH("Missing Order Date",AD730)),ISNUMBER(SEARCH("Missing Ship Date",AD730))),"Invalid",IF(AD730&lt;&gt;"","Warning","Clean"))</f>
        <v>Clean</v>
      </c>
    </row>
    <row r="731" customFormat="false" ht="15" hidden="false" customHeight="true" outlineLevel="0" collapsed="false">
      <c r="A731" s="3" t="s">
        <v>2188</v>
      </c>
      <c r="B731" s="4" t="n">
        <v>45794</v>
      </c>
      <c r="C731" s="4" t="n">
        <v>45802</v>
      </c>
      <c r="D731" s="3" t="s">
        <v>2189</v>
      </c>
      <c r="E731" s="3" t="str">
        <f aca="false">PROPER(TRIM(SUBSTITUTE(Raw_Text_Fields!B732,CHAR(160)," ")))</f>
        <v>Ananya Rao</v>
      </c>
      <c r="F731" s="3" t="str">
        <f aca="false">PROPER(TRIM(SUBSTITUTE(Raw_Text_Fields!C732,CHAR(160)," ")))</f>
        <v>Corporate</v>
      </c>
      <c r="G731" s="3" t="str">
        <f aca="false">PROPER(TRIM(SUBSTITUTE(Raw_Text_Fields!D732,CHAR(160)," ")))</f>
        <v>South</v>
      </c>
      <c r="H731" s="3" t="str">
        <f aca="false">PROPER(TRIM(SUBSTITUTE(Raw_Text_Fields!E732,CHAR(160)," ")))</f>
        <v>Tamil Nadu</v>
      </c>
      <c r="I731" s="3" t="str">
        <f aca="false">PROPER(TRIM(SUBSTITUTE(Raw_Text_Fields!F732,CHAR(160)," ")))</f>
        <v>Chennai</v>
      </c>
      <c r="J731" s="3" t="str">
        <f aca="false">PROPER(TRIM(SUBSTITUTE(Raw_Text_Fields!G732,CHAR(160)," ")))</f>
        <v>Technology</v>
      </c>
      <c r="K731" s="3" t="str">
        <f aca="false">PROPER(TRIM(SUBSTITUTE(Raw_Text_Fields!H732,CHAR(160)," ")))</f>
        <v>Machines</v>
      </c>
      <c r="L731" s="3" t="s">
        <v>2190</v>
      </c>
      <c r="M731" s="3" t="str">
        <f aca="false">PROPER(TRIM(SUBSTITUTE(Raw_Text_Fields!I732,CHAR(160)," ")))</f>
        <v>Same Day</v>
      </c>
      <c r="N731" s="3" t="n">
        <v>6</v>
      </c>
      <c r="O731" s="5" t="n">
        <v>1810.63</v>
      </c>
      <c r="P731" s="6" t="n">
        <v>0.15</v>
      </c>
      <c r="Q731" s="5" t="n">
        <v>9234.21</v>
      </c>
      <c r="R731" s="5" t="n">
        <v>5516.52</v>
      </c>
      <c r="S731" s="5" t="n">
        <v>3717.69</v>
      </c>
      <c r="T731" s="3" t="str">
        <f aca="false">PROPER(TRIM(SUBSTITUTE(Raw_Text_Fields!J732,CHAR(160)," ")))</f>
        <v>Paid</v>
      </c>
      <c r="U731" s="3" t="str">
        <f aca="false">PROPER(TRIM(SUBSTITUTE(Raw_Text_Fields!K732,CHAR(160)," ")))</f>
        <v>Completed</v>
      </c>
      <c r="V731" s="7" t="n">
        <f aca="false">IF(OR(P731&lt;0,P731&gt;0.5),0,P731)</f>
        <v>0.15</v>
      </c>
      <c r="W731" s="8" t="n">
        <f aca="false">N731*O731*(1-V731)</f>
        <v>9234.213</v>
      </c>
      <c r="X731" s="8" t="n">
        <f aca="false">W731-R731</f>
        <v>3717.693</v>
      </c>
      <c r="Y731" s="7" t="n">
        <f aca="false">IFERROR(X731/W731,0)</f>
        <v>0.402599875051615</v>
      </c>
      <c r="Z731" s="9" t="n">
        <f aca="false">C731-B731</f>
        <v>8</v>
      </c>
      <c r="AA731" s="1" t="str">
        <f aca="false">IF(B731="","",TEXT(B731,"mmm"))</f>
        <v>May</v>
      </c>
      <c r="AB731" s="9" t="n">
        <f aca="false">IF(B731="","",YEAR(B731))</f>
        <v>2025</v>
      </c>
      <c r="AC731" s="3"/>
      <c r="AD731" s="3" t="str">
        <f aca="false">IF(LEFT(AC731&amp;IF(B731="","; Missing Order Date","")&amp;IF(C731="","; Missing Ship Date","")&amp;IF(P731&lt;0,"; Invalid Discount (Negative)","")&amp;IF(P731&gt;0.5,"; Invalid Discount (Too High)","")&amp;IF(Z731&lt;0,"; Invalid Shipping Record (Ship Before Order)","")&amp;IF(ABS(Q731-W731)&gt;1,"; Sales Mismatch","")&amp;IF(ABS(S731-X731)&gt;1,"; Profit Mismatch","")&amp;IF(COUNTIF($A$2:$A$913,A731)&gt;1,"; Duplicate Order ID Conflict",""),2)="; ",MID(AC731&amp;IF(B731="","; Missing Order Date","")&amp;IF(C731="","; Missing Ship Date","")&amp;IF(P731&lt;0,"; Invalid Discount (Negative)","")&amp;IF(P731&gt;0.5,"; Invalid Discount (Too High)","")&amp;IF(Z731&lt;0,"; Invalid Shipping Record (Ship Before Order)","")&amp;IF(ABS(Q731-W731)&gt;1,"; Sales Mismatch","")&amp;IF(ABS(S731-X731)&gt;1,"; Profit Mismatch","")&amp;IF(COUNTIF($A$2:$A$913,A731)&gt;1,"; Duplicate Order ID Conflict",""),3,500),AC731&amp;IF(B731="","; Missing Order Date","")&amp;IF(C731="","; Missing Ship Date","")&amp;IF(P731&lt;0,"; Invalid Discount (Negative)","")&amp;IF(P731&gt;0.5,"; Invalid Discount (Too High)","")&amp;IF(Z731&lt;0,"; Invalid Shipping Record (Ship Before Order)","")&amp;IF(ABS(Q731-W731)&gt;1,"; Sales Mismatch","")&amp;IF(ABS(S731-X731)&gt;1,"; Profit Mismatch","")&amp;IF(COUNTIF($A$2:$A$913,A731)&gt;1,"; Duplicate Order ID Conflict",""))</f>
        <v/>
      </c>
      <c r="AE731" s="10" t="str">
        <f aca="false">IF(OR(ISNUMBER(SEARCH("Invalid Discount",AD731)),ISNUMBER(SEARCH("Invalid Shipping Record",AD731)),ISNUMBER(SEARCH("Sales Mismatch",AD731)),ISNUMBER(SEARCH("Profit Mismatch",AD731)),ISNUMBER(SEARCH("Duplicate Order ID Conflict",AD731)),ISNUMBER(SEARCH("Missing Order Date",AD731)),ISNUMBER(SEARCH("Missing Ship Date",AD731))),"Invalid",IF(AD731&lt;&gt;"","Warning","Clean"))</f>
        <v>Clean</v>
      </c>
    </row>
    <row r="732" customFormat="false" ht="15" hidden="false" customHeight="true" outlineLevel="0" collapsed="false">
      <c r="A732" s="3" t="s">
        <v>2191</v>
      </c>
      <c r="B732" s="4" t="n">
        <v>45827</v>
      </c>
      <c r="C732" s="4" t="n">
        <v>45832</v>
      </c>
      <c r="D732" s="3" t="s">
        <v>2192</v>
      </c>
      <c r="E732" s="3" t="str">
        <f aca="false">PROPER(TRIM(SUBSTITUTE(Raw_Text_Fields!B733,CHAR(160)," ")))</f>
        <v>Arjun Bose</v>
      </c>
      <c r="F732" s="3" t="str">
        <f aca="false">PROPER(TRIM(SUBSTITUTE(Raw_Text_Fields!C733,CHAR(160)," ")))</f>
        <v>Consumer</v>
      </c>
      <c r="G732" s="3" t="str">
        <f aca="false">PROPER(TRIM(SUBSTITUTE(Raw_Text_Fields!D733,CHAR(160)," ")))</f>
        <v>East</v>
      </c>
      <c r="H732" s="3" t="str">
        <f aca="false">PROPER(TRIM(SUBSTITUTE(Raw_Text_Fields!E733,CHAR(160)," ")))</f>
        <v>West Bengal</v>
      </c>
      <c r="I732" s="3" t="str">
        <f aca="false">PROPER(TRIM(SUBSTITUTE(Raw_Text_Fields!F733,CHAR(160)," ")))</f>
        <v>Kolkata</v>
      </c>
      <c r="J732" s="3" t="str">
        <f aca="false">PROPER(TRIM(SUBSTITUTE(Raw_Text_Fields!G733,CHAR(160)," ")))</f>
        <v>Office Supplies</v>
      </c>
      <c r="K732" s="3" t="str">
        <f aca="false">PROPER(TRIM(SUBSTITUTE(Raw_Text_Fields!H733,CHAR(160)," ")))</f>
        <v>Art</v>
      </c>
      <c r="L732" s="3" t="s">
        <v>2193</v>
      </c>
      <c r="M732" s="3" t="str">
        <f aca="false">PROPER(TRIM(SUBSTITUTE(Raw_Text_Fields!I733,CHAR(160)," ")))</f>
        <v>Second Class</v>
      </c>
      <c r="N732" s="3" t="n">
        <v>4</v>
      </c>
      <c r="O732" s="5" t="n">
        <v>782.01</v>
      </c>
      <c r="P732" s="6" t="n">
        <v>0.15</v>
      </c>
      <c r="Q732" s="5" t="n">
        <v>2658.83</v>
      </c>
      <c r="R732" s="5" t="n">
        <v>2226.97</v>
      </c>
      <c r="S732" s="5" t="n">
        <v>431.86</v>
      </c>
      <c r="T732" s="3" t="str">
        <f aca="false">PROPER(TRIM(SUBSTITUTE(Raw_Text_Fields!J733,CHAR(160)," ")))</f>
        <v>Refunded</v>
      </c>
      <c r="U732" s="3" t="str">
        <f aca="false">PROPER(TRIM(SUBSTITUTE(Raw_Text_Fields!K733,CHAR(160)," ")))</f>
        <v>Returned</v>
      </c>
      <c r="V732" s="7" t="n">
        <f aca="false">IF(OR(P732&lt;0,P732&gt;0.5),0,P732)</f>
        <v>0.15</v>
      </c>
      <c r="W732" s="8" t="n">
        <f aca="false">N732*O732*(1-V732)</f>
        <v>2658.834</v>
      </c>
      <c r="X732" s="8" t="n">
        <f aca="false">W732-R732</f>
        <v>431.864</v>
      </c>
      <c r="Y732" s="7" t="n">
        <f aca="false">IFERROR(X732/W732,0)</f>
        <v>0.162426086021166</v>
      </c>
      <c r="Z732" s="9" t="n">
        <f aca="false">C732-B732</f>
        <v>5</v>
      </c>
      <c r="AA732" s="1" t="str">
        <f aca="false">IF(B732="","",TEXT(B732,"mmm"))</f>
        <v>Jun</v>
      </c>
      <c r="AB732" s="9" t="n">
        <f aca="false">IF(B732="","",YEAR(B732))</f>
        <v>2025</v>
      </c>
      <c r="AC732" s="3"/>
      <c r="AD732" s="3" t="str">
        <f aca="false">IF(LEFT(AC732&amp;IF(B732="","; Missing Order Date","")&amp;IF(C732="","; Missing Ship Date","")&amp;IF(P732&lt;0,"; Invalid Discount (Negative)","")&amp;IF(P732&gt;0.5,"; Invalid Discount (Too High)","")&amp;IF(Z732&lt;0,"; Invalid Shipping Record (Ship Before Order)","")&amp;IF(ABS(Q732-W732)&gt;1,"; Sales Mismatch","")&amp;IF(ABS(S732-X732)&gt;1,"; Profit Mismatch","")&amp;IF(COUNTIF($A$2:$A$913,A732)&gt;1,"; Duplicate Order ID Conflict",""),2)="; ",MID(AC732&amp;IF(B732="","; Missing Order Date","")&amp;IF(C732="","; Missing Ship Date","")&amp;IF(P732&lt;0,"; Invalid Discount (Negative)","")&amp;IF(P732&gt;0.5,"; Invalid Discount (Too High)","")&amp;IF(Z732&lt;0,"; Invalid Shipping Record (Ship Before Order)","")&amp;IF(ABS(Q732-W732)&gt;1,"; Sales Mismatch","")&amp;IF(ABS(S732-X732)&gt;1,"; Profit Mismatch","")&amp;IF(COUNTIF($A$2:$A$913,A732)&gt;1,"; Duplicate Order ID Conflict",""),3,500),AC732&amp;IF(B732="","; Missing Order Date","")&amp;IF(C732="","; Missing Ship Date","")&amp;IF(P732&lt;0,"; Invalid Discount (Negative)","")&amp;IF(P732&gt;0.5,"; Invalid Discount (Too High)","")&amp;IF(Z732&lt;0,"; Invalid Shipping Record (Ship Before Order)","")&amp;IF(ABS(Q732-W732)&gt;1,"; Sales Mismatch","")&amp;IF(ABS(S732-X732)&gt;1,"; Profit Mismatch","")&amp;IF(COUNTIF($A$2:$A$913,A732)&gt;1,"; Duplicate Order ID Conflict",""))</f>
        <v/>
      </c>
      <c r="AE732" s="10" t="str">
        <f aca="false">IF(OR(ISNUMBER(SEARCH("Invalid Discount",AD732)),ISNUMBER(SEARCH("Invalid Shipping Record",AD732)),ISNUMBER(SEARCH("Sales Mismatch",AD732)),ISNUMBER(SEARCH("Profit Mismatch",AD732)),ISNUMBER(SEARCH("Duplicate Order ID Conflict",AD732)),ISNUMBER(SEARCH("Missing Order Date",AD732)),ISNUMBER(SEARCH("Missing Ship Date",AD732))),"Invalid",IF(AD732&lt;&gt;"","Warning","Clean"))</f>
        <v>Clean</v>
      </c>
    </row>
    <row r="733" customFormat="false" ht="15" hidden="false" customHeight="true" outlineLevel="0" collapsed="false">
      <c r="A733" s="3" t="s">
        <v>2194</v>
      </c>
      <c r="B733" s="4" t="n">
        <v>45368</v>
      </c>
      <c r="C733" s="4" t="n">
        <v>45370</v>
      </c>
      <c r="D733" s="3" t="s">
        <v>2195</v>
      </c>
      <c r="E733" s="3" t="str">
        <f aca="false">PROPER(TRIM(SUBSTITUTE(Raw_Text_Fields!B734,CHAR(160)," ")))</f>
        <v>Ananya Rao</v>
      </c>
      <c r="F733" s="3" t="str">
        <f aca="false">PROPER(TRIM(SUBSTITUTE(Raw_Text_Fields!C734,CHAR(160)," ")))</f>
        <v>Corporate</v>
      </c>
      <c r="G733" s="3" t="str">
        <f aca="false">PROPER(TRIM(SUBSTITUTE(Raw_Text_Fields!D734,CHAR(160)," ")))</f>
        <v>East</v>
      </c>
      <c r="H733" s="3" t="str">
        <f aca="false">PROPER(TRIM(SUBSTITUTE(Raw_Text_Fields!E734,CHAR(160)," ")))</f>
        <v>Odisha</v>
      </c>
      <c r="I733" s="3" t="str">
        <f aca="false">PROPER(TRIM(SUBSTITUTE(Raw_Text_Fields!F734,CHAR(160)," ")))</f>
        <v>Bhubaneswar</v>
      </c>
      <c r="J733" s="3" t="str">
        <f aca="false">PROPER(TRIM(SUBSTITUTE(Raw_Text_Fields!G734,CHAR(160)," ")))</f>
        <v>Office Supplies</v>
      </c>
      <c r="K733" s="3" t="str">
        <f aca="false">PROPER(TRIM(SUBSTITUTE(Raw_Text_Fields!H734,CHAR(160)," ")))</f>
        <v>Binders</v>
      </c>
      <c r="L733" s="3" t="s">
        <v>2196</v>
      </c>
      <c r="M733" s="3" t="str">
        <f aca="false">PROPER(TRIM(SUBSTITUTE(Raw_Text_Fields!I734,CHAR(160)," ")))</f>
        <v>First Class</v>
      </c>
      <c r="N733" s="3" t="n">
        <v>4</v>
      </c>
      <c r="O733" s="5" t="n">
        <v>4376.68</v>
      </c>
      <c r="P733" s="6" t="n">
        <v>0.1</v>
      </c>
      <c r="Q733" s="5" t="n">
        <v>15756.05</v>
      </c>
      <c r="R733" s="5" t="n">
        <v>10245.44</v>
      </c>
      <c r="S733" s="5" t="n">
        <v>5510.61</v>
      </c>
      <c r="T733" s="3" t="str">
        <f aca="false">PROPER(TRIM(SUBSTITUTE(Raw_Text_Fields!J734,CHAR(160)," ")))</f>
        <v>Paid</v>
      </c>
      <c r="U733" s="3" t="str">
        <f aca="false">PROPER(TRIM(SUBSTITUTE(Raw_Text_Fields!K734,CHAR(160)," ")))</f>
        <v>Completed</v>
      </c>
      <c r="V733" s="7" t="n">
        <f aca="false">IF(OR(P733&lt;0,P733&gt;0.5),0,P733)</f>
        <v>0.1</v>
      </c>
      <c r="W733" s="8" t="n">
        <f aca="false">N733*O733*(1-V733)</f>
        <v>15756.048</v>
      </c>
      <c r="X733" s="8" t="n">
        <f aca="false">W733-R733</f>
        <v>5510.608</v>
      </c>
      <c r="Y733" s="7" t="n">
        <f aca="false">IFERROR(X733/W733,0)</f>
        <v>0.349745570716718</v>
      </c>
      <c r="Z733" s="9" t="n">
        <f aca="false">C733-B733</f>
        <v>2</v>
      </c>
      <c r="AA733" s="1" t="str">
        <f aca="false">IF(B733="","",TEXT(B733,"mmm"))</f>
        <v>Mar</v>
      </c>
      <c r="AB733" s="9" t="n">
        <f aca="false">IF(B733="","",YEAR(B733))</f>
        <v>2024</v>
      </c>
      <c r="AC733" s="3"/>
      <c r="AD733" s="3" t="str">
        <f aca="false">IF(LEFT(AC733&amp;IF(B733="","; Missing Order Date","")&amp;IF(C733="","; Missing Ship Date","")&amp;IF(P733&lt;0,"; Invalid Discount (Negative)","")&amp;IF(P733&gt;0.5,"; Invalid Discount (Too High)","")&amp;IF(Z733&lt;0,"; Invalid Shipping Record (Ship Before Order)","")&amp;IF(ABS(Q733-W733)&gt;1,"; Sales Mismatch","")&amp;IF(ABS(S733-X733)&gt;1,"; Profit Mismatch","")&amp;IF(COUNTIF($A$2:$A$913,A733)&gt;1,"; Duplicate Order ID Conflict",""),2)="; ",MID(AC733&amp;IF(B733="","; Missing Order Date","")&amp;IF(C733="","; Missing Ship Date","")&amp;IF(P733&lt;0,"; Invalid Discount (Negative)","")&amp;IF(P733&gt;0.5,"; Invalid Discount (Too High)","")&amp;IF(Z733&lt;0,"; Invalid Shipping Record (Ship Before Order)","")&amp;IF(ABS(Q733-W733)&gt;1,"; Sales Mismatch","")&amp;IF(ABS(S733-X733)&gt;1,"; Profit Mismatch","")&amp;IF(COUNTIF($A$2:$A$913,A733)&gt;1,"; Duplicate Order ID Conflict",""),3,500),AC733&amp;IF(B733="","; Missing Order Date","")&amp;IF(C733="","; Missing Ship Date","")&amp;IF(P733&lt;0,"; Invalid Discount (Negative)","")&amp;IF(P733&gt;0.5,"; Invalid Discount (Too High)","")&amp;IF(Z733&lt;0,"; Invalid Shipping Record (Ship Before Order)","")&amp;IF(ABS(Q733-W733)&gt;1,"; Sales Mismatch","")&amp;IF(ABS(S733-X733)&gt;1,"; Profit Mismatch","")&amp;IF(COUNTIF($A$2:$A$913,A733)&gt;1,"; Duplicate Order ID Conflict",""))</f>
        <v/>
      </c>
      <c r="AE733" s="10" t="str">
        <f aca="false">IF(OR(ISNUMBER(SEARCH("Invalid Discount",AD733)),ISNUMBER(SEARCH("Invalid Shipping Record",AD733)),ISNUMBER(SEARCH("Sales Mismatch",AD733)),ISNUMBER(SEARCH("Profit Mismatch",AD733)),ISNUMBER(SEARCH("Duplicate Order ID Conflict",AD733)),ISNUMBER(SEARCH("Missing Order Date",AD733)),ISNUMBER(SEARCH("Missing Ship Date",AD733))),"Invalid",IF(AD733&lt;&gt;"","Warning","Clean"))</f>
        <v>Clean</v>
      </c>
    </row>
    <row r="734" customFormat="false" ht="15" hidden="false" customHeight="true" outlineLevel="0" collapsed="false">
      <c r="A734" s="3" t="s">
        <v>2197</v>
      </c>
      <c r="B734" s="4" t="n">
        <v>45624</v>
      </c>
      <c r="C734" s="4" t="n">
        <v>45632</v>
      </c>
      <c r="D734" s="3" t="s">
        <v>2198</v>
      </c>
      <c r="E734" s="3" t="str">
        <f aca="false">PROPER(TRIM(SUBSTITUTE(Raw_Text_Fields!B735,CHAR(160)," ")))</f>
        <v>Arjun Bose</v>
      </c>
      <c r="F734" s="3" t="str">
        <f aca="false">PROPER(TRIM(SUBSTITUTE(Raw_Text_Fields!C735,CHAR(160)," ")))</f>
        <v>Small Business</v>
      </c>
      <c r="G734" s="3" t="str">
        <f aca="false">PROPER(TRIM(SUBSTITUTE(Raw_Text_Fields!D735,CHAR(160)," ")))</f>
        <v>North</v>
      </c>
      <c r="H734" s="3" t="str">
        <f aca="false">PROPER(TRIM(SUBSTITUTE(Raw_Text_Fields!E735,CHAR(160)," ")))</f>
        <v>Punjab</v>
      </c>
      <c r="I734" s="3" t="str">
        <f aca="false">PROPER(TRIM(SUBSTITUTE(Raw_Text_Fields!F735,CHAR(160)," ")))</f>
        <v>Ludhiana</v>
      </c>
      <c r="J734" s="3" t="str">
        <f aca="false">PROPER(TRIM(SUBSTITUTE(Raw_Text_Fields!G735,CHAR(160)," ")))</f>
        <v>Technology</v>
      </c>
      <c r="K734" s="3" t="str">
        <f aca="false">PROPER(TRIM(SUBSTITUTE(Raw_Text_Fields!H735,CHAR(160)," ")))</f>
        <v>Phones</v>
      </c>
      <c r="L734" s="3" t="s">
        <v>2199</v>
      </c>
      <c r="M734" s="3" t="str">
        <f aca="false">PROPER(TRIM(SUBSTITUTE(Raw_Text_Fields!I735,CHAR(160)," ")))</f>
        <v>Standard Class</v>
      </c>
      <c r="N734" s="3" t="n">
        <v>6</v>
      </c>
      <c r="O734" s="5" t="n">
        <v>2464.63</v>
      </c>
      <c r="P734" s="6" t="n">
        <v>0</v>
      </c>
      <c r="Q734" s="5" t="n">
        <v>14787.78</v>
      </c>
      <c r="R734" s="5" t="n">
        <v>8596.65</v>
      </c>
      <c r="S734" s="5" t="n">
        <v>6191.13</v>
      </c>
      <c r="T734" s="3" t="str">
        <f aca="false">PROPER(TRIM(SUBSTITUTE(Raw_Text_Fields!J735,CHAR(160)," ")))</f>
        <v>Paid</v>
      </c>
      <c r="U734" s="3" t="str">
        <f aca="false">PROPER(TRIM(SUBSTITUTE(Raw_Text_Fields!K735,CHAR(160)," ")))</f>
        <v>Completed</v>
      </c>
      <c r="V734" s="7" t="n">
        <f aca="false">IF(OR(P734&lt;0,P734&gt;0.5),0,P734)</f>
        <v>0</v>
      </c>
      <c r="W734" s="8" t="n">
        <f aca="false">N734*O734*(1-V734)</f>
        <v>14787.78</v>
      </c>
      <c r="X734" s="8" t="n">
        <f aca="false">W734-R734</f>
        <v>6191.13</v>
      </c>
      <c r="Y734" s="7" t="n">
        <f aca="false">IFERROR(X734/W734,0)</f>
        <v>0.41866527632951</v>
      </c>
      <c r="Z734" s="9" t="n">
        <f aca="false">C734-B734</f>
        <v>8</v>
      </c>
      <c r="AA734" s="1" t="str">
        <f aca="false">IF(B734="","",TEXT(B734,"mmm"))</f>
        <v>Nov</v>
      </c>
      <c r="AB734" s="9" t="n">
        <f aca="false">IF(B734="","",YEAR(B734))</f>
        <v>2024</v>
      </c>
      <c r="AC734" s="3"/>
      <c r="AD734" s="3" t="str">
        <f aca="false">IF(LEFT(AC734&amp;IF(B734="","; Missing Order Date","")&amp;IF(C734="","; Missing Ship Date","")&amp;IF(P734&lt;0,"; Invalid Discount (Negative)","")&amp;IF(P734&gt;0.5,"; Invalid Discount (Too High)","")&amp;IF(Z734&lt;0,"; Invalid Shipping Record (Ship Before Order)","")&amp;IF(ABS(Q734-W734)&gt;1,"; Sales Mismatch","")&amp;IF(ABS(S734-X734)&gt;1,"; Profit Mismatch","")&amp;IF(COUNTIF($A$2:$A$913,A734)&gt;1,"; Duplicate Order ID Conflict",""),2)="; ",MID(AC734&amp;IF(B734="","; Missing Order Date","")&amp;IF(C734="","; Missing Ship Date","")&amp;IF(P734&lt;0,"; Invalid Discount (Negative)","")&amp;IF(P734&gt;0.5,"; Invalid Discount (Too High)","")&amp;IF(Z734&lt;0,"; Invalid Shipping Record (Ship Before Order)","")&amp;IF(ABS(Q734-W734)&gt;1,"; Sales Mismatch","")&amp;IF(ABS(S734-X734)&gt;1,"; Profit Mismatch","")&amp;IF(COUNTIF($A$2:$A$913,A734)&gt;1,"; Duplicate Order ID Conflict",""),3,500),AC734&amp;IF(B734="","; Missing Order Date","")&amp;IF(C734="","; Missing Ship Date","")&amp;IF(P734&lt;0,"; Invalid Discount (Negative)","")&amp;IF(P734&gt;0.5,"; Invalid Discount (Too High)","")&amp;IF(Z734&lt;0,"; Invalid Shipping Record (Ship Before Order)","")&amp;IF(ABS(Q734-W734)&gt;1,"; Sales Mismatch","")&amp;IF(ABS(S734-X734)&gt;1,"; Profit Mismatch","")&amp;IF(COUNTIF($A$2:$A$913,A734)&gt;1,"; Duplicate Order ID Conflict",""))</f>
        <v/>
      </c>
      <c r="AE734" s="10" t="str">
        <f aca="false">IF(OR(ISNUMBER(SEARCH("Invalid Discount",AD734)),ISNUMBER(SEARCH("Invalid Shipping Record",AD734)),ISNUMBER(SEARCH("Sales Mismatch",AD734)),ISNUMBER(SEARCH("Profit Mismatch",AD734)),ISNUMBER(SEARCH("Duplicate Order ID Conflict",AD734)),ISNUMBER(SEARCH("Missing Order Date",AD734)),ISNUMBER(SEARCH("Missing Ship Date",AD734))),"Invalid",IF(AD734&lt;&gt;"","Warning","Clean"))</f>
        <v>Clean</v>
      </c>
    </row>
    <row r="735" customFormat="false" ht="15" hidden="false" customHeight="true" outlineLevel="0" collapsed="false">
      <c r="A735" s="3" t="s">
        <v>2200</v>
      </c>
      <c r="B735" s="4" t="n">
        <v>45464</v>
      </c>
      <c r="C735" s="4" t="n">
        <v>45471</v>
      </c>
      <c r="D735" s="3" t="s">
        <v>2201</v>
      </c>
      <c r="E735" s="3" t="str">
        <f aca="false">PROPER(TRIM(SUBSTITUTE(Raw_Text_Fields!B736,CHAR(160)," ")))</f>
        <v>Aarav Sharma</v>
      </c>
      <c r="F735" s="3" t="str">
        <f aca="false">PROPER(TRIM(SUBSTITUTE(Raw_Text_Fields!C736,CHAR(160)," ")))</f>
        <v>Home Office</v>
      </c>
      <c r="G735" s="3" t="str">
        <f aca="false">PROPER(TRIM(SUBSTITUTE(Raw_Text_Fields!D736,CHAR(160)," ")))</f>
        <v>North</v>
      </c>
      <c r="H735" s="3" t="str">
        <f aca="false">PROPER(TRIM(SUBSTITUTE(Raw_Text_Fields!E736,CHAR(160)," ")))</f>
        <v>Rajasthan</v>
      </c>
      <c r="I735" s="3" t="str">
        <f aca="false">PROPER(TRIM(SUBSTITUTE(Raw_Text_Fields!F736,CHAR(160)," ")))</f>
        <v>Jaipur</v>
      </c>
      <c r="J735" s="3" t="str">
        <f aca="false">PROPER(TRIM(SUBSTITUTE(Raw_Text_Fields!G736,CHAR(160)," ")))</f>
        <v>Furniture</v>
      </c>
      <c r="K735" s="3" t="str">
        <f aca="false">PROPER(TRIM(SUBSTITUTE(Raw_Text_Fields!H736,CHAR(160)," ")))</f>
        <v>Furnishings</v>
      </c>
      <c r="L735" s="3" t="s">
        <v>2202</v>
      </c>
      <c r="M735" s="3" t="str">
        <f aca="false">PROPER(TRIM(SUBSTITUTE(Raw_Text_Fields!I736,CHAR(160)," ")))</f>
        <v>First Class</v>
      </c>
      <c r="N735" s="3" t="n">
        <v>9</v>
      </c>
      <c r="O735" s="5" t="n">
        <v>2797.96</v>
      </c>
      <c r="P735" s="6" t="n">
        <v>0</v>
      </c>
      <c r="Q735" s="5" t="n">
        <v>25181.64</v>
      </c>
      <c r="R735" s="5" t="n">
        <v>15337.9</v>
      </c>
      <c r="S735" s="5" t="n">
        <v>9843.74</v>
      </c>
      <c r="T735" s="3" t="str">
        <f aca="false">PROPER(TRIM(SUBSTITUTE(Raw_Text_Fields!J736,CHAR(160)," ")))</f>
        <v>Paid</v>
      </c>
      <c r="U735" s="3" t="str">
        <f aca="false">PROPER(TRIM(SUBSTITUTE(Raw_Text_Fields!K736,CHAR(160)," ")))</f>
        <v>Completed</v>
      </c>
      <c r="V735" s="7" t="n">
        <f aca="false">IF(OR(P735&lt;0,P735&gt;0.5),0,P735)</f>
        <v>0</v>
      </c>
      <c r="W735" s="8" t="n">
        <f aca="false">N735*O735*(1-V735)</f>
        <v>25181.64</v>
      </c>
      <c r="X735" s="8" t="n">
        <f aca="false">W735-R735</f>
        <v>9843.74</v>
      </c>
      <c r="Y735" s="7" t="n">
        <f aca="false">IFERROR(X735/W735,0)</f>
        <v>0.39090940860087</v>
      </c>
      <c r="Z735" s="9" t="n">
        <f aca="false">C735-B735</f>
        <v>7</v>
      </c>
      <c r="AA735" s="1" t="str">
        <f aca="false">IF(B735="","",TEXT(B735,"mmm"))</f>
        <v>Jun</v>
      </c>
      <c r="AB735" s="9" t="n">
        <f aca="false">IF(B735="","",YEAR(B735))</f>
        <v>2024</v>
      </c>
      <c r="AC735" s="3"/>
      <c r="AD735" s="3" t="str">
        <f aca="false">IF(LEFT(AC735&amp;IF(B735="","; Missing Order Date","")&amp;IF(C735="","; Missing Ship Date","")&amp;IF(P735&lt;0,"; Invalid Discount (Negative)","")&amp;IF(P735&gt;0.5,"; Invalid Discount (Too High)","")&amp;IF(Z735&lt;0,"; Invalid Shipping Record (Ship Before Order)","")&amp;IF(ABS(Q735-W735)&gt;1,"; Sales Mismatch","")&amp;IF(ABS(S735-X735)&gt;1,"; Profit Mismatch","")&amp;IF(COUNTIF($A$2:$A$913,A735)&gt;1,"; Duplicate Order ID Conflict",""),2)="; ",MID(AC735&amp;IF(B735="","; Missing Order Date","")&amp;IF(C735="","; Missing Ship Date","")&amp;IF(P735&lt;0,"; Invalid Discount (Negative)","")&amp;IF(P735&gt;0.5,"; Invalid Discount (Too High)","")&amp;IF(Z735&lt;0,"; Invalid Shipping Record (Ship Before Order)","")&amp;IF(ABS(Q735-W735)&gt;1,"; Sales Mismatch","")&amp;IF(ABS(S735-X735)&gt;1,"; Profit Mismatch","")&amp;IF(COUNTIF($A$2:$A$913,A735)&gt;1,"; Duplicate Order ID Conflict",""),3,500),AC735&amp;IF(B735="","; Missing Order Date","")&amp;IF(C735="","; Missing Ship Date","")&amp;IF(P735&lt;0,"; Invalid Discount (Negative)","")&amp;IF(P735&gt;0.5,"; Invalid Discount (Too High)","")&amp;IF(Z735&lt;0,"; Invalid Shipping Record (Ship Before Order)","")&amp;IF(ABS(Q735-W735)&gt;1,"; Sales Mismatch","")&amp;IF(ABS(S735-X735)&gt;1,"; Profit Mismatch","")&amp;IF(COUNTIF($A$2:$A$913,A735)&gt;1,"; Duplicate Order ID Conflict",""))</f>
        <v/>
      </c>
      <c r="AE735" s="10" t="str">
        <f aca="false">IF(OR(ISNUMBER(SEARCH("Invalid Discount",AD735)),ISNUMBER(SEARCH("Invalid Shipping Record",AD735)),ISNUMBER(SEARCH("Sales Mismatch",AD735)),ISNUMBER(SEARCH("Profit Mismatch",AD735)),ISNUMBER(SEARCH("Duplicate Order ID Conflict",AD735)),ISNUMBER(SEARCH("Missing Order Date",AD735)),ISNUMBER(SEARCH("Missing Ship Date",AD735))),"Invalid",IF(AD735&lt;&gt;"","Warning","Clean"))</f>
        <v>Clean</v>
      </c>
    </row>
    <row r="736" customFormat="false" ht="15" hidden="false" customHeight="true" outlineLevel="0" collapsed="false">
      <c r="A736" s="3" t="s">
        <v>2203</v>
      </c>
      <c r="B736" s="4" t="n">
        <v>45528</v>
      </c>
      <c r="C736" s="4" t="n">
        <v>45528</v>
      </c>
      <c r="D736" s="3" t="s">
        <v>2204</v>
      </c>
      <c r="E736" s="3" t="str">
        <f aca="false">PROPER(TRIM(SUBSTITUTE(Raw_Text_Fields!B737,CHAR(160)," ")))</f>
        <v>Ananya Rao</v>
      </c>
      <c r="F736" s="3" t="str">
        <f aca="false">PROPER(TRIM(SUBSTITUTE(Raw_Text_Fields!C737,CHAR(160)," ")))</f>
        <v>Small Business</v>
      </c>
      <c r="G736" s="3" t="str">
        <f aca="false">PROPER(TRIM(SUBSTITUTE(Raw_Text_Fields!D737,CHAR(160)," ")))</f>
        <v>North</v>
      </c>
      <c r="H736" s="3" t="str">
        <f aca="false">PROPER(TRIM(SUBSTITUTE(Raw_Text_Fields!E737,CHAR(160)," ")))</f>
        <v>Rajasthan</v>
      </c>
      <c r="I736" s="3" t="str">
        <f aca="false">PROPER(TRIM(SUBSTITUTE(Raw_Text_Fields!F737,CHAR(160)," ")))</f>
        <v>Jaipur</v>
      </c>
      <c r="J736" s="3" t="str">
        <f aca="false">PROPER(TRIM(SUBSTITUTE(Raw_Text_Fields!G737,CHAR(160)," ")))</f>
        <v>Technology</v>
      </c>
      <c r="K736" s="3" t="str">
        <f aca="false">PROPER(TRIM(SUBSTITUTE(Raw_Text_Fields!H737,CHAR(160)," ")))</f>
        <v>Accessories</v>
      </c>
      <c r="L736" s="3" t="s">
        <v>2205</v>
      </c>
      <c r="M736" s="3" t="str">
        <f aca="false">PROPER(TRIM(SUBSTITUTE(Raw_Text_Fields!I737,CHAR(160)," ")))</f>
        <v>First Class</v>
      </c>
      <c r="N736" s="3" t="n">
        <v>4</v>
      </c>
      <c r="O736" s="5" t="n">
        <v>2761.86</v>
      </c>
      <c r="P736" s="6" t="n">
        <v>0.2</v>
      </c>
      <c r="Q736" s="5" t="n">
        <v>8837.95</v>
      </c>
      <c r="R736" s="5" t="n">
        <v>6157.27</v>
      </c>
      <c r="S736" s="5" t="n">
        <v>2680.68</v>
      </c>
      <c r="T736" s="3" t="str">
        <f aca="false">PROPER(TRIM(SUBSTITUTE(Raw_Text_Fields!J737,CHAR(160)," ")))</f>
        <v>Paid</v>
      </c>
      <c r="U736" s="3" t="str">
        <f aca="false">PROPER(TRIM(SUBSTITUTE(Raw_Text_Fields!K737,CHAR(160)," ")))</f>
        <v>Completed</v>
      </c>
      <c r="V736" s="7" t="n">
        <f aca="false">IF(OR(P736&lt;0,P736&gt;0.5),0,P736)</f>
        <v>0.2</v>
      </c>
      <c r="W736" s="8" t="n">
        <f aca="false">N736*O736*(1-V736)</f>
        <v>8837.952</v>
      </c>
      <c r="X736" s="8" t="n">
        <f aca="false">W736-R736</f>
        <v>2680.682</v>
      </c>
      <c r="Y736" s="7" t="n">
        <f aca="false">IFERROR(X736/W736,0)</f>
        <v>0.303314840361206</v>
      </c>
      <c r="Z736" s="9" t="n">
        <f aca="false">C736-B736</f>
        <v>0</v>
      </c>
      <c r="AA736" s="1" t="str">
        <f aca="false">IF(B736="","",TEXT(B736,"mmm"))</f>
        <v>Aug</v>
      </c>
      <c r="AB736" s="9" t="n">
        <f aca="false">IF(B736="","",YEAR(B736))</f>
        <v>2024</v>
      </c>
      <c r="AC736" s="3"/>
      <c r="AD736" s="3" t="str">
        <f aca="false">IF(LEFT(AC736&amp;IF(B736="","; Missing Order Date","")&amp;IF(C736="","; Missing Ship Date","")&amp;IF(P736&lt;0,"; Invalid Discount (Negative)","")&amp;IF(P736&gt;0.5,"; Invalid Discount (Too High)","")&amp;IF(Z736&lt;0,"; Invalid Shipping Record (Ship Before Order)","")&amp;IF(ABS(Q736-W736)&gt;1,"; Sales Mismatch","")&amp;IF(ABS(S736-X736)&gt;1,"; Profit Mismatch","")&amp;IF(COUNTIF($A$2:$A$913,A736)&gt;1,"; Duplicate Order ID Conflict",""),2)="; ",MID(AC736&amp;IF(B736="","; Missing Order Date","")&amp;IF(C736="","; Missing Ship Date","")&amp;IF(P736&lt;0,"; Invalid Discount (Negative)","")&amp;IF(P736&gt;0.5,"; Invalid Discount (Too High)","")&amp;IF(Z736&lt;0,"; Invalid Shipping Record (Ship Before Order)","")&amp;IF(ABS(Q736-W736)&gt;1,"; Sales Mismatch","")&amp;IF(ABS(S736-X736)&gt;1,"; Profit Mismatch","")&amp;IF(COUNTIF($A$2:$A$913,A736)&gt;1,"; Duplicate Order ID Conflict",""),3,500),AC736&amp;IF(B736="","; Missing Order Date","")&amp;IF(C736="","; Missing Ship Date","")&amp;IF(P736&lt;0,"; Invalid Discount (Negative)","")&amp;IF(P736&gt;0.5,"; Invalid Discount (Too High)","")&amp;IF(Z736&lt;0,"; Invalid Shipping Record (Ship Before Order)","")&amp;IF(ABS(Q736-W736)&gt;1,"; Sales Mismatch","")&amp;IF(ABS(S736-X736)&gt;1,"; Profit Mismatch","")&amp;IF(COUNTIF($A$2:$A$913,A736)&gt;1,"; Duplicate Order ID Conflict",""))</f>
        <v/>
      </c>
      <c r="AE736" s="10" t="str">
        <f aca="false">IF(OR(ISNUMBER(SEARCH("Invalid Discount",AD736)),ISNUMBER(SEARCH("Invalid Shipping Record",AD736)),ISNUMBER(SEARCH("Sales Mismatch",AD736)),ISNUMBER(SEARCH("Profit Mismatch",AD736)),ISNUMBER(SEARCH("Duplicate Order ID Conflict",AD736)),ISNUMBER(SEARCH("Missing Order Date",AD736)),ISNUMBER(SEARCH("Missing Ship Date",AD736))),"Invalid",IF(AD736&lt;&gt;"","Warning","Clean"))</f>
        <v>Clean</v>
      </c>
    </row>
    <row r="737" customFormat="false" ht="15" hidden="false" customHeight="true" outlineLevel="0" collapsed="false">
      <c r="A737" s="3" t="s">
        <v>2206</v>
      </c>
      <c r="B737" s="4" t="n">
        <v>45515</v>
      </c>
      <c r="C737" s="4" t="n">
        <v>45523</v>
      </c>
      <c r="D737" s="3" t="s">
        <v>2207</v>
      </c>
      <c r="E737" s="3" t="str">
        <f aca="false">PROPER(TRIM(SUBSTITUTE(Raw_Text_Fields!B738,CHAR(160)," ")))</f>
        <v>Mira Das</v>
      </c>
      <c r="F737" s="3" t="str">
        <f aca="false">PROPER(TRIM(SUBSTITUTE(Raw_Text_Fields!C738,CHAR(160)," ")))</f>
        <v>Consumer</v>
      </c>
      <c r="G737" s="3" t="str">
        <f aca="false">PROPER(TRIM(SUBSTITUTE(Raw_Text_Fields!D738,CHAR(160)," ")))</f>
        <v>West</v>
      </c>
      <c r="H737" s="3" t="str">
        <f aca="false">PROPER(TRIM(SUBSTITUTE(Raw_Text_Fields!E738,CHAR(160)," ")))</f>
        <v>Maharashtra</v>
      </c>
      <c r="I737" s="3" t="str">
        <f aca="false">PROPER(TRIM(SUBSTITUTE(Raw_Text_Fields!F738,CHAR(160)," ")))</f>
        <v>Mumbai</v>
      </c>
      <c r="J737" s="3" t="str">
        <f aca="false">PROPER(TRIM(SUBSTITUTE(Raw_Text_Fields!G738,CHAR(160)," ")))</f>
        <v>Furniture</v>
      </c>
      <c r="K737" s="3" t="str">
        <f aca="false">PROPER(TRIM(SUBSTITUTE(Raw_Text_Fields!H738,CHAR(160)," ")))</f>
        <v>Tables</v>
      </c>
      <c r="L737" s="3" t="s">
        <v>2208</v>
      </c>
      <c r="M737" s="3" t="str">
        <f aca="false">PROPER(TRIM(SUBSTITUTE(Raw_Text_Fields!I738,CHAR(160)," ")))</f>
        <v>Standard Class</v>
      </c>
      <c r="N737" s="3" t="n">
        <v>6</v>
      </c>
      <c r="O737" s="5" t="n">
        <v>1515.79</v>
      </c>
      <c r="P737" s="6" t="n">
        <v>0.2</v>
      </c>
      <c r="Q737" s="5" t="n">
        <v>7275.79</v>
      </c>
      <c r="R737" s="5" t="n">
        <v>6152.87</v>
      </c>
      <c r="S737" s="5" t="n">
        <v>1122.92</v>
      </c>
      <c r="T737" s="3" t="str">
        <f aca="false">PROPER(TRIM(SUBSTITUTE(Raw_Text_Fields!J738,CHAR(160)," ")))</f>
        <v>Paid</v>
      </c>
      <c r="U737" s="3" t="str">
        <f aca="false">PROPER(TRIM(SUBSTITUTE(Raw_Text_Fields!K738,CHAR(160)," ")))</f>
        <v>Completed</v>
      </c>
      <c r="V737" s="7" t="n">
        <f aca="false">IF(OR(P737&lt;0,P737&gt;0.5),0,P737)</f>
        <v>0.2</v>
      </c>
      <c r="W737" s="8" t="n">
        <f aca="false">N737*O737*(1-V737)</f>
        <v>7275.792</v>
      </c>
      <c r="X737" s="8" t="n">
        <f aca="false">W737-R737</f>
        <v>1122.922</v>
      </c>
      <c r="Y737" s="7" t="n">
        <f aca="false">IFERROR(X737/W737,0)</f>
        <v>0.154336737498818</v>
      </c>
      <c r="Z737" s="9" t="n">
        <f aca="false">C737-B737</f>
        <v>8</v>
      </c>
      <c r="AA737" s="1" t="str">
        <f aca="false">IF(B737="","",TEXT(B737,"mmm"))</f>
        <v>Aug</v>
      </c>
      <c r="AB737" s="9" t="n">
        <f aca="false">IF(B737="","",YEAR(B737))</f>
        <v>2024</v>
      </c>
      <c r="AC737" s="3"/>
      <c r="AD737" s="3" t="str">
        <f aca="false">IF(LEFT(AC737&amp;IF(B737="","; Missing Order Date","")&amp;IF(C737="","; Missing Ship Date","")&amp;IF(P737&lt;0,"; Invalid Discount (Negative)","")&amp;IF(P737&gt;0.5,"; Invalid Discount (Too High)","")&amp;IF(Z737&lt;0,"; Invalid Shipping Record (Ship Before Order)","")&amp;IF(ABS(Q737-W737)&gt;1,"; Sales Mismatch","")&amp;IF(ABS(S737-X737)&gt;1,"; Profit Mismatch","")&amp;IF(COUNTIF($A$2:$A$913,A737)&gt;1,"; Duplicate Order ID Conflict",""),2)="; ",MID(AC737&amp;IF(B737="","; Missing Order Date","")&amp;IF(C737="","; Missing Ship Date","")&amp;IF(P737&lt;0,"; Invalid Discount (Negative)","")&amp;IF(P737&gt;0.5,"; Invalid Discount (Too High)","")&amp;IF(Z737&lt;0,"; Invalid Shipping Record (Ship Before Order)","")&amp;IF(ABS(Q737-W737)&gt;1,"; Sales Mismatch","")&amp;IF(ABS(S737-X737)&gt;1,"; Profit Mismatch","")&amp;IF(COUNTIF($A$2:$A$913,A737)&gt;1,"; Duplicate Order ID Conflict",""),3,500),AC737&amp;IF(B737="","; Missing Order Date","")&amp;IF(C737="","; Missing Ship Date","")&amp;IF(P737&lt;0,"; Invalid Discount (Negative)","")&amp;IF(P737&gt;0.5,"; Invalid Discount (Too High)","")&amp;IF(Z737&lt;0,"; Invalid Shipping Record (Ship Before Order)","")&amp;IF(ABS(Q737-W737)&gt;1,"; Sales Mismatch","")&amp;IF(ABS(S737-X737)&gt;1,"; Profit Mismatch","")&amp;IF(COUNTIF($A$2:$A$913,A737)&gt;1,"; Duplicate Order ID Conflict",""))</f>
        <v/>
      </c>
      <c r="AE737" s="10" t="str">
        <f aca="false">IF(OR(ISNUMBER(SEARCH("Invalid Discount",AD737)),ISNUMBER(SEARCH("Invalid Shipping Record",AD737)),ISNUMBER(SEARCH("Sales Mismatch",AD737)),ISNUMBER(SEARCH("Profit Mismatch",AD737)),ISNUMBER(SEARCH("Duplicate Order ID Conflict",AD737)),ISNUMBER(SEARCH("Missing Order Date",AD737)),ISNUMBER(SEARCH("Missing Ship Date",AD737))),"Invalid",IF(AD737&lt;&gt;"","Warning","Clean"))</f>
        <v>Clean</v>
      </c>
    </row>
    <row r="738" customFormat="false" ht="15" hidden="false" customHeight="true" outlineLevel="0" collapsed="false">
      <c r="A738" s="3" t="s">
        <v>2209</v>
      </c>
      <c r="B738" s="4" t="n">
        <v>45632</v>
      </c>
      <c r="C738" s="4" t="n">
        <v>45635</v>
      </c>
      <c r="D738" s="3" t="s">
        <v>2210</v>
      </c>
      <c r="E738" s="3" t="str">
        <f aca="false">PROPER(TRIM(SUBSTITUTE(Raw_Text_Fields!B739,CHAR(160)," ")))</f>
        <v>Aditi Sen</v>
      </c>
      <c r="F738" s="3" t="str">
        <f aca="false">PROPER(TRIM(SUBSTITUTE(Raw_Text_Fields!C739,CHAR(160)," ")))</f>
        <v>Consumer</v>
      </c>
      <c r="G738" s="3" t="str">
        <f aca="false">PROPER(TRIM(SUBSTITUTE(Raw_Text_Fields!D739,CHAR(160)," ")))</f>
        <v>West</v>
      </c>
      <c r="H738" s="3" t="str">
        <f aca="false">PROPER(TRIM(SUBSTITUTE(Raw_Text_Fields!E739,CHAR(160)," ")))</f>
        <v>Maharashtra</v>
      </c>
      <c r="I738" s="3" t="str">
        <f aca="false">PROPER(TRIM(SUBSTITUTE(Raw_Text_Fields!F739,CHAR(160)," ")))</f>
        <v>Mumbai</v>
      </c>
      <c r="J738" s="3" t="str">
        <f aca="false">PROPER(TRIM(SUBSTITUTE(Raw_Text_Fields!G739,CHAR(160)," ")))</f>
        <v>Furniture</v>
      </c>
      <c r="K738" s="3" t="str">
        <f aca="false">PROPER(TRIM(SUBSTITUTE(Raw_Text_Fields!H739,CHAR(160)," ")))</f>
        <v>Chairs</v>
      </c>
      <c r="L738" s="3" t="s">
        <v>2211</v>
      </c>
      <c r="M738" s="3" t="str">
        <f aca="false">PROPER(TRIM(SUBSTITUTE(Raw_Text_Fields!I739,CHAR(160)," ")))</f>
        <v>Second Class</v>
      </c>
      <c r="N738" s="3" t="n">
        <v>9</v>
      </c>
      <c r="O738" s="5" t="n">
        <v>290.75</v>
      </c>
      <c r="P738" s="6" t="n">
        <v>0.1</v>
      </c>
      <c r="Q738" s="5" t="n">
        <v>2355.08</v>
      </c>
      <c r="R738" s="5" t="n">
        <v>1350.03</v>
      </c>
      <c r="S738" s="5" t="n">
        <v>1005.05</v>
      </c>
      <c r="T738" s="3" t="str">
        <f aca="false">PROPER(TRIM(SUBSTITUTE(Raw_Text_Fields!J739,CHAR(160)," ")))</f>
        <v>Paid</v>
      </c>
      <c r="U738" s="3" t="str">
        <f aca="false">PROPER(TRIM(SUBSTITUTE(Raw_Text_Fields!K739,CHAR(160)," ")))</f>
        <v>Completed</v>
      </c>
      <c r="V738" s="7" t="n">
        <f aca="false">IF(OR(P738&lt;0,P738&gt;0.5),0,P738)</f>
        <v>0.1</v>
      </c>
      <c r="W738" s="8" t="n">
        <f aca="false">N738*O738*(1-V738)</f>
        <v>2355.075</v>
      </c>
      <c r="X738" s="8" t="n">
        <f aca="false">W738-R738</f>
        <v>1005.045</v>
      </c>
      <c r="Y738" s="7" t="n">
        <f aca="false">IFERROR(X738/W738,0)</f>
        <v>0.42675710964619</v>
      </c>
      <c r="Z738" s="9" t="n">
        <f aca="false">C738-B738</f>
        <v>3</v>
      </c>
      <c r="AA738" s="1" t="str">
        <f aca="false">IF(B738="","",TEXT(B738,"mmm"))</f>
        <v>Dec</v>
      </c>
      <c r="AB738" s="9" t="n">
        <f aca="false">IF(B738="","",YEAR(B738))</f>
        <v>2024</v>
      </c>
      <c r="AC738" s="3"/>
      <c r="AD738" s="3" t="str">
        <f aca="false">IF(LEFT(AC738&amp;IF(B738="","; Missing Order Date","")&amp;IF(C738="","; Missing Ship Date","")&amp;IF(P738&lt;0,"; Invalid Discount (Negative)","")&amp;IF(P738&gt;0.5,"; Invalid Discount (Too High)","")&amp;IF(Z738&lt;0,"; Invalid Shipping Record (Ship Before Order)","")&amp;IF(ABS(Q738-W738)&gt;1,"; Sales Mismatch","")&amp;IF(ABS(S738-X738)&gt;1,"; Profit Mismatch","")&amp;IF(COUNTIF($A$2:$A$913,A738)&gt;1,"; Duplicate Order ID Conflict",""),2)="; ",MID(AC738&amp;IF(B738="","; Missing Order Date","")&amp;IF(C738="","; Missing Ship Date","")&amp;IF(P738&lt;0,"; Invalid Discount (Negative)","")&amp;IF(P738&gt;0.5,"; Invalid Discount (Too High)","")&amp;IF(Z738&lt;0,"; Invalid Shipping Record (Ship Before Order)","")&amp;IF(ABS(Q738-W738)&gt;1,"; Sales Mismatch","")&amp;IF(ABS(S738-X738)&gt;1,"; Profit Mismatch","")&amp;IF(COUNTIF($A$2:$A$913,A738)&gt;1,"; Duplicate Order ID Conflict",""),3,500),AC738&amp;IF(B738="","; Missing Order Date","")&amp;IF(C738="","; Missing Ship Date","")&amp;IF(P738&lt;0,"; Invalid Discount (Negative)","")&amp;IF(P738&gt;0.5,"; Invalid Discount (Too High)","")&amp;IF(Z738&lt;0,"; Invalid Shipping Record (Ship Before Order)","")&amp;IF(ABS(Q738-W738)&gt;1,"; Sales Mismatch","")&amp;IF(ABS(S738-X738)&gt;1,"; Profit Mismatch","")&amp;IF(COUNTIF($A$2:$A$913,A738)&gt;1,"; Duplicate Order ID Conflict",""))</f>
        <v/>
      </c>
      <c r="AE738" s="10" t="str">
        <f aca="false">IF(OR(ISNUMBER(SEARCH("Invalid Discount",AD738)),ISNUMBER(SEARCH("Invalid Shipping Record",AD738)),ISNUMBER(SEARCH("Sales Mismatch",AD738)),ISNUMBER(SEARCH("Profit Mismatch",AD738)),ISNUMBER(SEARCH("Duplicate Order ID Conflict",AD738)),ISNUMBER(SEARCH("Missing Order Date",AD738)),ISNUMBER(SEARCH("Missing Ship Date",AD738))),"Invalid",IF(AD738&lt;&gt;"","Warning","Clean"))</f>
        <v>Clean</v>
      </c>
    </row>
    <row r="739" customFormat="false" ht="15" hidden="false" customHeight="true" outlineLevel="0" collapsed="false">
      <c r="A739" s="3" t="s">
        <v>2212</v>
      </c>
      <c r="B739" s="4" t="n">
        <v>45332</v>
      </c>
      <c r="C739" s="4" t="n">
        <v>45332</v>
      </c>
      <c r="D739" s="3" t="s">
        <v>2213</v>
      </c>
      <c r="E739" s="3" t="str">
        <f aca="false">PROPER(TRIM(SUBSTITUTE(Raw_Text_Fields!B740,CHAR(160)," ")))</f>
        <v>Isha Nair</v>
      </c>
      <c r="F739" s="3" t="str">
        <f aca="false">PROPER(TRIM(SUBSTITUTE(Raw_Text_Fields!C740,CHAR(160)," ")))</f>
        <v>Home Office</v>
      </c>
      <c r="G739" s="3" t="str">
        <f aca="false">PROPER(TRIM(SUBSTITUTE(Raw_Text_Fields!D740,CHAR(160)," ")))</f>
        <v>West</v>
      </c>
      <c r="H739" s="3" t="str">
        <f aca="false">PROPER(TRIM(SUBSTITUTE(Raw_Text_Fields!E740,CHAR(160)," ")))</f>
        <v>Maharashtra</v>
      </c>
      <c r="I739" s="3" t="str">
        <f aca="false">PROPER(TRIM(SUBSTITUTE(Raw_Text_Fields!F740,CHAR(160)," ")))</f>
        <v>Mumbai</v>
      </c>
      <c r="J739" s="3" t="str">
        <f aca="false">PROPER(TRIM(SUBSTITUTE(Raw_Text_Fields!G740,CHAR(160)," ")))</f>
        <v>Furniture</v>
      </c>
      <c r="K739" s="3" t="str">
        <f aca="false">PROPER(TRIM(SUBSTITUTE(Raw_Text_Fields!H740,CHAR(160)," ")))</f>
        <v>Chairs</v>
      </c>
      <c r="L739" s="3" t="s">
        <v>2214</v>
      </c>
      <c r="M739" s="3" t="str">
        <f aca="false">PROPER(TRIM(SUBSTITUTE(Raw_Text_Fields!I740,CHAR(160)," ")))</f>
        <v>Same Day</v>
      </c>
      <c r="N739" s="3" t="n">
        <v>6</v>
      </c>
      <c r="O739" s="5" t="n">
        <v>601.52</v>
      </c>
      <c r="P739" s="6" t="n">
        <v>0</v>
      </c>
      <c r="Q739" s="5" t="n">
        <v>3609.12</v>
      </c>
      <c r="R739" s="5" t="n">
        <v>2645.5</v>
      </c>
      <c r="S739" s="5" t="n">
        <v>963.62</v>
      </c>
      <c r="T739" s="3" t="str">
        <f aca="false">PROPER(TRIM(SUBSTITUTE(Raw_Text_Fields!J740,CHAR(160)," ")))</f>
        <v>Paid</v>
      </c>
      <c r="U739" s="3" t="str">
        <f aca="false">PROPER(TRIM(SUBSTITUTE(Raw_Text_Fields!K740,CHAR(160)," ")))</f>
        <v>Completed</v>
      </c>
      <c r="V739" s="7" t="n">
        <f aca="false">IF(OR(P739&lt;0,P739&gt;0.5),0,P739)</f>
        <v>0</v>
      </c>
      <c r="W739" s="8" t="n">
        <f aca="false">N739*O739*(1-V739)</f>
        <v>3609.12</v>
      </c>
      <c r="X739" s="8" t="n">
        <f aca="false">W739-R739</f>
        <v>963.62</v>
      </c>
      <c r="Y739" s="7" t="n">
        <f aca="false">IFERROR(X739/W739,0)</f>
        <v>0.266995832779182</v>
      </c>
      <c r="Z739" s="9" t="n">
        <f aca="false">C739-B739</f>
        <v>0</v>
      </c>
      <c r="AA739" s="1" t="str">
        <f aca="false">IF(B739="","",TEXT(B739,"mmm"))</f>
        <v>Feb</v>
      </c>
      <c r="AB739" s="9" t="n">
        <f aca="false">IF(B739="","",YEAR(B739))</f>
        <v>2024</v>
      </c>
      <c r="AC739" s="3"/>
      <c r="AD739" s="3" t="str">
        <f aca="false">IF(LEFT(AC739&amp;IF(B739="","; Missing Order Date","")&amp;IF(C739="","; Missing Ship Date","")&amp;IF(P739&lt;0,"; Invalid Discount (Negative)","")&amp;IF(P739&gt;0.5,"; Invalid Discount (Too High)","")&amp;IF(Z739&lt;0,"; Invalid Shipping Record (Ship Before Order)","")&amp;IF(ABS(Q739-W739)&gt;1,"; Sales Mismatch","")&amp;IF(ABS(S739-X739)&gt;1,"; Profit Mismatch","")&amp;IF(COUNTIF($A$2:$A$913,A739)&gt;1,"; Duplicate Order ID Conflict",""),2)="; ",MID(AC739&amp;IF(B739="","; Missing Order Date","")&amp;IF(C739="","; Missing Ship Date","")&amp;IF(P739&lt;0,"; Invalid Discount (Negative)","")&amp;IF(P739&gt;0.5,"; Invalid Discount (Too High)","")&amp;IF(Z739&lt;0,"; Invalid Shipping Record (Ship Before Order)","")&amp;IF(ABS(Q739-W739)&gt;1,"; Sales Mismatch","")&amp;IF(ABS(S739-X739)&gt;1,"; Profit Mismatch","")&amp;IF(COUNTIF($A$2:$A$913,A739)&gt;1,"; Duplicate Order ID Conflict",""),3,500),AC739&amp;IF(B739="","; Missing Order Date","")&amp;IF(C739="","; Missing Ship Date","")&amp;IF(P739&lt;0,"; Invalid Discount (Negative)","")&amp;IF(P739&gt;0.5,"; Invalid Discount (Too High)","")&amp;IF(Z739&lt;0,"; Invalid Shipping Record (Ship Before Order)","")&amp;IF(ABS(Q739-W739)&gt;1,"; Sales Mismatch","")&amp;IF(ABS(S739-X739)&gt;1,"; Profit Mismatch","")&amp;IF(COUNTIF($A$2:$A$913,A739)&gt;1,"; Duplicate Order ID Conflict",""))</f>
        <v/>
      </c>
      <c r="AE739" s="10" t="str">
        <f aca="false">IF(OR(ISNUMBER(SEARCH("Invalid Discount",AD739)),ISNUMBER(SEARCH("Invalid Shipping Record",AD739)),ISNUMBER(SEARCH("Sales Mismatch",AD739)),ISNUMBER(SEARCH("Profit Mismatch",AD739)),ISNUMBER(SEARCH("Duplicate Order ID Conflict",AD739)),ISNUMBER(SEARCH("Missing Order Date",AD739)),ISNUMBER(SEARCH("Missing Ship Date",AD739))),"Invalid",IF(AD739&lt;&gt;"","Warning","Clean"))</f>
        <v>Clean</v>
      </c>
    </row>
    <row r="740" customFormat="false" ht="15" hidden="false" customHeight="true" outlineLevel="0" collapsed="false">
      <c r="A740" s="3" t="s">
        <v>2215</v>
      </c>
      <c r="B740" s="4" t="n">
        <v>45708</v>
      </c>
      <c r="C740" s="4" t="n">
        <v>45710</v>
      </c>
      <c r="D740" s="3" t="s">
        <v>2216</v>
      </c>
      <c r="E740" s="3" t="str">
        <f aca="false">PROPER(TRIM(SUBSTITUTE(Raw_Text_Fields!B741,CHAR(160)," ")))</f>
        <v>Priya Menon</v>
      </c>
      <c r="F740" s="3" t="str">
        <f aca="false">PROPER(TRIM(SUBSTITUTE(Raw_Text_Fields!C741,CHAR(160)," ")))</f>
        <v>Corporate</v>
      </c>
      <c r="G740" s="3" t="str">
        <f aca="false">PROPER(TRIM(SUBSTITUTE(Raw_Text_Fields!D741,CHAR(160)," ")))</f>
        <v>South</v>
      </c>
      <c r="H740" s="3" t="str">
        <f aca="false">PROPER(TRIM(SUBSTITUTE(Raw_Text_Fields!E741,CHAR(160)," ")))</f>
        <v>Kerala</v>
      </c>
      <c r="I740" s="3" t="str">
        <f aca="false">PROPER(TRIM(SUBSTITUTE(Raw_Text_Fields!F741,CHAR(160)," ")))</f>
        <v>Kochi</v>
      </c>
      <c r="J740" s="3" t="str">
        <f aca="false">PROPER(TRIM(SUBSTITUTE(Raw_Text_Fields!G741,CHAR(160)," ")))</f>
        <v>Office Supplies</v>
      </c>
      <c r="K740" s="3" t="str">
        <f aca="false">PROPER(TRIM(SUBSTITUTE(Raw_Text_Fields!H741,CHAR(160)," ")))</f>
        <v>Paper</v>
      </c>
      <c r="L740" s="3" t="s">
        <v>2217</v>
      </c>
      <c r="M740" s="3" t="str">
        <f aca="false">PROPER(TRIM(SUBSTITUTE(Raw_Text_Fields!I741,CHAR(160)," ")))</f>
        <v>First Class</v>
      </c>
      <c r="N740" s="3" t="n">
        <v>1</v>
      </c>
      <c r="O740" s="5" t="n">
        <v>2188.19</v>
      </c>
      <c r="P740" s="6" t="n">
        <v>0</v>
      </c>
      <c r="Q740" s="5" t="n">
        <v>2188.19</v>
      </c>
      <c r="R740" s="5" t="n">
        <v>1298.84</v>
      </c>
      <c r="S740" s="5" t="n">
        <v>889.35</v>
      </c>
      <c r="T740" s="3" t="str">
        <f aca="false">PROPER(TRIM(SUBSTITUTE(Raw_Text_Fields!J741,CHAR(160)," ")))</f>
        <v>Paid</v>
      </c>
      <c r="U740" s="3" t="str">
        <f aca="false">PROPER(TRIM(SUBSTITUTE(Raw_Text_Fields!K741,CHAR(160)," ")))</f>
        <v>Completed</v>
      </c>
      <c r="V740" s="7" t="n">
        <f aca="false">IF(OR(P740&lt;0,P740&gt;0.5),0,P740)</f>
        <v>0</v>
      </c>
      <c r="W740" s="8" t="n">
        <f aca="false">N740*O740*(1-V740)</f>
        <v>2188.19</v>
      </c>
      <c r="X740" s="8" t="n">
        <f aca="false">W740-R740</f>
        <v>889.35</v>
      </c>
      <c r="Y740" s="7" t="n">
        <f aca="false">IFERROR(X740/W740,0)</f>
        <v>0.406431799798007</v>
      </c>
      <c r="Z740" s="9" t="n">
        <f aca="false">C740-B740</f>
        <v>2</v>
      </c>
      <c r="AA740" s="1" t="str">
        <f aca="false">IF(B740="","",TEXT(B740,"mmm"))</f>
        <v>Feb</v>
      </c>
      <c r="AB740" s="9" t="n">
        <f aca="false">IF(B740="","",YEAR(B740))</f>
        <v>2025</v>
      </c>
      <c r="AC740" s="3"/>
      <c r="AD740" s="3" t="str">
        <f aca="false">IF(LEFT(AC740&amp;IF(B740="","; Missing Order Date","")&amp;IF(C740="","; Missing Ship Date","")&amp;IF(P740&lt;0,"; Invalid Discount (Negative)","")&amp;IF(P740&gt;0.5,"; Invalid Discount (Too High)","")&amp;IF(Z740&lt;0,"; Invalid Shipping Record (Ship Before Order)","")&amp;IF(ABS(Q740-W740)&gt;1,"; Sales Mismatch","")&amp;IF(ABS(S740-X740)&gt;1,"; Profit Mismatch","")&amp;IF(COUNTIF($A$2:$A$913,A740)&gt;1,"; Duplicate Order ID Conflict",""),2)="; ",MID(AC740&amp;IF(B740="","; Missing Order Date","")&amp;IF(C740="","; Missing Ship Date","")&amp;IF(P740&lt;0,"; Invalid Discount (Negative)","")&amp;IF(P740&gt;0.5,"; Invalid Discount (Too High)","")&amp;IF(Z740&lt;0,"; Invalid Shipping Record (Ship Before Order)","")&amp;IF(ABS(Q740-W740)&gt;1,"; Sales Mismatch","")&amp;IF(ABS(S740-X740)&gt;1,"; Profit Mismatch","")&amp;IF(COUNTIF($A$2:$A$913,A740)&gt;1,"; Duplicate Order ID Conflict",""),3,500),AC740&amp;IF(B740="","; Missing Order Date","")&amp;IF(C740="","; Missing Ship Date","")&amp;IF(P740&lt;0,"; Invalid Discount (Negative)","")&amp;IF(P740&gt;0.5,"; Invalid Discount (Too High)","")&amp;IF(Z740&lt;0,"; Invalid Shipping Record (Ship Before Order)","")&amp;IF(ABS(Q740-W740)&gt;1,"; Sales Mismatch","")&amp;IF(ABS(S740-X740)&gt;1,"; Profit Mismatch","")&amp;IF(COUNTIF($A$2:$A$913,A740)&gt;1,"; Duplicate Order ID Conflict",""))</f>
        <v/>
      </c>
      <c r="AE740" s="10" t="str">
        <f aca="false">IF(OR(ISNUMBER(SEARCH("Invalid Discount",AD740)),ISNUMBER(SEARCH("Invalid Shipping Record",AD740)),ISNUMBER(SEARCH("Sales Mismatch",AD740)),ISNUMBER(SEARCH("Profit Mismatch",AD740)),ISNUMBER(SEARCH("Duplicate Order ID Conflict",AD740)),ISNUMBER(SEARCH("Missing Order Date",AD740)),ISNUMBER(SEARCH("Missing Ship Date",AD740))),"Invalid",IF(AD740&lt;&gt;"","Warning","Clean"))</f>
        <v>Clean</v>
      </c>
    </row>
    <row r="741" customFormat="false" ht="15" hidden="false" customHeight="true" outlineLevel="0" collapsed="false">
      <c r="A741" s="3" t="s">
        <v>2218</v>
      </c>
      <c r="B741" s="4" t="n">
        <v>45629</v>
      </c>
      <c r="C741" s="4" t="n">
        <v>45636</v>
      </c>
      <c r="D741" s="3" t="s">
        <v>2219</v>
      </c>
      <c r="E741" s="3" t="str">
        <f aca="false">PROPER(TRIM(SUBSTITUTE(Raw_Text_Fields!B742,CHAR(160)," ")))</f>
        <v>Neha Gupta</v>
      </c>
      <c r="F741" s="3" t="str">
        <f aca="false">PROPER(TRIM(SUBSTITUTE(Raw_Text_Fields!C742,CHAR(160)," ")))</f>
        <v>Corporate</v>
      </c>
      <c r="G741" s="3" t="str">
        <f aca="false">PROPER(TRIM(SUBSTITUTE(Raw_Text_Fields!D742,CHAR(160)," ")))</f>
        <v>North</v>
      </c>
      <c r="H741" s="3" t="str">
        <f aca="false">PROPER(TRIM(SUBSTITUTE(Raw_Text_Fields!E742,CHAR(160)," ")))</f>
        <v>Rajasthan</v>
      </c>
      <c r="I741" s="3" t="str">
        <f aca="false">PROPER(TRIM(SUBSTITUTE(Raw_Text_Fields!F742,CHAR(160)," ")))</f>
        <v>Jaipur</v>
      </c>
      <c r="J741" s="3" t="str">
        <f aca="false">PROPER(TRIM(SUBSTITUTE(Raw_Text_Fields!G742,CHAR(160)," ")))</f>
        <v>Technology</v>
      </c>
      <c r="K741" s="3" t="str">
        <f aca="false">PROPER(TRIM(SUBSTITUTE(Raw_Text_Fields!H742,CHAR(160)," ")))</f>
        <v>Phones</v>
      </c>
      <c r="L741" s="3" t="s">
        <v>2220</v>
      </c>
      <c r="M741" s="3" t="str">
        <f aca="false">PROPER(TRIM(SUBSTITUTE(Raw_Text_Fields!I742,CHAR(160)," ")))</f>
        <v>Standard Class</v>
      </c>
      <c r="N741" s="3" t="n">
        <v>5</v>
      </c>
      <c r="O741" s="5" t="n">
        <v>2393.86</v>
      </c>
      <c r="P741" s="6" t="n">
        <v>0.05</v>
      </c>
      <c r="Q741" s="5" t="n">
        <v>11370.84</v>
      </c>
      <c r="R741" s="5" t="n">
        <v>7469.58</v>
      </c>
      <c r="S741" s="5" t="n">
        <v>3901.26</v>
      </c>
      <c r="T741" s="3" t="str">
        <f aca="false">PROPER(TRIM(SUBSTITUTE(Raw_Text_Fields!J742,CHAR(160)," ")))</f>
        <v>Paid</v>
      </c>
      <c r="U741" s="3" t="str">
        <f aca="false">PROPER(TRIM(SUBSTITUTE(Raw_Text_Fields!K742,CHAR(160)," ")))</f>
        <v>Completed</v>
      </c>
      <c r="V741" s="7" t="n">
        <f aca="false">IF(OR(P741&lt;0,P741&gt;0.5),0,P741)</f>
        <v>0.05</v>
      </c>
      <c r="W741" s="8" t="n">
        <f aca="false">N741*O741*(1-V741)</f>
        <v>11370.835</v>
      </c>
      <c r="X741" s="8" t="n">
        <f aca="false">W741-R741</f>
        <v>3901.255</v>
      </c>
      <c r="Y741" s="7" t="n">
        <f aca="false">IFERROR(X741/W741,0)</f>
        <v>0.343093097384669</v>
      </c>
      <c r="Z741" s="9" t="n">
        <f aca="false">C741-B741</f>
        <v>7</v>
      </c>
      <c r="AA741" s="1" t="str">
        <f aca="false">IF(B741="","",TEXT(B741,"mmm"))</f>
        <v>Dec</v>
      </c>
      <c r="AB741" s="9" t="n">
        <f aca="false">IF(B741="","",YEAR(B741))</f>
        <v>2024</v>
      </c>
      <c r="AC741" s="3"/>
      <c r="AD741" s="3" t="str">
        <f aca="false">IF(LEFT(AC741&amp;IF(B741="","; Missing Order Date","")&amp;IF(C741="","; Missing Ship Date","")&amp;IF(P741&lt;0,"; Invalid Discount (Negative)","")&amp;IF(P741&gt;0.5,"; Invalid Discount (Too High)","")&amp;IF(Z741&lt;0,"; Invalid Shipping Record (Ship Before Order)","")&amp;IF(ABS(Q741-W741)&gt;1,"; Sales Mismatch","")&amp;IF(ABS(S741-X741)&gt;1,"; Profit Mismatch","")&amp;IF(COUNTIF($A$2:$A$913,A741)&gt;1,"; Duplicate Order ID Conflict",""),2)="; ",MID(AC741&amp;IF(B741="","; Missing Order Date","")&amp;IF(C741="","; Missing Ship Date","")&amp;IF(P741&lt;0,"; Invalid Discount (Negative)","")&amp;IF(P741&gt;0.5,"; Invalid Discount (Too High)","")&amp;IF(Z741&lt;0,"; Invalid Shipping Record (Ship Before Order)","")&amp;IF(ABS(Q741-W741)&gt;1,"; Sales Mismatch","")&amp;IF(ABS(S741-X741)&gt;1,"; Profit Mismatch","")&amp;IF(COUNTIF($A$2:$A$913,A741)&gt;1,"; Duplicate Order ID Conflict",""),3,500),AC741&amp;IF(B741="","; Missing Order Date","")&amp;IF(C741="","; Missing Ship Date","")&amp;IF(P741&lt;0,"; Invalid Discount (Negative)","")&amp;IF(P741&gt;0.5,"; Invalid Discount (Too High)","")&amp;IF(Z741&lt;0,"; Invalid Shipping Record (Ship Before Order)","")&amp;IF(ABS(Q741-W741)&gt;1,"; Sales Mismatch","")&amp;IF(ABS(S741-X741)&gt;1,"; Profit Mismatch","")&amp;IF(COUNTIF($A$2:$A$913,A741)&gt;1,"; Duplicate Order ID Conflict",""))</f>
        <v/>
      </c>
      <c r="AE741" s="10" t="str">
        <f aca="false">IF(OR(ISNUMBER(SEARCH("Invalid Discount",AD741)),ISNUMBER(SEARCH("Invalid Shipping Record",AD741)),ISNUMBER(SEARCH("Sales Mismatch",AD741)),ISNUMBER(SEARCH("Profit Mismatch",AD741)),ISNUMBER(SEARCH("Duplicate Order ID Conflict",AD741)),ISNUMBER(SEARCH("Missing Order Date",AD741)),ISNUMBER(SEARCH("Missing Ship Date",AD741))),"Invalid",IF(AD741&lt;&gt;"","Warning","Clean"))</f>
        <v>Clean</v>
      </c>
    </row>
    <row r="742" customFormat="false" ht="15" hidden="false" customHeight="true" outlineLevel="0" collapsed="false">
      <c r="A742" s="3" t="s">
        <v>2221</v>
      </c>
      <c r="B742" s="4" t="n">
        <v>45384</v>
      </c>
      <c r="C742" s="4" t="n">
        <v>45384</v>
      </c>
      <c r="D742" s="3" t="s">
        <v>445</v>
      </c>
      <c r="E742" s="3" t="str">
        <f aca="false">PROPER(TRIM(SUBSTITUTE(Raw_Text_Fields!B743,CHAR(160)," ")))</f>
        <v>Sneha Kapoor</v>
      </c>
      <c r="F742" s="3" t="str">
        <f aca="false">PROPER(TRIM(SUBSTITUTE(Raw_Text_Fields!C743,CHAR(160)," ")))</f>
        <v>Small Business</v>
      </c>
      <c r="G742" s="3" t="str">
        <f aca="false">PROPER(TRIM(SUBSTITUTE(Raw_Text_Fields!D743,CHAR(160)," ")))</f>
        <v>West</v>
      </c>
      <c r="H742" s="3" t="str">
        <f aca="false">PROPER(TRIM(SUBSTITUTE(Raw_Text_Fields!E743,CHAR(160)," ")))</f>
        <v>Maharashtra</v>
      </c>
      <c r="I742" s="3" t="str">
        <f aca="false">PROPER(TRIM(SUBSTITUTE(Raw_Text_Fields!F743,CHAR(160)," ")))</f>
        <v>Mumbai</v>
      </c>
      <c r="J742" s="3" t="str">
        <f aca="false">PROPER(TRIM(SUBSTITUTE(Raw_Text_Fields!G743,CHAR(160)," ")))</f>
        <v>Furniture</v>
      </c>
      <c r="K742" s="3" t="str">
        <f aca="false">PROPER(TRIM(SUBSTITUTE(Raw_Text_Fields!H743,CHAR(160)," ")))</f>
        <v>Chairs</v>
      </c>
      <c r="L742" s="3" t="s">
        <v>2222</v>
      </c>
      <c r="M742" s="3" t="str">
        <f aca="false">PROPER(TRIM(SUBSTITUTE(Raw_Text_Fields!I743,CHAR(160)," ")))</f>
        <v>First Class</v>
      </c>
      <c r="N742" s="3" t="n">
        <v>4</v>
      </c>
      <c r="O742" s="5" t="n">
        <v>2583</v>
      </c>
      <c r="P742" s="6" t="n">
        <v>0.1</v>
      </c>
      <c r="Q742" s="5" t="n">
        <v>9298.8</v>
      </c>
      <c r="R742" s="5" t="n">
        <v>6548.5</v>
      </c>
      <c r="S742" s="5" t="n">
        <v>2750.3</v>
      </c>
      <c r="T742" s="3" t="str">
        <f aca="false">PROPER(TRIM(SUBSTITUTE(Raw_Text_Fields!J743,CHAR(160)," ")))</f>
        <v>Paid</v>
      </c>
      <c r="U742" s="3" t="str">
        <f aca="false">PROPER(TRIM(SUBSTITUTE(Raw_Text_Fields!K743,CHAR(160)," ")))</f>
        <v>Completed</v>
      </c>
      <c r="V742" s="7" t="n">
        <f aca="false">IF(OR(P742&lt;0,P742&gt;0.5),0,P742)</f>
        <v>0.1</v>
      </c>
      <c r="W742" s="8" t="n">
        <f aca="false">N742*O742*(1-V742)</f>
        <v>9298.8</v>
      </c>
      <c r="X742" s="8" t="n">
        <f aca="false">W742-R742</f>
        <v>2750.3</v>
      </c>
      <c r="Y742" s="7" t="n">
        <f aca="false">IFERROR(X742/W742,0)</f>
        <v>0.295769346582355</v>
      </c>
      <c r="Z742" s="9" t="n">
        <f aca="false">C742-B742</f>
        <v>0</v>
      </c>
      <c r="AA742" s="1" t="str">
        <f aca="false">IF(B742="","",TEXT(B742,"mmm"))</f>
        <v>Apr</v>
      </c>
      <c r="AB742" s="9" t="n">
        <f aca="false">IF(B742="","",YEAR(B742))</f>
        <v>2024</v>
      </c>
      <c r="AC742" s="3"/>
      <c r="AD742" s="3" t="str">
        <f aca="false">IF(LEFT(AC742&amp;IF(B742="","; Missing Order Date","")&amp;IF(C742="","; Missing Ship Date","")&amp;IF(P742&lt;0,"; Invalid Discount (Negative)","")&amp;IF(P742&gt;0.5,"; Invalid Discount (Too High)","")&amp;IF(Z742&lt;0,"; Invalid Shipping Record (Ship Before Order)","")&amp;IF(ABS(Q742-W742)&gt;1,"; Sales Mismatch","")&amp;IF(ABS(S742-X742)&gt;1,"; Profit Mismatch","")&amp;IF(COUNTIF($A$2:$A$913,A742)&gt;1,"; Duplicate Order ID Conflict",""),2)="; ",MID(AC742&amp;IF(B742="","; Missing Order Date","")&amp;IF(C742="","; Missing Ship Date","")&amp;IF(P742&lt;0,"; Invalid Discount (Negative)","")&amp;IF(P742&gt;0.5,"; Invalid Discount (Too High)","")&amp;IF(Z742&lt;0,"; Invalid Shipping Record (Ship Before Order)","")&amp;IF(ABS(Q742-W742)&gt;1,"; Sales Mismatch","")&amp;IF(ABS(S742-X742)&gt;1,"; Profit Mismatch","")&amp;IF(COUNTIF($A$2:$A$913,A742)&gt;1,"; Duplicate Order ID Conflict",""),3,500),AC742&amp;IF(B742="","; Missing Order Date","")&amp;IF(C742="","; Missing Ship Date","")&amp;IF(P742&lt;0,"; Invalid Discount (Negative)","")&amp;IF(P742&gt;0.5,"; Invalid Discount (Too High)","")&amp;IF(Z742&lt;0,"; Invalid Shipping Record (Ship Before Order)","")&amp;IF(ABS(Q742-W742)&gt;1,"; Sales Mismatch","")&amp;IF(ABS(S742-X742)&gt;1,"; Profit Mismatch","")&amp;IF(COUNTIF($A$2:$A$913,A742)&gt;1,"; Duplicate Order ID Conflict",""))</f>
        <v/>
      </c>
      <c r="AE742" s="10" t="str">
        <f aca="false">IF(OR(ISNUMBER(SEARCH("Invalid Discount",AD742)),ISNUMBER(SEARCH("Invalid Shipping Record",AD742)),ISNUMBER(SEARCH("Sales Mismatch",AD742)),ISNUMBER(SEARCH("Profit Mismatch",AD742)),ISNUMBER(SEARCH("Duplicate Order ID Conflict",AD742)),ISNUMBER(SEARCH("Missing Order Date",AD742)),ISNUMBER(SEARCH("Missing Ship Date",AD742))),"Invalid",IF(AD742&lt;&gt;"","Warning","Clean"))</f>
        <v>Clean</v>
      </c>
    </row>
    <row r="743" customFormat="false" ht="15" hidden="false" customHeight="true" outlineLevel="0" collapsed="false">
      <c r="A743" s="3" t="s">
        <v>2223</v>
      </c>
      <c r="B743" s="4" t="n">
        <v>45770</v>
      </c>
      <c r="C743" s="4" t="n">
        <v>45772</v>
      </c>
      <c r="D743" s="3" t="s">
        <v>2224</v>
      </c>
      <c r="E743" s="3" t="str">
        <f aca="false">PROPER(TRIM(SUBSTITUTE(Raw_Text_Fields!B744,CHAR(160)," ")))</f>
        <v>Isha Nair</v>
      </c>
      <c r="F743" s="3" t="str">
        <f aca="false">PROPER(TRIM(SUBSTITUTE(Raw_Text_Fields!C744,CHAR(160)," ")))</f>
        <v>Home Office</v>
      </c>
      <c r="G743" s="3" t="str">
        <f aca="false">PROPER(TRIM(SUBSTITUTE(Raw_Text_Fields!D744,CHAR(160)," ")))</f>
        <v>South</v>
      </c>
      <c r="H743" s="3" t="str">
        <f aca="false">PROPER(TRIM(SUBSTITUTE(Raw_Text_Fields!E744,CHAR(160)," ")))</f>
        <v>Tamil Nadu</v>
      </c>
      <c r="I743" s="3" t="str">
        <f aca="false">PROPER(TRIM(SUBSTITUTE(Raw_Text_Fields!F744,CHAR(160)," ")))</f>
        <v>Chennai</v>
      </c>
      <c r="J743" s="3" t="str">
        <f aca="false">PROPER(TRIM(SUBSTITUTE(Raw_Text_Fields!G744,CHAR(160)," ")))</f>
        <v>Furniture</v>
      </c>
      <c r="K743" s="3" t="str">
        <f aca="false">PROPER(TRIM(SUBSTITUTE(Raw_Text_Fields!H744,CHAR(160)," ")))</f>
        <v>Chairs</v>
      </c>
      <c r="L743" s="3" t="s">
        <v>2225</v>
      </c>
      <c r="M743" s="3" t="str">
        <f aca="false">PROPER(TRIM(SUBSTITUTE(Raw_Text_Fields!I744,CHAR(160)," ")))</f>
        <v>Second Class</v>
      </c>
      <c r="N743" s="3" t="n">
        <v>3</v>
      </c>
      <c r="O743" s="5" t="n">
        <v>2951.12</v>
      </c>
      <c r="P743" s="6" t="n">
        <v>0</v>
      </c>
      <c r="Q743" s="5" t="n">
        <v>7082.69</v>
      </c>
      <c r="R743" s="5" t="n">
        <v>5596.34</v>
      </c>
      <c r="S743" s="5" t="n">
        <v>1486.35</v>
      </c>
      <c r="T743" s="3" t="str">
        <f aca="false">PROPER(TRIM(SUBSTITUTE(Raw_Text_Fields!J744,CHAR(160)," ")))</f>
        <v>Paid</v>
      </c>
      <c r="U743" s="3" t="str">
        <f aca="false">PROPER(TRIM(SUBSTITUTE(Raw_Text_Fields!K744,CHAR(160)," ")))</f>
        <v>Cancelled</v>
      </c>
      <c r="V743" s="7" t="n">
        <f aca="false">IF(OR(P743&lt;0,P743&gt;0.5),0,P743)</f>
        <v>0</v>
      </c>
      <c r="W743" s="8" t="n">
        <f aca="false">N743*O743*(1-V743)</f>
        <v>8853.36</v>
      </c>
      <c r="X743" s="8" t="n">
        <f aca="false">W743-R743</f>
        <v>3257.02</v>
      </c>
      <c r="Y743" s="7" t="n">
        <f aca="false">IFERROR(X743/W743,0)</f>
        <v>0.36788518709281</v>
      </c>
      <c r="Z743" s="9" t="n">
        <f aca="false">C743-B743</f>
        <v>2</v>
      </c>
      <c r="AA743" s="1" t="str">
        <f aca="false">IF(B743="","",TEXT(B743,"mmm"))</f>
        <v>Apr</v>
      </c>
      <c r="AB743" s="9" t="n">
        <f aca="false">IF(B743="","",YEAR(B743))</f>
        <v>2025</v>
      </c>
      <c r="AC743" s="3" t="s">
        <v>130</v>
      </c>
      <c r="AD743" s="3" t="str">
        <f aca="false">IF(LEFT(AC743&amp;IF(B743="","; Missing Order Date","")&amp;IF(C743="","; Missing Ship Date","")&amp;IF(P743&lt;0,"; Invalid Discount (Negative)","")&amp;IF(P743&gt;0.5,"; Invalid Discount (Too High)","")&amp;IF(Z743&lt;0,"; Invalid Shipping Record (Ship Before Order)","")&amp;IF(ABS(Q743-W743)&gt;1,"; Sales Mismatch","")&amp;IF(ABS(S743-X743)&gt;1,"; Profit Mismatch","")&amp;IF(COUNTIF($A$2:$A$913,A743)&gt;1,"; Duplicate Order ID Conflict",""),2)="; ",MID(AC743&amp;IF(B743="","; Missing Order Date","")&amp;IF(C743="","; Missing Ship Date","")&amp;IF(P743&lt;0,"; Invalid Discount (Negative)","")&amp;IF(P743&gt;0.5,"; Invalid Discount (Too High)","")&amp;IF(Z743&lt;0,"; Invalid Shipping Record (Ship Before Order)","")&amp;IF(ABS(Q743-W743)&gt;1,"; Sales Mismatch","")&amp;IF(ABS(S743-X743)&gt;1,"; Profit Mismatch","")&amp;IF(COUNTIF($A$2:$A$913,A743)&gt;1,"; Duplicate Order ID Conflict",""),3,500),AC743&amp;IF(B743="","; Missing Order Date","")&amp;IF(C743="","; Missing Ship Date","")&amp;IF(P743&lt;0,"; Invalid Discount (Negative)","")&amp;IF(P743&gt;0.5,"; Invalid Discount (Too High)","")&amp;IF(Z743&lt;0,"; Invalid Shipping Record (Ship Before Order)","")&amp;IF(ABS(Q743-W743)&gt;1,"; Sales Mismatch","")&amp;IF(ABS(S743-X743)&gt;1,"; Profit Mismatch","")&amp;IF(COUNTIF($A$2:$A$913,A743)&gt;1,"; Duplicate Order ID Conflict",""))</f>
        <v>Missing Discount (defaulted 0); Sales Mismatch; Profit Mismatch</v>
      </c>
      <c r="AE743" s="10" t="str">
        <f aca="false">IF(OR(ISNUMBER(SEARCH("Invalid Discount",AD743)),ISNUMBER(SEARCH("Invalid Shipping Record",AD743)),ISNUMBER(SEARCH("Sales Mismatch",AD743)),ISNUMBER(SEARCH("Profit Mismatch",AD743)),ISNUMBER(SEARCH("Duplicate Order ID Conflict",AD743)),ISNUMBER(SEARCH("Missing Order Date",AD743)),ISNUMBER(SEARCH("Missing Ship Date",AD743))),"Invalid",IF(AD743&lt;&gt;"","Warning","Clean"))</f>
        <v>Invalid</v>
      </c>
    </row>
    <row r="744" customFormat="false" ht="15" hidden="false" customHeight="true" outlineLevel="0" collapsed="false">
      <c r="A744" s="3" t="s">
        <v>2226</v>
      </c>
      <c r="B744" s="4" t="n">
        <v>45580</v>
      </c>
      <c r="C744" s="4" t="n">
        <v>45587</v>
      </c>
      <c r="D744" s="3" t="s">
        <v>2227</v>
      </c>
      <c r="E744" s="3" t="str">
        <f aca="false">PROPER(TRIM(SUBSTITUTE(Raw_Text_Fields!B745,CHAR(160)," ")))</f>
        <v>Karan Malhotra</v>
      </c>
      <c r="F744" s="3" t="str">
        <f aca="false">PROPER(TRIM(SUBSTITUTE(Raw_Text_Fields!C745,CHAR(160)," ")))</f>
        <v>Corporate</v>
      </c>
      <c r="G744" s="3" t="str">
        <f aca="false">PROPER(TRIM(SUBSTITUTE(Raw_Text_Fields!D745,CHAR(160)," ")))</f>
        <v>East</v>
      </c>
      <c r="H744" s="3" t="str">
        <f aca="false">PROPER(TRIM(SUBSTITUTE(Raw_Text_Fields!E745,CHAR(160)," ")))</f>
        <v>Odisha</v>
      </c>
      <c r="I744" s="3" t="str">
        <f aca="false">PROPER(TRIM(SUBSTITUTE(Raw_Text_Fields!F745,CHAR(160)," ")))</f>
        <v>Bhubaneswar</v>
      </c>
      <c r="J744" s="3" t="str">
        <f aca="false">PROPER(TRIM(SUBSTITUTE(Raw_Text_Fields!G745,CHAR(160)," ")))</f>
        <v>Office Supplies</v>
      </c>
      <c r="K744" s="3" t="str">
        <f aca="false">PROPER(TRIM(SUBSTITUTE(Raw_Text_Fields!H745,CHAR(160)," ")))</f>
        <v>Paper</v>
      </c>
      <c r="L744" s="3" t="s">
        <v>2228</v>
      </c>
      <c r="M744" s="3" t="str">
        <f aca="false">PROPER(TRIM(SUBSTITUTE(Raw_Text_Fields!I745,CHAR(160)," ")))</f>
        <v>Standard Class</v>
      </c>
      <c r="N744" s="3" t="n">
        <v>4</v>
      </c>
      <c r="O744" s="5" t="n">
        <v>2260.95</v>
      </c>
      <c r="P744" s="6" t="n">
        <v>0</v>
      </c>
      <c r="Q744" s="5" t="n">
        <v>9043.8</v>
      </c>
      <c r="R744" s="5" t="n">
        <v>5913.38</v>
      </c>
      <c r="S744" s="5" t="n">
        <v>3130.42</v>
      </c>
      <c r="T744" s="3" t="str">
        <f aca="false">PROPER(TRIM(SUBSTITUTE(Raw_Text_Fields!J745,CHAR(160)," ")))</f>
        <v>Paid</v>
      </c>
      <c r="U744" s="3" t="str">
        <f aca="false">PROPER(TRIM(SUBSTITUTE(Raw_Text_Fields!K745,CHAR(160)," ")))</f>
        <v>Completed</v>
      </c>
      <c r="V744" s="7" t="n">
        <f aca="false">IF(OR(P744&lt;0,P744&gt;0.5),0,P744)</f>
        <v>0</v>
      </c>
      <c r="W744" s="8" t="n">
        <f aca="false">N744*O744*(1-V744)</f>
        <v>9043.8</v>
      </c>
      <c r="X744" s="8" t="n">
        <f aca="false">W744-R744</f>
        <v>3130.42</v>
      </c>
      <c r="Y744" s="7" t="n">
        <f aca="false">IFERROR(X744/W744,0)</f>
        <v>0.346139896945974</v>
      </c>
      <c r="Z744" s="9" t="n">
        <f aca="false">C744-B744</f>
        <v>7</v>
      </c>
      <c r="AA744" s="1" t="str">
        <f aca="false">IF(B744="","",TEXT(B744,"mmm"))</f>
        <v>Oct</v>
      </c>
      <c r="AB744" s="9" t="n">
        <f aca="false">IF(B744="","",YEAR(B744))</f>
        <v>2024</v>
      </c>
      <c r="AC744" s="3"/>
      <c r="AD744" s="3" t="str">
        <f aca="false">IF(LEFT(AC744&amp;IF(B744="","; Missing Order Date","")&amp;IF(C744="","; Missing Ship Date","")&amp;IF(P744&lt;0,"; Invalid Discount (Negative)","")&amp;IF(P744&gt;0.5,"; Invalid Discount (Too High)","")&amp;IF(Z744&lt;0,"; Invalid Shipping Record (Ship Before Order)","")&amp;IF(ABS(Q744-W744)&gt;1,"; Sales Mismatch","")&amp;IF(ABS(S744-X744)&gt;1,"; Profit Mismatch","")&amp;IF(COUNTIF($A$2:$A$913,A744)&gt;1,"; Duplicate Order ID Conflict",""),2)="; ",MID(AC744&amp;IF(B744="","; Missing Order Date","")&amp;IF(C744="","; Missing Ship Date","")&amp;IF(P744&lt;0,"; Invalid Discount (Negative)","")&amp;IF(P744&gt;0.5,"; Invalid Discount (Too High)","")&amp;IF(Z744&lt;0,"; Invalid Shipping Record (Ship Before Order)","")&amp;IF(ABS(Q744-W744)&gt;1,"; Sales Mismatch","")&amp;IF(ABS(S744-X744)&gt;1,"; Profit Mismatch","")&amp;IF(COUNTIF($A$2:$A$913,A744)&gt;1,"; Duplicate Order ID Conflict",""),3,500),AC744&amp;IF(B744="","; Missing Order Date","")&amp;IF(C744="","; Missing Ship Date","")&amp;IF(P744&lt;0,"; Invalid Discount (Negative)","")&amp;IF(P744&gt;0.5,"; Invalid Discount (Too High)","")&amp;IF(Z744&lt;0,"; Invalid Shipping Record (Ship Before Order)","")&amp;IF(ABS(Q744-W744)&gt;1,"; Sales Mismatch","")&amp;IF(ABS(S744-X744)&gt;1,"; Profit Mismatch","")&amp;IF(COUNTIF($A$2:$A$913,A744)&gt;1,"; Duplicate Order ID Conflict",""))</f>
        <v/>
      </c>
      <c r="AE744" s="10" t="str">
        <f aca="false">IF(OR(ISNUMBER(SEARCH("Invalid Discount",AD744)),ISNUMBER(SEARCH("Invalid Shipping Record",AD744)),ISNUMBER(SEARCH("Sales Mismatch",AD744)),ISNUMBER(SEARCH("Profit Mismatch",AD744)),ISNUMBER(SEARCH("Duplicate Order ID Conflict",AD744)),ISNUMBER(SEARCH("Missing Order Date",AD744)),ISNUMBER(SEARCH("Missing Ship Date",AD744))),"Invalid",IF(AD744&lt;&gt;"","Warning","Clean"))</f>
        <v>Clean</v>
      </c>
    </row>
    <row r="745" customFormat="false" ht="15" hidden="false" customHeight="true" outlineLevel="0" collapsed="false">
      <c r="A745" s="3" t="s">
        <v>2229</v>
      </c>
      <c r="B745" s="4" t="n">
        <v>45700</v>
      </c>
      <c r="C745" s="4" t="n">
        <v>45702</v>
      </c>
      <c r="D745" s="3" t="s">
        <v>2230</v>
      </c>
      <c r="E745" s="3" t="str">
        <f aca="false">PROPER(TRIM(SUBSTITUTE(Raw_Text_Fields!B746,CHAR(160)," ")))</f>
        <v>Sneha Kapoor</v>
      </c>
      <c r="F745" s="3" t="str">
        <f aca="false">PROPER(TRIM(SUBSTITUTE(Raw_Text_Fields!C746,CHAR(160)," ")))</f>
        <v>Consumer</v>
      </c>
      <c r="G745" s="3" t="str">
        <f aca="false">PROPER(TRIM(SUBSTITUTE(Raw_Text_Fields!D746,CHAR(160)," ")))</f>
        <v>North</v>
      </c>
      <c r="H745" s="3" t="str">
        <f aca="false">PROPER(TRIM(SUBSTITUTE(Raw_Text_Fields!E746,CHAR(160)," ")))</f>
        <v>Uttar Pradesh</v>
      </c>
      <c r="I745" s="3" t="str">
        <f aca="false">PROPER(TRIM(SUBSTITUTE(Raw_Text_Fields!F746,CHAR(160)," ")))</f>
        <v>Noida</v>
      </c>
      <c r="J745" s="3" t="str">
        <f aca="false">PROPER(TRIM(SUBSTITUTE(Raw_Text_Fields!G746,CHAR(160)," ")))</f>
        <v>Office Supplies</v>
      </c>
      <c r="K745" s="3" t="str">
        <f aca="false">PROPER(TRIM(SUBSTITUTE(Raw_Text_Fields!H746,CHAR(160)," ")))</f>
        <v>Art</v>
      </c>
      <c r="L745" s="3" t="s">
        <v>2231</v>
      </c>
      <c r="M745" s="3" t="str">
        <f aca="false">PROPER(TRIM(SUBSTITUTE(Raw_Text_Fields!I746,CHAR(160)," ")))</f>
        <v>Standard Class</v>
      </c>
      <c r="N745" s="3" t="n">
        <v>6</v>
      </c>
      <c r="O745" s="5" t="n">
        <v>491.4</v>
      </c>
      <c r="P745" s="6" t="n">
        <v>0.25</v>
      </c>
      <c r="Q745" s="5" t="n">
        <v>2211.3</v>
      </c>
      <c r="R745" s="5" t="n">
        <v>1735.64</v>
      </c>
      <c r="S745" s="5" t="n">
        <v>475.66</v>
      </c>
      <c r="T745" s="3" t="str">
        <f aca="false">PROPER(TRIM(SUBSTITUTE(Raw_Text_Fields!J746,CHAR(160)," ")))</f>
        <v>Paid</v>
      </c>
      <c r="U745" s="3" t="str">
        <f aca="false">PROPER(TRIM(SUBSTITUTE(Raw_Text_Fields!K746,CHAR(160)," ")))</f>
        <v>Completed</v>
      </c>
      <c r="V745" s="7" t="n">
        <f aca="false">IF(OR(P745&lt;0,P745&gt;0.5),0,P745)</f>
        <v>0.25</v>
      </c>
      <c r="W745" s="8" t="n">
        <f aca="false">N745*O745*(1-V745)</f>
        <v>2211.3</v>
      </c>
      <c r="X745" s="8" t="n">
        <f aca="false">W745-R745</f>
        <v>475.66</v>
      </c>
      <c r="Y745" s="7" t="n">
        <f aca="false">IFERROR(X745/W745,0)</f>
        <v>0.215104237326459</v>
      </c>
      <c r="Z745" s="9" t="n">
        <f aca="false">C745-B745</f>
        <v>2</v>
      </c>
      <c r="AA745" s="1" t="str">
        <f aca="false">IF(B745="","",TEXT(B745,"mmm"))</f>
        <v>Feb</v>
      </c>
      <c r="AB745" s="9" t="n">
        <f aca="false">IF(B745="","",YEAR(B745))</f>
        <v>2025</v>
      </c>
      <c r="AC745" s="3"/>
      <c r="AD745" s="3" t="str">
        <f aca="false">IF(LEFT(AC745&amp;IF(B745="","; Missing Order Date","")&amp;IF(C745="","; Missing Ship Date","")&amp;IF(P745&lt;0,"; Invalid Discount (Negative)","")&amp;IF(P745&gt;0.5,"; Invalid Discount (Too High)","")&amp;IF(Z745&lt;0,"; Invalid Shipping Record (Ship Before Order)","")&amp;IF(ABS(Q745-W745)&gt;1,"; Sales Mismatch","")&amp;IF(ABS(S745-X745)&gt;1,"; Profit Mismatch","")&amp;IF(COUNTIF($A$2:$A$913,A745)&gt;1,"; Duplicate Order ID Conflict",""),2)="; ",MID(AC745&amp;IF(B745="","; Missing Order Date","")&amp;IF(C745="","; Missing Ship Date","")&amp;IF(P745&lt;0,"; Invalid Discount (Negative)","")&amp;IF(P745&gt;0.5,"; Invalid Discount (Too High)","")&amp;IF(Z745&lt;0,"; Invalid Shipping Record (Ship Before Order)","")&amp;IF(ABS(Q745-W745)&gt;1,"; Sales Mismatch","")&amp;IF(ABS(S745-X745)&gt;1,"; Profit Mismatch","")&amp;IF(COUNTIF($A$2:$A$913,A745)&gt;1,"; Duplicate Order ID Conflict",""),3,500),AC745&amp;IF(B745="","; Missing Order Date","")&amp;IF(C745="","; Missing Ship Date","")&amp;IF(P745&lt;0,"; Invalid Discount (Negative)","")&amp;IF(P745&gt;0.5,"; Invalid Discount (Too High)","")&amp;IF(Z745&lt;0,"; Invalid Shipping Record (Ship Before Order)","")&amp;IF(ABS(Q745-W745)&gt;1,"; Sales Mismatch","")&amp;IF(ABS(S745-X745)&gt;1,"; Profit Mismatch","")&amp;IF(COUNTIF($A$2:$A$913,A745)&gt;1,"; Duplicate Order ID Conflict",""))</f>
        <v/>
      </c>
      <c r="AE745" s="10" t="str">
        <f aca="false">IF(OR(ISNUMBER(SEARCH("Invalid Discount",AD745)),ISNUMBER(SEARCH("Invalid Shipping Record",AD745)),ISNUMBER(SEARCH("Sales Mismatch",AD745)),ISNUMBER(SEARCH("Profit Mismatch",AD745)),ISNUMBER(SEARCH("Duplicate Order ID Conflict",AD745)),ISNUMBER(SEARCH("Missing Order Date",AD745)),ISNUMBER(SEARCH("Missing Ship Date",AD745))),"Invalid",IF(AD745&lt;&gt;"","Warning","Clean"))</f>
        <v>Clean</v>
      </c>
    </row>
    <row r="746" customFormat="false" ht="15" hidden="false" customHeight="true" outlineLevel="0" collapsed="false">
      <c r="A746" s="3" t="s">
        <v>2232</v>
      </c>
      <c r="B746" s="4" t="n">
        <v>45886</v>
      </c>
      <c r="C746" s="4" t="n">
        <v>45889</v>
      </c>
      <c r="D746" s="3" t="s">
        <v>2233</v>
      </c>
      <c r="E746" s="3" t="str">
        <f aca="false">PROPER(TRIM(SUBSTITUTE(Raw_Text_Fields!B747,CHAR(160)," ")))</f>
        <v>Mira Das</v>
      </c>
      <c r="F746" s="3" t="str">
        <f aca="false">PROPER(TRIM(SUBSTITUTE(Raw_Text_Fields!C747,CHAR(160)," ")))</f>
        <v>Home Office</v>
      </c>
      <c r="G746" s="3" t="str">
        <f aca="false">PROPER(TRIM(SUBSTITUTE(Raw_Text_Fields!D747,CHAR(160)," ")))</f>
        <v>North</v>
      </c>
      <c r="H746" s="3" t="str">
        <f aca="false">PROPER(TRIM(SUBSTITUTE(Raw_Text_Fields!E747,CHAR(160)," ")))</f>
        <v>Punjab</v>
      </c>
      <c r="I746" s="3" t="str">
        <f aca="false">PROPER(TRIM(SUBSTITUTE(Raw_Text_Fields!F747,CHAR(160)," ")))</f>
        <v>Ludhiana</v>
      </c>
      <c r="J746" s="3" t="str">
        <f aca="false">PROPER(TRIM(SUBSTITUTE(Raw_Text_Fields!G747,CHAR(160)," ")))</f>
        <v>Office Supplies</v>
      </c>
      <c r="K746" s="3" t="str">
        <f aca="false">PROPER(TRIM(SUBSTITUTE(Raw_Text_Fields!H747,CHAR(160)," ")))</f>
        <v>Binders</v>
      </c>
      <c r="L746" s="3" t="s">
        <v>2234</v>
      </c>
      <c r="M746" s="3" t="str">
        <f aca="false">PROPER(TRIM(SUBSTITUTE(Raw_Text_Fields!I747,CHAR(160)," ")))</f>
        <v>First Class</v>
      </c>
      <c r="N746" s="3" t="n">
        <v>5</v>
      </c>
      <c r="O746" s="5" t="n">
        <v>2701.89</v>
      </c>
      <c r="P746" s="6" t="n">
        <v>0.1</v>
      </c>
      <c r="Q746" s="5" t="n">
        <v>12158.5</v>
      </c>
      <c r="R746" s="5" t="n">
        <v>10260.07</v>
      </c>
      <c r="S746" s="5" t="n">
        <v>1898.43</v>
      </c>
      <c r="T746" s="3" t="str">
        <f aca="false">PROPER(TRIM(SUBSTITUTE(Raw_Text_Fields!J747,CHAR(160)," ")))</f>
        <v>Paid</v>
      </c>
      <c r="U746" s="3" t="str">
        <f aca="false">PROPER(TRIM(SUBSTITUTE(Raw_Text_Fields!K747,CHAR(160)," ")))</f>
        <v>Cancelled</v>
      </c>
      <c r="V746" s="7" t="n">
        <f aca="false">IF(OR(P746&lt;0,P746&gt;0.5),0,P746)</f>
        <v>0.1</v>
      </c>
      <c r="W746" s="8" t="n">
        <f aca="false">N746*O746*(1-V746)</f>
        <v>12158.505</v>
      </c>
      <c r="X746" s="8" t="n">
        <f aca="false">W746-R746</f>
        <v>1898.435</v>
      </c>
      <c r="Y746" s="7" t="n">
        <f aca="false">IFERROR(X746/W746,0)</f>
        <v>0.156140495891559</v>
      </c>
      <c r="Z746" s="9" t="n">
        <f aca="false">C746-B746</f>
        <v>3</v>
      </c>
      <c r="AA746" s="1" t="str">
        <f aca="false">IF(B746="","",TEXT(B746,"mmm"))</f>
        <v>Aug</v>
      </c>
      <c r="AB746" s="9" t="n">
        <f aca="false">IF(B746="","",YEAR(B746))</f>
        <v>2025</v>
      </c>
      <c r="AC746" s="3"/>
      <c r="AD746" s="3" t="str">
        <f aca="false">IF(LEFT(AC746&amp;IF(B746="","; Missing Order Date","")&amp;IF(C746="","; Missing Ship Date","")&amp;IF(P746&lt;0,"; Invalid Discount (Negative)","")&amp;IF(P746&gt;0.5,"; Invalid Discount (Too High)","")&amp;IF(Z746&lt;0,"; Invalid Shipping Record (Ship Before Order)","")&amp;IF(ABS(Q746-W746)&gt;1,"; Sales Mismatch","")&amp;IF(ABS(S746-X746)&gt;1,"; Profit Mismatch","")&amp;IF(COUNTIF($A$2:$A$913,A746)&gt;1,"; Duplicate Order ID Conflict",""),2)="; ",MID(AC746&amp;IF(B746="","; Missing Order Date","")&amp;IF(C746="","; Missing Ship Date","")&amp;IF(P746&lt;0,"; Invalid Discount (Negative)","")&amp;IF(P746&gt;0.5,"; Invalid Discount (Too High)","")&amp;IF(Z746&lt;0,"; Invalid Shipping Record (Ship Before Order)","")&amp;IF(ABS(Q746-W746)&gt;1,"; Sales Mismatch","")&amp;IF(ABS(S746-X746)&gt;1,"; Profit Mismatch","")&amp;IF(COUNTIF($A$2:$A$913,A746)&gt;1,"; Duplicate Order ID Conflict",""),3,500),AC746&amp;IF(B746="","; Missing Order Date","")&amp;IF(C746="","; Missing Ship Date","")&amp;IF(P746&lt;0,"; Invalid Discount (Negative)","")&amp;IF(P746&gt;0.5,"; Invalid Discount (Too High)","")&amp;IF(Z746&lt;0,"; Invalid Shipping Record (Ship Before Order)","")&amp;IF(ABS(Q746-W746)&gt;1,"; Sales Mismatch","")&amp;IF(ABS(S746-X746)&gt;1,"; Profit Mismatch","")&amp;IF(COUNTIF($A$2:$A$913,A746)&gt;1,"; Duplicate Order ID Conflict",""))</f>
        <v/>
      </c>
      <c r="AE746" s="10" t="str">
        <f aca="false">IF(OR(ISNUMBER(SEARCH("Invalid Discount",AD746)),ISNUMBER(SEARCH("Invalid Shipping Record",AD746)),ISNUMBER(SEARCH("Sales Mismatch",AD746)),ISNUMBER(SEARCH("Profit Mismatch",AD746)),ISNUMBER(SEARCH("Duplicate Order ID Conflict",AD746)),ISNUMBER(SEARCH("Missing Order Date",AD746)),ISNUMBER(SEARCH("Missing Ship Date",AD746))),"Invalid",IF(AD746&lt;&gt;"","Warning","Clean"))</f>
        <v>Clean</v>
      </c>
    </row>
    <row r="747" customFormat="false" ht="15" hidden="false" customHeight="true" outlineLevel="0" collapsed="false">
      <c r="A747" s="3" t="s">
        <v>2235</v>
      </c>
      <c r="B747" s="4" t="n">
        <v>45589</v>
      </c>
      <c r="C747" s="4" t="n">
        <v>45593</v>
      </c>
      <c r="D747" s="3" t="s">
        <v>2236</v>
      </c>
      <c r="E747" s="3" t="str">
        <f aca="false">PROPER(TRIM(SUBSTITUTE(Raw_Text_Fields!B748,CHAR(160)," ")))</f>
        <v>Mira Das</v>
      </c>
      <c r="F747" s="3" t="str">
        <f aca="false">PROPER(TRIM(SUBSTITUTE(Raw_Text_Fields!C748,CHAR(160)," ")))</f>
        <v>Small Business</v>
      </c>
      <c r="G747" s="3" t="str">
        <f aca="false">PROPER(TRIM(SUBSTITUTE(Raw_Text_Fields!D748,CHAR(160)," ")))</f>
        <v>East</v>
      </c>
      <c r="H747" s="3" t="str">
        <f aca="false">PROPER(TRIM(SUBSTITUTE(Raw_Text_Fields!E748,CHAR(160)," ")))</f>
        <v>Assam</v>
      </c>
      <c r="I747" s="3" t="str">
        <f aca="false">PROPER(TRIM(SUBSTITUTE(Raw_Text_Fields!F748,CHAR(160)," ")))</f>
        <v>Guwahati</v>
      </c>
      <c r="J747" s="3" t="str">
        <f aca="false">PROPER(TRIM(SUBSTITUTE(Raw_Text_Fields!G748,CHAR(160)," ")))</f>
        <v>Technology</v>
      </c>
      <c r="K747" s="3" t="str">
        <f aca="false">PROPER(TRIM(SUBSTITUTE(Raw_Text_Fields!H748,CHAR(160)," ")))</f>
        <v>Copiers</v>
      </c>
      <c r="L747" s="3" t="s">
        <v>2237</v>
      </c>
      <c r="M747" s="3" t="str">
        <f aca="false">PROPER(TRIM(SUBSTITUTE(Raw_Text_Fields!I748,CHAR(160)," ")))</f>
        <v>Standard Class</v>
      </c>
      <c r="N747" s="3" t="n">
        <v>3</v>
      </c>
      <c r="O747" s="5" t="n">
        <v>723.59</v>
      </c>
      <c r="P747" s="6" t="n">
        <v>0.2</v>
      </c>
      <c r="Q747" s="5" t="n">
        <v>1736.62</v>
      </c>
      <c r="R747" s="5" t="n">
        <v>1059.52</v>
      </c>
      <c r="S747" s="5" t="n">
        <v>677.1</v>
      </c>
      <c r="T747" s="3" t="str">
        <f aca="false">PROPER(TRIM(SUBSTITUTE(Raw_Text_Fields!J748,CHAR(160)," ")))</f>
        <v>Paid</v>
      </c>
      <c r="U747" s="3" t="str">
        <f aca="false">PROPER(TRIM(SUBSTITUTE(Raw_Text_Fields!K748,CHAR(160)," ")))</f>
        <v>Completed</v>
      </c>
      <c r="V747" s="7" t="n">
        <f aca="false">IF(OR(P747&lt;0,P747&gt;0.5),0,P747)</f>
        <v>0.2</v>
      </c>
      <c r="W747" s="8" t="n">
        <f aca="false">N747*O747*(1-V747)</f>
        <v>1736.616</v>
      </c>
      <c r="X747" s="8" t="n">
        <f aca="false">W747-R747</f>
        <v>677.096</v>
      </c>
      <c r="Y747" s="7" t="n">
        <f aca="false">IFERROR(X747/W747,0)</f>
        <v>0.389893908613073</v>
      </c>
      <c r="Z747" s="9" t="n">
        <f aca="false">C747-B747</f>
        <v>4</v>
      </c>
      <c r="AA747" s="1" t="str">
        <f aca="false">IF(B747="","",TEXT(B747,"mmm"))</f>
        <v>Oct</v>
      </c>
      <c r="AB747" s="9" t="n">
        <f aca="false">IF(B747="","",YEAR(B747))</f>
        <v>2024</v>
      </c>
      <c r="AC747" s="3"/>
      <c r="AD747" s="3" t="str">
        <f aca="false">IF(LEFT(AC747&amp;IF(B747="","; Missing Order Date","")&amp;IF(C747="","; Missing Ship Date","")&amp;IF(P747&lt;0,"; Invalid Discount (Negative)","")&amp;IF(P747&gt;0.5,"; Invalid Discount (Too High)","")&amp;IF(Z747&lt;0,"; Invalid Shipping Record (Ship Before Order)","")&amp;IF(ABS(Q747-W747)&gt;1,"; Sales Mismatch","")&amp;IF(ABS(S747-X747)&gt;1,"; Profit Mismatch","")&amp;IF(COUNTIF($A$2:$A$913,A747)&gt;1,"; Duplicate Order ID Conflict",""),2)="; ",MID(AC747&amp;IF(B747="","; Missing Order Date","")&amp;IF(C747="","; Missing Ship Date","")&amp;IF(P747&lt;0,"; Invalid Discount (Negative)","")&amp;IF(P747&gt;0.5,"; Invalid Discount (Too High)","")&amp;IF(Z747&lt;0,"; Invalid Shipping Record (Ship Before Order)","")&amp;IF(ABS(Q747-W747)&gt;1,"; Sales Mismatch","")&amp;IF(ABS(S747-X747)&gt;1,"; Profit Mismatch","")&amp;IF(COUNTIF($A$2:$A$913,A747)&gt;1,"; Duplicate Order ID Conflict",""),3,500),AC747&amp;IF(B747="","; Missing Order Date","")&amp;IF(C747="","; Missing Ship Date","")&amp;IF(P747&lt;0,"; Invalid Discount (Negative)","")&amp;IF(P747&gt;0.5,"; Invalid Discount (Too High)","")&amp;IF(Z747&lt;0,"; Invalid Shipping Record (Ship Before Order)","")&amp;IF(ABS(Q747-W747)&gt;1,"; Sales Mismatch","")&amp;IF(ABS(S747-X747)&gt;1,"; Profit Mismatch","")&amp;IF(COUNTIF($A$2:$A$913,A747)&gt;1,"; Duplicate Order ID Conflict",""))</f>
        <v/>
      </c>
      <c r="AE747" s="10" t="str">
        <f aca="false">IF(OR(ISNUMBER(SEARCH("Invalid Discount",AD747)),ISNUMBER(SEARCH("Invalid Shipping Record",AD747)),ISNUMBER(SEARCH("Sales Mismatch",AD747)),ISNUMBER(SEARCH("Profit Mismatch",AD747)),ISNUMBER(SEARCH("Duplicate Order ID Conflict",AD747)),ISNUMBER(SEARCH("Missing Order Date",AD747)),ISNUMBER(SEARCH("Missing Ship Date",AD747))),"Invalid",IF(AD747&lt;&gt;"","Warning","Clean"))</f>
        <v>Clean</v>
      </c>
    </row>
    <row r="748" customFormat="false" ht="15" hidden="false" customHeight="true" outlineLevel="0" collapsed="false">
      <c r="A748" s="3" t="s">
        <v>2238</v>
      </c>
      <c r="B748" s="4" t="n">
        <v>45661</v>
      </c>
      <c r="C748" s="4" t="n">
        <v>45667</v>
      </c>
      <c r="D748" s="3" t="s">
        <v>1947</v>
      </c>
      <c r="E748" s="3" t="str">
        <f aca="false">PROPER(TRIM(SUBSTITUTE(Raw_Text_Fields!B749,CHAR(160)," ")))</f>
        <v>Aarav Sharma</v>
      </c>
      <c r="F748" s="3" t="str">
        <f aca="false">PROPER(TRIM(SUBSTITUTE(Raw_Text_Fields!C749,CHAR(160)," ")))</f>
        <v>Home Office</v>
      </c>
      <c r="G748" s="3" t="str">
        <f aca="false">PROPER(TRIM(SUBSTITUTE(Raw_Text_Fields!D749,CHAR(160)," ")))</f>
        <v>East</v>
      </c>
      <c r="H748" s="3" t="str">
        <f aca="false">PROPER(TRIM(SUBSTITUTE(Raw_Text_Fields!E749,CHAR(160)," ")))</f>
        <v>West Bengal</v>
      </c>
      <c r="I748" s="3" t="str">
        <f aca="false">PROPER(TRIM(SUBSTITUTE(Raw_Text_Fields!F749,CHAR(160)," ")))</f>
        <v>Kolkata</v>
      </c>
      <c r="J748" s="3" t="str">
        <f aca="false">PROPER(TRIM(SUBSTITUTE(Raw_Text_Fields!G749,CHAR(160)," ")))</f>
        <v>Office Supplies</v>
      </c>
      <c r="K748" s="3" t="str">
        <f aca="false">PROPER(TRIM(SUBSTITUTE(Raw_Text_Fields!H749,CHAR(160)," ")))</f>
        <v>Paper</v>
      </c>
      <c r="L748" s="3" t="s">
        <v>2239</v>
      </c>
      <c r="M748" s="3" t="str">
        <f aca="false">PROPER(TRIM(SUBSTITUTE(Raw_Text_Fields!I749,CHAR(160)," ")))</f>
        <v>Standard Class</v>
      </c>
      <c r="N748" s="3" t="n">
        <v>4</v>
      </c>
      <c r="O748" s="5" t="n">
        <v>2583.19</v>
      </c>
      <c r="P748" s="6" t="n">
        <v>0.2</v>
      </c>
      <c r="Q748" s="5" t="n">
        <v>8266.21</v>
      </c>
      <c r="R748" s="5" t="n">
        <v>6236.32</v>
      </c>
      <c r="S748" s="5" t="n">
        <v>2029.89</v>
      </c>
      <c r="T748" s="3" t="str">
        <f aca="false">PROPER(TRIM(SUBSTITUTE(Raw_Text_Fields!J749,CHAR(160)," ")))</f>
        <v>Paid</v>
      </c>
      <c r="U748" s="3" t="str">
        <f aca="false">PROPER(TRIM(SUBSTITUTE(Raw_Text_Fields!K749,CHAR(160)," ")))</f>
        <v>Completed</v>
      </c>
      <c r="V748" s="7" t="n">
        <f aca="false">IF(OR(P748&lt;0,P748&gt;0.5),0,P748)</f>
        <v>0.2</v>
      </c>
      <c r="W748" s="8" t="n">
        <f aca="false">N748*O748*(1-V748)</f>
        <v>8266.208</v>
      </c>
      <c r="X748" s="8" t="n">
        <f aca="false">W748-R748</f>
        <v>2029.888</v>
      </c>
      <c r="Y748" s="7" t="n">
        <f aca="false">IFERROR(X748/W748,0)</f>
        <v>0.245564592616107</v>
      </c>
      <c r="Z748" s="9" t="n">
        <f aca="false">C748-B748</f>
        <v>6</v>
      </c>
      <c r="AA748" s="1" t="str">
        <f aca="false">IF(B748="","",TEXT(B748,"mmm"))</f>
        <v>Jan</v>
      </c>
      <c r="AB748" s="9" t="n">
        <f aca="false">IF(B748="","",YEAR(B748))</f>
        <v>2025</v>
      </c>
      <c r="AC748" s="3"/>
      <c r="AD748" s="3" t="str">
        <f aca="false">IF(LEFT(AC748&amp;IF(B748="","; Missing Order Date","")&amp;IF(C748="","; Missing Ship Date","")&amp;IF(P748&lt;0,"; Invalid Discount (Negative)","")&amp;IF(P748&gt;0.5,"; Invalid Discount (Too High)","")&amp;IF(Z748&lt;0,"; Invalid Shipping Record (Ship Before Order)","")&amp;IF(ABS(Q748-W748)&gt;1,"; Sales Mismatch","")&amp;IF(ABS(S748-X748)&gt;1,"; Profit Mismatch","")&amp;IF(COUNTIF($A$2:$A$913,A748)&gt;1,"; Duplicate Order ID Conflict",""),2)="; ",MID(AC748&amp;IF(B748="","; Missing Order Date","")&amp;IF(C748="","; Missing Ship Date","")&amp;IF(P748&lt;0,"; Invalid Discount (Negative)","")&amp;IF(P748&gt;0.5,"; Invalid Discount (Too High)","")&amp;IF(Z748&lt;0,"; Invalid Shipping Record (Ship Before Order)","")&amp;IF(ABS(Q748-W748)&gt;1,"; Sales Mismatch","")&amp;IF(ABS(S748-X748)&gt;1,"; Profit Mismatch","")&amp;IF(COUNTIF($A$2:$A$913,A748)&gt;1,"; Duplicate Order ID Conflict",""),3,500),AC748&amp;IF(B748="","; Missing Order Date","")&amp;IF(C748="","; Missing Ship Date","")&amp;IF(P748&lt;0,"; Invalid Discount (Negative)","")&amp;IF(P748&gt;0.5,"; Invalid Discount (Too High)","")&amp;IF(Z748&lt;0,"; Invalid Shipping Record (Ship Before Order)","")&amp;IF(ABS(Q748-W748)&gt;1,"; Sales Mismatch","")&amp;IF(ABS(S748-X748)&gt;1,"; Profit Mismatch","")&amp;IF(COUNTIF($A$2:$A$913,A748)&gt;1,"; Duplicate Order ID Conflict",""))</f>
        <v/>
      </c>
      <c r="AE748" s="10" t="str">
        <f aca="false">IF(OR(ISNUMBER(SEARCH("Invalid Discount",AD748)),ISNUMBER(SEARCH("Invalid Shipping Record",AD748)),ISNUMBER(SEARCH("Sales Mismatch",AD748)),ISNUMBER(SEARCH("Profit Mismatch",AD748)),ISNUMBER(SEARCH("Duplicate Order ID Conflict",AD748)),ISNUMBER(SEARCH("Missing Order Date",AD748)),ISNUMBER(SEARCH("Missing Ship Date",AD748))),"Invalid",IF(AD748&lt;&gt;"","Warning","Clean"))</f>
        <v>Clean</v>
      </c>
    </row>
    <row r="749" customFormat="false" ht="15" hidden="false" customHeight="true" outlineLevel="0" collapsed="false">
      <c r="A749" s="3" t="s">
        <v>2240</v>
      </c>
      <c r="B749" s="4" t="n">
        <v>45413</v>
      </c>
      <c r="C749" s="4" t="n">
        <v>45419</v>
      </c>
      <c r="D749" s="3" t="s">
        <v>2241</v>
      </c>
      <c r="E749" s="3" t="str">
        <f aca="false">PROPER(TRIM(SUBSTITUTE(Raw_Text_Fields!B750,CHAR(160)," ")))</f>
        <v>Isha Nair</v>
      </c>
      <c r="F749" s="3" t="str">
        <f aca="false">PROPER(TRIM(SUBSTITUTE(Raw_Text_Fields!C750,CHAR(160)," ")))</f>
        <v>Home Office</v>
      </c>
      <c r="G749" s="3" t="str">
        <f aca="false">PROPER(TRIM(SUBSTITUTE(Raw_Text_Fields!D750,CHAR(160)," ")))</f>
        <v>East</v>
      </c>
      <c r="H749" s="3" t="str">
        <f aca="false">PROPER(TRIM(SUBSTITUTE(Raw_Text_Fields!E750,CHAR(160)," ")))</f>
        <v>Odisha</v>
      </c>
      <c r="I749" s="3" t="str">
        <f aca="false">PROPER(TRIM(SUBSTITUTE(Raw_Text_Fields!F750,CHAR(160)," ")))</f>
        <v>Bhubaneswar</v>
      </c>
      <c r="J749" s="3" t="str">
        <f aca="false">PROPER(TRIM(SUBSTITUTE(Raw_Text_Fields!G750,CHAR(160)," ")))</f>
        <v>Office Supplies</v>
      </c>
      <c r="K749" s="3" t="str">
        <f aca="false">PROPER(TRIM(SUBSTITUTE(Raw_Text_Fields!H750,CHAR(160)," ")))</f>
        <v>Paper</v>
      </c>
      <c r="L749" s="3" t="s">
        <v>2242</v>
      </c>
      <c r="M749" s="3" t="str">
        <f aca="false">PROPER(TRIM(SUBSTITUTE(Raw_Text_Fields!I750,CHAR(160)," ")))</f>
        <v>Same Day</v>
      </c>
      <c r="N749" s="3" t="n">
        <v>8</v>
      </c>
      <c r="O749" s="5" t="n">
        <v>1473.83</v>
      </c>
      <c r="P749" s="6" t="n">
        <v>0.15</v>
      </c>
      <c r="Q749" s="5" t="n">
        <v>10022.04</v>
      </c>
      <c r="R749" s="5" t="n">
        <v>5576.98</v>
      </c>
      <c r="S749" s="5" t="n">
        <v>4445.06</v>
      </c>
      <c r="T749" s="3" t="str">
        <f aca="false">PROPER(TRIM(SUBSTITUTE(Raw_Text_Fields!J750,CHAR(160)," ")))</f>
        <v>Paid</v>
      </c>
      <c r="U749" s="3" t="str">
        <f aca="false">PROPER(TRIM(SUBSTITUTE(Raw_Text_Fields!K750,CHAR(160)," ")))</f>
        <v>Completed</v>
      </c>
      <c r="V749" s="7" t="n">
        <f aca="false">IF(OR(P749&lt;0,P749&gt;0.5),0,P749)</f>
        <v>0.15</v>
      </c>
      <c r="W749" s="8" t="n">
        <f aca="false">N749*O749*(1-V749)</f>
        <v>10022.044</v>
      </c>
      <c r="X749" s="8" t="n">
        <f aca="false">W749-R749</f>
        <v>4445.064</v>
      </c>
      <c r="Y749" s="7" t="n">
        <f aca="false">IFERROR(X749/W749,0)</f>
        <v>0.443528685365979</v>
      </c>
      <c r="Z749" s="9" t="n">
        <f aca="false">C749-B749</f>
        <v>6</v>
      </c>
      <c r="AA749" s="1" t="str">
        <f aca="false">IF(B749="","",TEXT(B749,"mmm"))</f>
        <v>May</v>
      </c>
      <c r="AB749" s="9" t="n">
        <f aca="false">IF(B749="","",YEAR(B749))</f>
        <v>2024</v>
      </c>
      <c r="AC749" s="3"/>
      <c r="AD749" s="3" t="str">
        <f aca="false">IF(LEFT(AC749&amp;IF(B749="","; Missing Order Date","")&amp;IF(C749="","; Missing Ship Date","")&amp;IF(P749&lt;0,"; Invalid Discount (Negative)","")&amp;IF(P749&gt;0.5,"; Invalid Discount (Too High)","")&amp;IF(Z749&lt;0,"; Invalid Shipping Record (Ship Before Order)","")&amp;IF(ABS(Q749-W749)&gt;1,"; Sales Mismatch","")&amp;IF(ABS(S749-X749)&gt;1,"; Profit Mismatch","")&amp;IF(COUNTIF($A$2:$A$913,A749)&gt;1,"; Duplicate Order ID Conflict",""),2)="; ",MID(AC749&amp;IF(B749="","; Missing Order Date","")&amp;IF(C749="","; Missing Ship Date","")&amp;IF(P749&lt;0,"; Invalid Discount (Negative)","")&amp;IF(P749&gt;0.5,"; Invalid Discount (Too High)","")&amp;IF(Z749&lt;0,"; Invalid Shipping Record (Ship Before Order)","")&amp;IF(ABS(Q749-W749)&gt;1,"; Sales Mismatch","")&amp;IF(ABS(S749-X749)&gt;1,"; Profit Mismatch","")&amp;IF(COUNTIF($A$2:$A$913,A749)&gt;1,"; Duplicate Order ID Conflict",""),3,500),AC749&amp;IF(B749="","; Missing Order Date","")&amp;IF(C749="","; Missing Ship Date","")&amp;IF(P749&lt;0,"; Invalid Discount (Negative)","")&amp;IF(P749&gt;0.5,"; Invalid Discount (Too High)","")&amp;IF(Z749&lt;0,"; Invalid Shipping Record (Ship Before Order)","")&amp;IF(ABS(Q749-W749)&gt;1,"; Sales Mismatch","")&amp;IF(ABS(S749-X749)&gt;1,"; Profit Mismatch","")&amp;IF(COUNTIF($A$2:$A$913,A749)&gt;1,"; Duplicate Order ID Conflict",""))</f>
        <v/>
      </c>
      <c r="AE749" s="10" t="str">
        <f aca="false">IF(OR(ISNUMBER(SEARCH("Invalid Discount",AD749)),ISNUMBER(SEARCH("Invalid Shipping Record",AD749)),ISNUMBER(SEARCH("Sales Mismatch",AD749)),ISNUMBER(SEARCH("Profit Mismatch",AD749)),ISNUMBER(SEARCH("Duplicate Order ID Conflict",AD749)),ISNUMBER(SEARCH("Missing Order Date",AD749)),ISNUMBER(SEARCH("Missing Ship Date",AD749))),"Invalid",IF(AD749&lt;&gt;"","Warning","Clean"))</f>
        <v>Clean</v>
      </c>
    </row>
    <row r="750" customFormat="false" ht="15" hidden="false" customHeight="true" outlineLevel="0" collapsed="false">
      <c r="A750" s="3" t="s">
        <v>2243</v>
      </c>
      <c r="B750" s="4" t="n">
        <v>45442</v>
      </c>
      <c r="C750" s="4" t="n">
        <v>45442</v>
      </c>
      <c r="D750" s="3" t="s">
        <v>2244</v>
      </c>
      <c r="E750" s="3" t="str">
        <f aca="false">PROPER(TRIM(SUBSTITUTE(Raw_Text_Fields!B751,CHAR(160)," ")))</f>
        <v>Diya Patel</v>
      </c>
      <c r="F750" s="3" t="str">
        <f aca="false">PROPER(TRIM(SUBSTITUTE(Raw_Text_Fields!C751,CHAR(160)," ")))</f>
        <v>Home Office</v>
      </c>
      <c r="G750" s="3" t="str">
        <f aca="false">PROPER(TRIM(SUBSTITUTE(Raw_Text_Fields!D751,CHAR(160)," ")))</f>
        <v>North</v>
      </c>
      <c r="H750" s="3" t="str">
        <f aca="false">PROPER(TRIM(SUBSTITUTE(Raw_Text_Fields!E751,CHAR(160)," ")))</f>
        <v>Haryana</v>
      </c>
      <c r="I750" s="3" t="str">
        <f aca="false">PROPER(TRIM(SUBSTITUTE(Raw_Text_Fields!F751,CHAR(160)," ")))</f>
        <v>Gurugram</v>
      </c>
      <c r="J750" s="3" t="str">
        <f aca="false">PROPER(TRIM(SUBSTITUTE(Raw_Text_Fields!G751,CHAR(160)," ")))</f>
        <v>Technology</v>
      </c>
      <c r="K750" s="3" t="str">
        <f aca="false">PROPER(TRIM(SUBSTITUTE(Raw_Text_Fields!H751,CHAR(160)," ")))</f>
        <v>Phones</v>
      </c>
      <c r="L750" s="3" t="s">
        <v>2245</v>
      </c>
      <c r="M750" s="3" t="str">
        <f aca="false">PROPER(TRIM(SUBSTITUTE(Raw_Text_Fields!I751,CHAR(160)," ")))</f>
        <v>Second Class</v>
      </c>
      <c r="N750" s="3" t="n">
        <v>1</v>
      </c>
      <c r="O750" s="5" t="n">
        <v>3848.04</v>
      </c>
      <c r="P750" s="6" t="n">
        <v>0.25</v>
      </c>
      <c r="Q750" s="5" t="n">
        <v>2886.03</v>
      </c>
      <c r="R750" s="5" t="n">
        <v>2064.83</v>
      </c>
      <c r="S750" s="5" t="n">
        <v>821.2</v>
      </c>
      <c r="T750" s="3" t="str">
        <f aca="false">PROPER(TRIM(SUBSTITUTE(Raw_Text_Fields!J751,CHAR(160)," ")))</f>
        <v>Paid</v>
      </c>
      <c r="U750" s="3" t="str">
        <f aca="false">PROPER(TRIM(SUBSTITUTE(Raw_Text_Fields!K751,CHAR(160)," ")))</f>
        <v>Completed</v>
      </c>
      <c r="V750" s="7" t="n">
        <f aca="false">IF(OR(P750&lt;0,P750&gt;0.5),0,P750)</f>
        <v>0.25</v>
      </c>
      <c r="W750" s="8" t="n">
        <f aca="false">N750*O750*(1-V750)</f>
        <v>2886.03</v>
      </c>
      <c r="X750" s="8" t="n">
        <f aca="false">W750-R750</f>
        <v>821.2</v>
      </c>
      <c r="Y750" s="7" t="n">
        <f aca="false">IFERROR(X750/W750,0)</f>
        <v>0.284543126717324</v>
      </c>
      <c r="Z750" s="9" t="n">
        <f aca="false">C750-B750</f>
        <v>0</v>
      </c>
      <c r="AA750" s="1" t="str">
        <f aca="false">IF(B750="","",TEXT(B750,"mmm"))</f>
        <v>May</v>
      </c>
      <c r="AB750" s="9" t="n">
        <f aca="false">IF(B750="","",YEAR(B750))</f>
        <v>2024</v>
      </c>
      <c r="AC750" s="3"/>
      <c r="AD750" s="3" t="str">
        <f aca="false">IF(LEFT(AC750&amp;IF(B750="","; Missing Order Date","")&amp;IF(C750="","; Missing Ship Date","")&amp;IF(P750&lt;0,"; Invalid Discount (Negative)","")&amp;IF(P750&gt;0.5,"; Invalid Discount (Too High)","")&amp;IF(Z750&lt;0,"; Invalid Shipping Record (Ship Before Order)","")&amp;IF(ABS(Q750-W750)&gt;1,"; Sales Mismatch","")&amp;IF(ABS(S750-X750)&gt;1,"; Profit Mismatch","")&amp;IF(COUNTIF($A$2:$A$913,A750)&gt;1,"; Duplicate Order ID Conflict",""),2)="; ",MID(AC750&amp;IF(B750="","; Missing Order Date","")&amp;IF(C750="","; Missing Ship Date","")&amp;IF(P750&lt;0,"; Invalid Discount (Negative)","")&amp;IF(P750&gt;0.5,"; Invalid Discount (Too High)","")&amp;IF(Z750&lt;0,"; Invalid Shipping Record (Ship Before Order)","")&amp;IF(ABS(Q750-W750)&gt;1,"; Sales Mismatch","")&amp;IF(ABS(S750-X750)&gt;1,"; Profit Mismatch","")&amp;IF(COUNTIF($A$2:$A$913,A750)&gt;1,"; Duplicate Order ID Conflict",""),3,500),AC750&amp;IF(B750="","; Missing Order Date","")&amp;IF(C750="","; Missing Ship Date","")&amp;IF(P750&lt;0,"; Invalid Discount (Negative)","")&amp;IF(P750&gt;0.5,"; Invalid Discount (Too High)","")&amp;IF(Z750&lt;0,"; Invalid Shipping Record (Ship Before Order)","")&amp;IF(ABS(Q750-W750)&gt;1,"; Sales Mismatch","")&amp;IF(ABS(S750-X750)&gt;1,"; Profit Mismatch","")&amp;IF(COUNTIF($A$2:$A$913,A750)&gt;1,"; Duplicate Order ID Conflict",""))</f>
        <v/>
      </c>
      <c r="AE750" s="10" t="str">
        <f aca="false">IF(OR(ISNUMBER(SEARCH("Invalid Discount",AD750)),ISNUMBER(SEARCH("Invalid Shipping Record",AD750)),ISNUMBER(SEARCH("Sales Mismatch",AD750)),ISNUMBER(SEARCH("Profit Mismatch",AD750)),ISNUMBER(SEARCH("Duplicate Order ID Conflict",AD750)),ISNUMBER(SEARCH("Missing Order Date",AD750)),ISNUMBER(SEARCH("Missing Ship Date",AD750))),"Invalid",IF(AD750&lt;&gt;"","Warning","Clean"))</f>
        <v>Clean</v>
      </c>
    </row>
    <row r="751" customFormat="false" ht="15" hidden="false" customHeight="true" outlineLevel="0" collapsed="false">
      <c r="A751" s="3" t="s">
        <v>2246</v>
      </c>
      <c r="B751" s="4" t="n">
        <v>45372</v>
      </c>
      <c r="C751" s="4" t="n">
        <v>45376</v>
      </c>
      <c r="D751" s="3" t="s">
        <v>2247</v>
      </c>
      <c r="E751" s="3" t="str">
        <f aca="false">PROPER(TRIM(SUBSTITUTE(Raw_Text_Fields!B752,CHAR(160)," ")))</f>
        <v>Aditi Sen</v>
      </c>
      <c r="F751" s="3" t="str">
        <f aca="false">PROPER(TRIM(SUBSTITUTE(Raw_Text_Fields!C752,CHAR(160)," ")))</f>
        <v>Home Office</v>
      </c>
      <c r="G751" s="3" t="str">
        <f aca="false">PROPER(TRIM(SUBSTITUTE(Raw_Text_Fields!D752,CHAR(160)," ")))</f>
        <v>East</v>
      </c>
      <c r="H751" s="3" t="str">
        <f aca="false">PROPER(TRIM(SUBSTITUTE(Raw_Text_Fields!E752,CHAR(160)," ")))</f>
        <v>Assam</v>
      </c>
      <c r="I751" s="3" t="str">
        <f aca="false">PROPER(TRIM(SUBSTITUTE(Raw_Text_Fields!F752,CHAR(160)," ")))</f>
        <v>Guwahati</v>
      </c>
      <c r="J751" s="3" t="str">
        <f aca="false">PROPER(TRIM(SUBSTITUTE(Raw_Text_Fields!G752,CHAR(160)," ")))</f>
        <v>Technology</v>
      </c>
      <c r="K751" s="3" t="str">
        <f aca="false">PROPER(TRIM(SUBSTITUTE(Raw_Text_Fields!H752,CHAR(160)," ")))</f>
        <v>Machines</v>
      </c>
      <c r="L751" s="3" t="s">
        <v>2248</v>
      </c>
      <c r="M751" s="3" t="str">
        <f aca="false">PROPER(TRIM(SUBSTITUTE(Raw_Text_Fields!I752,CHAR(160)," ")))</f>
        <v>Standard Class</v>
      </c>
      <c r="N751" s="3" t="n">
        <v>1</v>
      </c>
      <c r="O751" s="5" t="n">
        <v>1716.7</v>
      </c>
      <c r="P751" s="6" t="n">
        <v>0.15</v>
      </c>
      <c r="Q751" s="5" t="n">
        <v>1459.19</v>
      </c>
      <c r="R751" s="5" t="n">
        <v>1055.79</v>
      </c>
      <c r="S751" s="5" t="n">
        <v>403.4</v>
      </c>
      <c r="T751" s="3" t="str">
        <f aca="false">PROPER(TRIM(SUBSTITUTE(Raw_Text_Fields!J752,CHAR(160)," ")))</f>
        <v>Paid</v>
      </c>
      <c r="U751" s="3" t="str">
        <f aca="false">PROPER(TRIM(SUBSTITUTE(Raw_Text_Fields!K752,CHAR(160)," ")))</f>
        <v>Completed</v>
      </c>
      <c r="V751" s="7" t="n">
        <f aca="false">IF(OR(P751&lt;0,P751&gt;0.5),0,P751)</f>
        <v>0.15</v>
      </c>
      <c r="W751" s="8" t="n">
        <f aca="false">N751*O751*(1-V751)</f>
        <v>1459.195</v>
      </c>
      <c r="X751" s="8" t="n">
        <f aca="false">W751-R751</f>
        <v>403.405</v>
      </c>
      <c r="Y751" s="7" t="n">
        <f aca="false">IFERROR(X751/W751,0)</f>
        <v>0.276457224702661</v>
      </c>
      <c r="Z751" s="9" t="n">
        <f aca="false">C751-B751</f>
        <v>4</v>
      </c>
      <c r="AA751" s="1" t="str">
        <f aca="false">IF(B751="","",TEXT(B751,"mmm"))</f>
        <v>Mar</v>
      </c>
      <c r="AB751" s="9" t="n">
        <f aca="false">IF(B751="","",YEAR(B751))</f>
        <v>2024</v>
      </c>
      <c r="AC751" s="3"/>
      <c r="AD751" s="3" t="str">
        <f aca="false">IF(LEFT(AC751&amp;IF(B751="","; Missing Order Date","")&amp;IF(C751="","; Missing Ship Date","")&amp;IF(P751&lt;0,"; Invalid Discount (Negative)","")&amp;IF(P751&gt;0.5,"; Invalid Discount (Too High)","")&amp;IF(Z751&lt;0,"; Invalid Shipping Record (Ship Before Order)","")&amp;IF(ABS(Q751-W751)&gt;1,"; Sales Mismatch","")&amp;IF(ABS(S751-X751)&gt;1,"; Profit Mismatch","")&amp;IF(COUNTIF($A$2:$A$913,A751)&gt;1,"; Duplicate Order ID Conflict",""),2)="; ",MID(AC751&amp;IF(B751="","; Missing Order Date","")&amp;IF(C751="","; Missing Ship Date","")&amp;IF(P751&lt;0,"; Invalid Discount (Negative)","")&amp;IF(P751&gt;0.5,"; Invalid Discount (Too High)","")&amp;IF(Z751&lt;0,"; Invalid Shipping Record (Ship Before Order)","")&amp;IF(ABS(Q751-W751)&gt;1,"; Sales Mismatch","")&amp;IF(ABS(S751-X751)&gt;1,"; Profit Mismatch","")&amp;IF(COUNTIF($A$2:$A$913,A751)&gt;1,"; Duplicate Order ID Conflict",""),3,500),AC751&amp;IF(B751="","; Missing Order Date","")&amp;IF(C751="","; Missing Ship Date","")&amp;IF(P751&lt;0,"; Invalid Discount (Negative)","")&amp;IF(P751&gt;0.5,"; Invalid Discount (Too High)","")&amp;IF(Z751&lt;0,"; Invalid Shipping Record (Ship Before Order)","")&amp;IF(ABS(Q751-W751)&gt;1,"; Sales Mismatch","")&amp;IF(ABS(S751-X751)&gt;1,"; Profit Mismatch","")&amp;IF(COUNTIF($A$2:$A$913,A751)&gt;1,"; Duplicate Order ID Conflict",""))</f>
        <v/>
      </c>
      <c r="AE751" s="10" t="str">
        <f aca="false">IF(OR(ISNUMBER(SEARCH("Invalid Discount",AD751)),ISNUMBER(SEARCH("Invalid Shipping Record",AD751)),ISNUMBER(SEARCH("Sales Mismatch",AD751)),ISNUMBER(SEARCH("Profit Mismatch",AD751)),ISNUMBER(SEARCH("Duplicate Order ID Conflict",AD751)),ISNUMBER(SEARCH("Missing Order Date",AD751)),ISNUMBER(SEARCH("Missing Ship Date",AD751))),"Invalid",IF(AD751&lt;&gt;"","Warning","Clean"))</f>
        <v>Clean</v>
      </c>
    </row>
    <row r="752" customFormat="false" ht="15" hidden="false" customHeight="true" outlineLevel="0" collapsed="false">
      <c r="A752" s="3" t="s">
        <v>2249</v>
      </c>
      <c r="B752" s="4" t="n">
        <v>45810</v>
      </c>
      <c r="C752" s="4" t="n">
        <v>45810</v>
      </c>
      <c r="D752" s="3" t="s">
        <v>2250</v>
      </c>
      <c r="E752" s="3" t="str">
        <f aca="false">PROPER(TRIM(SUBSTITUTE(Raw_Text_Fields!B753,CHAR(160)," ")))</f>
        <v>Aarav Sharma</v>
      </c>
      <c r="F752" s="3" t="str">
        <f aca="false">PROPER(TRIM(SUBSTITUTE(Raw_Text_Fields!C753,CHAR(160)," ")))</f>
        <v>Home Office</v>
      </c>
      <c r="G752" s="3" t="str">
        <f aca="false">PROPER(TRIM(SUBSTITUTE(Raw_Text_Fields!D753,CHAR(160)," ")))</f>
        <v>South</v>
      </c>
      <c r="H752" s="3" t="str">
        <f aca="false">PROPER(TRIM(SUBSTITUTE(Raw_Text_Fields!E753,CHAR(160)," ")))</f>
        <v>Telangana</v>
      </c>
      <c r="I752" s="3" t="str">
        <f aca="false">PROPER(TRIM(SUBSTITUTE(Raw_Text_Fields!F753,CHAR(160)," ")))</f>
        <v>Hyderabad</v>
      </c>
      <c r="J752" s="3" t="str">
        <f aca="false">PROPER(TRIM(SUBSTITUTE(Raw_Text_Fields!G753,CHAR(160)," ")))</f>
        <v>Technology</v>
      </c>
      <c r="K752" s="3" t="str">
        <f aca="false">PROPER(TRIM(SUBSTITUTE(Raw_Text_Fields!H753,CHAR(160)," ")))</f>
        <v>Accessories</v>
      </c>
      <c r="L752" s="3" t="s">
        <v>2251</v>
      </c>
      <c r="M752" s="3" t="str">
        <f aca="false">PROPER(TRIM(SUBSTITUTE(Raw_Text_Fields!I753,CHAR(160)," ")))</f>
        <v>First Class</v>
      </c>
      <c r="N752" s="3" t="n">
        <v>8</v>
      </c>
      <c r="O752" s="5" t="n">
        <v>3925.93</v>
      </c>
      <c r="P752" s="6" t="n">
        <v>0.15</v>
      </c>
      <c r="Q752" s="5" t="n">
        <v>26696.32</v>
      </c>
      <c r="R752" s="5" t="n">
        <v>22724.52</v>
      </c>
      <c r="S752" s="5" t="n">
        <v>3971.8</v>
      </c>
      <c r="T752" s="3" t="str">
        <f aca="false">PROPER(TRIM(SUBSTITUTE(Raw_Text_Fields!J753,CHAR(160)," ")))</f>
        <v>Paid</v>
      </c>
      <c r="U752" s="3" t="str">
        <f aca="false">PROPER(TRIM(SUBSTITUTE(Raw_Text_Fields!K753,CHAR(160)," ")))</f>
        <v>Completed</v>
      </c>
      <c r="V752" s="7" t="n">
        <f aca="false">IF(OR(P752&lt;0,P752&gt;0.5),0,P752)</f>
        <v>0.15</v>
      </c>
      <c r="W752" s="8" t="n">
        <f aca="false">N752*O752*(1-V752)</f>
        <v>26696.324</v>
      </c>
      <c r="X752" s="8" t="n">
        <f aca="false">W752-R752</f>
        <v>3971.804</v>
      </c>
      <c r="Y752" s="7" t="n">
        <f aca="false">IFERROR(X752/W752,0)</f>
        <v>0.148777187450976</v>
      </c>
      <c r="Z752" s="9" t="n">
        <f aca="false">C752-B752</f>
        <v>0</v>
      </c>
      <c r="AA752" s="1" t="str">
        <f aca="false">IF(B752="","",TEXT(B752,"mmm"))</f>
        <v>Jun</v>
      </c>
      <c r="AB752" s="9" t="n">
        <f aca="false">IF(B752="","",YEAR(B752))</f>
        <v>2025</v>
      </c>
      <c r="AC752" s="3"/>
      <c r="AD752" s="3" t="str">
        <f aca="false">IF(LEFT(AC752&amp;IF(B752="","; Missing Order Date","")&amp;IF(C752="","; Missing Ship Date","")&amp;IF(P752&lt;0,"; Invalid Discount (Negative)","")&amp;IF(P752&gt;0.5,"; Invalid Discount (Too High)","")&amp;IF(Z752&lt;0,"; Invalid Shipping Record (Ship Before Order)","")&amp;IF(ABS(Q752-W752)&gt;1,"; Sales Mismatch","")&amp;IF(ABS(S752-X752)&gt;1,"; Profit Mismatch","")&amp;IF(COUNTIF($A$2:$A$913,A752)&gt;1,"; Duplicate Order ID Conflict",""),2)="; ",MID(AC752&amp;IF(B752="","; Missing Order Date","")&amp;IF(C752="","; Missing Ship Date","")&amp;IF(P752&lt;0,"; Invalid Discount (Negative)","")&amp;IF(P752&gt;0.5,"; Invalid Discount (Too High)","")&amp;IF(Z752&lt;0,"; Invalid Shipping Record (Ship Before Order)","")&amp;IF(ABS(Q752-W752)&gt;1,"; Sales Mismatch","")&amp;IF(ABS(S752-X752)&gt;1,"; Profit Mismatch","")&amp;IF(COUNTIF($A$2:$A$913,A752)&gt;1,"; Duplicate Order ID Conflict",""),3,500),AC752&amp;IF(B752="","; Missing Order Date","")&amp;IF(C752="","; Missing Ship Date","")&amp;IF(P752&lt;0,"; Invalid Discount (Negative)","")&amp;IF(P752&gt;0.5,"; Invalid Discount (Too High)","")&amp;IF(Z752&lt;0,"; Invalid Shipping Record (Ship Before Order)","")&amp;IF(ABS(Q752-W752)&gt;1,"; Sales Mismatch","")&amp;IF(ABS(S752-X752)&gt;1,"; Profit Mismatch","")&amp;IF(COUNTIF($A$2:$A$913,A752)&gt;1,"; Duplicate Order ID Conflict",""))</f>
        <v/>
      </c>
      <c r="AE752" s="10" t="str">
        <f aca="false">IF(OR(ISNUMBER(SEARCH("Invalid Discount",AD752)),ISNUMBER(SEARCH("Invalid Shipping Record",AD752)),ISNUMBER(SEARCH("Sales Mismatch",AD752)),ISNUMBER(SEARCH("Profit Mismatch",AD752)),ISNUMBER(SEARCH("Duplicate Order ID Conflict",AD752)),ISNUMBER(SEARCH("Missing Order Date",AD752)),ISNUMBER(SEARCH("Missing Ship Date",AD752))),"Invalid",IF(AD752&lt;&gt;"","Warning","Clean"))</f>
        <v>Clean</v>
      </c>
    </row>
    <row r="753" customFormat="false" ht="15" hidden="false" customHeight="true" outlineLevel="0" collapsed="false">
      <c r="A753" s="3" t="s">
        <v>2252</v>
      </c>
      <c r="B753" s="4" t="n">
        <v>45856</v>
      </c>
      <c r="C753" s="4" t="n">
        <v>45857</v>
      </c>
      <c r="D753" s="3" t="s">
        <v>2253</v>
      </c>
      <c r="E753" s="3" t="str">
        <f aca="false">PROPER(TRIM(SUBSTITUTE(Raw_Text_Fields!B754,CHAR(160)," ")))</f>
        <v>Priya Menon</v>
      </c>
      <c r="F753" s="3" t="str">
        <f aca="false">PROPER(TRIM(SUBSTITUTE(Raw_Text_Fields!C754,CHAR(160)," ")))</f>
        <v>Home Office</v>
      </c>
      <c r="G753" s="3" t="str">
        <f aca="false">PROPER(TRIM(SUBSTITUTE(Raw_Text_Fields!D754,CHAR(160)," ")))</f>
        <v>Unknown</v>
      </c>
      <c r="H753" s="3" t="str">
        <f aca="false">PROPER(TRIM(SUBSTITUTE(Raw_Text_Fields!E754,CHAR(160)," ")))</f>
        <v>Uttar Pradesh</v>
      </c>
      <c r="I753" s="3" t="str">
        <f aca="false">PROPER(TRIM(SUBSTITUTE(Raw_Text_Fields!F754,CHAR(160)," ")))</f>
        <v>Noida</v>
      </c>
      <c r="J753" s="3" t="str">
        <f aca="false">PROPER(TRIM(SUBSTITUTE(Raw_Text_Fields!G754,CHAR(160)," ")))</f>
        <v>Technology</v>
      </c>
      <c r="K753" s="3" t="str">
        <f aca="false">PROPER(TRIM(SUBSTITUTE(Raw_Text_Fields!H754,CHAR(160)," ")))</f>
        <v>Machines</v>
      </c>
      <c r="L753" s="3" t="s">
        <v>2254</v>
      </c>
      <c r="M753" s="3" t="str">
        <f aca="false">PROPER(TRIM(SUBSTITUTE(Raw_Text_Fields!I754,CHAR(160)," ")))</f>
        <v>Unknown</v>
      </c>
      <c r="N753" s="3" t="n">
        <v>3</v>
      </c>
      <c r="O753" s="5" t="n">
        <v>2963.25</v>
      </c>
      <c r="P753" s="6" t="n">
        <v>0.05</v>
      </c>
      <c r="Q753" s="5" t="n">
        <v>8445.26</v>
      </c>
      <c r="R753" s="5" t="n">
        <v>6937.6</v>
      </c>
      <c r="S753" s="5" t="n">
        <v>1507.66</v>
      </c>
      <c r="T753" s="3" t="str">
        <f aca="false">PROPER(TRIM(SUBSTITUTE(Raw_Text_Fields!J754,CHAR(160)," ")))</f>
        <v>Paid</v>
      </c>
      <c r="U753" s="3" t="str">
        <f aca="false">PROPER(TRIM(SUBSTITUTE(Raw_Text_Fields!K754,CHAR(160)," ")))</f>
        <v>Completed</v>
      </c>
      <c r="V753" s="7" t="n">
        <f aca="false">IF(OR(P753&lt;0,P753&gt;0.5),0,P753)</f>
        <v>0.05</v>
      </c>
      <c r="W753" s="8" t="n">
        <f aca="false">N753*O753*(1-V753)</f>
        <v>8445.2625</v>
      </c>
      <c r="X753" s="8" t="n">
        <f aca="false">W753-R753</f>
        <v>1507.6625</v>
      </c>
      <c r="Y753" s="7" t="n">
        <f aca="false">IFERROR(X753/W753,0)</f>
        <v>0.178521685974829</v>
      </c>
      <c r="Z753" s="9" t="n">
        <f aca="false">C753-B753</f>
        <v>1</v>
      </c>
      <c r="AA753" s="1" t="str">
        <f aca="false">IF(B753="","",TEXT(B753,"mmm"))</f>
        <v>Jul</v>
      </c>
      <c r="AB753" s="9" t="n">
        <f aca="false">IF(B753="","",YEAR(B753))</f>
        <v>2025</v>
      </c>
      <c r="AC753" s="3" t="s">
        <v>2255</v>
      </c>
      <c r="AD753" s="3" t="str">
        <f aca="false">IF(LEFT(AC753&amp;IF(B753="","; Missing Order Date","")&amp;IF(C753="","; Missing Ship Date","")&amp;IF(P753&lt;0,"; Invalid Discount (Negative)","")&amp;IF(P753&gt;0.5,"; Invalid Discount (Too High)","")&amp;IF(Z753&lt;0,"; Invalid Shipping Record (Ship Before Order)","")&amp;IF(ABS(Q753-W753)&gt;1,"; Sales Mismatch","")&amp;IF(ABS(S753-X753)&gt;1,"; Profit Mismatch","")&amp;IF(COUNTIF($A$2:$A$913,A753)&gt;1,"; Duplicate Order ID Conflict",""),2)="; ",MID(AC753&amp;IF(B753="","; Missing Order Date","")&amp;IF(C753="","; Missing Ship Date","")&amp;IF(P753&lt;0,"; Invalid Discount (Negative)","")&amp;IF(P753&gt;0.5,"; Invalid Discount (Too High)","")&amp;IF(Z753&lt;0,"; Invalid Shipping Record (Ship Before Order)","")&amp;IF(ABS(Q753-W753)&gt;1,"; Sales Mismatch","")&amp;IF(ABS(S753-X753)&gt;1,"; Profit Mismatch","")&amp;IF(COUNTIF($A$2:$A$913,A753)&gt;1,"; Duplicate Order ID Conflict",""),3,500),AC753&amp;IF(B753="","; Missing Order Date","")&amp;IF(C753="","; Missing Ship Date","")&amp;IF(P753&lt;0,"; Invalid Discount (Negative)","")&amp;IF(P753&gt;0.5,"; Invalid Discount (Too High)","")&amp;IF(Z753&lt;0,"; Invalid Shipping Record (Ship Before Order)","")&amp;IF(ABS(Q753-W753)&gt;1,"; Sales Mismatch","")&amp;IF(ABS(S753-X753)&gt;1,"; Profit Mismatch","")&amp;IF(COUNTIF($A$2:$A$913,A753)&gt;1,"; Duplicate Order ID Conflict",""))</f>
        <v>Missing Region (filled Unknown); Missing Ship Mode (filled Unknown)</v>
      </c>
      <c r="AE753" s="10" t="str">
        <f aca="false">IF(OR(ISNUMBER(SEARCH("Invalid Discount",AD753)),ISNUMBER(SEARCH("Invalid Shipping Record",AD753)),ISNUMBER(SEARCH("Sales Mismatch",AD753)),ISNUMBER(SEARCH("Profit Mismatch",AD753)),ISNUMBER(SEARCH("Duplicate Order ID Conflict",AD753)),ISNUMBER(SEARCH("Missing Order Date",AD753)),ISNUMBER(SEARCH("Missing Ship Date",AD753))),"Invalid",IF(AD753&lt;&gt;"","Warning","Clean"))</f>
        <v>Warning</v>
      </c>
    </row>
    <row r="754" customFormat="false" ht="15" hidden="false" customHeight="true" outlineLevel="0" collapsed="false">
      <c r="A754" s="3" t="s">
        <v>2256</v>
      </c>
      <c r="B754" s="4" t="n">
        <v>45375</v>
      </c>
      <c r="C754" s="4" t="n">
        <v>45378</v>
      </c>
      <c r="D754" s="3" t="s">
        <v>2257</v>
      </c>
      <c r="E754" s="3" t="str">
        <f aca="false">PROPER(TRIM(SUBSTITUTE(Raw_Text_Fields!B755,CHAR(160)," ")))</f>
        <v>Aditi Sen</v>
      </c>
      <c r="F754" s="3" t="str">
        <f aca="false">PROPER(TRIM(SUBSTITUTE(Raw_Text_Fields!C755,CHAR(160)," ")))</f>
        <v>Corporate</v>
      </c>
      <c r="G754" s="3" t="str">
        <f aca="false">PROPER(TRIM(SUBSTITUTE(Raw_Text_Fields!D755,CHAR(160)," ")))</f>
        <v>West</v>
      </c>
      <c r="H754" s="3" t="str">
        <f aca="false">PROPER(TRIM(SUBSTITUTE(Raw_Text_Fields!E755,CHAR(160)," ")))</f>
        <v>Gujarat</v>
      </c>
      <c r="I754" s="3" t="str">
        <f aca="false">PROPER(TRIM(SUBSTITUTE(Raw_Text_Fields!F755,CHAR(160)," ")))</f>
        <v>Ahmedabad</v>
      </c>
      <c r="J754" s="3" t="str">
        <f aca="false">PROPER(TRIM(SUBSTITUTE(Raw_Text_Fields!G755,CHAR(160)," ")))</f>
        <v>Office Supplies</v>
      </c>
      <c r="K754" s="3" t="str">
        <f aca="false">PROPER(TRIM(SUBSTITUTE(Raw_Text_Fields!H755,CHAR(160)," ")))</f>
        <v>Storage</v>
      </c>
      <c r="L754" s="3" t="s">
        <v>2258</v>
      </c>
      <c r="M754" s="3" t="str">
        <f aca="false">PROPER(TRIM(SUBSTITUTE(Raw_Text_Fields!I755,CHAR(160)," ")))</f>
        <v>First Class</v>
      </c>
      <c r="N754" s="3" t="n">
        <v>5</v>
      </c>
      <c r="O754" s="5" t="n">
        <v>2465.22</v>
      </c>
      <c r="P754" s="6" t="n">
        <v>0.05</v>
      </c>
      <c r="Q754" s="5" t="n">
        <v>11709.79</v>
      </c>
      <c r="R754" s="5" t="n">
        <v>8372.29</v>
      </c>
      <c r="S754" s="5" t="n">
        <v>3337.5</v>
      </c>
      <c r="T754" s="3" t="str">
        <f aca="false">PROPER(TRIM(SUBSTITUTE(Raw_Text_Fields!J755,CHAR(160)," ")))</f>
        <v>Paid</v>
      </c>
      <c r="U754" s="3" t="str">
        <f aca="false">PROPER(TRIM(SUBSTITUTE(Raw_Text_Fields!K755,CHAR(160)," ")))</f>
        <v>Completed</v>
      </c>
      <c r="V754" s="7" t="n">
        <f aca="false">IF(OR(P754&lt;0,P754&gt;0.5),0,P754)</f>
        <v>0.05</v>
      </c>
      <c r="W754" s="8" t="n">
        <f aca="false">N754*O754*(1-V754)</f>
        <v>11709.795</v>
      </c>
      <c r="X754" s="8" t="n">
        <f aca="false">W754-R754</f>
        <v>3337.505</v>
      </c>
      <c r="Y754" s="7" t="n">
        <f aca="false">IFERROR(X754/W754,0)</f>
        <v>0.285018226194395</v>
      </c>
      <c r="Z754" s="9" t="n">
        <f aca="false">C754-B754</f>
        <v>3</v>
      </c>
      <c r="AA754" s="1" t="str">
        <f aca="false">IF(B754="","",TEXT(B754,"mmm"))</f>
        <v>Mar</v>
      </c>
      <c r="AB754" s="9" t="n">
        <f aca="false">IF(B754="","",YEAR(B754))</f>
        <v>2024</v>
      </c>
      <c r="AC754" s="3"/>
      <c r="AD754" s="3" t="str">
        <f aca="false">IF(LEFT(AC754&amp;IF(B754="","; Missing Order Date","")&amp;IF(C754="","; Missing Ship Date","")&amp;IF(P754&lt;0,"; Invalid Discount (Negative)","")&amp;IF(P754&gt;0.5,"; Invalid Discount (Too High)","")&amp;IF(Z754&lt;0,"; Invalid Shipping Record (Ship Before Order)","")&amp;IF(ABS(Q754-W754)&gt;1,"; Sales Mismatch","")&amp;IF(ABS(S754-X754)&gt;1,"; Profit Mismatch","")&amp;IF(COUNTIF($A$2:$A$913,A754)&gt;1,"; Duplicate Order ID Conflict",""),2)="; ",MID(AC754&amp;IF(B754="","; Missing Order Date","")&amp;IF(C754="","; Missing Ship Date","")&amp;IF(P754&lt;0,"; Invalid Discount (Negative)","")&amp;IF(P754&gt;0.5,"; Invalid Discount (Too High)","")&amp;IF(Z754&lt;0,"; Invalid Shipping Record (Ship Before Order)","")&amp;IF(ABS(Q754-W754)&gt;1,"; Sales Mismatch","")&amp;IF(ABS(S754-X754)&gt;1,"; Profit Mismatch","")&amp;IF(COUNTIF($A$2:$A$913,A754)&gt;1,"; Duplicate Order ID Conflict",""),3,500),AC754&amp;IF(B754="","; Missing Order Date","")&amp;IF(C754="","; Missing Ship Date","")&amp;IF(P754&lt;0,"; Invalid Discount (Negative)","")&amp;IF(P754&gt;0.5,"; Invalid Discount (Too High)","")&amp;IF(Z754&lt;0,"; Invalid Shipping Record (Ship Before Order)","")&amp;IF(ABS(Q754-W754)&gt;1,"; Sales Mismatch","")&amp;IF(ABS(S754-X754)&gt;1,"; Profit Mismatch","")&amp;IF(COUNTIF($A$2:$A$913,A754)&gt;1,"; Duplicate Order ID Conflict",""))</f>
        <v/>
      </c>
      <c r="AE754" s="10" t="str">
        <f aca="false">IF(OR(ISNUMBER(SEARCH("Invalid Discount",AD754)),ISNUMBER(SEARCH("Invalid Shipping Record",AD754)),ISNUMBER(SEARCH("Sales Mismatch",AD754)),ISNUMBER(SEARCH("Profit Mismatch",AD754)),ISNUMBER(SEARCH("Duplicate Order ID Conflict",AD754)),ISNUMBER(SEARCH("Missing Order Date",AD754)),ISNUMBER(SEARCH("Missing Ship Date",AD754))),"Invalid",IF(AD754&lt;&gt;"","Warning","Clean"))</f>
        <v>Clean</v>
      </c>
    </row>
    <row r="755" customFormat="false" ht="15" hidden="false" customHeight="true" outlineLevel="0" collapsed="false">
      <c r="A755" s="3" t="s">
        <v>2259</v>
      </c>
      <c r="B755" s="4" t="n">
        <v>45515</v>
      </c>
      <c r="C755" s="4" t="n">
        <v>45514</v>
      </c>
      <c r="D755" s="3" t="s">
        <v>2260</v>
      </c>
      <c r="E755" s="3" t="str">
        <f aca="false">PROPER(TRIM(SUBSTITUTE(Raw_Text_Fields!B756,CHAR(160)," ")))</f>
        <v>Aditi Sen</v>
      </c>
      <c r="F755" s="3" t="str">
        <f aca="false">PROPER(TRIM(SUBSTITUTE(Raw_Text_Fields!C756,CHAR(160)," ")))</f>
        <v>Corporate</v>
      </c>
      <c r="G755" s="3" t="str">
        <f aca="false">PROPER(TRIM(SUBSTITUTE(Raw_Text_Fields!D756,CHAR(160)," ")))</f>
        <v>North</v>
      </c>
      <c r="H755" s="3" t="str">
        <f aca="false">PROPER(TRIM(SUBSTITUTE(Raw_Text_Fields!E756,CHAR(160)," ")))</f>
        <v>Delhi</v>
      </c>
      <c r="I755" s="3" t="str">
        <f aca="false">PROPER(TRIM(SUBSTITUTE(Raw_Text_Fields!F756,CHAR(160)," ")))</f>
        <v>New Delhi</v>
      </c>
      <c r="J755" s="3" t="str">
        <f aca="false">PROPER(TRIM(SUBSTITUTE(Raw_Text_Fields!G756,CHAR(160)," ")))</f>
        <v>Furniture</v>
      </c>
      <c r="K755" s="3" t="str">
        <f aca="false">PROPER(TRIM(SUBSTITUTE(Raw_Text_Fields!H756,CHAR(160)," ")))</f>
        <v>Furnishings</v>
      </c>
      <c r="L755" s="3" t="s">
        <v>2261</v>
      </c>
      <c r="M755" s="3" t="str">
        <f aca="false">PROPER(TRIM(SUBSTITUTE(Raw_Text_Fields!I756,CHAR(160)," ")))</f>
        <v>Second Class</v>
      </c>
      <c r="N755" s="3" t="n">
        <v>3</v>
      </c>
      <c r="O755" s="5" t="n">
        <v>1017.22</v>
      </c>
      <c r="P755" s="6" t="n">
        <v>0.15</v>
      </c>
      <c r="Q755" s="5" t="n">
        <v>2593.91</v>
      </c>
      <c r="R755" s="5" t="n">
        <v>1848.48</v>
      </c>
      <c r="S755" s="5" t="n">
        <v>745.43</v>
      </c>
      <c r="T755" s="3" t="str">
        <f aca="false">PROPER(TRIM(SUBSTITUTE(Raw_Text_Fields!J756,CHAR(160)," ")))</f>
        <v>Failed</v>
      </c>
      <c r="U755" s="3" t="str">
        <f aca="false">PROPER(TRIM(SUBSTITUTE(Raw_Text_Fields!K756,CHAR(160)," ")))</f>
        <v>Returned</v>
      </c>
      <c r="V755" s="7" t="n">
        <f aca="false">IF(OR(P755&lt;0,P755&gt;0.5),0,P755)</f>
        <v>0.15</v>
      </c>
      <c r="W755" s="8" t="n">
        <f aca="false">N755*O755*(1-V755)</f>
        <v>2593.911</v>
      </c>
      <c r="X755" s="8" t="n">
        <f aca="false">W755-R755</f>
        <v>745.431</v>
      </c>
      <c r="Y755" s="7" t="n">
        <f aca="false">IFERROR(X755/W755,0)</f>
        <v>0.287377246173828</v>
      </c>
      <c r="Z755" s="9" t="n">
        <f aca="false">C755-B755</f>
        <v>-1</v>
      </c>
      <c r="AA755" s="1" t="str">
        <f aca="false">IF(B755="","",TEXT(B755,"mmm"))</f>
        <v>Aug</v>
      </c>
      <c r="AB755" s="9" t="n">
        <f aca="false">IF(B755="","",YEAR(B755))</f>
        <v>2024</v>
      </c>
      <c r="AC755" s="3"/>
      <c r="AD755" s="3" t="str">
        <f aca="false">IF(LEFT(AC755&amp;IF(B755="","; Missing Order Date","")&amp;IF(C755="","; Missing Ship Date","")&amp;IF(P755&lt;0,"; Invalid Discount (Negative)","")&amp;IF(P755&gt;0.5,"; Invalid Discount (Too High)","")&amp;IF(Z755&lt;0,"; Invalid Shipping Record (Ship Before Order)","")&amp;IF(ABS(Q755-W755)&gt;1,"; Sales Mismatch","")&amp;IF(ABS(S755-X755)&gt;1,"; Profit Mismatch","")&amp;IF(COUNTIF($A$2:$A$913,A755)&gt;1,"; Duplicate Order ID Conflict",""),2)="; ",MID(AC755&amp;IF(B755="","; Missing Order Date","")&amp;IF(C755="","; Missing Ship Date","")&amp;IF(P755&lt;0,"; Invalid Discount (Negative)","")&amp;IF(P755&gt;0.5,"; Invalid Discount (Too High)","")&amp;IF(Z755&lt;0,"; Invalid Shipping Record (Ship Before Order)","")&amp;IF(ABS(Q755-W755)&gt;1,"; Sales Mismatch","")&amp;IF(ABS(S755-X755)&gt;1,"; Profit Mismatch","")&amp;IF(COUNTIF($A$2:$A$913,A755)&gt;1,"; Duplicate Order ID Conflict",""),3,500),AC755&amp;IF(B755="","; Missing Order Date","")&amp;IF(C755="","; Missing Ship Date","")&amp;IF(P755&lt;0,"; Invalid Discount (Negative)","")&amp;IF(P755&gt;0.5,"; Invalid Discount (Too High)","")&amp;IF(Z755&lt;0,"; Invalid Shipping Record (Ship Before Order)","")&amp;IF(ABS(Q755-W755)&gt;1,"; Sales Mismatch","")&amp;IF(ABS(S755-X755)&gt;1,"; Profit Mismatch","")&amp;IF(COUNTIF($A$2:$A$913,A755)&gt;1,"; Duplicate Order ID Conflict",""))</f>
        <v>Invalid Shipping Record (Ship Before Order)</v>
      </c>
      <c r="AE755" s="10" t="str">
        <f aca="false">IF(OR(ISNUMBER(SEARCH("Invalid Discount",AD755)),ISNUMBER(SEARCH("Invalid Shipping Record",AD755)),ISNUMBER(SEARCH("Sales Mismatch",AD755)),ISNUMBER(SEARCH("Profit Mismatch",AD755)),ISNUMBER(SEARCH("Duplicate Order ID Conflict",AD755)),ISNUMBER(SEARCH("Missing Order Date",AD755)),ISNUMBER(SEARCH("Missing Ship Date",AD755))),"Invalid",IF(AD755&lt;&gt;"","Warning","Clean"))</f>
        <v>Invalid</v>
      </c>
    </row>
    <row r="756" customFormat="false" ht="15" hidden="false" customHeight="true" outlineLevel="0" collapsed="false">
      <c r="A756" s="3" t="s">
        <v>2262</v>
      </c>
      <c r="B756" s="4" t="n">
        <v>45812</v>
      </c>
      <c r="C756" s="4" t="n">
        <v>45812</v>
      </c>
      <c r="D756" s="3" t="s">
        <v>2263</v>
      </c>
      <c r="E756" s="3" t="str">
        <f aca="false">PROPER(TRIM(SUBSTITUTE(Raw_Text_Fields!B757,CHAR(160)," ")))</f>
        <v>Neha Gupta</v>
      </c>
      <c r="F756" s="3" t="str">
        <f aca="false">PROPER(TRIM(SUBSTITUTE(Raw_Text_Fields!C757,CHAR(160)," ")))</f>
        <v>Corporate</v>
      </c>
      <c r="G756" s="3" t="str">
        <f aca="false">PROPER(TRIM(SUBSTITUTE(Raw_Text_Fields!D757,CHAR(160)," ")))</f>
        <v>South</v>
      </c>
      <c r="H756" s="3" t="str">
        <f aca="false">PROPER(TRIM(SUBSTITUTE(Raw_Text_Fields!E757,CHAR(160)," ")))</f>
        <v>Kerala</v>
      </c>
      <c r="I756" s="3" t="str">
        <f aca="false">PROPER(TRIM(SUBSTITUTE(Raw_Text_Fields!F757,CHAR(160)," ")))</f>
        <v>Kochi</v>
      </c>
      <c r="J756" s="3" t="str">
        <f aca="false">PROPER(TRIM(SUBSTITUTE(Raw_Text_Fields!G757,CHAR(160)," ")))</f>
        <v>Office Supplies</v>
      </c>
      <c r="K756" s="3" t="str">
        <f aca="false">PROPER(TRIM(SUBSTITUTE(Raw_Text_Fields!H757,CHAR(160)," ")))</f>
        <v>Storage</v>
      </c>
      <c r="L756" s="3" t="s">
        <v>2264</v>
      </c>
      <c r="M756" s="3" t="str">
        <f aca="false">PROPER(TRIM(SUBSTITUTE(Raw_Text_Fields!I757,CHAR(160)," ")))</f>
        <v>Standard Class</v>
      </c>
      <c r="N756" s="3" t="n">
        <v>4</v>
      </c>
      <c r="O756" s="5" t="n">
        <v>891.34</v>
      </c>
      <c r="P756" s="6" t="n">
        <v>0.25</v>
      </c>
      <c r="Q756" s="5" t="n">
        <v>2674.02</v>
      </c>
      <c r="R756" s="5" t="n">
        <v>2207.57</v>
      </c>
      <c r="S756" s="5" t="n">
        <v>466.45</v>
      </c>
      <c r="T756" s="3" t="str">
        <f aca="false">PROPER(TRIM(SUBSTITUTE(Raw_Text_Fields!J757,CHAR(160)," ")))</f>
        <v>Paid</v>
      </c>
      <c r="U756" s="3" t="str">
        <f aca="false">PROPER(TRIM(SUBSTITUTE(Raw_Text_Fields!K757,CHAR(160)," ")))</f>
        <v>Completed</v>
      </c>
      <c r="V756" s="7" t="n">
        <f aca="false">IF(OR(P756&lt;0,P756&gt;0.5),0,P756)</f>
        <v>0.25</v>
      </c>
      <c r="W756" s="8" t="n">
        <f aca="false">N756*O756*(1-V756)</f>
        <v>2674.02</v>
      </c>
      <c r="X756" s="8" t="n">
        <f aca="false">W756-R756</f>
        <v>466.45</v>
      </c>
      <c r="Y756" s="7" t="n">
        <f aca="false">IFERROR(X756/W756,0)</f>
        <v>0.174437737937637</v>
      </c>
      <c r="Z756" s="9" t="n">
        <f aca="false">C756-B756</f>
        <v>0</v>
      </c>
      <c r="AA756" s="1" t="str">
        <f aca="false">IF(B756="","",TEXT(B756,"mmm"))</f>
        <v>Jun</v>
      </c>
      <c r="AB756" s="9" t="n">
        <f aca="false">IF(B756="","",YEAR(B756))</f>
        <v>2025</v>
      </c>
      <c r="AC756" s="3"/>
      <c r="AD756" s="3" t="str">
        <f aca="false">IF(LEFT(AC756&amp;IF(B756="","; Missing Order Date","")&amp;IF(C756="","; Missing Ship Date","")&amp;IF(P756&lt;0,"; Invalid Discount (Negative)","")&amp;IF(P756&gt;0.5,"; Invalid Discount (Too High)","")&amp;IF(Z756&lt;0,"; Invalid Shipping Record (Ship Before Order)","")&amp;IF(ABS(Q756-W756)&gt;1,"; Sales Mismatch","")&amp;IF(ABS(S756-X756)&gt;1,"; Profit Mismatch","")&amp;IF(COUNTIF($A$2:$A$913,A756)&gt;1,"; Duplicate Order ID Conflict",""),2)="; ",MID(AC756&amp;IF(B756="","; Missing Order Date","")&amp;IF(C756="","; Missing Ship Date","")&amp;IF(P756&lt;0,"; Invalid Discount (Negative)","")&amp;IF(P756&gt;0.5,"; Invalid Discount (Too High)","")&amp;IF(Z756&lt;0,"; Invalid Shipping Record (Ship Before Order)","")&amp;IF(ABS(Q756-W756)&gt;1,"; Sales Mismatch","")&amp;IF(ABS(S756-X756)&gt;1,"; Profit Mismatch","")&amp;IF(COUNTIF($A$2:$A$913,A756)&gt;1,"; Duplicate Order ID Conflict",""),3,500),AC756&amp;IF(B756="","; Missing Order Date","")&amp;IF(C756="","; Missing Ship Date","")&amp;IF(P756&lt;0,"; Invalid Discount (Negative)","")&amp;IF(P756&gt;0.5,"; Invalid Discount (Too High)","")&amp;IF(Z756&lt;0,"; Invalid Shipping Record (Ship Before Order)","")&amp;IF(ABS(Q756-W756)&gt;1,"; Sales Mismatch","")&amp;IF(ABS(S756-X756)&gt;1,"; Profit Mismatch","")&amp;IF(COUNTIF($A$2:$A$913,A756)&gt;1,"; Duplicate Order ID Conflict",""))</f>
        <v/>
      </c>
      <c r="AE756" s="10" t="str">
        <f aca="false">IF(OR(ISNUMBER(SEARCH("Invalid Discount",AD756)),ISNUMBER(SEARCH("Invalid Shipping Record",AD756)),ISNUMBER(SEARCH("Sales Mismatch",AD756)),ISNUMBER(SEARCH("Profit Mismatch",AD756)),ISNUMBER(SEARCH("Duplicate Order ID Conflict",AD756)),ISNUMBER(SEARCH("Missing Order Date",AD756)),ISNUMBER(SEARCH("Missing Ship Date",AD756))),"Invalid",IF(AD756&lt;&gt;"","Warning","Clean"))</f>
        <v>Clean</v>
      </c>
    </row>
    <row r="757" customFormat="false" ht="15" hidden="false" customHeight="true" outlineLevel="0" collapsed="false">
      <c r="A757" s="3" t="s">
        <v>2265</v>
      </c>
      <c r="B757" s="4" t="n">
        <v>45858</v>
      </c>
      <c r="C757" s="4" t="n">
        <v>45862</v>
      </c>
      <c r="D757" s="3" t="s">
        <v>2266</v>
      </c>
      <c r="E757" s="3" t="str">
        <f aca="false">PROPER(TRIM(SUBSTITUTE(Raw_Text_Fields!B758,CHAR(160)," ")))</f>
        <v>Priya Menon</v>
      </c>
      <c r="F757" s="3" t="str">
        <f aca="false">PROPER(TRIM(SUBSTITUTE(Raw_Text_Fields!C758,CHAR(160)," ")))</f>
        <v>Home Office</v>
      </c>
      <c r="G757" s="3" t="str">
        <f aca="false">PROPER(TRIM(SUBSTITUTE(Raw_Text_Fields!D758,CHAR(160)," ")))</f>
        <v>West</v>
      </c>
      <c r="H757" s="3" t="str">
        <f aca="false">PROPER(TRIM(SUBSTITUTE(Raw_Text_Fields!E758,CHAR(160)," ")))</f>
        <v>Madhya Pradesh</v>
      </c>
      <c r="I757" s="3" t="str">
        <f aca="false">PROPER(TRIM(SUBSTITUTE(Raw_Text_Fields!F758,CHAR(160)," ")))</f>
        <v>Indore</v>
      </c>
      <c r="J757" s="3" t="str">
        <f aca="false">PROPER(TRIM(SUBSTITUTE(Raw_Text_Fields!G758,CHAR(160)," ")))</f>
        <v>Office Supplies</v>
      </c>
      <c r="K757" s="3" t="str">
        <f aca="false">PROPER(TRIM(SUBSTITUTE(Raw_Text_Fields!H758,CHAR(160)," ")))</f>
        <v>Storage</v>
      </c>
      <c r="L757" s="3" t="s">
        <v>2267</v>
      </c>
      <c r="M757" s="3" t="str">
        <f aca="false">PROPER(TRIM(SUBSTITUTE(Raw_Text_Fields!I758,CHAR(160)," ")))</f>
        <v>Second Class</v>
      </c>
      <c r="N757" s="3" t="n">
        <v>5</v>
      </c>
      <c r="O757" s="5" t="n">
        <v>2481.74</v>
      </c>
      <c r="P757" s="6" t="n">
        <v>0.2</v>
      </c>
      <c r="Q757" s="5" t="n">
        <v>9926.96</v>
      </c>
      <c r="R757" s="5" t="n">
        <v>7994.98</v>
      </c>
      <c r="S757" s="5" t="n">
        <v>1931.98</v>
      </c>
      <c r="T757" s="3" t="str">
        <f aca="false">PROPER(TRIM(SUBSTITUTE(Raw_Text_Fields!J758,CHAR(160)," ")))</f>
        <v>Paid</v>
      </c>
      <c r="U757" s="3" t="str">
        <f aca="false">PROPER(TRIM(SUBSTITUTE(Raw_Text_Fields!K758,CHAR(160)," ")))</f>
        <v>Completed</v>
      </c>
      <c r="V757" s="7" t="n">
        <f aca="false">IF(OR(P757&lt;0,P757&gt;0.5),0,P757)</f>
        <v>0.2</v>
      </c>
      <c r="W757" s="8" t="n">
        <f aca="false">N757*O757*(1-V757)</f>
        <v>9926.96</v>
      </c>
      <c r="X757" s="8" t="n">
        <f aca="false">W757-R757</f>
        <v>1931.98</v>
      </c>
      <c r="Y757" s="7" t="n">
        <f aca="false">IFERROR(X757/W757,0)</f>
        <v>0.194619500834092</v>
      </c>
      <c r="Z757" s="9" t="n">
        <f aca="false">C757-B757</f>
        <v>4</v>
      </c>
      <c r="AA757" s="1" t="str">
        <f aca="false">IF(B757="","",TEXT(B757,"mmm"))</f>
        <v>Jul</v>
      </c>
      <c r="AB757" s="9" t="n">
        <f aca="false">IF(B757="","",YEAR(B757))</f>
        <v>2025</v>
      </c>
      <c r="AC757" s="3"/>
      <c r="AD757" s="3" t="str">
        <f aca="false">IF(LEFT(AC757&amp;IF(B757="","; Missing Order Date","")&amp;IF(C757="","; Missing Ship Date","")&amp;IF(P757&lt;0,"; Invalid Discount (Negative)","")&amp;IF(P757&gt;0.5,"; Invalid Discount (Too High)","")&amp;IF(Z757&lt;0,"; Invalid Shipping Record (Ship Before Order)","")&amp;IF(ABS(Q757-W757)&gt;1,"; Sales Mismatch","")&amp;IF(ABS(S757-X757)&gt;1,"; Profit Mismatch","")&amp;IF(COUNTIF($A$2:$A$913,A757)&gt;1,"; Duplicate Order ID Conflict",""),2)="; ",MID(AC757&amp;IF(B757="","; Missing Order Date","")&amp;IF(C757="","; Missing Ship Date","")&amp;IF(P757&lt;0,"; Invalid Discount (Negative)","")&amp;IF(P757&gt;0.5,"; Invalid Discount (Too High)","")&amp;IF(Z757&lt;0,"; Invalid Shipping Record (Ship Before Order)","")&amp;IF(ABS(Q757-W757)&gt;1,"; Sales Mismatch","")&amp;IF(ABS(S757-X757)&gt;1,"; Profit Mismatch","")&amp;IF(COUNTIF($A$2:$A$913,A757)&gt;1,"; Duplicate Order ID Conflict",""),3,500),AC757&amp;IF(B757="","; Missing Order Date","")&amp;IF(C757="","; Missing Ship Date","")&amp;IF(P757&lt;0,"; Invalid Discount (Negative)","")&amp;IF(P757&gt;0.5,"; Invalid Discount (Too High)","")&amp;IF(Z757&lt;0,"; Invalid Shipping Record (Ship Before Order)","")&amp;IF(ABS(Q757-W757)&gt;1,"; Sales Mismatch","")&amp;IF(ABS(S757-X757)&gt;1,"; Profit Mismatch","")&amp;IF(COUNTIF($A$2:$A$913,A757)&gt;1,"; Duplicate Order ID Conflict",""))</f>
        <v/>
      </c>
      <c r="AE757" s="10" t="str">
        <f aca="false">IF(OR(ISNUMBER(SEARCH("Invalid Discount",AD757)),ISNUMBER(SEARCH("Invalid Shipping Record",AD757)),ISNUMBER(SEARCH("Sales Mismatch",AD757)),ISNUMBER(SEARCH("Profit Mismatch",AD757)),ISNUMBER(SEARCH("Duplicate Order ID Conflict",AD757)),ISNUMBER(SEARCH("Missing Order Date",AD757)),ISNUMBER(SEARCH("Missing Ship Date",AD757))),"Invalid",IF(AD757&lt;&gt;"","Warning","Clean"))</f>
        <v>Clean</v>
      </c>
    </row>
    <row r="758" customFormat="false" ht="15" hidden="false" customHeight="true" outlineLevel="0" collapsed="false">
      <c r="A758" s="3" t="s">
        <v>2268</v>
      </c>
      <c r="B758" s="4" t="n">
        <v>45592</v>
      </c>
      <c r="C758" s="4" t="n">
        <v>45597</v>
      </c>
      <c r="D758" s="3" t="s">
        <v>2269</v>
      </c>
      <c r="E758" s="3" t="str">
        <f aca="false">PROPER(TRIM(SUBSTITUTE(Raw_Text_Fields!B759,CHAR(160)," ")))</f>
        <v>Rohan Mehta</v>
      </c>
      <c r="F758" s="3" t="str">
        <f aca="false">PROPER(TRIM(SUBSTITUTE(Raw_Text_Fields!C759,CHAR(160)," ")))</f>
        <v>Consumer</v>
      </c>
      <c r="G758" s="3" t="str">
        <f aca="false">PROPER(TRIM(SUBSTITUTE(Raw_Text_Fields!D759,CHAR(160)," ")))</f>
        <v>North</v>
      </c>
      <c r="H758" s="3" t="str">
        <f aca="false">PROPER(TRIM(SUBSTITUTE(Raw_Text_Fields!E759,CHAR(160)," ")))</f>
        <v>Rajasthan</v>
      </c>
      <c r="I758" s="3" t="str">
        <f aca="false">PROPER(TRIM(SUBSTITUTE(Raw_Text_Fields!F759,CHAR(160)," ")))</f>
        <v>Jaipur</v>
      </c>
      <c r="J758" s="3" t="str">
        <f aca="false">PROPER(TRIM(SUBSTITUTE(Raw_Text_Fields!G759,CHAR(160)," ")))</f>
        <v>Technology</v>
      </c>
      <c r="K758" s="3" t="str">
        <f aca="false">PROPER(TRIM(SUBSTITUTE(Raw_Text_Fields!H759,CHAR(160)," ")))</f>
        <v>Accessories</v>
      </c>
      <c r="L758" s="3" t="s">
        <v>2270</v>
      </c>
      <c r="M758" s="3" t="str">
        <f aca="false">PROPER(TRIM(SUBSTITUTE(Raw_Text_Fields!I759,CHAR(160)," ")))</f>
        <v>Same Day</v>
      </c>
      <c r="N758" s="3" t="n">
        <v>7</v>
      </c>
      <c r="O758" s="5" t="n">
        <v>2177.1</v>
      </c>
      <c r="P758" s="6" t="n">
        <v>0.2</v>
      </c>
      <c r="Q758" s="5" t="n">
        <v>12191.76</v>
      </c>
      <c r="R758" s="5" t="n">
        <v>10457.49</v>
      </c>
      <c r="S758" s="5" t="n">
        <v>1734.27</v>
      </c>
      <c r="T758" s="3" t="str">
        <f aca="false">PROPER(TRIM(SUBSTITUTE(Raw_Text_Fields!J759,CHAR(160)," ")))</f>
        <v>Paid</v>
      </c>
      <c r="U758" s="3" t="str">
        <f aca="false">PROPER(TRIM(SUBSTITUTE(Raw_Text_Fields!K759,CHAR(160)," ")))</f>
        <v>Returned</v>
      </c>
      <c r="V758" s="7" t="n">
        <f aca="false">IF(OR(P758&lt;0,P758&gt;0.5),0,P758)</f>
        <v>0.2</v>
      </c>
      <c r="W758" s="8" t="n">
        <f aca="false">N758*O758*(1-V758)</f>
        <v>12191.76</v>
      </c>
      <c r="X758" s="8" t="n">
        <f aca="false">W758-R758</f>
        <v>1734.27</v>
      </c>
      <c r="Y758" s="7" t="n">
        <f aca="false">IFERROR(X758/W758,0)</f>
        <v>0.14224935530227</v>
      </c>
      <c r="Z758" s="9" t="n">
        <f aca="false">C758-B758</f>
        <v>5</v>
      </c>
      <c r="AA758" s="1" t="str">
        <f aca="false">IF(B758="","",TEXT(B758,"mmm"))</f>
        <v>Oct</v>
      </c>
      <c r="AB758" s="9" t="n">
        <f aca="false">IF(B758="","",YEAR(B758))</f>
        <v>2024</v>
      </c>
      <c r="AC758" s="3"/>
      <c r="AD758" s="3" t="str">
        <f aca="false">IF(LEFT(AC758&amp;IF(B758="","; Missing Order Date","")&amp;IF(C758="","; Missing Ship Date","")&amp;IF(P758&lt;0,"; Invalid Discount (Negative)","")&amp;IF(P758&gt;0.5,"; Invalid Discount (Too High)","")&amp;IF(Z758&lt;0,"; Invalid Shipping Record (Ship Before Order)","")&amp;IF(ABS(Q758-W758)&gt;1,"; Sales Mismatch","")&amp;IF(ABS(S758-X758)&gt;1,"; Profit Mismatch","")&amp;IF(COUNTIF($A$2:$A$913,A758)&gt;1,"; Duplicate Order ID Conflict",""),2)="; ",MID(AC758&amp;IF(B758="","; Missing Order Date","")&amp;IF(C758="","; Missing Ship Date","")&amp;IF(P758&lt;0,"; Invalid Discount (Negative)","")&amp;IF(P758&gt;0.5,"; Invalid Discount (Too High)","")&amp;IF(Z758&lt;0,"; Invalid Shipping Record (Ship Before Order)","")&amp;IF(ABS(Q758-W758)&gt;1,"; Sales Mismatch","")&amp;IF(ABS(S758-X758)&gt;1,"; Profit Mismatch","")&amp;IF(COUNTIF($A$2:$A$913,A758)&gt;1,"; Duplicate Order ID Conflict",""),3,500),AC758&amp;IF(B758="","; Missing Order Date","")&amp;IF(C758="","; Missing Ship Date","")&amp;IF(P758&lt;0,"; Invalid Discount (Negative)","")&amp;IF(P758&gt;0.5,"; Invalid Discount (Too High)","")&amp;IF(Z758&lt;0,"; Invalid Shipping Record (Ship Before Order)","")&amp;IF(ABS(Q758-W758)&gt;1,"; Sales Mismatch","")&amp;IF(ABS(S758-X758)&gt;1,"; Profit Mismatch","")&amp;IF(COUNTIF($A$2:$A$913,A758)&gt;1,"; Duplicate Order ID Conflict",""))</f>
        <v/>
      </c>
      <c r="AE758" s="10" t="str">
        <f aca="false">IF(OR(ISNUMBER(SEARCH("Invalid Discount",AD758)),ISNUMBER(SEARCH("Invalid Shipping Record",AD758)),ISNUMBER(SEARCH("Sales Mismatch",AD758)),ISNUMBER(SEARCH("Profit Mismatch",AD758)),ISNUMBER(SEARCH("Duplicate Order ID Conflict",AD758)),ISNUMBER(SEARCH("Missing Order Date",AD758)),ISNUMBER(SEARCH("Missing Ship Date",AD758))),"Invalid",IF(AD758&lt;&gt;"","Warning","Clean"))</f>
        <v>Clean</v>
      </c>
    </row>
    <row r="759" customFormat="false" ht="15" hidden="false" customHeight="true" outlineLevel="0" collapsed="false">
      <c r="A759" s="3" t="s">
        <v>2271</v>
      </c>
      <c r="B759" s="4" t="n">
        <v>45870</v>
      </c>
      <c r="C759" s="4" t="n">
        <v>45872</v>
      </c>
      <c r="D759" s="3" t="s">
        <v>2272</v>
      </c>
      <c r="E759" s="3" t="str">
        <f aca="false">PROPER(TRIM(SUBSTITUTE(Raw_Text_Fields!B760,CHAR(160)," ")))</f>
        <v>Aditi Sen</v>
      </c>
      <c r="F759" s="3" t="str">
        <f aca="false">PROPER(TRIM(SUBSTITUTE(Raw_Text_Fields!C760,CHAR(160)," ")))</f>
        <v>Small Business</v>
      </c>
      <c r="G759" s="3" t="str">
        <f aca="false">PROPER(TRIM(SUBSTITUTE(Raw_Text_Fields!D760,CHAR(160)," ")))</f>
        <v>South</v>
      </c>
      <c r="H759" s="3" t="str">
        <f aca="false">PROPER(TRIM(SUBSTITUTE(Raw_Text_Fields!E760,CHAR(160)," ")))</f>
        <v>Kerala</v>
      </c>
      <c r="I759" s="3" t="str">
        <f aca="false">PROPER(TRIM(SUBSTITUTE(Raw_Text_Fields!F760,CHAR(160)," ")))</f>
        <v>Kochi</v>
      </c>
      <c r="J759" s="3" t="str">
        <f aca="false">PROPER(TRIM(SUBSTITUTE(Raw_Text_Fields!G760,CHAR(160)," ")))</f>
        <v>Furniture</v>
      </c>
      <c r="K759" s="3" t="str">
        <f aca="false">PROPER(TRIM(SUBSTITUTE(Raw_Text_Fields!H760,CHAR(160)," ")))</f>
        <v>Bookcases</v>
      </c>
      <c r="L759" s="3" t="s">
        <v>2273</v>
      </c>
      <c r="M759" s="3" t="str">
        <f aca="false">PROPER(TRIM(SUBSTITUTE(Raw_Text_Fields!I760,CHAR(160)," ")))</f>
        <v>Standard Class</v>
      </c>
      <c r="N759" s="3" t="n">
        <v>3</v>
      </c>
      <c r="O759" s="5" t="n">
        <v>1904.78</v>
      </c>
      <c r="P759" s="6" t="n">
        <v>0.25</v>
      </c>
      <c r="Q759" s="5" t="n">
        <v>4285.76</v>
      </c>
      <c r="R759" s="5" t="n">
        <v>2386.33</v>
      </c>
      <c r="S759" s="5" t="n">
        <v>1899.43</v>
      </c>
      <c r="T759" s="3" t="str">
        <f aca="false">PROPER(TRIM(SUBSTITUTE(Raw_Text_Fields!J760,CHAR(160)," ")))</f>
        <v>Failed</v>
      </c>
      <c r="U759" s="3" t="str">
        <f aca="false">PROPER(TRIM(SUBSTITUTE(Raw_Text_Fields!K760,CHAR(160)," ")))</f>
        <v>Cancelled</v>
      </c>
      <c r="V759" s="7" t="n">
        <f aca="false">IF(OR(P759&lt;0,P759&gt;0.5),0,P759)</f>
        <v>0.25</v>
      </c>
      <c r="W759" s="8" t="n">
        <f aca="false">N759*O759*(1-V759)</f>
        <v>4285.755</v>
      </c>
      <c r="X759" s="8" t="n">
        <f aca="false">W759-R759</f>
        <v>1899.425</v>
      </c>
      <c r="Y759" s="7" t="n">
        <f aca="false">IFERROR(X759/W759,0)</f>
        <v>0.443194956314582</v>
      </c>
      <c r="Z759" s="9" t="n">
        <f aca="false">C759-B759</f>
        <v>2</v>
      </c>
      <c r="AA759" s="1" t="str">
        <f aca="false">IF(B759="","",TEXT(B759,"mmm"))</f>
        <v>Aug</v>
      </c>
      <c r="AB759" s="9" t="n">
        <f aca="false">IF(B759="","",YEAR(B759))</f>
        <v>2025</v>
      </c>
      <c r="AC759" s="3"/>
      <c r="AD759" s="3" t="str">
        <f aca="false">IF(LEFT(AC759&amp;IF(B759="","; Missing Order Date","")&amp;IF(C759="","; Missing Ship Date","")&amp;IF(P759&lt;0,"; Invalid Discount (Negative)","")&amp;IF(P759&gt;0.5,"; Invalid Discount (Too High)","")&amp;IF(Z759&lt;0,"; Invalid Shipping Record (Ship Before Order)","")&amp;IF(ABS(Q759-W759)&gt;1,"; Sales Mismatch","")&amp;IF(ABS(S759-X759)&gt;1,"; Profit Mismatch","")&amp;IF(COUNTIF($A$2:$A$913,A759)&gt;1,"; Duplicate Order ID Conflict",""),2)="; ",MID(AC759&amp;IF(B759="","; Missing Order Date","")&amp;IF(C759="","; Missing Ship Date","")&amp;IF(P759&lt;0,"; Invalid Discount (Negative)","")&amp;IF(P759&gt;0.5,"; Invalid Discount (Too High)","")&amp;IF(Z759&lt;0,"; Invalid Shipping Record (Ship Before Order)","")&amp;IF(ABS(Q759-W759)&gt;1,"; Sales Mismatch","")&amp;IF(ABS(S759-X759)&gt;1,"; Profit Mismatch","")&amp;IF(COUNTIF($A$2:$A$913,A759)&gt;1,"; Duplicate Order ID Conflict",""),3,500),AC759&amp;IF(B759="","; Missing Order Date","")&amp;IF(C759="","; Missing Ship Date","")&amp;IF(P759&lt;0,"; Invalid Discount (Negative)","")&amp;IF(P759&gt;0.5,"; Invalid Discount (Too High)","")&amp;IF(Z759&lt;0,"; Invalid Shipping Record (Ship Before Order)","")&amp;IF(ABS(Q759-W759)&gt;1,"; Sales Mismatch","")&amp;IF(ABS(S759-X759)&gt;1,"; Profit Mismatch","")&amp;IF(COUNTIF($A$2:$A$913,A759)&gt;1,"; Duplicate Order ID Conflict",""))</f>
        <v/>
      </c>
      <c r="AE759" s="10" t="str">
        <f aca="false">IF(OR(ISNUMBER(SEARCH("Invalid Discount",AD759)),ISNUMBER(SEARCH("Invalid Shipping Record",AD759)),ISNUMBER(SEARCH("Sales Mismatch",AD759)),ISNUMBER(SEARCH("Profit Mismatch",AD759)),ISNUMBER(SEARCH("Duplicate Order ID Conflict",AD759)),ISNUMBER(SEARCH("Missing Order Date",AD759)),ISNUMBER(SEARCH("Missing Ship Date",AD759))),"Invalid",IF(AD759&lt;&gt;"","Warning","Clean"))</f>
        <v>Clean</v>
      </c>
    </row>
    <row r="760" customFormat="false" ht="15" hidden="false" customHeight="true" outlineLevel="0" collapsed="false">
      <c r="A760" s="3" t="s">
        <v>2274</v>
      </c>
      <c r="B760" s="4" t="n">
        <v>45414</v>
      </c>
      <c r="C760" s="4" t="n">
        <v>45422</v>
      </c>
      <c r="D760" s="3" t="s">
        <v>2275</v>
      </c>
      <c r="E760" s="3" t="str">
        <f aca="false">PROPER(TRIM(SUBSTITUTE(Raw_Text_Fields!B761,CHAR(160)," ")))</f>
        <v>Aarav Sharma</v>
      </c>
      <c r="F760" s="3" t="str">
        <f aca="false">PROPER(TRIM(SUBSTITUTE(Raw_Text_Fields!C761,CHAR(160)," ")))</f>
        <v>Small Business</v>
      </c>
      <c r="G760" s="3" t="str">
        <f aca="false">PROPER(TRIM(SUBSTITUTE(Raw_Text_Fields!D761,CHAR(160)," ")))</f>
        <v>South</v>
      </c>
      <c r="H760" s="3" t="str">
        <f aca="false">PROPER(TRIM(SUBSTITUTE(Raw_Text_Fields!E761,CHAR(160)," ")))</f>
        <v>Karnataka</v>
      </c>
      <c r="I760" s="3" t="str">
        <f aca="false">PROPER(TRIM(SUBSTITUTE(Raw_Text_Fields!F761,CHAR(160)," ")))</f>
        <v>Bengaluru</v>
      </c>
      <c r="J760" s="3" t="str">
        <f aca="false">PROPER(TRIM(SUBSTITUTE(Raw_Text_Fields!G761,CHAR(160)," ")))</f>
        <v>Furniture</v>
      </c>
      <c r="K760" s="3" t="str">
        <f aca="false">PROPER(TRIM(SUBSTITUTE(Raw_Text_Fields!H761,CHAR(160)," ")))</f>
        <v>Chairs</v>
      </c>
      <c r="L760" s="3" t="s">
        <v>2276</v>
      </c>
      <c r="M760" s="3" t="str">
        <f aca="false">PROPER(TRIM(SUBSTITUTE(Raw_Text_Fields!I761,CHAR(160)," ")))</f>
        <v>Standard Class</v>
      </c>
      <c r="N760" s="3" t="n">
        <v>1</v>
      </c>
      <c r="O760" s="5" t="n">
        <v>4166.91</v>
      </c>
      <c r="P760" s="6" t="n">
        <v>0</v>
      </c>
      <c r="Q760" s="5" t="n">
        <v>4166.91</v>
      </c>
      <c r="R760" s="5" t="n">
        <v>3412.63</v>
      </c>
      <c r="S760" s="5" t="n">
        <v>754.28</v>
      </c>
      <c r="T760" s="3" t="str">
        <f aca="false">PROPER(TRIM(SUBSTITUTE(Raw_Text_Fields!J761,CHAR(160)," ")))</f>
        <v>Paid</v>
      </c>
      <c r="U760" s="3" t="str">
        <f aca="false">PROPER(TRIM(SUBSTITUTE(Raw_Text_Fields!K761,CHAR(160)," ")))</f>
        <v>Completed</v>
      </c>
      <c r="V760" s="7" t="n">
        <f aca="false">IF(OR(P760&lt;0,P760&gt;0.5),0,P760)</f>
        <v>0</v>
      </c>
      <c r="W760" s="8" t="n">
        <f aca="false">N760*O760*(1-V760)</f>
        <v>4166.91</v>
      </c>
      <c r="X760" s="8" t="n">
        <f aca="false">W760-R760</f>
        <v>754.28</v>
      </c>
      <c r="Y760" s="7" t="n">
        <f aca="false">IFERROR(X760/W760,0)</f>
        <v>0.181016628628888</v>
      </c>
      <c r="Z760" s="9" t="n">
        <f aca="false">C760-B760</f>
        <v>8</v>
      </c>
      <c r="AA760" s="1" t="str">
        <f aca="false">IF(B760="","",TEXT(B760,"mmm"))</f>
        <v>May</v>
      </c>
      <c r="AB760" s="9" t="n">
        <f aca="false">IF(B760="","",YEAR(B760))</f>
        <v>2024</v>
      </c>
      <c r="AC760" s="3"/>
      <c r="AD760" s="3" t="str">
        <f aca="false">IF(LEFT(AC760&amp;IF(B760="","; Missing Order Date","")&amp;IF(C760="","; Missing Ship Date","")&amp;IF(P760&lt;0,"; Invalid Discount (Negative)","")&amp;IF(P760&gt;0.5,"; Invalid Discount (Too High)","")&amp;IF(Z760&lt;0,"; Invalid Shipping Record (Ship Before Order)","")&amp;IF(ABS(Q760-W760)&gt;1,"; Sales Mismatch","")&amp;IF(ABS(S760-X760)&gt;1,"; Profit Mismatch","")&amp;IF(COUNTIF($A$2:$A$913,A760)&gt;1,"; Duplicate Order ID Conflict",""),2)="; ",MID(AC760&amp;IF(B760="","; Missing Order Date","")&amp;IF(C760="","; Missing Ship Date","")&amp;IF(P760&lt;0,"; Invalid Discount (Negative)","")&amp;IF(P760&gt;0.5,"; Invalid Discount (Too High)","")&amp;IF(Z760&lt;0,"; Invalid Shipping Record (Ship Before Order)","")&amp;IF(ABS(Q760-W760)&gt;1,"; Sales Mismatch","")&amp;IF(ABS(S760-X760)&gt;1,"; Profit Mismatch","")&amp;IF(COUNTIF($A$2:$A$913,A760)&gt;1,"; Duplicate Order ID Conflict",""),3,500),AC760&amp;IF(B760="","; Missing Order Date","")&amp;IF(C760="","; Missing Ship Date","")&amp;IF(P760&lt;0,"; Invalid Discount (Negative)","")&amp;IF(P760&gt;0.5,"; Invalid Discount (Too High)","")&amp;IF(Z760&lt;0,"; Invalid Shipping Record (Ship Before Order)","")&amp;IF(ABS(Q760-W760)&gt;1,"; Sales Mismatch","")&amp;IF(ABS(S760-X760)&gt;1,"; Profit Mismatch","")&amp;IF(COUNTIF($A$2:$A$913,A760)&gt;1,"; Duplicate Order ID Conflict",""))</f>
        <v/>
      </c>
      <c r="AE760" s="10" t="str">
        <f aca="false">IF(OR(ISNUMBER(SEARCH("Invalid Discount",AD760)),ISNUMBER(SEARCH("Invalid Shipping Record",AD760)),ISNUMBER(SEARCH("Sales Mismatch",AD760)),ISNUMBER(SEARCH("Profit Mismatch",AD760)),ISNUMBER(SEARCH("Duplicate Order ID Conflict",AD760)),ISNUMBER(SEARCH("Missing Order Date",AD760)),ISNUMBER(SEARCH("Missing Ship Date",AD760))),"Invalid",IF(AD760&lt;&gt;"","Warning","Clean"))</f>
        <v>Clean</v>
      </c>
    </row>
    <row r="761" customFormat="false" ht="15" hidden="false" customHeight="true" outlineLevel="0" collapsed="false">
      <c r="A761" s="3" t="s">
        <v>2277</v>
      </c>
      <c r="B761" s="4" t="n">
        <v>45492</v>
      </c>
      <c r="C761" s="4" t="n">
        <v>45499</v>
      </c>
      <c r="D761" s="3" t="s">
        <v>2278</v>
      </c>
      <c r="E761" s="3" t="str">
        <f aca="false">PROPER(TRIM(SUBSTITUTE(Raw_Text_Fields!B762,CHAR(160)," ")))</f>
        <v>Arjun Bose</v>
      </c>
      <c r="F761" s="3" t="str">
        <f aca="false">PROPER(TRIM(SUBSTITUTE(Raw_Text_Fields!C762,CHAR(160)," ")))</f>
        <v>Home Office</v>
      </c>
      <c r="G761" s="3" t="str">
        <f aca="false">PROPER(TRIM(SUBSTITUTE(Raw_Text_Fields!D762,CHAR(160)," ")))</f>
        <v>South</v>
      </c>
      <c r="H761" s="3" t="str">
        <f aca="false">PROPER(TRIM(SUBSTITUTE(Raw_Text_Fields!E762,CHAR(160)," ")))</f>
        <v>Karnataka</v>
      </c>
      <c r="I761" s="3" t="str">
        <f aca="false">PROPER(TRIM(SUBSTITUTE(Raw_Text_Fields!F762,CHAR(160)," ")))</f>
        <v>Bengaluru</v>
      </c>
      <c r="J761" s="3" t="str">
        <f aca="false">PROPER(TRIM(SUBSTITUTE(Raw_Text_Fields!G762,CHAR(160)," ")))</f>
        <v>Furniture</v>
      </c>
      <c r="K761" s="3" t="str">
        <f aca="false">PROPER(TRIM(SUBSTITUTE(Raw_Text_Fields!H762,CHAR(160)," ")))</f>
        <v>Tables</v>
      </c>
      <c r="L761" s="3" t="s">
        <v>2279</v>
      </c>
      <c r="M761" s="3" t="str">
        <f aca="false">PROPER(TRIM(SUBSTITUTE(Raw_Text_Fields!I762,CHAR(160)," ")))</f>
        <v>Second Class</v>
      </c>
      <c r="N761" s="3" t="n">
        <v>5</v>
      </c>
      <c r="O761" s="5" t="n">
        <v>3986.01</v>
      </c>
      <c r="P761" s="6" t="n">
        <v>0.25</v>
      </c>
      <c r="Q761" s="5" t="n">
        <v>14947.54</v>
      </c>
      <c r="R761" s="5" t="n">
        <v>9438.46</v>
      </c>
      <c r="S761" s="5" t="n">
        <v>5509.08</v>
      </c>
      <c r="T761" s="3" t="str">
        <f aca="false">PROPER(TRIM(SUBSTITUTE(Raw_Text_Fields!J762,CHAR(160)," ")))</f>
        <v>Paid</v>
      </c>
      <c r="U761" s="3" t="str">
        <f aca="false">PROPER(TRIM(SUBSTITUTE(Raw_Text_Fields!K762,CHAR(160)," ")))</f>
        <v>Completed</v>
      </c>
      <c r="V761" s="7" t="n">
        <f aca="false">IF(OR(P761&lt;0,P761&gt;0.5),0,P761)</f>
        <v>0.25</v>
      </c>
      <c r="W761" s="8" t="n">
        <f aca="false">N761*O761*(1-V761)</f>
        <v>14947.5375</v>
      </c>
      <c r="X761" s="8" t="n">
        <f aca="false">W761-R761</f>
        <v>5509.0775</v>
      </c>
      <c r="Y761" s="7" t="n">
        <f aca="false">IFERROR(X761/W761,0)</f>
        <v>0.368560874993624</v>
      </c>
      <c r="Z761" s="9" t="n">
        <f aca="false">C761-B761</f>
        <v>7</v>
      </c>
      <c r="AA761" s="1" t="str">
        <f aca="false">IF(B761="","",TEXT(B761,"mmm"))</f>
        <v>Jul</v>
      </c>
      <c r="AB761" s="9" t="n">
        <f aca="false">IF(B761="","",YEAR(B761))</f>
        <v>2024</v>
      </c>
      <c r="AC761" s="3"/>
      <c r="AD761" s="3" t="str">
        <f aca="false">IF(LEFT(AC761&amp;IF(B761="","; Missing Order Date","")&amp;IF(C761="","; Missing Ship Date","")&amp;IF(P761&lt;0,"; Invalid Discount (Negative)","")&amp;IF(P761&gt;0.5,"; Invalid Discount (Too High)","")&amp;IF(Z761&lt;0,"; Invalid Shipping Record (Ship Before Order)","")&amp;IF(ABS(Q761-W761)&gt;1,"; Sales Mismatch","")&amp;IF(ABS(S761-X761)&gt;1,"; Profit Mismatch","")&amp;IF(COUNTIF($A$2:$A$913,A761)&gt;1,"; Duplicate Order ID Conflict",""),2)="; ",MID(AC761&amp;IF(B761="","; Missing Order Date","")&amp;IF(C761="","; Missing Ship Date","")&amp;IF(P761&lt;0,"; Invalid Discount (Negative)","")&amp;IF(P761&gt;0.5,"; Invalid Discount (Too High)","")&amp;IF(Z761&lt;0,"; Invalid Shipping Record (Ship Before Order)","")&amp;IF(ABS(Q761-W761)&gt;1,"; Sales Mismatch","")&amp;IF(ABS(S761-X761)&gt;1,"; Profit Mismatch","")&amp;IF(COUNTIF($A$2:$A$913,A761)&gt;1,"; Duplicate Order ID Conflict",""),3,500),AC761&amp;IF(B761="","; Missing Order Date","")&amp;IF(C761="","; Missing Ship Date","")&amp;IF(P761&lt;0,"; Invalid Discount (Negative)","")&amp;IF(P761&gt;0.5,"; Invalid Discount (Too High)","")&amp;IF(Z761&lt;0,"; Invalid Shipping Record (Ship Before Order)","")&amp;IF(ABS(Q761-W761)&gt;1,"; Sales Mismatch","")&amp;IF(ABS(S761-X761)&gt;1,"; Profit Mismatch","")&amp;IF(COUNTIF($A$2:$A$913,A761)&gt;1,"; Duplicate Order ID Conflict",""))</f>
        <v/>
      </c>
      <c r="AE761" s="10" t="str">
        <f aca="false">IF(OR(ISNUMBER(SEARCH("Invalid Discount",AD761)),ISNUMBER(SEARCH("Invalid Shipping Record",AD761)),ISNUMBER(SEARCH("Sales Mismatch",AD761)),ISNUMBER(SEARCH("Profit Mismatch",AD761)),ISNUMBER(SEARCH("Duplicate Order ID Conflict",AD761)),ISNUMBER(SEARCH("Missing Order Date",AD761)),ISNUMBER(SEARCH("Missing Ship Date",AD761))),"Invalid",IF(AD761&lt;&gt;"","Warning","Clean"))</f>
        <v>Clean</v>
      </c>
    </row>
    <row r="762" customFormat="false" ht="15" hidden="false" customHeight="true" outlineLevel="0" collapsed="false">
      <c r="A762" s="3" t="s">
        <v>2280</v>
      </c>
      <c r="B762" s="4" t="n">
        <v>45532</v>
      </c>
      <c r="C762" s="4" t="n">
        <v>45537</v>
      </c>
      <c r="D762" s="3" t="s">
        <v>2281</v>
      </c>
      <c r="E762" s="3" t="str">
        <f aca="false">PROPER(TRIM(SUBSTITUTE(Raw_Text_Fields!B763,CHAR(160)," ")))</f>
        <v>Aditi Sen</v>
      </c>
      <c r="F762" s="3" t="str">
        <f aca="false">PROPER(TRIM(SUBSTITUTE(Raw_Text_Fields!C763,CHAR(160)," ")))</f>
        <v>Home Office</v>
      </c>
      <c r="G762" s="3" t="str">
        <f aca="false">PROPER(TRIM(SUBSTITUTE(Raw_Text_Fields!D763,CHAR(160)," ")))</f>
        <v>East</v>
      </c>
      <c r="H762" s="3" t="str">
        <f aca="false">PROPER(TRIM(SUBSTITUTE(Raw_Text_Fields!E763,CHAR(160)," ")))</f>
        <v>Assam</v>
      </c>
      <c r="I762" s="3" t="str">
        <f aca="false">PROPER(TRIM(SUBSTITUTE(Raw_Text_Fields!F763,CHAR(160)," ")))</f>
        <v>Guwahati</v>
      </c>
      <c r="J762" s="3" t="str">
        <f aca="false">PROPER(TRIM(SUBSTITUTE(Raw_Text_Fields!G763,CHAR(160)," ")))</f>
        <v>Office Supplies</v>
      </c>
      <c r="K762" s="3" t="str">
        <f aca="false">PROPER(TRIM(SUBSTITUTE(Raw_Text_Fields!H763,CHAR(160)," ")))</f>
        <v>Art</v>
      </c>
      <c r="L762" s="3" t="s">
        <v>2282</v>
      </c>
      <c r="M762" s="3" t="str">
        <f aca="false">PROPER(TRIM(SUBSTITUTE(Raw_Text_Fields!I763,CHAR(160)," ")))</f>
        <v>Second Class</v>
      </c>
      <c r="N762" s="3" t="n">
        <v>4</v>
      </c>
      <c r="O762" s="5" t="n">
        <v>3365.53</v>
      </c>
      <c r="P762" s="6" t="n">
        <v>0</v>
      </c>
      <c r="Q762" s="5" t="n">
        <v>13462.12</v>
      </c>
      <c r="R762" s="5" t="n">
        <v>7600.63</v>
      </c>
      <c r="S762" s="5" t="n">
        <v>5861.49</v>
      </c>
      <c r="T762" s="3" t="str">
        <f aca="false">PROPER(TRIM(SUBSTITUTE(Raw_Text_Fields!J763,CHAR(160)," ")))</f>
        <v>Pending</v>
      </c>
      <c r="U762" s="3" t="str">
        <f aca="false">PROPER(TRIM(SUBSTITUTE(Raw_Text_Fields!K763,CHAR(160)," ")))</f>
        <v>Returned</v>
      </c>
      <c r="V762" s="7" t="n">
        <f aca="false">IF(OR(P762&lt;0,P762&gt;0.5),0,P762)</f>
        <v>0</v>
      </c>
      <c r="W762" s="8" t="n">
        <f aca="false">N762*O762*(1-V762)</f>
        <v>13462.12</v>
      </c>
      <c r="X762" s="8" t="n">
        <f aca="false">W762-R762</f>
        <v>5861.49</v>
      </c>
      <c r="Y762" s="7" t="n">
        <f aca="false">IFERROR(X762/W762,0)</f>
        <v>0.435406161882378</v>
      </c>
      <c r="Z762" s="9" t="n">
        <f aca="false">C762-B762</f>
        <v>5</v>
      </c>
      <c r="AA762" s="1" t="str">
        <f aca="false">IF(B762="","",TEXT(B762,"mmm"))</f>
        <v>Aug</v>
      </c>
      <c r="AB762" s="9" t="n">
        <f aca="false">IF(B762="","",YEAR(B762))</f>
        <v>2024</v>
      </c>
      <c r="AC762" s="3"/>
      <c r="AD762" s="3" t="str">
        <f aca="false">IF(LEFT(AC762&amp;IF(B762="","; Missing Order Date","")&amp;IF(C762="","; Missing Ship Date","")&amp;IF(P762&lt;0,"; Invalid Discount (Negative)","")&amp;IF(P762&gt;0.5,"; Invalid Discount (Too High)","")&amp;IF(Z762&lt;0,"; Invalid Shipping Record (Ship Before Order)","")&amp;IF(ABS(Q762-W762)&gt;1,"; Sales Mismatch","")&amp;IF(ABS(S762-X762)&gt;1,"; Profit Mismatch","")&amp;IF(COUNTIF($A$2:$A$913,A762)&gt;1,"; Duplicate Order ID Conflict",""),2)="; ",MID(AC762&amp;IF(B762="","; Missing Order Date","")&amp;IF(C762="","; Missing Ship Date","")&amp;IF(P762&lt;0,"; Invalid Discount (Negative)","")&amp;IF(P762&gt;0.5,"; Invalid Discount (Too High)","")&amp;IF(Z762&lt;0,"; Invalid Shipping Record (Ship Before Order)","")&amp;IF(ABS(Q762-W762)&gt;1,"; Sales Mismatch","")&amp;IF(ABS(S762-X762)&gt;1,"; Profit Mismatch","")&amp;IF(COUNTIF($A$2:$A$913,A762)&gt;1,"; Duplicate Order ID Conflict",""),3,500),AC762&amp;IF(B762="","; Missing Order Date","")&amp;IF(C762="","; Missing Ship Date","")&amp;IF(P762&lt;0,"; Invalid Discount (Negative)","")&amp;IF(P762&gt;0.5,"; Invalid Discount (Too High)","")&amp;IF(Z762&lt;0,"; Invalid Shipping Record (Ship Before Order)","")&amp;IF(ABS(Q762-W762)&gt;1,"; Sales Mismatch","")&amp;IF(ABS(S762-X762)&gt;1,"; Profit Mismatch","")&amp;IF(COUNTIF($A$2:$A$913,A762)&gt;1,"; Duplicate Order ID Conflict",""))</f>
        <v/>
      </c>
      <c r="AE762" s="10" t="str">
        <f aca="false">IF(OR(ISNUMBER(SEARCH("Invalid Discount",AD762)),ISNUMBER(SEARCH("Invalid Shipping Record",AD762)),ISNUMBER(SEARCH("Sales Mismatch",AD762)),ISNUMBER(SEARCH("Profit Mismatch",AD762)),ISNUMBER(SEARCH("Duplicate Order ID Conflict",AD762)),ISNUMBER(SEARCH("Missing Order Date",AD762)),ISNUMBER(SEARCH("Missing Ship Date",AD762))),"Invalid",IF(AD762&lt;&gt;"","Warning","Clean"))</f>
        <v>Clean</v>
      </c>
    </row>
    <row r="763" customFormat="false" ht="15" hidden="false" customHeight="true" outlineLevel="0" collapsed="false">
      <c r="A763" s="3" t="s">
        <v>2283</v>
      </c>
      <c r="B763" s="4" t="n">
        <v>45896</v>
      </c>
      <c r="C763" s="4" t="n">
        <v>45900</v>
      </c>
      <c r="D763" s="3" t="s">
        <v>2284</v>
      </c>
      <c r="E763" s="3" t="str">
        <f aca="false">PROPER(TRIM(SUBSTITUTE(Raw_Text_Fields!B764,CHAR(160)," ")))</f>
        <v>Isha Nair</v>
      </c>
      <c r="F763" s="3" t="str">
        <f aca="false">PROPER(TRIM(SUBSTITUTE(Raw_Text_Fields!C764,CHAR(160)," ")))</f>
        <v>Consumer</v>
      </c>
      <c r="G763" s="3" t="str">
        <f aca="false">PROPER(TRIM(SUBSTITUTE(Raw_Text_Fields!D764,CHAR(160)," ")))</f>
        <v>South</v>
      </c>
      <c r="H763" s="3" t="str">
        <f aca="false">PROPER(TRIM(SUBSTITUTE(Raw_Text_Fields!E764,CHAR(160)," ")))</f>
        <v>Karnataka</v>
      </c>
      <c r="I763" s="3" t="str">
        <f aca="false">PROPER(TRIM(SUBSTITUTE(Raw_Text_Fields!F764,CHAR(160)," ")))</f>
        <v>Bengaluru</v>
      </c>
      <c r="J763" s="3" t="str">
        <f aca="false">PROPER(TRIM(SUBSTITUTE(Raw_Text_Fields!G764,CHAR(160)," ")))</f>
        <v>Technology</v>
      </c>
      <c r="K763" s="3" t="str">
        <f aca="false">PROPER(TRIM(SUBSTITUTE(Raw_Text_Fields!H764,CHAR(160)," ")))</f>
        <v>Machines</v>
      </c>
      <c r="L763" s="3" t="s">
        <v>2285</v>
      </c>
      <c r="M763" s="3" t="str">
        <f aca="false">PROPER(TRIM(SUBSTITUTE(Raw_Text_Fields!I764,CHAR(160)," ")))</f>
        <v>First Class</v>
      </c>
      <c r="N763" s="3" t="n">
        <v>3</v>
      </c>
      <c r="O763" s="5" t="n">
        <v>2489.12</v>
      </c>
      <c r="P763" s="6" t="n">
        <v>0</v>
      </c>
      <c r="Q763" s="5" t="n">
        <v>7467.36</v>
      </c>
      <c r="R763" s="5" t="n">
        <v>5010.61</v>
      </c>
      <c r="S763" s="5" t="n">
        <v>2456.75</v>
      </c>
      <c r="T763" s="3" t="str">
        <f aca="false">PROPER(TRIM(SUBSTITUTE(Raw_Text_Fields!J764,CHAR(160)," ")))</f>
        <v>Paid</v>
      </c>
      <c r="U763" s="3" t="str">
        <f aca="false">PROPER(TRIM(SUBSTITUTE(Raw_Text_Fields!K764,CHAR(160)," ")))</f>
        <v>Completed</v>
      </c>
      <c r="V763" s="7" t="n">
        <f aca="false">IF(OR(P763&lt;0,P763&gt;0.5),0,P763)</f>
        <v>0</v>
      </c>
      <c r="W763" s="8" t="n">
        <f aca="false">N763*O763*(1-V763)</f>
        <v>7467.36</v>
      </c>
      <c r="X763" s="8" t="n">
        <f aca="false">W763-R763</f>
        <v>2456.75</v>
      </c>
      <c r="Y763" s="7" t="n">
        <f aca="false">IFERROR(X763/W763,0)</f>
        <v>0.3289984679994</v>
      </c>
      <c r="Z763" s="9" t="n">
        <f aca="false">C763-B763</f>
        <v>4</v>
      </c>
      <c r="AA763" s="1" t="str">
        <f aca="false">IF(B763="","",TEXT(B763,"mmm"))</f>
        <v>Aug</v>
      </c>
      <c r="AB763" s="9" t="n">
        <f aca="false">IF(B763="","",YEAR(B763))</f>
        <v>2025</v>
      </c>
      <c r="AC763" s="3"/>
      <c r="AD763" s="3" t="str">
        <f aca="false">IF(LEFT(AC763&amp;IF(B763="","; Missing Order Date","")&amp;IF(C763="","; Missing Ship Date","")&amp;IF(P763&lt;0,"; Invalid Discount (Negative)","")&amp;IF(P763&gt;0.5,"; Invalid Discount (Too High)","")&amp;IF(Z763&lt;0,"; Invalid Shipping Record (Ship Before Order)","")&amp;IF(ABS(Q763-W763)&gt;1,"; Sales Mismatch","")&amp;IF(ABS(S763-X763)&gt;1,"; Profit Mismatch","")&amp;IF(COUNTIF($A$2:$A$913,A763)&gt;1,"; Duplicate Order ID Conflict",""),2)="; ",MID(AC763&amp;IF(B763="","; Missing Order Date","")&amp;IF(C763="","; Missing Ship Date","")&amp;IF(P763&lt;0,"; Invalid Discount (Negative)","")&amp;IF(P763&gt;0.5,"; Invalid Discount (Too High)","")&amp;IF(Z763&lt;0,"; Invalid Shipping Record (Ship Before Order)","")&amp;IF(ABS(Q763-W763)&gt;1,"; Sales Mismatch","")&amp;IF(ABS(S763-X763)&gt;1,"; Profit Mismatch","")&amp;IF(COUNTIF($A$2:$A$913,A763)&gt;1,"; Duplicate Order ID Conflict",""),3,500),AC763&amp;IF(B763="","; Missing Order Date","")&amp;IF(C763="","; Missing Ship Date","")&amp;IF(P763&lt;0,"; Invalid Discount (Negative)","")&amp;IF(P763&gt;0.5,"; Invalid Discount (Too High)","")&amp;IF(Z763&lt;0,"; Invalid Shipping Record (Ship Before Order)","")&amp;IF(ABS(Q763-W763)&gt;1,"; Sales Mismatch","")&amp;IF(ABS(S763-X763)&gt;1,"; Profit Mismatch","")&amp;IF(COUNTIF($A$2:$A$913,A763)&gt;1,"; Duplicate Order ID Conflict",""))</f>
        <v/>
      </c>
      <c r="AE763" s="10" t="str">
        <f aca="false">IF(OR(ISNUMBER(SEARCH("Invalid Discount",AD763)),ISNUMBER(SEARCH("Invalid Shipping Record",AD763)),ISNUMBER(SEARCH("Sales Mismatch",AD763)),ISNUMBER(SEARCH("Profit Mismatch",AD763)),ISNUMBER(SEARCH("Duplicate Order ID Conflict",AD763)),ISNUMBER(SEARCH("Missing Order Date",AD763)),ISNUMBER(SEARCH("Missing Ship Date",AD763))),"Invalid",IF(AD763&lt;&gt;"","Warning","Clean"))</f>
        <v>Clean</v>
      </c>
    </row>
    <row r="764" customFormat="false" ht="15" hidden="false" customHeight="true" outlineLevel="0" collapsed="false">
      <c r="A764" s="3" t="s">
        <v>2286</v>
      </c>
      <c r="B764" s="4" t="n">
        <v>45292</v>
      </c>
      <c r="C764" s="4" t="n">
        <v>45296</v>
      </c>
      <c r="D764" s="3" t="s">
        <v>2287</v>
      </c>
      <c r="E764" s="3" t="str">
        <f aca="false">PROPER(TRIM(SUBSTITUTE(Raw_Text_Fields!B765,CHAR(160)," ")))</f>
        <v>Diya Patel</v>
      </c>
      <c r="F764" s="3" t="str">
        <f aca="false">PROPER(TRIM(SUBSTITUTE(Raw_Text_Fields!C765,CHAR(160)," ")))</f>
        <v>Corporate</v>
      </c>
      <c r="G764" s="3" t="str">
        <f aca="false">PROPER(TRIM(SUBSTITUTE(Raw_Text_Fields!D765,CHAR(160)," ")))</f>
        <v>West</v>
      </c>
      <c r="H764" s="3" t="str">
        <f aca="false">PROPER(TRIM(SUBSTITUTE(Raw_Text_Fields!E765,CHAR(160)," ")))</f>
        <v>Madhya Pradesh</v>
      </c>
      <c r="I764" s="3" t="str">
        <f aca="false">PROPER(TRIM(SUBSTITUTE(Raw_Text_Fields!F765,CHAR(160)," ")))</f>
        <v>Indore</v>
      </c>
      <c r="J764" s="3" t="str">
        <f aca="false">PROPER(TRIM(SUBSTITUTE(Raw_Text_Fields!G765,CHAR(160)," ")))</f>
        <v>Technology</v>
      </c>
      <c r="K764" s="3" t="str">
        <f aca="false">PROPER(TRIM(SUBSTITUTE(Raw_Text_Fields!H765,CHAR(160)," ")))</f>
        <v>Machines</v>
      </c>
      <c r="L764" s="3" t="s">
        <v>2288</v>
      </c>
      <c r="M764" s="3" t="str">
        <f aca="false">PROPER(TRIM(SUBSTITUTE(Raw_Text_Fields!I765,CHAR(160)," ")))</f>
        <v>Second Class</v>
      </c>
      <c r="N764" s="3" t="n">
        <v>2</v>
      </c>
      <c r="O764" s="5" t="n">
        <v>3694.12</v>
      </c>
      <c r="P764" s="6" t="n">
        <v>0.2</v>
      </c>
      <c r="Q764" s="5" t="n">
        <v>5910.59</v>
      </c>
      <c r="R764" s="5" t="n">
        <v>4775.44</v>
      </c>
      <c r="S764" s="5" t="n">
        <v>1135.15</v>
      </c>
      <c r="T764" s="3" t="str">
        <f aca="false">PROPER(TRIM(SUBSTITUTE(Raw_Text_Fields!J765,CHAR(160)," ")))</f>
        <v>Refunded</v>
      </c>
      <c r="U764" s="3" t="str">
        <f aca="false">PROPER(TRIM(SUBSTITUTE(Raw_Text_Fields!K765,CHAR(160)," ")))</f>
        <v>Returned</v>
      </c>
      <c r="V764" s="7" t="n">
        <f aca="false">IF(OR(P764&lt;0,P764&gt;0.5),0,P764)</f>
        <v>0.2</v>
      </c>
      <c r="W764" s="8" t="n">
        <f aca="false">N764*O764*(1-V764)</f>
        <v>5910.592</v>
      </c>
      <c r="X764" s="8" t="n">
        <f aca="false">W764-R764</f>
        <v>1135.152</v>
      </c>
      <c r="Y764" s="7" t="n">
        <f aca="false">IFERROR(X764/W764,0)</f>
        <v>0.192053858564421</v>
      </c>
      <c r="Z764" s="9" t="n">
        <f aca="false">C764-B764</f>
        <v>4</v>
      </c>
      <c r="AA764" s="1" t="str">
        <f aca="false">IF(B764="","",TEXT(B764,"mmm"))</f>
        <v>Jan</v>
      </c>
      <c r="AB764" s="9" t="n">
        <f aca="false">IF(B764="","",YEAR(B764))</f>
        <v>2024</v>
      </c>
      <c r="AC764" s="3"/>
      <c r="AD764" s="3" t="str">
        <f aca="false">IF(LEFT(AC764&amp;IF(B764="","; Missing Order Date","")&amp;IF(C764="","; Missing Ship Date","")&amp;IF(P764&lt;0,"; Invalid Discount (Negative)","")&amp;IF(P764&gt;0.5,"; Invalid Discount (Too High)","")&amp;IF(Z764&lt;0,"; Invalid Shipping Record (Ship Before Order)","")&amp;IF(ABS(Q764-W764)&gt;1,"; Sales Mismatch","")&amp;IF(ABS(S764-X764)&gt;1,"; Profit Mismatch","")&amp;IF(COUNTIF($A$2:$A$913,A764)&gt;1,"; Duplicate Order ID Conflict",""),2)="; ",MID(AC764&amp;IF(B764="","; Missing Order Date","")&amp;IF(C764="","; Missing Ship Date","")&amp;IF(P764&lt;0,"; Invalid Discount (Negative)","")&amp;IF(P764&gt;0.5,"; Invalid Discount (Too High)","")&amp;IF(Z764&lt;0,"; Invalid Shipping Record (Ship Before Order)","")&amp;IF(ABS(Q764-W764)&gt;1,"; Sales Mismatch","")&amp;IF(ABS(S764-X764)&gt;1,"; Profit Mismatch","")&amp;IF(COUNTIF($A$2:$A$913,A764)&gt;1,"; Duplicate Order ID Conflict",""),3,500),AC764&amp;IF(B764="","; Missing Order Date","")&amp;IF(C764="","; Missing Ship Date","")&amp;IF(P764&lt;0,"; Invalid Discount (Negative)","")&amp;IF(P764&gt;0.5,"; Invalid Discount (Too High)","")&amp;IF(Z764&lt;0,"; Invalid Shipping Record (Ship Before Order)","")&amp;IF(ABS(Q764-W764)&gt;1,"; Sales Mismatch","")&amp;IF(ABS(S764-X764)&gt;1,"; Profit Mismatch","")&amp;IF(COUNTIF($A$2:$A$913,A764)&gt;1,"; Duplicate Order ID Conflict",""))</f>
        <v/>
      </c>
      <c r="AE764" s="10" t="str">
        <f aca="false">IF(OR(ISNUMBER(SEARCH("Invalid Discount",AD764)),ISNUMBER(SEARCH("Invalid Shipping Record",AD764)),ISNUMBER(SEARCH("Sales Mismatch",AD764)),ISNUMBER(SEARCH("Profit Mismatch",AD764)),ISNUMBER(SEARCH("Duplicate Order ID Conflict",AD764)),ISNUMBER(SEARCH("Missing Order Date",AD764)),ISNUMBER(SEARCH("Missing Ship Date",AD764))),"Invalid",IF(AD764&lt;&gt;"","Warning","Clean"))</f>
        <v>Clean</v>
      </c>
    </row>
    <row r="765" customFormat="false" ht="15" hidden="false" customHeight="true" outlineLevel="0" collapsed="false">
      <c r="A765" s="3" t="s">
        <v>2289</v>
      </c>
      <c r="B765" s="4" t="n">
        <v>45892</v>
      </c>
      <c r="C765" s="4" t="n">
        <v>45894</v>
      </c>
      <c r="D765" s="3" t="s">
        <v>2290</v>
      </c>
      <c r="E765" s="3" t="str">
        <f aca="false">PROPER(TRIM(SUBSTITUTE(Raw_Text_Fields!B766,CHAR(160)," ")))</f>
        <v>Diya Patel</v>
      </c>
      <c r="F765" s="3" t="str">
        <f aca="false">PROPER(TRIM(SUBSTITUTE(Raw_Text_Fields!C766,CHAR(160)," ")))</f>
        <v>Consumer</v>
      </c>
      <c r="G765" s="3" t="str">
        <f aca="false">PROPER(TRIM(SUBSTITUTE(Raw_Text_Fields!D766,CHAR(160)," ")))</f>
        <v>North</v>
      </c>
      <c r="H765" s="3" t="str">
        <f aca="false">PROPER(TRIM(SUBSTITUTE(Raw_Text_Fields!E766,CHAR(160)," ")))</f>
        <v>Rajasthan</v>
      </c>
      <c r="I765" s="3" t="str">
        <f aca="false">PROPER(TRIM(SUBSTITUTE(Raw_Text_Fields!F766,CHAR(160)," ")))</f>
        <v>Jaipur</v>
      </c>
      <c r="J765" s="3" t="str">
        <f aca="false">PROPER(TRIM(SUBSTITUTE(Raw_Text_Fields!G766,CHAR(160)," ")))</f>
        <v>Furniture</v>
      </c>
      <c r="K765" s="3" t="str">
        <f aca="false">PROPER(TRIM(SUBSTITUTE(Raw_Text_Fields!H766,CHAR(160)," ")))</f>
        <v>Furnishings</v>
      </c>
      <c r="L765" s="3" t="s">
        <v>2291</v>
      </c>
      <c r="M765" s="3" t="str">
        <f aca="false">PROPER(TRIM(SUBSTITUTE(Raw_Text_Fields!I766,CHAR(160)," ")))</f>
        <v>Same Day</v>
      </c>
      <c r="N765" s="3" t="n">
        <v>6</v>
      </c>
      <c r="O765" s="5" t="n">
        <v>2742.48</v>
      </c>
      <c r="P765" s="6" t="n">
        <v>0</v>
      </c>
      <c r="Q765" s="5" t="n">
        <v>16454.88</v>
      </c>
      <c r="R765" s="5" t="n">
        <v>12081.54</v>
      </c>
      <c r="S765" s="5" t="n">
        <v>4373.34</v>
      </c>
      <c r="T765" s="3" t="str">
        <f aca="false">PROPER(TRIM(SUBSTITUTE(Raw_Text_Fields!J766,CHAR(160)," ")))</f>
        <v>Paid</v>
      </c>
      <c r="U765" s="3" t="str">
        <f aca="false">PROPER(TRIM(SUBSTITUTE(Raw_Text_Fields!K766,CHAR(160)," ")))</f>
        <v>Completed</v>
      </c>
      <c r="V765" s="7" t="n">
        <f aca="false">IF(OR(P765&lt;0,P765&gt;0.5),0,P765)</f>
        <v>0</v>
      </c>
      <c r="W765" s="8" t="n">
        <f aca="false">N765*O765*(1-V765)</f>
        <v>16454.88</v>
      </c>
      <c r="X765" s="8" t="n">
        <f aca="false">W765-R765</f>
        <v>4373.34</v>
      </c>
      <c r="Y765" s="7" t="n">
        <f aca="false">IFERROR(X765/W765,0)</f>
        <v>0.265777690265745</v>
      </c>
      <c r="Z765" s="9" t="n">
        <f aca="false">C765-B765</f>
        <v>2</v>
      </c>
      <c r="AA765" s="1" t="str">
        <f aca="false">IF(B765="","",TEXT(B765,"mmm"))</f>
        <v>Aug</v>
      </c>
      <c r="AB765" s="9" t="n">
        <f aca="false">IF(B765="","",YEAR(B765))</f>
        <v>2025</v>
      </c>
      <c r="AC765" s="3"/>
      <c r="AD765" s="3" t="str">
        <f aca="false">IF(LEFT(AC765&amp;IF(B765="","; Missing Order Date","")&amp;IF(C765="","; Missing Ship Date","")&amp;IF(P765&lt;0,"; Invalid Discount (Negative)","")&amp;IF(P765&gt;0.5,"; Invalid Discount (Too High)","")&amp;IF(Z765&lt;0,"; Invalid Shipping Record (Ship Before Order)","")&amp;IF(ABS(Q765-W765)&gt;1,"; Sales Mismatch","")&amp;IF(ABS(S765-X765)&gt;1,"; Profit Mismatch","")&amp;IF(COUNTIF($A$2:$A$913,A765)&gt;1,"; Duplicate Order ID Conflict",""),2)="; ",MID(AC765&amp;IF(B765="","; Missing Order Date","")&amp;IF(C765="","; Missing Ship Date","")&amp;IF(P765&lt;0,"; Invalid Discount (Negative)","")&amp;IF(P765&gt;0.5,"; Invalid Discount (Too High)","")&amp;IF(Z765&lt;0,"; Invalid Shipping Record (Ship Before Order)","")&amp;IF(ABS(Q765-W765)&gt;1,"; Sales Mismatch","")&amp;IF(ABS(S765-X765)&gt;1,"; Profit Mismatch","")&amp;IF(COUNTIF($A$2:$A$913,A765)&gt;1,"; Duplicate Order ID Conflict",""),3,500),AC765&amp;IF(B765="","; Missing Order Date","")&amp;IF(C765="","; Missing Ship Date","")&amp;IF(P765&lt;0,"; Invalid Discount (Negative)","")&amp;IF(P765&gt;0.5,"; Invalid Discount (Too High)","")&amp;IF(Z765&lt;0,"; Invalid Shipping Record (Ship Before Order)","")&amp;IF(ABS(Q765-W765)&gt;1,"; Sales Mismatch","")&amp;IF(ABS(S765-X765)&gt;1,"; Profit Mismatch","")&amp;IF(COUNTIF($A$2:$A$913,A765)&gt;1,"; Duplicate Order ID Conflict",""))</f>
        <v/>
      </c>
      <c r="AE765" s="10" t="str">
        <f aca="false">IF(OR(ISNUMBER(SEARCH("Invalid Discount",AD765)),ISNUMBER(SEARCH("Invalid Shipping Record",AD765)),ISNUMBER(SEARCH("Sales Mismatch",AD765)),ISNUMBER(SEARCH("Profit Mismatch",AD765)),ISNUMBER(SEARCH("Duplicate Order ID Conflict",AD765)),ISNUMBER(SEARCH("Missing Order Date",AD765)),ISNUMBER(SEARCH("Missing Ship Date",AD765))),"Invalid",IF(AD765&lt;&gt;"","Warning","Clean"))</f>
        <v>Clean</v>
      </c>
    </row>
    <row r="766" customFormat="false" ht="15" hidden="false" customHeight="true" outlineLevel="0" collapsed="false">
      <c r="A766" s="3" t="s">
        <v>2292</v>
      </c>
      <c r="B766" s="4" t="n">
        <v>45760</v>
      </c>
      <c r="C766" s="4" t="n">
        <v>45760</v>
      </c>
      <c r="D766" s="3" t="s">
        <v>808</v>
      </c>
      <c r="E766" s="3" t="str">
        <f aca="false">PROPER(TRIM(SUBSTITUTE(Raw_Text_Fields!B767,CHAR(160)," ")))</f>
        <v>Priya Menon</v>
      </c>
      <c r="F766" s="3" t="str">
        <f aca="false">PROPER(TRIM(SUBSTITUTE(Raw_Text_Fields!C767,CHAR(160)," ")))</f>
        <v>Corporate</v>
      </c>
      <c r="G766" s="3" t="str">
        <f aca="false">PROPER(TRIM(SUBSTITUTE(Raw_Text_Fields!D767,CHAR(160)," ")))</f>
        <v>South</v>
      </c>
      <c r="H766" s="3" t="str">
        <f aca="false">PROPER(TRIM(SUBSTITUTE(Raw_Text_Fields!E767,CHAR(160)," ")))</f>
        <v>Kerala</v>
      </c>
      <c r="I766" s="3" t="str">
        <f aca="false">PROPER(TRIM(SUBSTITUTE(Raw_Text_Fields!F767,CHAR(160)," ")))</f>
        <v>Kochi</v>
      </c>
      <c r="J766" s="3" t="str">
        <f aca="false">PROPER(TRIM(SUBSTITUTE(Raw_Text_Fields!G767,CHAR(160)," ")))</f>
        <v>Furniture</v>
      </c>
      <c r="K766" s="3" t="str">
        <f aca="false">PROPER(TRIM(SUBSTITUTE(Raw_Text_Fields!H767,CHAR(160)," ")))</f>
        <v>Bookcases</v>
      </c>
      <c r="L766" s="3" t="s">
        <v>2293</v>
      </c>
      <c r="M766" s="3" t="str">
        <f aca="false">PROPER(TRIM(SUBSTITUTE(Raw_Text_Fields!I767,CHAR(160)," ")))</f>
        <v>First Class</v>
      </c>
      <c r="N766" s="3" t="n">
        <v>6</v>
      </c>
      <c r="O766" s="5" t="n">
        <v>4414</v>
      </c>
      <c r="P766" s="6" t="n">
        <v>0.05</v>
      </c>
      <c r="Q766" s="5" t="n">
        <v>25159.8</v>
      </c>
      <c r="R766" s="5" t="n">
        <v>21606.83</v>
      </c>
      <c r="S766" s="5" t="n">
        <v>3552.97</v>
      </c>
      <c r="T766" s="3" t="str">
        <f aca="false">PROPER(TRIM(SUBSTITUTE(Raw_Text_Fields!J767,CHAR(160)," ")))</f>
        <v>Paid</v>
      </c>
      <c r="U766" s="3" t="str">
        <f aca="false">PROPER(TRIM(SUBSTITUTE(Raw_Text_Fields!K767,CHAR(160)," ")))</f>
        <v>Completed</v>
      </c>
      <c r="V766" s="7" t="n">
        <f aca="false">IF(OR(P766&lt;0,P766&gt;0.5),0,P766)</f>
        <v>0.05</v>
      </c>
      <c r="W766" s="8" t="n">
        <f aca="false">N766*O766*(1-V766)</f>
        <v>25159.8</v>
      </c>
      <c r="X766" s="8" t="n">
        <f aca="false">W766-R766</f>
        <v>3552.97</v>
      </c>
      <c r="Y766" s="7" t="n">
        <f aca="false">IFERROR(X766/W766,0)</f>
        <v>0.141216146392261</v>
      </c>
      <c r="Z766" s="9" t="n">
        <f aca="false">C766-B766</f>
        <v>0</v>
      </c>
      <c r="AA766" s="1" t="str">
        <f aca="false">IF(B766="","",TEXT(B766,"mmm"))</f>
        <v>Apr</v>
      </c>
      <c r="AB766" s="9" t="n">
        <f aca="false">IF(B766="","",YEAR(B766))</f>
        <v>2025</v>
      </c>
      <c r="AC766" s="3"/>
      <c r="AD766" s="3" t="str">
        <f aca="false">IF(LEFT(AC766&amp;IF(B766="","; Missing Order Date","")&amp;IF(C766="","; Missing Ship Date","")&amp;IF(P766&lt;0,"; Invalid Discount (Negative)","")&amp;IF(P766&gt;0.5,"; Invalid Discount (Too High)","")&amp;IF(Z766&lt;0,"; Invalid Shipping Record (Ship Before Order)","")&amp;IF(ABS(Q766-W766)&gt;1,"; Sales Mismatch","")&amp;IF(ABS(S766-X766)&gt;1,"; Profit Mismatch","")&amp;IF(COUNTIF($A$2:$A$913,A766)&gt;1,"; Duplicate Order ID Conflict",""),2)="; ",MID(AC766&amp;IF(B766="","; Missing Order Date","")&amp;IF(C766="","; Missing Ship Date","")&amp;IF(P766&lt;0,"; Invalid Discount (Negative)","")&amp;IF(P766&gt;0.5,"; Invalid Discount (Too High)","")&amp;IF(Z766&lt;0,"; Invalid Shipping Record (Ship Before Order)","")&amp;IF(ABS(Q766-W766)&gt;1,"; Sales Mismatch","")&amp;IF(ABS(S766-X766)&gt;1,"; Profit Mismatch","")&amp;IF(COUNTIF($A$2:$A$913,A766)&gt;1,"; Duplicate Order ID Conflict",""),3,500),AC766&amp;IF(B766="","; Missing Order Date","")&amp;IF(C766="","; Missing Ship Date","")&amp;IF(P766&lt;0,"; Invalid Discount (Negative)","")&amp;IF(P766&gt;0.5,"; Invalid Discount (Too High)","")&amp;IF(Z766&lt;0,"; Invalid Shipping Record (Ship Before Order)","")&amp;IF(ABS(Q766-W766)&gt;1,"; Sales Mismatch","")&amp;IF(ABS(S766-X766)&gt;1,"; Profit Mismatch","")&amp;IF(COUNTIF($A$2:$A$913,A766)&gt;1,"; Duplicate Order ID Conflict",""))</f>
        <v/>
      </c>
      <c r="AE766" s="10" t="str">
        <f aca="false">IF(OR(ISNUMBER(SEARCH("Invalid Discount",AD766)),ISNUMBER(SEARCH("Invalid Shipping Record",AD766)),ISNUMBER(SEARCH("Sales Mismatch",AD766)),ISNUMBER(SEARCH("Profit Mismatch",AD766)),ISNUMBER(SEARCH("Duplicate Order ID Conflict",AD766)),ISNUMBER(SEARCH("Missing Order Date",AD766)),ISNUMBER(SEARCH("Missing Ship Date",AD766))),"Invalid",IF(AD766&lt;&gt;"","Warning","Clean"))</f>
        <v>Clean</v>
      </c>
    </row>
    <row r="767" customFormat="false" ht="15" hidden="false" customHeight="true" outlineLevel="0" collapsed="false">
      <c r="A767" s="3" t="s">
        <v>2294</v>
      </c>
      <c r="B767" s="4" t="n">
        <v>45837</v>
      </c>
      <c r="C767" s="4" t="n">
        <v>45841</v>
      </c>
      <c r="D767" s="3" t="s">
        <v>2295</v>
      </c>
      <c r="E767" s="3" t="str">
        <f aca="false">PROPER(TRIM(SUBSTITUTE(Raw_Text_Fields!B768,CHAR(160)," ")))</f>
        <v>Vikram Iyer</v>
      </c>
      <c r="F767" s="3" t="str">
        <f aca="false">PROPER(TRIM(SUBSTITUTE(Raw_Text_Fields!C768,CHAR(160)," ")))</f>
        <v>Corporate</v>
      </c>
      <c r="G767" s="3" t="str">
        <f aca="false">PROPER(TRIM(SUBSTITUTE(Raw_Text_Fields!D768,CHAR(160)," ")))</f>
        <v>East</v>
      </c>
      <c r="H767" s="3" t="str">
        <f aca="false">PROPER(TRIM(SUBSTITUTE(Raw_Text_Fields!E768,CHAR(160)," ")))</f>
        <v>Jharkhand</v>
      </c>
      <c r="I767" s="3" t="str">
        <f aca="false">PROPER(TRIM(SUBSTITUTE(Raw_Text_Fields!F768,CHAR(160)," ")))</f>
        <v>Ranchi</v>
      </c>
      <c r="J767" s="3" t="str">
        <f aca="false">PROPER(TRIM(SUBSTITUTE(Raw_Text_Fields!G768,CHAR(160)," ")))</f>
        <v>Office Supplies</v>
      </c>
      <c r="K767" s="3" t="str">
        <f aca="false">PROPER(TRIM(SUBSTITUTE(Raw_Text_Fields!H768,CHAR(160)," ")))</f>
        <v>Labels</v>
      </c>
      <c r="L767" s="3" t="s">
        <v>2296</v>
      </c>
      <c r="M767" s="3" t="str">
        <f aca="false">PROPER(TRIM(SUBSTITUTE(Raw_Text_Fields!I768,CHAR(160)," ")))</f>
        <v>First Class</v>
      </c>
      <c r="N767" s="3" t="n">
        <v>3</v>
      </c>
      <c r="O767" s="5" t="n">
        <v>608.14</v>
      </c>
      <c r="P767" s="6" t="n">
        <v>0</v>
      </c>
      <c r="Q767" s="5" t="n">
        <v>1824.42</v>
      </c>
      <c r="R767" s="5" t="n">
        <v>1214.87</v>
      </c>
      <c r="S767" s="5" t="n">
        <v>609.55</v>
      </c>
      <c r="T767" s="3" t="str">
        <f aca="false">PROPER(TRIM(SUBSTITUTE(Raw_Text_Fields!J768,CHAR(160)," ")))</f>
        <v>Paid</v>
      </c>
      <c r="U767" s="3" t="str">
        <f aca="false">PROPER(TRIM(SUBSTITUTE(Raw_Text_Fields!K768,CHAR(160)," ")))</f>
        <v>Completed</v>
      </c>
      <c r="V767" s="7" t="n">
        <f aca="false">IF(OR(P767&lt;0,P767&gt;0.5),0,P767)</f>
        <v>0</v>
      </c>
      <c r="W767" s="8" t="n">
        <f aca="false">N767*O767*(1-V767)</f>
        <v>1824.42</v>
      </c>
      <c r="X767" s="8" t="n">
        <f aca="false">W767-R767</f>
        <v>609.55</v>
      </c>
      <c r="Y767" s="7" t="n">
        <f aca="false">IFERROR(X767/W767,0)</f>
        <v>0.33410618169062</v>
      </c>
      <c r="Z767" s="9" t="n">
        <f aca="false">C767-B767</f>
        <v>4</v>
      </c>
      <c r="AA767" s="1" t="str">
        <f aca="false">IF(B767="","",TEXT(B767,"mmm"))</f>
        <v>Jun</v>
      </c>
      <c r="AB767" s="9" t="n">
        <f aca="false">IF(B767="","",YEAR(B767))</f>
        <v>2025</v>
      </c>
      <c r="AC767" s="3"/>
      <c r="AD767" s="3" t="str">
        <f aca="false">IF(LEFT(AC767&amp;IF(B767="","; Missing Order Date","")&amp;IF(C767="","; Missing Ship Date","")&amp;IF(P767&lt;0,"; Invalid Discount (Negative)","")&amp;IF(P767&gt;0.5,"; Invalid Discount (Too High)","")&amp;IF(Z767&lt;0,"; Invalid Shipping Record (Ship Before Order)","")&amp;IF(ABS(Q767-W767)&gt;1,"; Sales Mismatch","")&amp;IF(ABS(S767-X767)&gt;1,"; Profit Mismatch","")&amp;IF(COUNTIF($A$2:$A$913,A767)&gt;1,"; Duplicate Order ID Conflict",""),2)="; ",MID(AC767&amp;IF(B767="","; Missing Order Date","")&amp;IF(C767="","; Missing Ship Date","")&amp;IF(P767&lt;0,"; Invalid Discount (Negative)","")&amp;IF(P767&gt;0.5,"; Invalid Discount (Too High)","")&amp;IF(Z767&lt;0,"; Invalid Shipping Record (Ship Before Order)","")&amp;IF(ABS(Q767-W767)&gt;1,"; Sales Mismatch","")&amp;IF(ABS(S767-X767)&gt;1,"; Profit Mismatch","")&amp;IF(COUNTIF($A$2:$A$913,A767)&gt;1,"; Duplicate Order ID Conflict",""),3,500),AC767&amp;IF(B767="","; Missing Order Date","")&amp;IF(C767="","; Missing Ship Date","")&amp;IF(P767&lt;0,"; Invalid Discount (Negative)","")&amp;IF(P767&gt;0.5,"; Invalid Discount (Too High)","")&amp;IF(Z767&lt;0,"; Invalid Shipping Record (Ship Before Order)","")&amp;IF(ABS(Q767-W767)&gt;1,"; Sales Mismatch","")&amp;IF(ABS(S767-X767)&gt;1,"; Profit Mismatch","")&amp;IF(COUNTIF($A$2:$A$913,A767)&gt;1,"; Duplicate Order ID Conflict",""))</f>
        <v/>
      </c>
      <c r="AE767" s="10" t="str">
        <f aca="false">IF(OR(ISNUMBER(SEARCH("Invalid Discount",AD767)),ISNUMBER(SEARCH("Invalid Shipping Record",AD767)),ISNUMBER(SEARCH("Sales Mismatch",AD767)),ISNUMBER(SEARCH("Profit Mismatch",AD767)),ISNUMBER(SEARCH("Duplicate Order ID Conflict",AD767)),ISNUMBER(SEARCH("Missing Order Date",AD767)),ISNUMBER(SEARCH("Missing Ship Date",AD767))),"Invalid",IF(AD767&lt;&gt;"","Warning","Clean"))</f>
        <v>Clean</v>
      </c>
    </row>
    <row r="768" customFormat="false" ht="15" hidden="false" customHeight="true" outlineLevel="0" collapsed="false">
      <c r="A768" s="3" t="s">
        <v>2297</v>
      </c>
      <c r="B768" s="4" t="n">
        <v>45552</v>
      </c>
      <c r="C768" s="4" t="n">
        <v>45559</v>
      </c>
      <c r="D768" s="3" t="s">
        <v>2298</v>
      </c>
      <c r="E768" s="3" t="str">
        <f aca="false">PROPER(TRIM(SUBSTITUTE(Raw_Text_Fields!B769,CHAR(160)," ")))</f>
        <v>Mira Das</v>
      </c>
      <c r="F768" s="3" t="str">
        <f aca="false">PROPER(TRIM(SUBSTITUTE(Raw_Text_Fields!C769,CHAR(160)," ")))</f>
        <v>Corporate</v>
      </c>
      <c r="G768" s="3" t="str">
        <f aca="false">PROPER(TRIM(SUBSTITUTE(Raw_Text_Fields!D769,CHAR(160)," ")))</f>
        <v>West</v>
      </c>
      <c r="H768" s="3" t="str">
        <f aca="false">PROPER(TRIM(SUBSTITUTE(Raw_Text_Fields!E769,CHAR(160)," ")))</f>
        <v>Gujarat</v>
      </c>
      <c r="I768" s="3" t="str">
        <f aca="false">PROPER(TRIM(SUBSTITUTE(Raw_Text_Fields!F769,CHAR(160)," ")))</f>
        <v>Ahmedabad</v>
      </c>
      <c r="J768" s="3" t="str">
        <f aca="false">PROPER(TRIM(SUBSTITUTE(Raw_Text_Fields!G769,CHAR(160)," ")))</f>
        <v>Office Supplies</v>
      </c>
      <c r="K768" s="3" t="str">
        <f aca="false">PROPER(TRIM(SUBSTITUTE(Raw_Text_Fields!H769,CHAR(160)," ")))</f>
        <v>Art</v>
      </c>
      <c r="L768" s="3" t="s">
        <v>2299</v>
      </c>
      <c r="M768" s="3" t="str">
        <f aca="false">PROPER(TRIM(SUBSTITUTE(Raw_Text_Fields!I769,CHAR(160)," ")))</f>
        <v>Second Class</v>
      </c>
      <c r="N768" s="3" t="n">
        <v>9</v>
      </c>
      <c r="O768" s="5" t="n">
        <v>2307.96</v>
      </c>
      <c r="P768" s="6" t="n">
        <v>0.2</v>
      </c>
      <c r="Q768" s="5" t="n">
        <v>16617.31</v>
      </c>
      <c r="R768" s="5" t="n">
        <v>9195.73</v>
      </c>
      <c r="S768" s="5" t="n">
        <v>7421.58</v>
      </c>
      <c r="T768" s="3" t="str">
        <f aca="false">PROPER(TRIM(SUBSTITUTE(Raw_Text_Fields!J769,CHAR(160)," ")))</f>
        <v>Paid</v>
      </c>
      <c r="U768" s="3" t="str">
        <f aca="false">PROPER(TRIM(SUBSTITUTE(Raw_Text_Fields!K769,CHAR(160)," ")))</f>
        <v>Cancelled</v>
      </c>
      <c r="V768" s="7" t="n">
        <f aca="false">IF(OR(P768&lt;0,P768&gt;0.5),0,P768)</f>
        <v>0.2</v>
      </c>
      <c r="W768" s="8" t="n">
        <f aca="false">N768*O768*(1-V768)</f>
        <v>16617.312</v>
      </c>
      <c r="X768" s="8" t="n">
        <f aca="false">W768-R768</f>
        <v>7421.582</v>
      </c>
      <c r="Y768" s="7" t="n">
        <f aca="false">IFERROR(X768/W768,0)</f>
        <v>0.446617479409426</v>
      </c>
      <c r="Z768" s="9" t="n">
        <f aca="false">C768-B768</f>
        <v>7</v>
      </c>
      <c r="AA768" s="1" t="str">
        <f aca="false">IF(B768="","",TEXT(B768,"mmm"))</f>
        <v>Sep</v>
      </c>
      <c r="AB768" s="9" t="n">
        <f aca="false">IF(B768="","",YEAR(B768))</f>
        <v>2024</v>
      </c>
      <c r="AC768" s="3"/>
      <c r="AD768" s="3" t="str">
        <f aca="false">IF(LEFT(AC768&amp;IF(B768="","; Missing Order Date","")&amp;IF(C768="","; Missing Ship Date","")&amp;IF(P768&lt;0,"; Invalid Discount (Negative)","")&amp;IF(P768&gt;0.5,"; Invalid Discount (Too High)","")&amp;IF(Z768&lt;0,"; Invalid Shipping Record (Ship Before Order)","")&amp;IF(ABS(Q768-W768)&gt;1,"; Sales Mismatch","")&amp;IF(ABS(S768-X768)&gt;1,"; Profit Mismatch","")&amp;IF(COUNTIF($A$2:$A$913,A768)&gt;1,"; Duplicate Order ID Conflict",""),2)="; ",MID(AC768&amp;IF(B768="","; Missing Order Date","")&amp;IF(C768="","; Missing Ship Date","")&amp;IF(P768&lt;0,"; Invalid Discount (Negative)","")&amp;IF(P768&gt;0.5,"; Invalid Discount (Too High)","")&amp;IF(Z768&lt;0,"; Invalid Shipping Record (Ship Before Order)","")&amp;IF(ABS(Q768-W768)&gt;1,"; Sales Mismatch","")&amp;IF(ABS(S768-X768)&gt;1,"; Profit Mismatch","")&amp;IF(COUNTIF($A$2:$A$913,A768)&gt;1,"; Duplicate Order ID Conflict",""),3,500),AC768&amp;IF(B768="","; Missing Order Date","")&amp;IF(C768="","; Missing Ship Date","")&amp;IF(P768&lt;0,"; Invalid Discount (Negative)","")&amp;IF(P768&gt;0.5,"; Invalid Discount (Too High)","")&amp;IF(Z768&lt;0,"; Invalid Shipping Record (Ship Before Order)","")&amp;IF(ABS(Q768-W768)&gt;1,"; Sales Mismatch","")&amp;IF(ABS(S768-X768)&gt;1,"; Profit Mismatch","")&amp;IF(COUNTIF($A$2:$A$913,A768)&gt;1,"; Duplicate Order ID Conflict",""))</f>
        <v/>
      </c>
      <c r="AE768" s="10" t="str">
        <f aca="false">IF(OR(ISNUMBER(SEARCH("Invalid Discount",AD768)),ISNUMBER(SEARCH("Invalid Shipping Record",AD768)),ISNUMBER(SEARCH("Sales Mismatch",AD768)),ISNUMBER(SEARCH("Profit Mismatch",AD768)),ISNUMBER(SEARCH("Duplicate Order ID Conflict",AD768)),ISNUMBER(SEARCH("Missing Order Date",AD768)),ISNUMBER(SEARCH("Missing Ship Date",AD768))),"Invalid",IF(AD768&lt;&gt;"","Warning","Clean"))</f>
        <v>Clean</v>
      </c>
    </row>
    <row r="769" customFormat="false" ht="15" hidden="false" customHeight="true" outlineLevel="0" collapsed="false">
      <c r="A769" s="3" t="s">
        <v>2300</v>
      </c>
      <c r="B769" s="4" t="n">
        <v>45415</v>
      </c>
      <c r="C769" s="4" t="n">
        <v>45418</v>
      </c>
      <c r="D769" s="3" t="s">
        <v>2301</v>
      </c>
      <c r="E769" s="3" t="str">
        <f aca="false">PROPER(TRIM(SUBSTITUTE(Raw_Text_Fields!B770,CHAR(160)," ")))</f>
        <v>Ananya Rao</v>
      </c>
      <c r="F769" s="3" t="str">
        <f aca="false">PROPER(TRIM(SUBSTITUTE(Raw_Text_Fields!C770,CHAR(160)," ")))</f>
        <v>Home Office</v>
      </c>
      <c r="G769" s="3" t="str">
        <f aca="false">PROPER(TRIM(SUBSTITUTE(Raw_Text_Fields!D770,CHAR(160)," ")))</f>
        <v>North</v>
      </c>
      <c r="H769" s="3" t="str">
        <f aca="false">PROPER(TRIM(SUBSTITUTE(Raw_Text_Fields!E770,CHAR(160)," ")))</f>
        <v>Uttar Pradesh</v>
      </c>
      <c r="I769" s="3" t="str">
        <f aca="false">PROPER(TRIM(SUBSTITUTE(Raw_Text_Fields!F770,CHAR(160)," ")))</f>
        <v>Noida</v>
      </c>
      <c r="J769" s="3" t="str">
        <f aca="false">PROPER(TRIM(SUBSTITUTE(Raw_Text_Fields!G770,CHAR(160)," ")))</f>
        <v>Office Supplies</v>
      </c>
      <c r="K769" s="3" t="str">
        <f aca="false">PROPER(TRIM(SUBSTITUTE(Raw_Text_Fields!H770,CHAR(160)," ")))</f>
        <v>Binders</v>
      </c>
      <c r="L769" s="3" t="s">
        <v>2302</v>
      </c>
      <c r="M769" s="3" t="str">
        <f aca="false">PROPER(TRIM(SUBSTITUTE(Raw_Text_Fields!I770,CHAR(160)," ")))</f>
        <v>Standard Class</v>
      </c>
      <c r="N769" s="3" t="n">
        <v>1</v>
      </c>
      <c r="O769" s="5" t="n">
        <v>1244.58</v>
      </c>
      <c r="P769" s="6" t="n">
        <v>0.25</v>
      </c>
      <c r="Q769" s="5" t="n">
        <v>933.43</v>
      </c>
      <c r="R769" s="5" t="n">
        <v>583.09</v>
      </c>
      <c r="S769" s="5" t="n">
        <v>350.34</v>
      </c>
      <c r="T769" s="3" t="str">
        <f aca="false">PROPER(TRIM(SUBSTITUTE(Raw_Text_Fields!J770,CHAR(160)," ")))</f>
        <v>Paid</v>
      </c>
      <c r="U769" s="3" t="str">
        <f aca="false">PROPER(TRIM(SUBSTITUTE(Raw_Text_Fields!K770,CHAR(160)," ")))</f>
        <v>Completed</v>
      </c>
      <c r="V769" s="7" t="n">
        <f aca="false">IF(OR(P769&lt;0,P769&gt;0.5),0,P769)</f>
        <v>0.25</v>
      </c>
      <c r="W769" s="8" t="n">
        <f aca="false">N769*O769*(1-V769)</f>
        <v>933.435</v>
      </c>
      <c r="X769" s="8" t="n">
        <f aca="false">W769-R769</f>
        <v>350.345</v>
      </c>
      <c r="Y769" s="7" t="n">
        <f aca="false">IFERROR(X769/W769,0)</f>
        <v>0.375328758831627</v>
      </c>
      <c r="Z769" s="9" t="n">
        <f aca="false">C769-B769</f>
        <v>3</v>
      </c>
      <c r="AA769" s="1" t="str">
        <f aca="false">IF(B769="","",TEXT(B769,"mmm"))</f>
        <v>May</v>
      </c>
      <c r="AB769" s="9" t="n">
        <f aca="false">IF(B769="","",YEAR(B769))</f>
        <v>2024</v>
      </c>
      <c r="AC769" s="3"/>
      <c r="AD769" s="3" t="str">
        <f aca="false">IF(LEFT(AC769&amp;IF(B769="","; Missing Order Date","")&amp;IF(C769="","; Missing Ship Date","")&amp;IF(P769&lt;0,"; Invalid Discount (Negative)","")&amp;IF(P769&gt;0.5,"; Invalid Discount (Too High)","")&amp;IF(Z769&lt;0,"; Invalid Shipping Record (Ship Before Order)","")&amp;IF(ABS(Q769-W769)&gt;1,"; Sales Mismatch","")&amp;IF(ABS(S769-X769)&gt;1,"; Profit Mismatch","")&amp;IF(COUNTIF($A$2:$A$913,A769)&gt;1,"; Duplicate Order ID Conflict",""),2)="; ",MID(AC769&amp;IF(B769="","; Missing Order Date","")&amp;IF(C769="","; Missing Ship Date","")&amp;IF(P769&lt;0,"; Invalid Discount (Negative)","")&amp;IF(P769&gt;0.5,"; Invalid Discount (Too High)","")&amp;IF(Z769&lt;0,"; Invalid Shipping Record (Ship Before Order)","")&amp;IF(ABS(Q769-W769)&gt;1,"; Sales Mismatch","")&amp;IF(ABS(S769-X769)&gt;1,"; Profit Mismatch","")&amp;IF(COUNTIF($A$2:$A$913,A769)&gt;1,"; Duplicate Order ID Conflict",""),3,500),AC769&amp;IF(B769="","; Missing Order Date","")&amp;IF(C769="","; Missing Ship Date","")&amp;IF(P769&lt;0,"; Invalid Discount (Negative)","")&amp;IF(P769&gt;0.5,"; Invalid Discount (Too High)","")&amp;IF(Z769&lt;0,"; Invalid Shipping Record (Ship Before Order)","")&amp;IF(ABS(Q769-W769)&gt;1,"; Sales Mismatch","")&amp;IF(ABS(S769-X769)&gt;1,"; Profit Mismatch","")&amp;IF(COUNTIF($A$2:$A$913,A769)&gt;1,"; Duplicate Order ID Conflict",""))</f>
        <v/>
      </c>
      <c r="AE769" s="10" t="str">
        <f aca="false">IF(OR(ISNUMBER(SEARCH("Invalid Discount",AD769)),ISNUMBER(SEARCH("Invalid Shipping Record",AD769)),ISNUMBER(SEARCH("Sales Mismatch",AD769)),ISNUMBER(SEARCH("Profit Mismatch",AD769)),ISNUMBER(SEARCH("Duplicate Order ID Conflict",AD769)),ISNUMBER(SEARCH("Missing Order Date",AD769)),ISNUMBER(SEARCH("Missing Ship Date",AD769))),"Invalid",IF(AD769&lt;&gt;"","Warning","Clean"))</f>
        <v>Clean</v>
      </c>
    </row>
    <row r="770" customFormat="false" ht="15" hidden="false" customHeight="true" outlineLevel="0" collapsed="false">
      <c r="A770" s="3" t="s">
        <v>2303</v>
      </c>
      <c r="B770" s="4" t="n">
        <v>45749</v>
      </c>
      <c r="C770" s="4" t="n">
        <v>45751</v>
      </c>
      <c r="D770" s="3" t="s">
        <v>2304</v>
      </c>
      <c r="E770" s="3" t="str">
        <f aca="false">PROPER(TRIM(SUBSTITUTE(Raw_Text_Fields!B771,CHAR(160)," ")))</f>
        <v>Sneha Kapoor</v>
      </c>
      <c r="F770" s="3" t="str">
        <f aca="false">PROPER(TRIM(SUBSTITUTE(Raw_Text_Fields!C771,CHAR(160)," ")))</f>
        <v>Home Office</v>
      </c>
      <c r="G770" s="3" t="str">
        <f aca="false">PROPER(TRIM(SUBSTITUTE(Raw_Text_Fields!D771,CHAR(160)," ")))</f>
        <v>East</v>
      </c>
      <c r="H770" s="3" t="str">
        <f aca="false">PROPER(TRIM(SUBSTITUTE(Raw_Text_Fields!E771,CHAR(160)," ")))</f>
        <v>Jharkhand</v>
      </c>
      <c r="I770" s="3" t="str">
        <f aca="false">PROPER(TRIM(SUBSTITUTE(Raw_Text_Fields!F771,CHAR(160)," ")))</f>
        <v>Ranchi</v>
      </c>
      <c r="J770" s="3" t="str">
        <f aca="false">PROPER(TRIM(SUBSTITUTE(Raw_Text_Fields!G771,CHAR(160)," ")))</f>
        <v>Office Supplies</v>
      </c>
      <c r="K770" s="3" t="str">
        <f aca="false">PROPER(TRIM(SUBSTITUTE(Raw_Text_Fields!H771,CHAR(160)," ")))</f>
        <v>Paper</v>
      </c>
      <c r="L770" s="3" t="s">
        <v>2305</v>
      </c>
      <c r="M770" s="3" t="str">
        <f aca="false">PROPER(TRIM(SUBSTITUTE(Raw_Text_Fields!I771,CHAR(160)," ")))</f>
        <v>Same Day</v>
      </c>
      <c r="N770" s="3" t="n">
        <v>5</v>
      </c>
      <c r="O770" s="5" t="n">
        <v>3234.24</v>
      </c>
      <c r="P770" s="6" t="n">
        <v>0.1</v>
      </c>
      <c r="Q770" s="5" t="n">
        <v>14554.08</v>
      </c>
      <c r="R770" s="5" t="n">
        <v>11166.84</v>
      </c>
      <c r="S770" s="5" t="n">
        <v>3387.24</v>
      </c>
      <c r="T770" s="3" t="str">
        <f aca="false">PROPER(TRIM(SUBSTITUTE(Raw_Text_Fields!J771,CHAR(160)," ")))</f>
        <v>Paid</v>
      </c>
      <c r="U770" s="3" t="str">
        <f aca="false">PROPER(TRIM(SUBSTITUTE(Raw_Text_Fields!K771,CHAR(160)," ")))</f>
        <v>Completed</v>
      </c>
      <c r="V770" s="7" t="n">
        <f aca="false">IF(OR(P770&lt;0,P770&gt;0.5),0,P770)</f>
        <v>0.1</v>
      </c>
      <c r="W770" s="8" t="n">
        <f aca="false">N770*O770*(1-V770)</f>
        <v>14554.08</v>
      </c>
      <c r="X770" s="8" t="n">
        <f aca="false">W770-R770</f>
        <v>3387.24</v>
      </c>
      <c r="Y770" s="7" t="n">
        <f aca="false">IFERROR(X770/W770,0)</f>
        <v>0.232734738300188</v>
      </c>
      <c r="Z770" s="9" t="n">
        <f aca="false">C770-B770</f>
        <v>2</v>
      </c>
      <c r="AA770" s="1" t="str">
        <f aca="false">IF(B770="","",TEXT(B770,"mmm"))</f>
        <v>Apr</v>
      </c>
      <c r="AB770" s="9" t="n">
        <f aca="false">IF(B770="","",YEAR(B770))</f>
        <v>2025</v>
      </c>
      <c r="AC770" s="3"/>
      <c r="AD770" s="3" t="str">
        <f aca="false">IF(LEFT(AC770&amp;IF(B770="","; Missing Order Date","")&amp;IF(C770="","; Missing Ship Date","")&amp;IF(P770&lt;0,"; Invalid Discount (Negative)","")&amp;IF(P770&gt;0.5,"; Invalid Discount (Too High)","")&amp;IF(Z770&lt;0,"; Invalid Shipping Record (Ship Before Order)","")&amp;IF(ABS(Q770-W770)&gt;1,"; Sales Mismatch","")&amp;IF(ABS(S770-X770)&gt;1,"; Profit Mismatch","")&amp;IF(COUNTIF($A$2:$A$913,A770)&gt;1,"; Duplicate Order ID Conflict",""),2)="; ",MID(AC770&amp;IF(B770="","; Missing Order Date","")&amp;IF(C770="","; Missing Ship Date","")&amp;IF(P770&lt;0,"; Invalid Discount (Negative)","")&amp;IF(P770&gt;0.5,"; Invalid Discount (Too High)","")&amp;IF(Z770&lt;0,"; Invalid Shipping Record (Ship Before Order)","")&amp;IF(ABS(Q770-W770)&gt;1,"; Sales Mismatch","")&amp;IF(ABS(S770-X770)&gt;1,"; Profit Mismatch","")&amp;IF(COUNTIF($A$2:$A$913,A770)&gt;1,"; Duplicate Order ID Conflict",""),3,500),AC770&amp;IF(B770="","; Missing Order Date","")&amp;IF(C770="","; Missing Ship Date","")&amp;IF(P770&lt;0,"; Invalid Discount (Negative)","")&amp;IF(P770&gt;0.5,"; Invalid Discount (Too High)","")&amp;IF(Z770&lt;0,"; Invalid Shipping Record (Ship Before Order)","")&amp;IF(ABS(Q770-W770)&gt;1,"; Sales Mismatch","")&amp;IF(ABS(S770-X770)&gt;1,"; Profit Mismatch","")&amp;IF(COUNTIF($A$2:$A$913,A770)&gt;1,"; Duplicate Order ID Conflict",""))</f>
        <v/>
      </c>
      <c r="AE770" s="10" t="str">
        <f aca="false">IF(OR(ISNUMBER(SEARCH("Invalid Discount",AD770)),ISNUMBER(SEARCH("Invalid Shipping Record",AD770)),ISNUMBER(SEARCH("Sales Mismatch",AD770)),ISNUMBER(SEARCH("Profit Mismatch",AD770)),ISNUMBER(SEARCH("Duplicate Order ID Conflict",AD770)),ISNUMBER(SEARCH("Missing Order Date",AD770)),ISNUMBER(SEARCH("Missing Ship Date",AD770))),"Invalid",IF(AD770&lt;&gt;"","Warning","Clean"))</f>
        <v>Clean</v>
      </c>
    </row>
    <row r="771" customFormat="false" ht="15" hidden="false" customHeight="true" outlineLevel="0" collapsed="false">
      <c r="A771" s="3" t="s">
        <v>2306</v>
      </c>
      <c r="B771" s="4" t="n">
        <v>45423</v>
      </c>
      <c r="C771" s="4" t="n">
        <v>45425</v>
      </c>
      <c r="D771" s="3" t="s">
        <v>2307</v>
      </c>
      <c r="E771" s="3" t="str">
        <f aca="false">PROPER(TRIM(SUBSTITUTE(Raw_Text_Fields!B772,CHAR(160)," ")))</f>
        <v>Priya Menon</v>
      </c>
      <c r="F771" s="3" t="str">
        <f aca="false">PROPER(TRIM(SUBSTITUTE(Raw_Text_Fields!C772,CHAR(160)," ")))</f>
        <v>Home Office</v>
      </c>
      <c r="G771" s="3" t="str">
        <f aca="false">PROPER(TRIM(SUBSTITUTE(Raw_Text_Fields!D772,CHAR(160)," ")))</f>
        <v>West</v>
      </c>
      <c r="H771" s="3" t="str">
        <f aca="false">PROPER(TRIM(SUBSTITUTE(Raw_Text_Fields!E772,CHAR(160)," ")))</f>
        <v>Goa</v>
      </c>
      <c r="I771" s="3" t="str">
        <f aca="false">PROPER(TRIM(SUBSTITUTE(Raw_Text_Fields!F772,CHAR(160)," ")))</f>
        <v>Panaji</v>
      </c>
      <c r="J771" s="3" t="str">
        <f aca="false">PROPER(TRIM(SUBSTITUTE(Raw_Text_Fields!G772,CHAR(160)," ")))</f>
        <v>Furniture</v>
      </c>
      <c r="K771" s="3" t="str">
        <f aca="false">PROPER(TRIM(SUBSTITUTE(Raw_Text_Fields!H772,CHAR(160)," ")))</f>
        <v>Bookcases</v>
      </c>
      <c r="L771" s="3" t="s">
        <v>2308</v>
      </c>
      <c r="M771" s="3" t="str">
        <f aca="false">PROPER(TRIM(SUBSTITUTE(Raw_Text_Fields!I772,CHAR(160)," ")))</f>
        <v>Same Day</v>
      </c>
      <c r="N771" s="3" t="n">
        <v>3</v>
      </c>
      <c r="O771" s="5" t="n">
        <v>3612.75</v>
      </c>
      <c r="P771" s="6" t="n">
        <v>0.25</v>
      </c>
      <c r="Q771" s="5" t="n">
        <v>8128.69</v>
      </c>
      <c r="R771" s="5" t="n">
        <v>5071.66</v>
      </c>
      <c r="S771" s="5" t="n">
        <v>3057.03</v>
      </c>
      <c r="T771" s="3" t="str">
        <f aca="false">PROPER(TRIM(SUBSTITUTE(Raw_Text_Fields!J772,CHAR(160)," ")))</f>
        <v>Paid</v>
      </c>
      <c r="U771" s="3" t="str">
        <f aca="false">PROPER(TRIM(SUBSTITUTE(Raw_Text_Fields!K772,CHAR(160)," ")))</f>
        <v>Completed</v>
      </c>
      <c r="V771" s="7" t="n">
        <f aca="false">IF(OR(P771&lt;0,P771&gt;0.5),0,P771)</f>
        <v>0.25</v>
      </c>
      <c r="W771" s="8" t="n">
        <f aca="false">N771*O771*(1-V771)</f>
        <v>8128.6875</v>
      </c>
      <c r="X771" s="8" t="n">
        <f aca="false">W771-R771</f>
        <v>3057.0275</v>
      </c>
      <c r="Y771" s="7" t="n">
        <f aca="false">IFERROR(X771/W771,0)</f>
        <v>0.376078856518965</v>
      </c>
      <c r="Z771" s="9" t="n">
        <f aca="false">C771-B771</f>
        <v>2</v>
      </c>
      <c r="AA771" s="1" t="str">
        <f aca="false">IF(B771="","",TEXT(B771,"mmm"))</f>
        <v>May</v>
      </c>
      <c r="AB771" s="9" t="n">
        <f aca="false">IF(B771="","",YEAR(B771))</f>
        <v>2024</v>
      </c>
      <c r="AC771" s="3"/>
      <c r="AD771" s="3" t="str">
        <f aca="false">IF(LEFT(AC771&amp;IF(B771="","; Missing Order Date","")&amp;IF(C771="","; Missing Ship Date","")&amp;IF(P771&lt;0,"; Invalid Discount (Negative)","")&amp;IF(P771&gt;0.5,"; Invalid Discount (Too High)","")&amp;IF(Z771&lt;0,"; Invalid Shipping Record (Ship Before Order)","")&amp;IF(ABS(Q771-W771)&gt;1,"; Sales Mismatch","")&amp;IF(ABS(S771-X771)&gt;1,"; Profit Mismatch","")&amp;IF(COUNTIF($A$2:$A$913,A771)&gt;1,"; Duplicate Order ID Conflict",""),2)="; ",MID(AC771&amp;IF(B771="","; Missing Order Date","")&amp;IF(C771="","; Missing Ship Date","")&amp;IF(P771&lt;0,"; Invalid Discount (Negative)","")&amp;IF(P771&gt;0.5,"; Invalid Discount (Too High)","")&amp;IF(Z771&lt;0,"; Invalid Shipping Record (Ship Before Order)","")&amp;IF(ABS(Q771-W771)&gt;1,"; Sales Mismatch","")&amp;IF(ABS(S771-X771)&gt;1,"; Profit Mismatch","")&amp;IF(COUNTIF($A$2:$A$913,A771)&gt;1,"; Duplicate Order ID Conflict",""),3,500),AC771&amp;IF(B771="","; Missing Order Date","")&amp;IF(C771="","; Missing Ship Date","")&amp;IF(P771&lt;0,"; Invalid Discount (Negative)","")&amp;IF(P771&gt;0.5,"; Invalid Discount (Too High)","")&amp;IF(Z771&lt;0,"; Invalid Shipping Record (Ship Before Order)","")&amp;IF(ABS(Q771-W771)&gt;1,"; Sales Mismatch","")&amp;IF(ABS(S771-X771)&gt;1,"; Profit Mismatch","")&amp;IF(COUNTIF($A$2:$A$913,A771)&gt;1,"; Duplicate Order ID Conflict",""))</f>
        <v/>
      </c>
      <c r="AE771" s="10" t="str">
        <f aca="false">IF(OR(ISNUMBER(SEARCH("Invalid Discount",AD771)),ISNUMBER(SEARCH("Invalid Shipping Record",AD771)),ISNUMBER(SEARCH("Sales Mismatch",AD771)),ISNUMBER(SEARCH("Profit Mismatch",AD771)),ISNUMBER(SEARCH("Duplicate Order ID Conflict",AD771)),ISNUMBER(SEARCH("Missing Order Date",AD771)),ISNUMBER(SEARCH("Missing Ship Date",AD771))),"Invalid",IF(AD771&lt;&gt;"","Warning","Clean"))</f>
        <v>Clean</v>
      </c>
    </row>
    <row r="772" customFormat="false" ht="15" hidden="false" customHeight="true" outlineLevel="0" collapsed="false">
      <c r="A772" s="3" t="s">
        <v>2309</v>
      </c>
      <c r="B772" s="4" t="n">
        <v>45337</v>
      </c>
      <c r="C772" s="4" t="n">
        <v>45339</v>
      </c>
      <c r="D772" s="3" t="s">
        <v>2310</v>
      </c>
      <c r="E772" s="3" t="str">
        <f aca="false">PROPER(TRIM(SUBSTITUTE(Raw_Text_Fields!B773,CHAR(160)," ")))</f>
        <v>Neha Gupta</v>
      </c>
      <c r="F772" s="3" t="str">
        <f aca="false">PROPER(TRIM(SUBSTITUTE(Raw_Text_Fields!C773,CHAR(160)," ")))</f>
        <v>Consumer</v>
      </c>
      <c r="G772" s="3" t="str">
        <f aca="false">PROPER(TRIM(SUBSTITUTE(Raw_Text_Fields!D773,CHAR(160)," ")))</f>
        <v>North</v>
      </c>
      <c r="H772" s="3" t="str">
        <f aca="false">PROPER(TRIM(SUBSTITUTE(Raw_Text_Fields!E773,CHAR(160)," ")))</f>
        <v>Uttar Pradesh</v>
      </c>
      <c r="I772" s="3" t="str">
        <f aca="false">PROPER(TRIM(SUBSTITUTE(Raw_Text_Fields!F773,CHAR(160)," ")))</f>
        <v>Noida</v>
      </c>
      <c r="J772" s="3" t="str">
        <f aca="false">PROPER(TRIM(SUBSTITUTE(Raw_Text_Fields!G773,CHAR(160)," ")))</f>
        <v>Technology</v>
      </c>
      <c r="K772" s="3" t="str">
        <f aca="false">PROPER(TRIM(SUBSTITUTE(Raw_Text_Fields!H773,CHAR(160)," ")))</f>
        <v>Copiers</v>
      </c>
      <c r="L772" s="3" t="s">
        <v>2311</v>
      </c>
      <c r="M772" s="3" t="str">
        <f aca="false">PROPER(TRIM(SUBSTITUTE(Raw_Text_Fields!I773,CHAR(160)," ")))</f>
        <v>First Class</v>
      </c>
      <c r="N772" s="3" t="n">
        <v>4</v>
      </c>
      <c r="O772" s="5" t="n">
        <v>863</v>
      </c>
      <c r="P772" s="6" t="n">
        <v>0</v>
      </c>
      <c r="Q772" s="5" t="n">
        <v>3106.8</v>
      </c>
      <c r="R772" s="5" t="n">
        <v>2376.62</v>
      </c>
      <c r="S772" s="5" t="n">
        <v>730.18</v>
      </c>
      <c r="T772" s="3" t="str">
        <f aca="false">PROPER(TRIM(SUBSTITUTE(Raw_Text_Fields!J773,CHAR(160)," ")))</f>
        <v>Paid</v>
      </c>
      <c r="U772" s="3" t="str">
        <f aca="false">PROPER(TRIM(SUBSTITUTE(Raw_Text_Fields!K773,CHAR(160)," ")))</f>
        <v>Completed</v>
      </c>
      <c r="V772" s="7" t="n">
        <f aca="false">IF(OR(P772&lt;0,P772&gt;0.5),0,P772)</f>
        <v>0</v>
      </c>
      <c r="W772" s="8" t="n">
        <f aca="false">N772*O772*(1-V772)</f>
        <v>3452</v>
      </c>
      <c r="X772" s="8" t="n">
        <f aca="false">W772-R772</f>
        <v>1075.38</v>
      </c>
      <c r="Y772" s="7" t="n">
        <f aca="false">IFERROR(X772/W772,0)</f>
        <v>0.311523754345307</v>
      </c>
      <c r="Z772" s="9" t="n">
        <f aca="false">C772-B772</f>
        <v>2</v>
      </c>
      <c r="AA772" s="1" t="str">
        <f aca="false">IF(B772="","",TEXT(B772,"mmm"))</f>
        <v>Feb</v>
      </c>
      <c r="AB772" s="9" t="n">
        <f aca="false">IF(B772="","",YEAR(B772))</f>
        <v>2024</v>
      </c>
      <c r="AC772" s="3" t="s">
        <v>130</v>
      </c>
      <c r="AD772" s="3" t="str">
        <f aca="false">IF(LEFT(AC772&amp;IF(B772="","; Missing Order Date","")&amp;IF(C772="","; Missing Ship Date","")&amp;IF(P772&lt;0,"; Invalid Discount (Negative)","")&amp;IF(P772&gt;0.5,"; Invalid Discount (Too High)","")&amp;IF(Z772&lt;0,"; Invalid Shipping Record (Ship Before Order)","")&amp;IF(ABS(Q772-W772)&gt;1,"; Sales Mismatch","")&amp;IF(ABS(S772-X772)&gt;1,"; Profit Mismatch","")&amp;IF(COUNTIF($A$2:$A$913,A772)&gt;1,"; Duplicate Order ID Conflict",""),2)="; ",MID(AC772&amp;IF(B772="","; Missing Order Date","")&amp;IF(C772="","; Missing Ship Date","")&amp;IF(P772&lt;0,"; Invalid Discount (Negative)","")&amp;IF(P772&gt;0.5,"; Invalid Discount (Too High)","")&amp;IF(Z772&lt;0,"; Invalid Shipping Record (Ship Before Order)","")&amp;IF(ABS(Q772-W772)&gt;1,"; Sales Mismatch","")&amp;IF(ABS(S772-X772)&gt;1,"; Profit Mismatch","")&amp;IF(COUNTIF($A$2:$A$913,A772)&gt;1,"; Duplicate Order ID Conflict",""),3,500),AC772&amp;IF(B772="","; Missing Order Date","")&amp;IF(C772="","; Missing Ship Date","")&amp;IF(P772&lt;0,"; Invalid Discount (Negative)","")&amp;IF(P772&gt;0.5,"; Invalid Discount (Too High)","")&amp;IF(Z772&lt;0,"; Invalid Shipping Record (Ship Before Order)","")&amp;IF(ABS(Q772-W772)&gt;1,"; Sales Mismatch","")&amp;IF(ABS(S772-X772)&gt;1,"; Profit Mismatch","")&amp;IF(COUNTIF($A$2:$A$913,A772)&gt;1,"; Duplicate Order ID Conflict",""))</f>
        <v>Missing Discount (defaulted 0); Sales Mismatch; Profit Mismatch</v>
      </c>
      <c r="AE772" s="10" t="str">
        <f aca="false">IF(OR(ISNUMBER(SEARCH("Invalid Discount",AD772)),ISNUMBER(SEARCH("Invalid Shipping Record",AD772)),ISNUMBER(SEARCH("Sales Mismatch",AD772)),ISNUMBER(SEARCH("Profit Mismatch",AD772)),ISNUMBER(SEARCH("Duplicate Order ID Conflict",AD772)),ISNUMBER(SEARCH("Missing Order Date",AD772)),ISNUMBER(SEARCH("Missing Ship Date",AD772))),"Invalid",IF(AD772&lt;&gt;"","Warning","Clean"))</f>
        <v>Invalid</v>
      </c>
    </row>
    <row r="773" customFormat="false" ht="15" hidden="false" customHeight="true" outlineLevel="0" collapsed="false">
      <c r="A773" s="3" t="s">
        <v>2312</v>
      </c>
      <c r="B773" s="4" t="n">
        <v>45485</v>
      </c>
      <c r="C773" s="4" t="n">
        <v>45487</v>
      </c>
      <c r="D773" s="3" t="s">
        <v>391</v>
      </c>
      <c r="E773" s="3" t="str">
        <f aca="false">PROPER(TRIM(SUBSTITUTE(Raw_Text_Fields!B774,CHAR(160)," ")))</f>
        <v>Ananya Rao</v>
      </c>
      <c r="F773" s="3" t="str">
        <f aca="false">PROPER(TRIM(SUBSTITUTE(Raw_Text_Fields!C774,CHAR(160)," ")))</f>
        <v>Consumer</v>
      </c>
      <c r="G773" s="3" t="str">
        <f aca="false">PROPER(TRIM(SUBSTITUTE(Raw_Text_Fields!D774,CHAR(160)," ")))</f>
        <v>North</v>
      </c>
      <c r="H773" s="3" t="str">
        <f aca="false">PROPER(TRIM(SUBSTITUTE(Raw_Text_Fields!E774,CHAR(160)," ")))</f>
        <v>Haryana</v>
      </c>
      <c r="I773" s="3" t="str">
        <f aca="false">PROPER(TRIM(SUBSTITUTE(Raw_Text_Fields!F774,CHAR(160)," ")))</f>
        <v>Gurugram</v>
      </c>
      <c r="J773" s="3" t="str">
        <f aca="false">PROPER(TRIM(SUBSTITUTE(Raw_Text_Fields!G774,CHAR(160)," ")))</f>
        <v>Technology</v>
      </c>
      <c r="K773" s="3" t="str">
        <f aca="false">PROPER(TRIM(SUBSTITUTE(Raw_Text_Fields!H774,CHAR(160)," ")))</f>
        <v>Machines</v>
      </c>
      <c r="L773" s="3" t="s">
        <v>2313</v>
      </c>
      <c r="M773" s="3" t="str">
        <f aca="false">PROPER(TRIM(SUBSTITUTE(Raw_Text_Fields!I774,CHAR(160)," ")))</f>
        <v>Second Class</v>
      </c>
      <c r="N773" s="3" t="n">
        <v>4</v>
      </c>
      <c r="O773" s="5" t="n">
        <v>2131.41</v>
      </c>
      <c r="P773" s="6" t="n">
        <v>0</v>
      </c>
      <c r="Q773" s="5" t="n">
        <v>6394.23</v>
      </c>
      <c r="R773" s="5" t="n">
        <v>3520.69</v>
      </c>
      <c r="S773" s="5" t="n">
        <v>2873.54</v>
      </c>
      <c r="T773" s="3" t="str">
        <f aca="false">PROPER(TRIM(SUBSTITUTE(Raw_Text_Fields!J774,CHAR(160)," ")))</f>
        <v>Paid</v>
      </c>
      <c r="U773" s="3" t="str">
        <f aca="false">PROPER(TRIM(SUBSTITUTE(Raw_Text_Fields!K774,CHAR(160)," ")))</f>
        <v>Completed</v>
      </c>
      <c r="V773" s="7" t="n">
        <f aca="false">IF(OR(P773&lt;0,P773&gt;0.5),0,P773)</f>
        <v>0</v>
      </c>
      <c r="W773" s="8" t="n">
        <f aca="false">N773*O773*(1-V773)</f>
        <v>8525.64</v>
      </c>
      <c r="X773" s="8" t="n">
        <f aca="false">W773-R773</f>
        <v>5004.95</v>
      </c>
      <c r="Y773" s="7" t="n">
        <f aca="false">IFERROR(X773/W773,0)</f>
        <v>0.587046837539469</v>
      </c>
      <c r="Z773" s="9" t="n">
        <f aca="false">C773-B773</f>
        <v>2</v>
      </c>
      <c r="AA773" s="1" t="str">
        <f aca="false">IF(B773="","",TEXT(B773,"mmm"))</f>
        <v>Jul</v>
      </c>
      <c r="AB773" s="9" t="n">
        <f aca="false">IF(B773="","",YEAR(B773))</f>
        <v>2024</v>
      </c>
      <c r="AC773" s="3" t="s">
        <v>130</v>
      </c>
      <c r="AD773" s="3" t="str">
        <f aca="false">IF(LEFT(AC773&amp;IF(B773="","; Missing Order Date","")&amp;IF(C773="","; Missing Ship Date","")&amp;IF(P773&lt;0,"; Invalid Discount (Negative)","")&amp;IF(P773&gt;0.5,"; Invalid Discount (Too High)","")&amp;IF(Z773&lt;0,"; Invalid Shipping Record (Ship Before Order)","")&amp;IF(ABS(Q773-W773)&gt;1,"; Sales Mismatch","")&amp;IF(ABS(S773-X773)&gt;1,"; Profit Mismatch","")&amp;IF(COUNTIF($A$2:$A$913,A773)&gt;1,"; Duplicate Order ID Conflict",""),2)="; ",MID(AC773&amp;IF(B773="","; Missing Order Date","")&amp;IF(C773="","; Missing Ship Date","")&amp;IF(P773&lt;0,"; Invalid Discount (Negative)","")&amp;IF(P773&gt;0.5,"; Invalid Discount (Too High)","")&amp;IF(Z773&lt;0,"; Invalid Shipping Record (Ship Before Order)","")&amp;IF(ABS(Q773-W773)&gt;1,"; Sales Mismatch","")&amp;IF(ABS(S773-X773)&gt;1,"; Profit Mismatch","")&amp;IF(COUNTIF($A$2:$A$913,A773)&gt;1,"; Duplicate Order ID Conflict",""),3,500),AC773&amp;IF(B773="","; Missing Order Date","")&amp;IF(C773="","; Missing Ship Date","")&amp;IF(P773&lt;0,"; Invalid Discount (Negative)","")&amp;IF(P773&gt;0.5,"; Invalid Discount (Too High)","")&amp;IF(Z773&lt;0,"; Invalid Shipping Record (Ship Before Order)","")&amp;IF(ABS(Q773-W773)&gt;1,"; Sales Mismatch","")&amp;IF(ABS(S773-X773)&gt;1,"; Profit Mismatch","")&amp;IF(COUNTIF($A$2:$A$913,A773)&gt;1,"; Duplicate Order ID Conflict",""))</f>
        <v>Missing Discount (defaulted 0); Sales Mismatch; Profit Mismatch</v>
      </c>
      <c r="AE773" s="10" t="str">
        <f aca="false">IF(OR(ISNUMBER(SEARCH("Invalid Discount",AD773)),ISNUMBER(SEARCH("Invalid Shipping Record",AD773)),ISNUMBER(SEARCH("Sales Mismatch",AD773)),ISNUMBER(SEARCH("Profit Mismatch",AD773)),ISNUMBER(SEARCH("Duplicate Order ID Conflict",AD773)),ISNUMBER(SEARCH("Missing Order Date",AD773)),ISNUMBER(SEARCH("Missing Ship Date",AD773))),"Invalid",IF(AD773&lt;&gt;"","Warning","Clean"))</f>
        <v>Invalid</v>
      </c>
    </row>
    <row r="774" customFormat="false" ht="15" hidden="false" customHeight="true" outlineLevel="0" collapsed="false">
      <c r="A774" s="3" t="s">
        <v>2314</v>
      </c>
      <c r="B774" s="4" t="n">
        <v>45853</v>
      </c>
      <c r="C774" s="4" t="n">
        <v>45857</v>
      </c>
      <c r="D774" s="3" t="s">
        <v>2315</v>
      </c>
      <c r="E774" s="3" t="str">
        <f aca="false">PROPER(TRIM(SUBSTITUTE(Raw_Text_Fields!B775,CHAR(160)," ")))</f>
        <v>Diya Patel</v>
      </c>
      <c r="F774" s="3" t="str">
        <f aca="false">PROPER(TRIM(SUBSTITUTE(Raw_Text_Fields!C775,CHAR(160)," ")))</f>
        <v>Consumer</v>
      </c>
      <c r="G774" s="3" t="str">
        <f aca="false">PROPER(TRIM(SUBSTITUTE(Raw_Text_Fields!D775,CHAR(160)," ")))</f>
        <v>South</v>
      </c>
      <c r="H774" s="3" t="str">
        <f aca="false">PROPER(TRIM(SUBSTITUTE(Raw_Text_Fields!E775,CHAR(160)," ")))</f>
        <v>Tamil Nadu</v>
      </c>
      <c r="I774" s="3" t="str">
        <f aca="false">PROPER(TRIM(SUBSTITUTE(Raw_Text_Fields!F775,CHAR(160)," ")))</f>
        <v>Chennai</v>
      </c>
      <c r="J774" s="3" t="str">
        <f aca="false">PROPER(TRIM(SUBSTITUTE(Raw_Text_Fields!G775,CHAR(160)," ")))</f>
        <v>Furniture</v>
      </c>
      <c r="K774" s="3" t="str">
        <f aca="false">PROPER(TRIM(SUBSTITUTE(Raw_Text_Fields!H775,CHAR(160)," ")))</f>
        <v>Chairs</v>
      </c>
      <c r="L774" s="3" t="s">
        <v>2316</v>
      </c>
      <c r="M774" s="3" t="str">
        <f aca="false">PROPER(TRIM(SUBSTITUTE(Raw_Text_Fields!I775,CHAR(160)," ")))</f>
        <v>Same Day</v>
      </c>
      <c r="N774" s="3" t="n">
        <v>1</v>
      </c>
      <c r="O774" s="5" t="n">
        <v>3903.22</v>
      </c>
      <c r="P774" s="6" t="n">
        <v>0.05</v>
      </c>
      <c r="Q774" s="5" t="n">
        <v>3708.06</v>
      </c>
      <c r="R774" s="5" t="n">
        <v>2760.29</v>
      </c>
      <c r="S774" s="5" t="n">
        <v>947.77</v>
      </c>
      <c r="T774" s="3" t="str">
        <f aca="false">PROPER(TRIM(SUBSTITUTE(Raw_Text_Fields!J775,CHAR(160)," ")))</f>
        <v>Pending</v>
      </c>
      <c r="U774" s="3" t="str">
        <f aca="false">PROPER(TRIM(SUBSTITUTE(Raw_Text_Fields!K775,CHAR(160)," ")))</f>
        <v>Cancelled</v>
      </c>
      <c r="V774" s="7" t="n">
        <f aca="false">IF(OR(P774&lt;0,P774&gt;0.5),0,P774)</f>
        <v>0.05</v>
      </c>
      <c r="W774" s="8" t="n">
        <f aca="false">N774*O774*(1-V774)</f>
        <v>3708.059</v>
      </c>
      <c r="X774" s="8" t="n">
        <f aca="false">W774-R774</f>
        <v>947.769</v>
      </c>
      <c r="Y774" s="7" t="n">
        <f aca="false">IFERROR(X774/W774,0)</f>
        <v>0.255597065742481</v>
      </c>
      <c r="Z774" s="9" t="n">
        <f aca="false">C774-B774</f>
        <v>4</v>
      </c>
      <c r="AA774" s="1" t="str">
        <f aca="false">IF(B774="","",TEXT(B774,"mmm"))</f>
        <v>Jul</v>
      </c>
      <c r="AB774" s="9" t="n">
        <f aca="false">IF(B774="","",YEAR(B774))</f>
        <v>2025</v>
      </c>
      <c r="AC774" s="3"/>
      <c r="AD774" s="3" t="str">
        <f aca="false">IF(LEFT(AC774&amp;IF(B774="","; Missing Order Date","")&amp;IF(C774="","; Missing Ship Date","")&amp;IF(P774&lt;0,"; Invalid Discount (Negative)","")&amp;IF(P774&gt;0.5,"; Invalid Discount (Too High)","")&amp;IF(Z774&lt;0,"; Invalid Shipping Record (Ship Before Order)","")&amp;IF(ABS(Q774-W774)&gt;1,"; Sales Mismatch","")&amp;IF(ABS(S774-X774)&gt;1,"; Profit Mismatch","")&amp;IF(COUNTIF($A$2:$A$913,A774)&gt;1,"; Duplicate Order ID Conflict",""),2)="; ",MID(AC774&amp;IF(B774="","; Missing Order Date","")&amp;IF(C774="","; Missing Ship Date","")&amp;IF(P774&lt;0,"; Invalid Discount (Negative)","")&amp;IF(P774&gt;0.5,"; Invalid Discount (Too High)","")&amp;IF(Z774&lt;0,"; Invalid Shipping Record (Ship Before Order)","")&amp;IF(ABS(Q774-W774)&gt;1,"; Sales Mismatch","")&amp;IF(ABS(S774-X774)&gt;1,"; Profit Mismatch","")&amp;IF(COUNTIF($A$2:$A$913,A774)&gt;1,"; Duplicate Order ID Conflict",""),3,500),AC774&amp;IF(B774="","; Missing Order Date","")&amp;IF(C774="","; Missing Ship Date","")&amp;IF(P774&lt;0,"; Invalid Discount (Negative)","")&amp;IF(P774&gt;0.5,"; Invalid Discount (Too High)","")&amp;IF(Z774&lt;0,"; Invalid Shipping Record (Ship Before Order)","")&amp;IF(ABS(Q774-W774)&gt;1,"; Sales Mismatch","")&amp;IF(ABS(S774-X774)&gt;1,"; Profit Mismatch","")&amp;IF(COUNTIF($A$2:$A$913,A774)&gt;1,"; Duplicate Order ID Conflict",""))</f>
        <v/>
      </c>
      <c r="AE774" s="10" t="str">
        <f aca="false">IF(OR(ISNUMBER(SEARCH("Invalid Discount",AD774)),ISNUMBER(SEARCH("Invalid Shipping Record",AD774)),ISNUMBER(SEARCH("Sales Mismatch",AD774)),ISNUMBER(SEARCH("Profit Mismatch",AD774)),ISNUMBER(SEARCH("Duplicate Order ID Conflict",AD774)),ISNUMBER(SEARCH("Missing Order Date",AD774)),ISNUMBER(SEARCH("Missing Ship Date",AD774))),"Invalid",IF(AD774&lt;&gt;"","Warning","Clean"))</f>
        <v>Clean</v>
      </c>
    </row>
    <row r="775" customFormat="false" ht="15" hidden="false" customHeight="true" outlineLevel="0" collapsed="false">
      <c r="A775" s="3" t="s">
        <v>2317</v>
      </c>
      <c r="B775" s="4" t="n">
        <v>45709</v>
      </c>
      <c r="C775" s="4" t="n">
        <v>45709</v>
      </c>
      <c r="D775" s="3" t="s">
        <v>2318</v>
      </c>
      <c r="E775" s="3" t="str">
        <f aca="false">PROPER(TRIM(SUBSTITUTE(Raw_Text_Fields!B776,CHAR(160)," ")))</f>
        <v>Karan Malhotra</v>
      </c>
      <c r="F775" s="3" t="str">
        <f aca="false">PROPER(TRIM(SUBSTITUTE(Raw_Text_Fields!C776,CHAR(160)," ")))</f>
        <v>Home Office</v>
      </c>
      <c r="G775" s="3" t="str">
        <f aca="false">PROPER(TRIM(SUBSTITUTE(Raw_Text_Fields!D776,CHAR(160)," ")))</f>
        <v>West</v>
      </c>
      <c r="H775" s="3" t="str">
        <f aca="false">PROPER(TRIM(SUBSTITUTE(Raw_Text_Fields!E776,CHAR(160)," ")))</f>
        <v>Gujarat</v>
      </c>
      <c r="I775" s="3" t="str">
        <f aca="false">PROPER(TRIM(SUBSTITUTE(Raw_Text_Fields!F776,CHAR(160)," ")))</f>
        <v>Ahmedabad</v>
      </c>
      <c r="J775" s="3" t="str">
        <f aca="false">PROPER(TRIM(SUBSTITUTE(Raw_Text_Fields!G776,CHAR(160)," ")))</f>
        <v>Technology</v>
      </c>
      <c r="K775" s="3" t="str">
        <f aca="false">PROPER(TRIM(SUBSTITUTE(Raw_Text_Fields!H776,CHAR(160)," ")))</f>
        <v>Phones</v>
      </c>
      <c r="L775" s="3" t="s">
        <v>2319</v>
      </c>
      <c r="M775" s="3" t="str">
        <f aca="false">PROPER(TRIM(SUBSTITUTE(Raw_Text_Fields!I776,CHAR(160)," ")))</f>
        <v>Unknown</v>
      </c>
      <c r="N775" s="3" t="n">
        <v>4</v>
      </c>
      <c r="O775" s="5" t="n">
        <v>2945.07</v>
      </c>
      <c r="P775" s="6" t="n">
        <v>0.2</v>
      </c>
      <c r="Q775" s="5" t="n">
        <v>9424.22</v>
      </c>
      <c r="R775" s="5" t="n">
        <v>6178.92</v>
      </c>
      <c r="S775" s="5" t="n">
        <v>3245.3</v>
      </c>
      <c r="T775" s="3" t="str">
        <f aca="false">PROPER(TRIM(SUBSTITUTE(Raw_Text_Fields!J776,CHAR(160)," ")))</f>
        <v>Paid</v>
      </c>
      <c r="U775" s="3" t="str">
        <f aca="false">PROPER(TRIM(SUBSTITUTE(Raw_Text_Fields!K776,CHAR(160)," ")))</f>
        <v>Completed</v>
      </c>
      <c r="V775" s="7" t="n">
        <f aca="false">IF(OR(P775&lt;0,P775&gt;0.5),0,P775)</f>
        <v>0.2</v>
      </c>
      <c r="W775" s="8" t="n">
        <f aca="false">N775*O775*(1-V775)</f>
        <v>9424.224</v>
      </c>
      <c r="X775" s="8" t="n">
        <f aca="false">W775-R775</f>
        <v>3245.304</v>
      </c>
      <c r="Y775" s="7" t="n">
        <f aca="false">IFERROR(X775/W775,0)</f>
        <v>0.344357689290917</v>
      </c>
      <c r="Z775" s="9" t="n">
        <f aca="false">C775-B775</f>
        <v>0</v>
      </c>
      <c r="AA775" s="1" t="str">
        <f aca="false">IF(B775="","",TEXT(B775,"mmm"))</f>
        <v>Feb</v>
      </c>
      <c r="AB775" s="9" t="n">
        <f aca="false">IF(B775="","",YEAR(B775))</f>
        <v>2025</v>
      </c>
      <c r="AC775" s="3" t="s">
        <v>137</v>
      </c>
      <c r="AD775" s="3" t="str">
        <f aca="false">IF(LEFT(AC775&amp;IF(B775="","; Missing Order Date","")&amp;IF(C775="","; Missing Ship Date","")&amp;IF(P775&lt;0,"; Invalid Discount (Negative)","")&amp;IF(P775&gt;0.5,"; Invalid Discount (Too High)","")&amp;IF(Z775&lt;0,"; Invalid Shipping Record (Ship Before Order)","")&amp;IF(ABS(Q775-W775)&gt;1,"; Sales Mismatch","")&amp;IF(ABS(S775-X775)&gt;1,"; Profit Mismatch","")&amp;IF(COUNTIF($A$2:$A$913,A775)&gt;1,"; Duplicate Order ID Conflict",""),2)="; ",MID(AC775&amp;IF(B775="","; Missing Order Date","")&amp;IF(C775="","; Missing Ship Date","")&amp;IF(P775&lt;0,"; Invalid Discount (Negative)","")&amp;IF(P775&gt;0.5,"; Invalid Discount (Too High)","")&amp;IF(Z775&lt;0,"; Invalid Shipping Record (Ship Before Order)","")&amp;IF(ABS(Q775-W775)&gt;1,"; Sales Mismatch","")&amp;IF(ABS(S775-X775)&gt;1,"; Profit Mismatch","")&amp;IF(COUNTIF($A$2:$A$913,A775)&gt;1,"; Duplicate Order ID Conflict",""),3,500),AC775&amp;IF(B775="","; Missing Order Date","")&amp;IF(C775="","; Missing Ship Date","")&amp;IF(P775&lt;0,"; Invalid Discount (Negative)","")&amp;IF(P775&gt;0.5,"; Invalid Discount (Too High)","")&amp;IF(Z775&lt;0,"; Invalid Shipping Record (Ship Before Order)","")&amp;IF(ABS(Q775-W775)&gt;1,"; Sales Mismatch","")&amp;IF(ABS(S775-X775)&gt;1,"; Profit Mismatch","")&amp;IF(COUNTIF($A$2:$A$913,A775)&gt;1,"; Duplicate Order ID Conflict",""))</f>
        <v>Missing Ship Mode (filled Unknown)</v>
      </c>
      <c r="AE775" s="10" t="str">
        <f aca="false">IF(OR(ISNUMBER(SEARCH("Invalid Discount",AD775)),ISNUMBER(SEARCH("Invalid Shipping Record",AD775)),ISNUMBER(SEARCH("Sales Mismatch",AD775)),ISNUMBER(SEARCH("Profit Mismatch",AD775)),ISNUMBER(SEARCH("Duplicate Order ID Conflict",AD775)),ISNUMBER(SEARCH("Missing Order Date",AD775)),ISNUMBER(SEARCH("Missing Ship Date",AD775))),"Invalid",IF(AD775&lt;&gt;"","Warning","Clean"))</f>
        <v>Warning</v>
      </c>
    </row>
    <row r="776" customFormat="false" ht="15" hidden="false" customHeight="true" outlineLevel="0" collapsed="false">
      <c r="A776" s="3" t="s">
        <v>2320</v>
      </c>
      <c r="B776" s="4" t="n">
        <v>45876</v>
      </c>
      <c r="C776" s="4" t="n">
        <v>45876</v>
      </c>
      <c r="D776" s="3" t="s">
        <v>2321</v>
      </c>
      <c r="E776" s="3" t="str">
        <f aca="false">PROPER(TRIM(SUBSTITUTE(Raw_Text_Fields!B777,CHAR(160)," ")))</f>
        <v>Kabir Singh</v>
      </c>
      <c r="F776" s="3" t="str">
        <f aca="false">PROPER(TRIM(SUBSTITUTE(Raw_Text_Fields!C777,CHAR(160)," ")))</f>
        <v>Consumer</v>
      </c>
      <c r="G776" s="3" t="str">
        <f aca="false">PROPER(TRIM(SUBSTITUTE(Raw_Text_Fields!D777,CHAR(160)," ")))</f>
        <v>West</v>
      </c>
      <c r="H776" s="3" t="str">
        <f aca="false">PROPER(TRIM(SUBSTITUTE(Raw_Text_Fields!E777,CHAR(160)," ")))</f>
        <v>Rajasthan</v>
      </c>
      <c r="I776" s="3" t="str">
        <f aca="false">PROPER(TRIM(SUBSTITUTE(Raw_Text_Fields!F777,CHAR(160)," ")))</f>
        <v>Udaipur</v>
      </c>
      <c r="J776" s="3" t="str">
        <f aca="false">PROPER(TRIM(SUBSTITUTE(Raw_Text_Fields!G777,CHAR(160)," ")))</f>
        <v>Technology</v>
      </c>
      <c r="K776" s="3" t="str">
        <f aca="false">PROPER(TRIM(SUBSTITUTE(Raw_Text_Fields!H777,CHAR(160)," ")))</f>
        <v>Machines</v>
      </c>
      <c r="L776" s="3" t="s">
        <v>2322</v>
      </c>
      <c r="M776" s="3" t="str">
        <f aca="false">PROPER(TRIM(SUBSTITUTE(Raw_Text_Fields!I777,CHAR(160)," ")))</f>
        <v>Unknown</v>
      </c>
      <c r="N776" s="3" t="n">
        <v>9</v>
      </c>
      <c r="O776" s="5" t="n">
        <v>1076.75</v>
      </c>
      <c r="P776" s="6" t="n">
        <v>0.2</v>
      </c>
      <c r="Q776" s="5" t="n">
        <v>7752.6</v>
      </c>
      <c r="R776" s="5" t="n">
        <v>4689.3</v>
      </c>
      <c r="S776" s="5" t="n">
        <v>3063.3</v>
      </c>
      <c r="T776" s="3" t="str">
        <f aca="false">PROPER(TRIM(SUBSTITUTE(Raw_Text_Fields!J777,CHAR(160)," ")))</f>
        <v>Paid</v>
      </c>
      <c r="U776" s="3" t="str">
        <f aca="false">PROPER(TRIM(SUBSTITUTE(Raw_Text_Fields!K777,CHAR(160)," ")))</f>
        <v>Completed</v>
      </c>
      <c r="V776" s="7" t="n">
        <f aca="false">IF(OR(P776&lt;0,P776&gt;0.5),0,P776)</f>
        <v>0.2</v>
      </c>
      <c r="W776" s="8" t="n">
        <f aca="false">N776*O776*(1-V776)</f>
        <v>7752.6</v>
      </c>
      <c r="X776" s="8" t="n">
        <f aca="false">W776-R776</f>
        <v>3063.3</v>
      </c>
      <c r="Y776" s="7" t="n">
        <f aca="false">IFERROR(X776/W776,0)</f>
        <v>0.395131955730981</v>
      </c>
      <c r="Z776" s="9" t="n">
        <f aca="false">C776-B776</f>
        <v>0</v>
      </c>
      <c r="AA776" s="1" t="str">
        <f aca="false">IF(B776="","",TEXT(B776,"mmm"))</f>
        <v>Aug</v>
      </c>
      <c r="AB776" s="9" t="n">
        <f aca="false">IF(B776="","",YEAR(B776))</f>
        <v>2025</v>
      </c>
      <c r="AC776" s="3" t="s">
        <v>137</v>
      </c>
      <c r="AD776" s="3" t="str">
        <f aca="false">IF(LEFT(AC776&amp;IF(B776="","; Missing Order Date","")&amp;IF(C776="","; Missing Ship Date","")&amp;IF(P776&lt;0,"; Invalid Discount (Negative)","")&amp;IF(P776&gt;0.5,"; Invalid Discount (Too High)","")&amp;IF(Z776&lt;0,"; Invalid Shipping Record (Ship Before Order)","")&amp;IF(ABS(Q776-W776)&gt;1,"; Sales Mismatch","")&amp;IF(ABS(S776-X776)&gt;1,"; Profit Mismatch","")&amp;IF(COUNTIF($A$2:$A$913,A776)&gt;1,"; Duplicate Order ID Conflict",""),2)="; ",MID(AC776&amp;IF(B776="","; Missing Order Date","")&amp;IF(C776="","; Missing Ship Date","")&amp;IF(P776&lt;0,"; Invalid Discount (Negative)","")&amp;IF(P776&gt;0.5,"; Invalid Discount (Too High)","")&amp;IF(Z776&lt;0,"; Invalid Shipping Record (Ship Before Order)","")&amp;IF(ABS(Q776-W776)&gt;1,"; Sales Mismatch","")&amp;IF(ABS(S776-X776)&gt;1,"; Profit Mismatch","")&amp;IF(COUNTIF($A$2:$A$913,A776)&gt;1,"; Duplicate Order ID Conflict",""),3,500),AC776&amp;IF(B776="","; Missing Order Date","")&amp;IF(C776="","; Missing Ship Date","")&amp;IF(P776&lt;0,"; Invalid Discount (Negative)","")&amp;IF(P776&gt;0.5,"; Invalid Discount (Too High)","")&amp;IF(Z776&lt;0,"; Invalid Shipping Record (Ship Before Order)","")&amp;IF(ABS(Q776-W776)&gt;1,"; Sales Mismatch","")&amp;IF(ABS(S776-X776)&gt;1,"; Profit Mismatch","")&amp;IF(COUNTIF($A$2:$A$913,A776)&gt;1,"; Duplicate Order ID Conflict",""))</f>
        <v>Missing Ship Mode (filled Unknown)</v>
      </c>
      <c r="AE776" s="10" t="str">
        <f aca="false">IF(OR(ISNUMBER(SEARCH("Invalid Discount",AD776)),ISNUMBER(SEARCH("Invalid Shipping Record",AD776)),ISNUMBER(SEARCH("Sales Mismatch",AD776)),ISNUMBER(SEARCH("Profit Mismatch",AD776)),ISNUMBER(SEARCH("Duplicate Order ID Conflict",AD776)),ISNUMBER(SEARCH("Missing Order Date",AD776)),ISNUMBER(SEARCH("Missing Ship Date",AD776))),"Invalid",IF(AD776&lt;&gt;"","Warning","Clean"))</f>
        <v>Warning</v>
      </c>
    </row>
    <row r="777" customFormat="false" ht="15" hidden="false" customHeight="true" outlineLevel="0" collapsed="false">
      <c r="A777" s="3" t="s">
        <v>2323</v>
      </c>
      <c r="B777" s="4" t="n">
        <v>45396</v>
      </c>
      <c r="C777" s="4" t="n">
        <v>45404</v>
      </c>
      <c r="D777" s="3" t="s">
        <v>2324</v>
      </c>
      <c r="E777" s="3" t="str">
        <f aca="false">PROPER(TRIM(SUBSTITUTE(Raw_Text_Fields!B778,CHAR(160)," ")))</f>
        <v>Arjun Bose</v>
      </c>
      <c r="F777" s="3" t="str">
        <f aca="false">PROPER(TRIM(SUBSTITUTE(Raw_Text_Fields!C778,CHAR(160)," ")))</f>
        <v>Consumer</v>
      </c>
      <c r="G777" s="3" t="str">
        <f aca="false">PROPER(TRIM(SUBSTITUTE(Raw_Text_Fields!D778,CHAR(160)," ")))</f>
        <v>North</v>
      </c>
      <c r="H777" s="3" t="str">
        <f aca="false">PROPER(TRIM(SUBSTITUTE(Raw_Text_Fields!E778,CHAR(160)," ")))</f>
        <v>Haryana</v>
      </c>
      <c r="I777" s="3" t="str">
        <f aca="false">PROPER(TRIM(SUBSTITUTE(Raw_Text_Fields!F778,CHAR(160)," ")))</f>
        <v>Gurugram</v>
      </c>
      <c r="J777" s="3" t="str">
        <f aca="false">PROPER(TRIM(SUBSTITUTE(Raw_Text_Fields!G778,CHAR(160)," ")))</f>
        <v>Technology</v>
      </c>
      <c r="K777" s="3" t="str">
        <f aca="false">PROPER(TRIM(SUBSTITUTE(Raw_Text_Fields!H778,CHAR(160)," ")))</f>
        <v>Accessories</v>
      </c>
      <c r="L777" s="3" t="s">
        <v>2325</v>
      </c>
      <c r="M777" s="3" t="str">
        <f aca="false">PROPER(TRIM(SUBSTITUTE(Raw_Text_Fields!I778,CHAR(160)," ")))</f>
        <v>Standard Class</v>
      </c>
      <c r="N777" s="3" t="n">
        <v>8</v>
      </c>
      <c r="O777" s="5" t="n">
        <v>3956.12</v>
      </c>
      <c r="P777" s="6" t="n">
        <v>0.25</v>
      </c>
      <c r="Q777" s="5" t="n">
        <v>23736.72</v>
      </c>
      <c r="R777" s="5" t="n">
        <v>13890.9</v>
      </c>
      <c r="S777" s="5" t="n">
        <v>9845.82</v>
      </c>
      <c r="T777" s="3" t="str">
        <f aca="false">PROPER(TRIM(SUBSTITUTE(Raw_Text_Fields!J778,CHAR(160)," ")))</f>
        <v>Paid</v>
      </c>
      <c r="U777" s="3" t="str">
        <f aca="false">PROPER(TRIM(SUBSTITUTE(Raw_Text_Fields!K778,CHAR(160)," ")))</f>
        <v>Completed</v>
      </c>
      <c r="V777" s="7" t="n">
        <f aca="false">IF(OR(P777&lt;0,P777&gt;0.5),0,P777)</f>
        <v>0.25</v>
      </c>
      <c r="W777" s="8" t="n">
        <f aca="false">N777*O777*(1-V777)</f>
        <v>23736.72</v>
      </c>
      <c r="X777" s="8" t="n">
        <f aca="false">W777-R777</f>
        <v>9845.82</v>
      </c>
      <c r="Y777" s="7" t="n">
        <f aca="false">IFERROR(X777/W777,0)</f>
        <v>0.414792776761069</v>
      </c>
      <c r="Z777" s="9" t="n">
        <f aca="false">C777-B777</f>
        <v>8</v>
      </c>
      <c r="AA777" s="1" t="str">
        <f aca="false">IF(B777="","",TEXT(B777,"mmm"))</f>
        <v>Apr</v>
      </c>
      <c r="AB777" s="9" t="n">
        <f aca="false">IF(B777="","",YEAR(B777))</f>
        <v>2024</v>
      </c>
      <c r="AC777" s="3"/>
      <c r="AD777" s="3" t="str">
        <f aca="false">IF(LEFT(AC777&amp;IF(B777="","; Missing Order Date","")&amp;IF(C777="","; Missing Ship Date","")&amp;IF(P777&lt;0,"; Invalid Discount (Negative)","")&amp;IF(P777&gt;0.5,"; Invalid Discount (Too High)","")&amp;IF(Z777&lt;0,"; Invalid Shipping Record (Ship Before Order)","")&amp;IF(ABS(Q777-W777)&gt;1,"; Sales Mismatch","")&amp;IF(ABS(S777-X777)&gt;1,"; Profit Mismatch","")&amp;IF(COUNTIF($A$2:$A$913,A777)&gt;1,"; Duplicate Order ID Conflict",""),2)="; ",MID(AC777&amp;IF(B777="","; Missing Order Date","")&amp;IF(C777="","; Missing Ship Date","")&amp;IF(P777&lt;0,"; Invalid Discount (Negative)","")&amp;IF(P777&gt;0.5,"; Invalid Discount (Too High)","")&amp;IF(Z777&lt;0,"; Invalid Shipping Record (Ship Before Order)","")&amp;IF(ABS(Q777-W777)&gt;1,"; Sales Mismatch","")&amp;IF(ABS(S777-X777)&gt;1,"; Profit Mismatch","")&amp;IF(COUNTIF($A$2:$A$913,A777)&gt;1,"; Duplicate Order ID Conflict",""),3,500),AC777&amp;IF(B777="","; Missing Order Date","")&amp;IF(C777="","; Missing Ship Date","")&amp;IF(P777&lt;0,"; Invalid Discount (Negative)","")&amp;IF(P777&gt;0.5,"; Invalid Discount (Too High)","")&amp;IF(Z777&lt;0,"; Invalid Shipping Record (Ship Before Order)","")&amp;IF(ABS(Q777-W777)&gt;1,"; Sales Mismatch","")&amp;IF(ABS(S777-X777)&gt;1,"; Profit Mismatch","")&amp;IF(COUNTIF($A$2:$A$913,A777)&gt;1,"; Duplicate Order ID Conflict",""))</f>
        <v/>
      </c>
      <c r="AE777" s="10" t="str">
        <f aca="false">IF(OR(ISNUMBER(SEARCH("Invalid Discount",AD777)),ISNUMBER(SEARCH("Invalid Shipping Record",AD777)),ISNUMBER(SEARCH("Sales Mismatch",AD777)),ISNUMBER(SEARCH("Profit Mismatch",AD777)),ISNUMBER(SEARCH("Duplicate Order ID Conflict",AD777)),ISNUMBER(SEARCH("Missing Order Date",AD777)),ISNUMBER(SEARCH("Missing Ship Date",AD777))),"Invalid",IF(AD777&lt;&gt;"","Warning","Clean"))</f>
        <v>Clean</v>
      </c>
    </row>
    <row r="778" customFormat="false" ht="15" hidden="false" customHeight="true" outlineLevel="0" collapsed="false">
      <c r="A778" s="3" t="s">
        <v>2326</v>
      </c>
      <c r="B778" s="4" t="n">
        <v>45816</v>
      </c>
      <c r="C778" s="4" t="n">
        <v>45821</v>
      </c>
      <c r="D778" s="3" t="s">
        <v>2327</v>
      </c>
      <c r="E778" s="3" t="str">
        <f aca="false">PROPER(TRIM(SUBSTITUTE(Raw_Text_Fields!B779,CHAR(160)," ")))</f>
        <v>Aditi Sen</v>
      </c>
      <c r="F778" s="3" t="str">
        <f aca="false">PROPER(TRIM(SUBSTITUTE(Raw_Text_Fields!C779,CHAR(160)," ")))</f>
        <v>Small Business</v>
      </c>
      <c r="G778" s="3" t="str">
        <f aca="false">PROPER(TRIM(SUBSTITUTE(Raw_Text_Fields!D779,CHAR(160)," ")))</f>
        <v>North</v>
      </c>
      <c r="H778" s="3" t="str">
        <f aca="false">PROPER(TRIM(SUBSTITUTE(Raw_Text_Fields!E779,CHAR(160)," ")))</f>
        <v>Rajasthan</v>
      </c>
      <c r="I778" s="3" t="str">
        <f aca="false">PROPER(TRIM(SUBSTITUTE(Raw_Text_Fields!F779,CHAR(160)," ")))</f>
        <v>Jaipur</v>
      </c>
      <c r="J778" s="3" t="str">
        <f aca="false">PROPER(TRIM(SUBSTITUTE(Raw_Text_Fields!G779,CHAR(160)," ")))</f>
        <v>Technology</v>
      </c>
      <c r="K778" s="3" t="str">
        <f aca="false">PROPER(TRIM(SUBSTITUTE(Raw_Text_Fields!H779,CHAR(160)," ")))</f>
        <v>Copiers</v>
      </c>
      <c r="L778" s="3" t="s">
        <v>2328</v>
      </c>
      <c r="M778" s="3" t="str">
        <f aca="false">PROPER(TRIM(SUBSTITUTE(Raw_Text_Fields!I779,CHAR(160)," ")))</f>
        <v>Second Class</v>
      </c>
      <c r="N778" s="3" t="n">
        <v>7</v>
      </c>
      <c r="O778" s="5" t="n">
        <v>3857.13</v>
      </c>
      <c r="P778" s="6" t="n">
        <v>0</v>
      </c>
      <c r="Q778" s="5" t="n">
        <v>26999.91</v>
      </c>
      <c r="R778" s="5" t="n">
        <v>17815.98</v>
      </c>
      <c r="S778" s="5" t="n">
        <v>9183.93</v>
      </c>
      <c r="T778" s="3" t="str">
        <f aca="false">PROPER(TRIM(SUBSTITUTE(Raw_Text_Fields!J779,CHAR(160)," ")))</f>
        <v>Paid</v>
      </c>
      <c r="U778" s="3" t="str">
        <f aca="false">PROPER(TRIM(SUBSTITUTE(Raw_Text_Fields!K779,CHAR(160)," ")))</f>
        <v>Completed</v>
      </c>
      <c r="V778" s="7" t="n">
        <f aca="false">IF(OR(P778&lt;0,P778&gt;0.5),0,P778)</f>
        <v>0</v>
      </c>
      <c r="W778" s="8" t="n">
        <f aca="false">N778*O778*(1-V778)</f>
        <v>26999.91</v>
      </c>
      <c r="X778" s="8" t="n">
        <f aca="false">W778-R778</f>
        <v>9183.93</v>
      </c>
      <c r="Y778" s="7" t="n">
        <f aca="false">IFERROR(X778/W778,0)</f>
        <v>0.340146689377854</v>
      </c>
      <c r="Z778" s="9" t="n">
        <f aca="false">C778-B778</f>
        <v>5</v>
      </c>
      <c r="AA778" s="1" t="str">
        <f aca="false">IF(B778="","",TEXT(B778,"mmm"))</f>
        <v>Jun</v>
      </c>
      <c r="AB778" s="9" t="n">
        <f aca="false">IF(B778="","",YEAR(B778))</f>
        <v>2025</v>
      </c>
      <c r="AC778" s="3"/>
      <c r="AD778" s="3" t="str">
        <f aca="false">IF(LEFT(AC778&amp;IF(B778="","; Missing Order Date","")&amp;IF(C778="","; Missing Ship Date","")&amp;IF(P778&lt;0,"; Invalid Discount (Negative)","")&amp;IF(P778&gt;0.5,"; Invalid Discount (Too High)","")&amp;IF(Z778&lt;0,"; Invalid Shipping Record (Ship Before Order)","")&amp;IF(ABS(Q778-W778)&gt;1,"; Sales Mismatch","")&amp;IF(ABS(S778-X778)&gt;1,"; Profit Mismatch","")&amp;IF(COUNTIF($A$2:$A$913,A778)&gt;1,"; Duplicate Order ID Conflict",""),2)="; ",MID(AC778&amp;IF(B778="","; Missing Order Date","")&amp;IF(C778="","; Missing Ship Date","")&amp;IF(P778&lt;0,"; Invalid Discount (Negative)","")&amp;IF(P778&gt;0.5,"; Invalid Discount (Too High)","")&amp;IF(Z778&lt;0,"; Invalid Shipping Record (Ship Before Order)","")&amp;IF(ABS(Q778-W778)&gt;1,"; Sales Mismatch","")&amp;IF(ABS(S778-X778)&gt;1,"; Profit Mismatch","")&amp;IF(COUNTIF($A$2:$A$913,A778)&gt;1,"; Duplicate Order ID Conflict",""),3,500),AC778&amp;IF(B778="","; Missing Order Date","")&amp;IF(C778="","; Missing Ship Date","")&amp;IF(P778&lt;0,"; Invalid Discount (Negative)","")&amp;IF(P778&gt;0.5,"; Invalid Discount (Too High)","")&amp;IF(Z778&lt;0,"; Invalid Shipping Record (Ship Before Order)","")&amp;IF(ABS(Q778-W778)&gt;1,"; Sales Mismatch","")&amp;IF(ABS(S778-X778)&gt;1,"; Profit Mismatch","")&amp;IF(COUNTIF($A$2:$A$913,A778)&gt;1,"; Duplicate Order ID Conflict",""))</f>
        <v/>
      </c>
      <c r="AE778" s="10" t="str">
        <f aca="false">IF(OR(ISNUMBER(SEARCH("Invalid Discount",AD778)),ISNUMBER(SEARCH("Invalid Shipping Record",AD778)),ISNUMBER(SEARCH("Sales Mismatch",AD778)),ISNUMBER(SEARCH("Profit Mismatch",AD778)),ISNUMBER(SEARCH("Duplicate Order ID Conflict",AD778)),ISNUMBER(SEARCH("Missing Order Date",AD778)),ISNUMBER(SEARCH("Missing Ship Date",AD778))),"Invalid",IF(AD778&lt;&gt;"","Warning","Clean"))</f>
        <v>Clean</v>
      </c>
    </row>
    <row r="779" customFormat="false" ht="15" hidden="false" customHeight="true" outlineLevel="0" collapsed="false">
      <c r="A779" s="3" t="s">
        <v>2329</v>
      </c>
      <c r="B779" s="4" t="n">
        <v>45326</v>
      </c>
      <c r="C779" s="4" t="n">
        <v>45328</v>
      </c>
      <c r="D779" s="3" t="s">
        <v>2330</v>
      </c>
      <c r="E779" s="3" t="str">
        <f aca="false">PROPER(TRIM(SUBSTITUTE(Raw_Text_Fields!B780,CHAR(160)," ")))</f>
        <v>Kabir Singh</v>
      </c>
      <c r="F779" s="3" t="str">
        <f aca="false">PROPER(TRIM(SUBSTITUTE(Raw_Text_Fields!C780,CHAR(160)," ")))</f>
        <v>Small Business</v>
      </c>
      <c r="G779" s="3" t="str">
        <f aca="false">PROPER(TRIM(SUBSTITUTE(Raw_Text_Fields!D780,CHAR(160)," ")))</f>
        <v>West</v>
      </c>
      <c r="H779" s="3" t="str">
        <f aca="false">PROPER(TRIM(SUBSTITUTE(Raw_Text_Fields!E780,CHAR(160)," ")))</f>
        <v>Madhya Pradesh</v>
      </c>
      <c r="I779" s="3" t="str">
        <f aca="false">PROPER(TRIM(SUBSTITUTE(Raw_Text_Fields!F780,CHAR(160)," ")))</f>
        <v>Indore</v>
      </c>
      <c r="J779" s="3" t="str">
        <f aca="false">PROPER(TRIM(SUBSTITUTE(Raw_Text_Fields!G780,CHAR(160)," ")))</f>
        <v>Technology</v>
      </c>
      <c r="K779" s="3" t="str">
        <f aca="false">PROPER(TRIM(SUBSTITUTE(Raw_Text_Fields!H780,CHAR(160)," ")))</f>
        <v>Accessories</v>
      </c>
      <c r="L779" s="3" t="s">
        <v>2331</v>
      </c>
      <c r="M779" s="3" t="str">
        <f aca="false">PROPER(TRIM(SUBSTITUTE(Raw_Text_Fields!I780,CHAR(160)," ")))</f>
        <v>Second Class</v>
      </c>
      <c r="N779" s="3" t="n">
        <v>4</v>
      </c>
      <c r="O779" s="5" t="n">
        <v>1489.74</v>
      </c>
      <c r="P779" s="6" t="n">
        <v>0.15</v>
      </c>
      <c r="Q779" s="5" t="n">
        <v>5065.12</v>
      </c>
      <c r="R779" s="5" t="n">
        <v>3530.12</v>
      </c>
      <c r="S779" s="5" t="n">
        <v>1535</v>
      </c>
      <c r="T779" s="3" t="str">
        <f aca="false">PROPER(TRIM(SUBSTITUTE(Raw_Text_Fields!J780,CHAR(160)," ")))</f>
        <v>Failed</v>
      </c>
      <c r="U779" s="3" t="str">
        <f aca="false">PROPER(TRIM(SUBSTITUTE(Raw_Text_Fields!K780,CHAR(160)," ")))</f>
        <v>Cancelled</v>
      </c>
      <c r="V779" s="7" t="n">
        <f aca="false">IF(OR(P779&lt;0,P779&gt;0.5),0,P779)</f>
        <v>0.15</v>
      </c>
      <c r="W779" s="8" t="n">
        <f aca="false">N779*O779*(1-V779)</f>
        <v>5065.116</v>
      </c>
      <c r="X779" s="8" t="n">
        <f aca="false">W779-R779</f>
        <v>1534.996</v>
      </c>
      <c r="Y779" s="7" t="n">
        <f aca="false">IFERROR(X779/W779,0)</f>
        <v>0.303052486853213</v>
      </c>
      <c r="Z779" s="9" t="n">
        <f aca="false">C779-B779</f>
        <v>2</v>
      </c>
      <c r="AA779" s="1" t="str">
        <f aca="false">IF(B779="","",TEXT(B779,"mmm"))</f>
        <v>Feb</v>
      </c>
      <c r="AB779" s="9" t="n">
        <f aca="false">IF(B779="","",YEAR(B779))</f>
        <v>2024</v>
      </c>
      <c r="AC779" s="3"/>
      <c r="AD779" s="3" t="str">
        <f aca="false">IF(LEFT(AC779&amp;IF(B779="","; Missing Order Date","")&amp;IF(C779="","; Missing Ship Date","")&amp;IF(P779&lt;0,"; Invalid Discount (Negative)","")&amp;IF(P779&gt;0.5,"; Invalid Discount (Too High)","")&amp;IF(Z779&lt;0,"; Invalid Shipping Record (Ship Before Order)","")&amp;IF(ABS(Q779-W779)&gt;1,"; Sales Mismatch","")&amp;IF(ABS(S779-X779)&gt;1,"; Profit Mismatch","")&amp;IF(COUNTIF($A$2:$A$913,A779)&gt;1,"; Duplicate Order ID Conflict",""),2)="; ",MID(AC779&amp;IF(B779="","; Missing Order Date","")&amp;IF(C779="","; Missing Ship Date","")&amp;IF(P779&lt;0,"; Invalid Discount (Negative)","")&amp;IF(P779&gt;0.5,"; Invalid Discount (Too High)","")&amp;IF(Z779&lt;0,"; Invalid Shipping Record (Ship Before Order)","")&amp;IF(ABS(Q779-W779)&gt;1,"; Sales Mismatch","")&amp;IF(ABS(S779-X779)&gt;1,"; Profit Mismatch","")&amp;IF(COUNTIF($A$2:$A$913,A779)&gt;1,"; Duplicate Order ID Conflict",""),3,500),AC779&amp;IF(B779="","; Missing Order Date","")&amp;IF(C779="","; Missing Ship Date","")&amp;IF(P779&lt;0,"; Invalid Discount (Negative)","")&amp;IF(P779&gt;0.5,"; Invalid Discount (Too High)","")&amp;IF(Z779&lt;0,"; Invalid Shipping Record (Ship Before Order)","")&amp;IF(ABS(Q779-W779)&gt;1,"; Sales Mismatch","")&amp;IF(ABS(S779-X779)&gt;1,"; Profit Mismatch","")&amp;IF(COUNTIF($A$2:$A$913,A779)&gt;1,"; Duplicate Order ID Conflict",""))</f>
        <v/>
      </c>
      <c r="AE779" s="10" t="str">
        <f aca="false">IF(OR(ISNUMBER(SEARCH("Invalid Discount",AD779)),ISNUMBER(SEARCH("Invalid Shipping Record",AD779)),ISNUMBER(SEARCH("Sales Mismatch",AD779)),ISNUMBER(SEARCH("Profit Mismatch",AD779)),ISNUMBER(SEARCH("Duplicate Order ID Conflict",AD779)),ISNUMBER(SEARCH("Missing Order Date",AD779)),ISNUMBER(SEARCH("Missing Ship Date",AD779))),"Invalid",IF(AD779&lt;&gt;"","Warning","Clean"))</f>
        <v>Clean</v>
      </c>
    </row>
    <row r="780" customFormat="false" ht="15" hidden="false" customHeight="true" outlineLevel="0" collapsed="false">
      <c r="A780" s="3" t="s">
        <v>2332</v>
      </c>
      <c r="B780" s="4" t="n">
        <v>45497</v>
      </c>
      <c r="C780" s="4" t="n">
        <v>45497</v>
      </c>
      <c r="D780" s="3" t="s">
        <v>2333</v>
      </c>
      <c r="E780" s="3" t="str">
        <f aca="false">PROPER(TRIM(SUBSTITUTE(Raw_Text_Fields!B781,CHAR(160)," ")))</f>
        <v>Karan Malhotra</v>
      </c>
      <c r="F780" s="3" t="str">
        <f aca="false">PROPER(TRIM(SUBSTITUTE(Raw_Text_Fields!C781,CHAR(160)," ")))</f>
        <v>Small Business</v>
      </c>
      <c r="G780" s="3" t="str">
        <f aca="false">PROPER(TRIM(SUBSTITUTE(Raw_Text_Fields!D781,CHAR(160)," ")))</f>
        <v>North</v>
      </c>
      <c r="H780" s="3" t="str">
        <f aca="false">PROPER(TRIM(SUBSTITUTE(Raw_Text_Fields!E781,CHAR(160)," ")))</f>
        <v>Haryana</v>
      </c>
      <c r="I780" s="3" t="str">
        <f aca="false">PROPER(TRIM(SUBSTITUTE(Raw_Text_Fields!F781,CHAR(160)," ")))</f>
        <v>Gurugram</v>
      </c>
      <c r="J780" s="3" t="str">
        <f aca="false">PROPER(TRIM(SUBSTITUTE(Raw_Text_Fields!G781,CHAR(160)," ")))</f>
        <v>Technology</v>
      </c>
      <c r="K780" s="3" t="str">
        <f aca="false">PROPER(TRIM(SUBSTITUTE(Raw_Text_Fields!H781,CHAR(160)," ")))</f>
        <v>Copiers</v>
      </c>
      <c r="L780" s="3" t="s">
        <v>2334</v>
      </c>
      <c r="M780" s="3" t="str">
        <f aca="false">PROPER(TRIM(SUBSTITUTE(Raw_Text_Fields!I781,CHAR(160)," ")))</f>
        <v>Second Class</v>
      </c>
      <c r="N780" s="3" t="n">
        <v>4</v>
      </c>
      <c r="O780" s="5" t="n">
        <v>1676.88</v>
      </c>
      <c r="P780" s="6" t="n">
        <v>0</v>
      </c>
      <c r="Q780" s="5" t="n">
        <v>6707.52</v>
      </c>
      <c r="R780" s="5" t="n">
        <v>5672.57</v>
      </c>
      <c r="S780" s="5" t="n">
        <v>1034.95</v>
      </c>
      <c r="T780" s="3" t="str">
        <f aca="false">PROPER(TRIM(SUBSTITUTE(Raw_Text_Fields!J781,CHAR(160)," ")))</f>
        <v>Paid</v>
      </c>
      <c r="U780" s="3" t="str">
        <f aca="false">PROPER(TRIM(SUBSTITUTE(Raw_Text_Fields!K781,CHAR(160)," ")))</f>
        <v>Completed</v>
      </c>
      <c r="V780" s="7" t="n">
        <f aca="false">IF(OR(P780&lt;0,P780&gt;0.5),0,P780)</f>
        <v>0</v>
      </c>
      <c r="W780" s="8" t="n">
        <f aca="false">N780*O780*(1-V780)</f>
        <v>6707.52</v>
      </c>
      <c r="X780" s="8" t="n">
        <f aca="false">W780-R780</f>
        <v>1034.95</v>
      </c>
      <c r="Y780" s="7" t="n">
        <f aca="false">IFERROR(X780/W780,0)</f>
        <v>0.154296968178999</v>
      </c>
      <c r="Z780" s="9" t="n">
        <f aca="false">C780-B780</f>
        <v>0</v>
      </c>
      <c r="AA780" s="1" t="str">
        <f aca="false">IF(B780="","",TEXT(B780,"mmm"))</f>
        <v>Jul</v>
      </c>
      <c r="AB780" s="9" t="n">
        <f aca="false">IF(B780="","",YEAR(B780))</f>
        <v>2024</v>
      </c>
      <c r="AC780" s="3"/>
      <c r="AD780" s="3" t="str">
        <f aca="false">IF(LEFT(AC780&amp;IF(B780="","; Missing Order Date","")&amp;IF(C780="","; Missing Ship Date","")&amp;IF(P780&lt;0,"; Invalid Discount (Negative)","")&amp;IF(P780&gt;0.5,"; Invalid Discount (Too High)","")&amp;IF(Z780&lt;0,"; Invalid Shipping Record (Ship Before Order)","")&amp;IF(ABS(Q780-W780)&gt;1,"; Sales Mismatch","")&amp;IF(ABS(S780-X780)&gt;1,"; Profit Mismatch","")&amp;IF(COUNTIF($A$2:$A$913,A780)&gt;1,"; Duplicate Order ID Conflict",""),2)="; ",MID(AC780&amp;IF(B780="","; Missing Order Date","")&amp;IF(C780="","; Missing Ship Date","")&amp;IF(P780&lt;0,"; Invalid Discount (Negative)","")&amp;IF(P780&gt;0.5,"; Invalid Discount (Too High)","")&amp;IF(Z780&lt;0,"; Invalid Shipping Record (Ship Before Order)","")&amp;IF(ABS(Q780-W780)&gt;1,"; Sales Mismatch","")&amp;IF(ABS(S780-X780)&gt;1,"; Profit Mismatch","")&amp;IF(COUNTIF($A$2:$A$913,A780)&gt;1,"; Duplicate Order ID Conflict",""),3,500),AC780&amp;IF(B780="","; Missing Order Date","")&amp;IF(C780="","; Missing Ship Date","")&amp;IF(P780&lt;0,"; Invalid Discount (Negative)","")&amp;IF(P780&gt;0.5,"; Invalid Discount (Too High)","")&amp;IF(Z780&lt;0,"; Invalid Shipping Record (Ship Before Order)","")&amp;IF(ABS(Q780-W780)&gt;1,"; Sales Mismatch","")&amp;IF(ABS(S780-X780)&gt;1,"; Profit Mismatch","")&amp;IF(COUNTIF($A$2:$A$913,A780)&gt;1,"; Duplicate Order ID Conflict",""))</f>
        <v/>
      </c>
      <c r="AE780" s="10" t="str">
        <f aca="false">IF(OR(ISNUMBER(SEARCH("Invalid Discount",AD780)),ISNUMBER(SEARCH("Invalid Shipping Record",AD780)),ISNUMBER(SEARCH("Sales Mismatch",AD780)),ISNUMBER(SEARCH("Profit Mismatch",AD780)),ISNUMBER(SEARCH("Duplicate Order ID Conflict",AD780)),ISNUMBER(SEARCH("Missing Order Date",AD780)),ISNUMBER(SEARCH("Missing Ship Date",AD780))),"Invalid",IF(AD780&lt;&gt;"","Warning","Clean"))</f>
        <v>Clean</v>
      </c>
    </row>
    <row r="781" customFormat="false" ht="15" hidden="false" customHeight="true" outlineLevel="0" collapsed="false">
      <c r="A781" s="3" t="s">
        <v>2335</v>
      </c>
      <c r="B781" s="4" t="n">
        <v>45306</v>
      </c>
      <c r="C781" s="4" t="n">
        <v>45311</v>
      </c>
      <c r="D781" s="3" t="s">
        <v>2336</v>
      </c>
      <c r="E781" s="3" t="str">
        <f aca="false">PROPER(TRIM(SUBSTITUTE(Raw_Text_Fields!B782,CHAR(160)," ")))</f>
        <v>Priya Menon</v>
      </c>
      <c r="F781" s="3" t="str">
        <f aca="false">PROPER(TRIM(SUBSTITUTE(Raw_Text_Fields!C782,CHAR(160)," ")))</f>
        <v>Small Business</v>
      </c>
      <c r="G781" s="3" t="str">
        <f aca="false">PROPER(TRIM(SUBSTITUTE(Raw_Text_Fields!D782,CHAR(160)," ")))</f>
        <v>South</v>
      </c>
      <c r="H781" s="3" t="str">
        <f aca="false">PROPER(TRIM(SUBSTITUTE(Raw_Text_Fields!E782,CHAR(160)," ")))</f>
        <v>Andhra Pradesh</v>
      </c>
      <c r="I781" s="3" t="str">
        <f aca="false">PROPER(TRIM(SUBSTITUTE(Raw_Text_Fields!F782,CHAR(160)," ")))</f>
        <v>Vijayawada</v>
      </c>
      <c r="J781" s="3" t="str">
        <f aca="false">PROPER(TRIM(SUBSTITUTE(Raw_Text_Fields!G782,CHAR(160)," ")))</f>
        <v>Furniture</v>
      </c>
      <c r="K781" s="3" t="str">
        <f aca="false">PROPER(TRIM(SUBSTITUTE(Raw_Text_Fields!H782,CHAR(160)," ")))</f>
        <v>Chairs</v>
      </c>
      <c r="L781" s="3" t="s">
        <v>2337</v>
      </c>
      <c r="M781" s="3" t="str">
        <f aca="false">PROPER(TRIM(SUBSTITUTE(Raw_Text_Fields!I782,CHAR(160)," ")))</f>
        <v>Standard Class</v>
      </c>
      <c r="N781" s="3" t="n">
        <v>4</v>
      </c>
      <c r="O781" s="5" t="n">
        <v>3153.54</v>
      </c>
      <c r="P781" s="6" t="n">
        <v>0.05</v>
      </c>
      <c r="Q781" s="5" t="n">
        <v>11983.45</v>
      </c>
      <c r="R781" s="5" t="n">
        <v>8572.9</v>
      </c>
      <c r="S781" s="5" t="n">
        <v>3410.55</v>
      </c>
      <c r="T781" s="3" t="str">
        <f aca="false">PROPER(TRIM(SUBSTITUTE(Raw_Text_Fields!J782,CHAR(160)," ")))</f>
        <v>Paid</v>
      </c>
      <c r="U781" s="3" t="str">
        <f aca="false">PROPER(TRIM(SUBSTITUTE(Raw_Text_Fields!K782,CHAR(160)," ")))</f>
        <v>Completed</v>
      </c>
      <c r="V781" s="7" t="n">
        <f aca="false">IF(OR(P781&lt;0,P781&gt;0.5),0,P781)</f>
        <v>0.05</v>
      </c>
      <c r="W781" s="8" t="n">
        <f aca="false">N781*O781*(1-V781)</f>
        <v>11983.452</v>
      </c>
      <c r="X781" s="8" t="n">
        <f aca="false">W781-R781</f>
        <v>3410.552</v>
      </c>
      <c r="Y781" s="7" t="n">
        <f aca="false">IFERROR(X781/W781,0)</f>
        <v>0.284605137150798</v>
      </c>
      <c r="Z781" s="9" t="n">
        <f aca="false">C781-B781</f>
        <v>5</v>
      </c>
      <c r="AA781" s="1" t="str">
        <f aca="false">IF(B781="","",TEXT(B781,"mmm"))</f>
        <v>Jan</v>
      </c>
      <c r="AB781" s="9" t="n">
        <f aca="false">IF(B781="","",YEAR(B781))</f>
        <v>2024</v>
      </c>
      <c r="AC781" s="3"/>
      <c r="AD781" s="3" t="str">
        <f aca="false">IF(LEFT(AC781&amp;IF(B781="","; Missing Order Date","")&amp;IF(C781="","; Missing Ship Date","")&amp;IF(P781&lt;0,"; Invalid Discount (Negative)","")&amp;IF(P781&gt;0.5,"; Invalid Discount (Too High)","")&amp;IF(Z781&lt;0,"; Invalid Shipping Record (Ship Before Order)","")&amp;IF(ABS(Q781-W781)&gt;1,"; Sales Mismatch","")&amp;IF(ABS(S781-X781)&gt;1,"; Profit Mismatch","")&amp;IF(COUNTIF($A$2:$A$913,A781)&gt;1,"; Duplicate Order ID Conflict",""),2)="; ",MID(AC781&amp;IF(B781="","; Missing Order Date","")&amp;IF(C781="","; Missing Ship Date","")&amp;IF(P781&lt;0,"; Invalid Discount (Negative)","")&amp;IF(P781&gt;0.5,"; Invalid Discount (Too High)","")&amp;IF(Z781&lt;0,"; Invalid Shipping Record (Ship Before Order)","")&amp;IF(ABS(Q781-W781)&gt;1,"; Sales Mismatch","")&amp;IF(ABS(S781-X781)&gt;1,"; Profit Mismatch","")&amp;IF(COUNTIF($A$2:$A$913,A781)&gt;1,"; Duplicate Order ID Conflict",""),3,500),AC781&amp;IF(B781="","; Missing Order Date","")&amp;IF(C781="","; Missing Ship Date","")&amp;IF(P781&lt;0,"; Invalid Discount (Negative)","")&amp;IF(P781&gt;0.5,"; Invalid Discount (Too High)","")&amp;IF(Z781&lt;0,"; Invalid Shipping Record (Ship Before Order)","")&amp;IF(ABS(Q781-W781)&gt;1,"; Sales Mismatch","")&amp;IF(ABS(S781-X781)&gt;1,"; Profit Mismatch","")&amp;IF(COUNTIF($A$2:$A$913,A781)&gt;1,"; Duplicate Order ID Conflict",""))</f>
        <v/>
      </c>
      <c r="AE781" s="10" t="str">
        <f aca="false">IF(OR(ISNUMBER(SEARCH("Invalid Discount",AD781)),ISNUMBER(SEARCH("Invalid Shipping Record",AD781)),ISNUMBER(SEARCH("Sales Mismatch",AD781)),ISNUMBER(SEARCH("Profit Mismatch",AD781)),ISNUMBER(SEARCH("Duplicate Order ID Conflict",AD781)),ISNUMBER(SEARCH("Missing Order Date",AD781)),ISNUMBER(SEARCH("Missing Ship Date",AD781))),"Invalid",IF(AD781&lt;&gt;"","Warning","Clean"))</f>
        <v>Clean</v>
      </c>
    </row>
    <row r="782" customFormat="false" ht="15" hidden="false" customHeight="true" outlineLevel="0" collapsed="false">
      <c r="A782" s="3" t="s">
        <v>2338</v>
      </c>
      <c r="B782" s="4" t="n">
        <v>45508</v>
      </c>
      <c r="C782" s="4" t="n">
        <v>45514</v>
      </c>
      <c r="D782" s="3" t="s">
        <v>2339</v>
      </c>
      <c r="E782" s="3" t="str">
        <f aca="false">PROPER(TRIM(SUBSTITUTE(Raw_Text_Fields!B783,CHAR(160)," ")))</f>
        <v>Diya Patel</v>
      </c>
      <c r="F782" s="3" t="str">
        <f aca="false">PROPER(TRIM(SUBSTITUTE(Raw_Text_Fields!C783,CHAR(160)," ")))</f>
        <v>Small Business</v>
      </c>
      <c r="G782" s="3" t="str">
        <f aca="false">PROPER(TRIM(SUBSTITUTE(Raw_Text_Fields!D783,CHAR(160)," ")))</f>
        <v>West</v>
      </c>
      <c r="H782" s="3" t="str">
        <f aca="false">PROPER(TRIM(SUBSTITUTE(Raw_Text_Fields!E783,CHAR(160)," ")))</f>
        <v>Rajasthan</v>
      </c>
      <c r="I782" s="3" t="str">
        <f aca="false">PROPER(TRIM(SUBSTITUTE(Raw_Text_Fields!F783,CHAR(160)," ")))</f>
        <v>Udaipur</v>
      </c>
      <c r="J782" s="3" t="str">
        <f aca="false">PROPER(TRIM(SUBSTITUTE(Raw_Text_Fields!G783,CHAR(160)," ")))</f>
        <v>Furniture</v>
      </c>
      <c r="K782" s="3" t="str">
        <f aca="false">PROPER(TRIM(SUBSTITUTE(Raw_Text_Fields!H783,CHAR(160)," ")))</f>
        <v>Chairs</v>
      </c>
      <c r="L782" s="3" t="s">
        <v>2340</v>
      </c>
      <c r="M782" s="3" t="str">
        <f aca="false">PROPER(TRIM(SUBSTITUTE(Raw_Text_Fields!I783,CHAR(160)," ")))</f>
        <v>Same Day</v>
      </c>
      <c r="N782" s="3" t="n">
        <v>4</v>
      </c>
      <c r="O782" s="5" t="n">
        <v>426.43</v>
      </c>
      <c r="P782" s="6" t="n">
        <v>0.2</v>
      </c>
      <c r="Q782" s="5" t="n">
        <v>1364.58</v>
      </c>
      <c r="R782" s="5" t="n">
        <v>978.16</v>
      </c>
      <c r="S782" s="5" t="n">
        <v>386.42</v>
      </c>
      <c r="T782" s="3" t="str">
        <f aca="false">PROPER(TRIM(SUBSTITUTE(Raw_Text_Fields!J783,CHAR(160)," ")))</f>
        <v>Paid</v>
      </c>
      <c r="U782" s="3" t="str">
        <f aca="false">PROPER(TRIM(SUBSTITUTE(Raw_Text_Fields!K783,CHAR(160)," ")))</f>
        <v>Completed</v>
      </c>
      <c r="V782" s="7" t="n">
        <f aca="false">IF(OR(P782&lt;0,P782&gt;0.5),0,P782)</f>
        <v>0.2</v>
      </c>
      <c r="W782" s="8" t="n">
        <f aca="false">N782*O782*(1-V782)</f>
        <v>1364.576</v>
      </c>
      <c r="X782" s="8" t="n">
        <f aca="false">W782-R782</f>
        <v>386.416</v>
      </c>
      <c r="Y782" s="7" t="n">
        <f aca="false">IFERROR(X782/W782,0)</f>
        <v>0.283176605773515</v>
      </c>
      <c r="Z782" s="9" t="n">
        <f aca="false">C782-B782</f>
        <v>6</v>
      </c>
      <c r="AA782" s="1" t="str">
        <f aca="false">IF(B782="","",TEXT(B782,"mmm"))</f>
        <v>Aug</v>
      </c>
      <c r="AB782" s="9" t="n">
        <f aca="false">IF(B782="","",YEAR(B782))</f>
        <v>2024</v>
      </c>
      <c r="AC782" s="3"/>
      <c r="AD782" s="3" t="str">
        <f aca="false">IF(LEFT(AC782&amp;IF(B782="","; Missing Order Date","")&amp;IF(C782="","; Missing Ship Date","")&amp;IF(P782&lt;0,"; Invalid Discount (Negative)","")&amp;IF(P782&gt;0.5,"; Invalid Discount (Too High)","")&amp;IF(Z782&lt;0,"; Invalid Shipping Record (Ship Before Order)","")&amp;IF(ABS(Q782-W782)&gt;1,"; Sales Mismatch","")&amp;IF(ABS(S782-X782)&gt;1,"; Profit Mismatch","")&amp;IF(COUNTIF($A$2:$A$913,A782)&gt;1,"; Duplicate Order ID Conflict",""),2)="; ",MID(AC782&amp;IF(B782="","; Missing Order Date","")&amp;IF(C782="","; Missing Ship Date","")&amp;IF(P782&lt;0,"; Invalid Discount (Negative)","")&amp;IF(P782&gt;0.5,"; Invalid Discount (Too High)","")&amp;IF(Z782&lt;0,"; Invalid Shipping Record (Ship Before Order)","")&amp;IF(ABS(Q782-W782)&gt;1,"; Sales Mismatch","")&amp;IF(ABS(S782-X782)&gt;1,"; Profit Mismatch","")&amp;IF(COUNTIF($A$2:$A$913,A782)&gt;1,"; Duplicate Order ID Conflict",""),3,500),AC782&amp;IF(B782="","; Missing Order Date","")&amp;IF(C782="","; Missing Ship Date","")&amp;IF(P782&lt;0,"; Invalid Discount (Negative)","")&amp;IF(P782&gt;0.5,"; Invalid Discount (Too High)","")&amp;IF(Z782&lt;0,"; Invalid Shipping Record (Ship Before Order)","")&amp;IF(ABS(Q782-W782)&gt;1,"; Sales Mismatch","")&amp;IF(ABS(S782-X782)&gt;1,"; Profit Mismatch","")&amp;IF(COUNTIF($A$2:$A$913,A782)&gt;1,"; Duplicate Order ID Conflict",""))</f>
        <v/>
      </c>
      <c r="AE782" s="10" t="str">
        <f aca="false">IF(OR(ISNUMBER(SEARCH("Invalid Discount",AD782)),ISNUMBER(SEARCH("Invalid Shipping Record",AD782)),ISNUMBER(SEARCH("Sales Mismatch",AD782)),ISNUMBER(SEARCH("Profit Mismatch",AD782)),ISNUMBER(SEARCH("Duplicate Order ID Conflict",AD782)),ISNUMBER(SEARCH("Missing Order Date",AD782)),ISNUMBER(SEARCH("Missing Ship Date",AD782))),"Invalid",IF(AD782&lt;&gt;"","Warning","Clean"))</f>
        <v>Clean</v>
      </c>
    </row>
    <row r="783" customFormat="false" ht="15" hidden="false" customHeight="true" outlineLevel="0" collapsed="false">
      <c r="A783" s="3" t="s">
        <v>2341</v>
      </c>
      <c r="B783" s="4" t="n">
        <v>45324</v>
      </c>
      <c r="C783" s="4" t="n">
        <v>45332</v>
      </c>
      <c r="D783" s="3" t="s">
        <v>2342</v>
      </c>
      <c r="E783" s="3" t="str">
        <f aca="false">PROPER(TRIM(SUBSTITUTE(Raw_Text_Fields!B784,CHAR(160)," ")))</f>
        <v>Karan Malhotra</v>
      </c>
      <c r="F783" s="3" t="str">
        <f aca="false">PROPER(TRIM(SUBSTITUTE(Raw_Text_Fields!C784,CHAR(160)," ")))</f>
        <v>Home Office</v>
      </c>
      <c r="G783" s="3" t="str">
        <f aca="false">PROPER(TRIM(SUBSTITUTE(Raw_Text_Fields!D784,CHAR(160)," ")))</f>
        <v>West</v>
      </c>
      <c r="H783" s="3" t="str">
        <f aca="false">PROPER(TRIM(SUBSTITUTE(Raw_Text_Fields!E784,CHAR(160)," ")))</f>
        <v>Rajasthan</v>
      </c>
      <c r="I783" s="3" t="str">
        <f aca="false">PROPER(TRIM(SUBSTITUTE(Raw_Text_Fields!F784,CHAR(160)," ")))</f>
        <v>Udaipur</v>
      </c>
      <c r="J783" s="3" t="str">
        <f aca="false">PROPER(TRIM(SUBSTITUTE(Raw_Text_Fields!G784,CHAR(160)," ")))</f>
        <v>Office Supplies</v>
      </c>
      <c r="K783" s="3" t="str">
        <f aca="false">PROPER(TRIM(SUBSTITUTE(Raw_Text_Fields!H784,CHAR(160)," ")))</f>
        <v>Labels</v>
      </c>
      <c r="L783" s="3" t="s">
        <v>2343</v>
      </c>
      <c r="M783" s="3" t="str">
        <f aca="false">PROPER(TRIM(SUBSTITUTE(Raw_Text_Fields!I784,CHAR(160)," ")))</f>
        <v>First Class</v>
      </c>
      <c r="N783" s="3" t="n">
        <v>3</v>
      </c>
      <c r="O783" s="5" t="n">
        <v>383.4</v>
      </c>
      <c r="P783" s="6" t="n">
        <v>0.25</v>
      </c>
      <c r="Q783" s="5" t="n">
        <v>862.65</v>
      </c>
      <c r="R783" s="5" t="n">
        <v>603.73</v>
      </c>
      <c r="S783" s="5" t="n">
        <v>258.92</v>
      </c>
      <c r="T783" s="3" t="str">
        <f aca="false">PROPER(TRIM(SUBSTITUTE(Raw_Text_Fields!J784,CHAR(160)," ")))</f>
        <v>Pending</v>
      </c>
      <c r="U783" s="3" t="str">
        <f aca="false">PROPER(TRIM(SUBSTITUTE(Raw_Text_Fields!K784,CHAR(160)," ")))</f>
        <v>Returned</v>
      </c>
      <c r="V783" s="7" t="n">
        <f aca="false">IF(OR(P783&lt;0,P783&gt;0.5),0,P783)</f>
        <v>0.25</v>
      </c>
      <c r="W783" s="8" t="n">
        <f aca="false">N783*O783*(1-V783)</f>
        <v>862.65</v>
      </c>
      <c r="X783" s="8" t="n">
        <f aca="false">W783-R783</f>
        <v>258.92</v>
      </c>
      <c r="Y783" s="7" t="n">
        <f aca="false">IFERROR(X783/W783,0)</f>
        <v>0.300144902335826</v>
      </c>
      <c r="Z783" s="9" t="n">
        <f aca="false">C783-B783</f>
        <v>8</v>
      </c>
      <c r="AA783" s="1" t="str">
        <f aca="false">IF(B783="","",TEXT(B783,"mmm"))</f>
        <v>Feb</v>
      </c>
      <c r="AB783" s="9" t="n">
        <f aca="false">IF(B783="","",YEAR(B783))</f>
        <v>2024</v>
      </c>
      <c r="AC783" s="3"/>
      <c r="AD783" s="3" t="str">
        <f aca="false">IF(LEFT(AC783&amp;IF(B783="","; Missing Order Date","")&amp;IF(C783="","; Missing Ship Date","")&amp;IF(P783&lt;0,"; Invalid Discount (Negative)","")&amp;IF(P783&gt;0.5,"; Invalid Discount (Too High)","")&amp;IF(Z783&lt;0,"; Invalid Shipping Record (Ship Before Order)","")&amp;IF(ABS(Q783-W783)&gt;1,"; Sales Mismatch","")&amp;IF(ABS(S783-X783)&gt;1,"; Profit Mismatch","")&amp;IF(COUNTIF($A$2:$A$913,A783)&gt;1,"; Duplicate Order ID Conflict",""),2)="; ",MID(AC783&amp;IF(B783="","; Missing Order Date","")&amp;IF(C783="","; Missing Ship Date","")&amp;IF(P783&lt;0,"; Invalid Discount (Negative)","")&amp;IF(P783&gt;0.5,"; Invalid Discount (Too High)","")&amp;IF(Z783&lt;0,"; Invalid Shipping Record (Ship Before Order)","")&amp;IF(ABS(Q783-W783)&gt;1,"; Sales Mismatch","")&amp;IF(ABS(S783-X783)&gt;1,"; Profit Mismatch","")&amp;IF(COUNTIF($A$2:$A$913,A783)&gt;1,"; Duplicate Order ID Conflict",""),3,500),AC783&amp;IF(B783="","; Missing Order Date","")&amp;IF(C783="","; Missing Ship Date","")&amp;IF(P783&lt;0,"; Invalid Discount (Negative)","")&amp;IF(P783&gt;0.5,"; Invalid Discount (Too High)","")&amp;IF(Z783&lt;0,"; Invalid Shipping Record (Ship Before Order)","")&amp;IF(ABS(Q783-W783)&gt;1,"; Sales Mismatch","")&amp;IF(ABS(S783-X783)&gt;1,"; Profit Mismatch","")&amp;IF(COUNTIF($A$2:$A$913,A783)&gt;1,"; Duplicate Order ID Conflict",""))</f>
        <v/>
      </c>
      <c r="AE783" s="10" t="str">
        <f aca="false">IF(OR(ISNUMBER(SEARCH("Invalid Discount",AD783)),ISNUMBER(SEARCH("Invalid Shipping Record",AD783)),ISNUMBER(SEARCH("Sales Mismatch",AD783)),ISNUMBER(SEARCH("Profit Mismatch",AD783)),ISNUMBER(SEARCH("Duplicate Order ID Conflict",AD783)),ISNUMBER(SEARCH("Missing Order Date",AD783)),ISNUMBER(SEARCH("Missing Ship Date",AD783))),"Invalid",IF(AD783&lt;&gt;"","Warning","Clean"))</f>
        <v>Clean</v>
      </c>
    </row>
    <row r="784" customFormat="false" ht="15" hidden="false" customHeight="true" outlineLevel="0" collapsed="false">
      <c r="A784" s="3" t="s">
        <v>2344</v>
      </c>
      <c r="B784" s="4" t="n">
        <v>45730</v>
      </c>
      <c r="C784" s="4" t="n">
        <v>45738</v>
      </c>
      <c r="D784" s="3" t="s">
        <v>2345</v>
      </c>
      <c r="E784" s="3" t="str">
        <f aca="false">PROPER(TRIM(SUBSTITUTE(Raw_Text_Fields!B785,CHAR(160)," ")))</f>
        <v>Mira Das</v>
      </c>
      <c r="F784" s="3" t="str">
        <f aca="false">PROPER(TRIM(SUBSTITUTE(Raw_Text_Fields!C785,CHAR(160)," ")))</f>
        <v>Corporate</v>
      </c>
      <c r="G784" s="3" t="str">
        <f aca="false">PROPER(TRIM(SUBSTITUTE(Raw_Text_Fields!D785,CHAR(160)," ")))</f>
        <v>East</v>
      </c>
      <c r="H784" s="3" t="str">
        <f aca="false">PROPER(TRIM(SUBSTITUTE(Raw_Text_Fields!E785,CHAR(160)," ")))</f>
        <v>West Bengal</v>
      </c>
      <c r="I784" s="3" t="str">
        <f aca="false">PROPER(TRIM(SUBSTITUTE(Raw_Text_Fields!F785,CHAR(160)," ")))</f>
        <v>Kolkata</v>
      </c>
      <c r="J784" s="3" t="str">
        <f aca="false">PROPER(TRIM(SUBSTITUTE(Raw_Text_Fields!G785,CHAR(160)," ")))</f>
        <v>Technology</v>
      </c>
      <c r="K784" s="3" t="str">
        <f aca="false">PROPER(TRIM(SUBSTITUTE(Raw_Text_Fields!H785,CHAR(160)," ")))</f>
        <v>Copiers</v>
      </c>
      <c r="L784" s="3" t="s">
        <v>2346</v>
      </c>
      <c r="M784" s="3" t="str">
        <f aca="false">PROPER(TRIM(SUBSTITUTE(Raw_Text_Fields!I785,CHAR(160)," ")))</f>
        <v>Standard Class</v>
      </c>
      <c r="N784" s="3" t="n">
        <v>2</v>
      </c>
      <c r="O784" s="5" t="n">
        <v>669.63</v>
      </c>
      <c r="P784" s="6" t="n">
        <v>0.15</v>
      </c>
      <c r="Q784" s="5" t="n">
        <v>1138.37</v>
      </c>
      <c r="R784" s="5" t="n">
        <v>797.34</v>
      </c>
      <c r="S784" s="5" t="n">
        <v>341.03</v>
      </c>
      <c r="T784" s="3" t="str">
        <f aca="false">PROPER(TRIM(SUBSTITUTE(Raw_Text_Fields!J785,CHAR(160)," ")))</f>
        <v>Paid</v>
      </c>
      <c r="U784" s="3" t="str">
        <f aca="false">PROPER(TRIM(SUBSTITUTE(Raw_Text_Fields!K785,CHAR(160)," ")))</f>
        <v>Completed</v>
      </c>
      <c r="V784" s="7" t="n">
        <f aca="false">IF(OR(P784&lt;0,P784&gt;0.5),0,P784)</f>
        <v>0.15</v>
      </c>
      <c r="W784" s="8" t="n">
        <f aca="false">N784*O784*(1-V784)</f>
        <v>1138.371</v>
      </c>
      <c r="X784" s="8" t="n">
        <f aca="false">W784-R784</f>
        <v>341.031</v>
      </c>
      <c r="Y784" s="7" t="n">
        <f aca="false">IFERROR(X784/W784,0)</f>
        <v>0.299578081310926</v>
      </c>
      <c r="Z784" s="9" t="n">
        <f aca="false">C784-B784</f>
        <v>8</v>
      </c>
      <c r="AA784" s="1" t="str">
        <f aca="false">IF(B784="","",TEXT(B784,"mmm"))</f>
        <v>Mar</v>
      </c>
      <c r="AB784" s="9" t="n">
        <f aca="false">IF(B784="","",YEAR(B784))</f>
        <v>2025</v>
      </c>
      <c r="AC784" s="3"/>
      <c r="AD784" s="3" t="str">
        <f aca="false">IF(LEFT(AC784&amp;IF(B784="","; Missing Order Date","")&amp;IF(C784="","; Missing Ship Date","")&amp;IF(P784&lt;0,"; Invalid Discount (Negative)","")&amp;IF(P784&gt;0.5,"; Invalid Discount (Too High)","")&amp;IF(Z784&lt;0,"; Invalid Shipping Record (Ship Before Order)","")&amp;IF(ABS(Q784-W784)&gt;1,"; Sales Mismatch","")&amp;IF(ABS(S784-X784)&gt;1,"; Profit Mismatch","")&amp;IF(COUNTIF($A$2:$A$913,A784)&gt;1,"; Duplicate Order ID Conflict",""),2)="; ",MID(AC784&amp;IF(B784="","; Missing Order Date","")&amp;IF(C784="","; Missing Ship Date","")&amp;IF(P784&lt;0,"; Invalid Discount (Negative)","")&amp;IF(P784&gt;0.5,"; Invalid Discount (Too High)","")&amp;IF(Z784&lt;0,"; Invalid Shipping Record (Ship Before Order)","")&amp;IF(ABS(Q784-W784)&gt;1,"; Sales Mismatch","")&amp;IF(ABS(S784-X784)&gt;1,"; Profit Mismatch","")&amp;IF(COUNTIF($A$2:$A$913,A784)&gt;1,"; Duplicate Order ID Conflict",""),3,500),AC784&amp;IF(B784="","; Missing Order Date","")&amp;IF(C784="","; Missing Ship Date","")&amp;IF(P784&lt;0,"; Invalid Discount (Negative)","")&amp;IF(P784&gt;0.5,"; Invalid Discount (Too High)","")&amp;IF(Z784&lt;0,"; Invalid Shipping Record (Ship Before Order)","")&amp;IF(ABS(Q784-W784)&gt;1,"; Sales Mismatch","")&amp;IF(ABS(S784-X784)&gt;1,"; Profit Mismatch","")&amp;IF(COUNTIF($A$2:$A$913,A784)&gt;1,"; Duplicate Order ID Conflict",""))</f>
        <v/>
      </c>
      <c r="AE784" s="10" t="str">
        <f aca="false">IF(OR(ISNUMBER(SEARCH("Invalid Discount",AD784)),ISNUMBER(SEARCH("Invalid Shipping Record",AD784)),ISNUMBER(SEARCH("Sales Mismatch",AD784)),ISNUMBER(SEARCH("Profit Mismatch",AD784)),ISNUMBER(SEARCH("Duplicate Order ID Conflict",AD784)),ISNUMBER(SEARCH("Missing Order Date",AD784)),ISNUMBER(SEARCH("Missing Ship Date",AD784))),"Invalid",IF(AD784&lt;&gt;"","Warning","Clean"))</f>
        <v>Clean</v>
      </c>
    </row>
    <row r="785" customFormat="false" ht="15" hidden="false" customHeight="true" outlineLevel="0" collapsed="false">
      <c r="A785" s="3" t="s">
        <v>2347</v>
      </c>
      <c r="B785" s="4" t="n">
        <v>45450</v>
      </c>
      <c r="C785" s="4" t="n">
        <v>45450</v>
      </c>
      <c r="D785" s="3" t="s">
        <v>2348</v>
      </c>
      <c r="E785" s="3" t="str">
        <f aca="false">PROPER(TRIM(SUBSTITUTE(Raw_Text_Fields!B786,CHAR(160)," ")))</f>
        <v>Aarav Sharma</v>
      </c>
      <c r="F785" s="3" t="str">
        <f aca="false">PROPER(TRIM(SUBSTITUTE(Raw_Text_Fields!C786,CHAR(160)," ")))</f>
        <v>Small Business</v>
      </c>
      <c r="G785" s="3" t="str">
        <f aca="false">PROPER(TRIM(SUBSTITUTE(Raw_Text_Fields!D786,CHAR(160)," ")))</f>
        <v>East</v>
      </c>
      <c r="H785" s="3" t="str">
        <f aca="false">PROPER(TRIM(SUBSTITUTE(Raw_Text_Fields!E786,CHAR(160)," ")))</f>
        <v>Bihar</v>
      </c>
      <c r="I785" s="3" t="str">
        <f aca="false">PROPER(TRIM(SUBSTITUTE(Raw_Text_Fields!F786,CHAR(160)," ")))</f>
        <v>Patna</v>
      </c>
      <c r="J785" s="3" t="str">
        <f aca="false">PROPER(TRIM(SUBSTITUTE(Raw_Text_Fields!G786,CHAR(160)," ")))</f>
        <v>Office Supplies</v>
      </c>
      <c r="K785" s="3" t="str">
        <f aca="false">PROPER(TRIM(SUBSTITUTE(Raw_Text_Fields!H786,CHAR(160)," ")))</f>
        <v>Art</v>
      </c>
      <c r="L785" s="3" t="s">
        <v>2349</v>
      </c>
      <c r="M785" s="3" t="str">
        <f aca="false">PROPER(TRIM(SUBSTITUTE(Raw_Text_Fields!I786,CHAR(160)," ")))</f>
        <v>Second Class</v>
      </c>
      <c r="N785" s="3" t="n">
        <v>1</v>
      </c>
      <c r="O785" s="5" t="n">
        <v>2581.93</v>
      </c>
      <c r="P785" s="6" t="n">
        <v>0.05</v>
      </c>
      <c r="Q785" s="5" t="n">
        <v>2452.83</v>
      </c>
      <c r="R785" s="5" t="n">
        <v>1906.7</v>
      </c>
      <c r="S785" s="5" t="n">
        <v>546.13</v>
      </c>
      <c r="T785" s="3" t="str">
        <f aca="false">PROPER(TRIM(SUBSTITUTE(Raw_Text_Fields!J786,CHAR(160)," ")))</f>
        <v>Paid</v>
      </c>
      <c r="U785" s="3" t="str">
        <f aca="false">PROPER(TRIM(SUBSTITUTE(Raw_Text_Fields!K786,CHAR(160)," ")))</f>
        <v>Completed</v>
      </c>
      <c r="V785" s="7" t="n">
        <f aca="false">IF(OR(P785&lt;0,P785&gt;0.5),0,P785)</f>
        <v>0.05</v>
      </c>
      <c r="W785" s="8" t="n">
        <f aca="false">N785*O785*(1-V785)</f>
        <v>2452.8335</v>
      </c>
      <c r="X785" s="8" t="n">
        <f aca="false">W785-R785</f>
        <v>546.1335</v>
      </c>
      <c r="Y785" s="7" t="n">
        <f aca="false">IFERROR(X785/W785,0)</f>
        <v>0.222654126340006</v>
      </c>
      <c r="Z785" s="9" t="n">
        <f aca="false">C785-B785</f>
        <v>0</v>
      </c>
      <c r="AA785" s="1" t="str">
        <f aca="false">IF(B785="","",TEXT(B785,"mmm"))</f>
        <v>Jun</v>
      </c>
      <c r="AB785" s="9" t="n">
        <f aca="false">IF(B785="","",YEAR(B785))</f>
        <v>2024</v>
      </c>
      <c r="AC785" s="3"/>
      <c r="AD785" s="3" t="str">
        <f aca="false">IF(LEFT(AC785&amp;IF(B785="","; Missing Order Date","")&amp;IF(C785="","; Missing Ship Date","")&amp;IF(P785&lt;0,"; Invalid Discount (Negative)","")&amp;IF(P785&gt;0.5,"; Invalid Discount (Too High)","")&amp;IF(Z785&lt;0,"; Invalid Shipping Record (Ship Before Order)","")&amp;IF(ABS(Q785-W785)&gt;1,"; Sales Mismatch","")&amp;IF(ABS(S785-X785)&gt;1,"; Profit Mismatch","")&amp;IF(COUNTIF($A$2:$A$913,A785)&gt;1,"; Duplicate Order ID Conflict",""),2)="; ",MID(AC785&amp;IF(B785="","; Missing Order Date","")&amp;IF(C785="","; Missing Ship Date","")&amp;IF(P785&lt;0,"; Invalid Discount (Negative)","")&amp;IF(P785&gt;0.5,"; Invalid Discount (Too High)","")&amp;IF(Z785&lt;0,"; Invalid Shipping Record (Ship Before Order)","")&amp;IF(ABS(Q785-W785)&gt;1,"; Sales Mismatch","")&amp;IF(ABS(S785-X785)&gt;1,"; Profit Mismatch","")&amp;IF(COUNTIF($A$2:$A$913,A785)&gt;1,"; Duplicate Order ID Conflict",""),3,500),AC785&amp;IF(B785="","; Missing Order Date","")&amp;IF(C785="","; Missing Ship Date","")&amp;IF(P785&lt;0,"; Invalid Discount (Negative)","")&amp;IF(P785&gt;0.5,"; Invalid Discount (Too High)","")&amp;IF(Z785&lt;0,"; Invalid Shipping Record (Ship Before Order)","")&amp;IF(ABS(Q785-W785)&gt;1,"; Sales Mismatch","")&amp;IF(ABS(S785-X785)&gt;1,"; Profit Mismatch","")&amp;IF(COUNTIF($A$2:$A$913,A785)&gt;1,"; Duplicate Order ID Conflict",""))</f>
        <v/>
      </c>
      <c r="AE785" s="10" t="str">
        <f aca="false">IF(OR(ISNUMBER(SEARCH("Invalid Discount",AD785)),ISNUMBER(SEARCH("Invalid Shipping Record",AD785)),ISNUMBER(SEARCH("Sales Mismatch",AD785)),ISNUMBER(SEARCH("Profit Mismatch",AD785)),ISNUMBER(SEARCH("Duplicate Order ID Conflict",AD785)),ISNUMBER(SEARCH("Missing Order Date",AD785)),ISNUMBER(SEARCH("Missing Ship Date",AD785))),"Invalid",IF(AD785&lt;&gt;"","Warning","Clean"))</f>
        <v>Clean</v>
      </c>
    </row>
    <row r="786" customFormat="false" ht="15" hidden="false" customHeight="true" outlineLevel="0" collapsed="false">
      <c r="A786" s="3" t="s">
        <v>2350</v>
      </c>
      <c r="B786" s="4" t="n">
        <v>45934</v>
      </c>
      <c r="C786" s="4" t="n">
        <v>45935</v>
      </c>
      <c r="D786" s="3" t="s">
        <v>2351</v>
      </c>
      <c r="E786" s="3" t="str">
        <f aca="false">PROPER(TRIM(SUBSTITUTE(Raw_Text_Fields!B787,CHAR(160)," ")))</f>
        <v>Priya Menon</v>
      </c>
      <c r="F786" s="3" t="str">
        <f aca="false">PROPER(TRIM(SUBSTITUTE(Raw_Text_Fields!C787,CHAR(160)," ")))</f>
        <v>Corporate</v>
      </c>
      <c r="G786" s="3" t="str">
        <f aca="false">PROPER(TRIM(SUBSTITUTE(Raw_Text_Fields!D787,CHAR(160)," ")))</f>
        <v>North</v>
      </c>
      <c r="H786" s="3" t="str">
        <f aca="false">PROPER(TRIM(SUBSTITUTE(Raw_Text_Fields!E787,CHAR(160)," ")))</f>
        <v>Punjab</v>
      </c>
      <c r="I786" s="3" t="str">
        <f aca="false">PROPER(TRIM(SUBSTITUTE(Raw_Text_Fields!F787,CHAR(160)," ")))</f>
        <v>Ludhiana</v>
      </c>
      <c r="J786" s="3" t="str">
        <f aca="false">PROPER(TRIM(SUBSTITUTE(Raw_Text_Fields!G787,CHAR(160)," ")))</f>
        <v>Technology</v>
      </c>
      <c r="K786" s="3" t="str">
        <f aca="false">PROPER(TRIM(SUBSTITUTE(Raw_Text_Fields!H787,CHAR(160)," ")))</f>
        <v>Copiers</v>
      </c>
      <c r="L786" s="3" t="s">
        <v>2352</v>
      </c>
      <c r="M786" s="3" t="str">
        <f aca="false">PROPER(TRIM(SUBSTITUTE(Raw_Text_Fields!I787,CHAR(160)," ")))</f>
        <v>First Class</v>
      </c>
      <c r="N786" s="3" t="n">
        <v>4</v>
      </c>
      <c r="O786" s="5" t="n">
        <v>418.18</v>
      </c>
      <c r="P786" s="6" t="n">
        <v>0.05</v>
      </c>
      <c r="Q786" s="5" t="n">
        <v>1589.08</v>
      </c>
      <c r="R786" s="5" t="n">
        <v>1084.66</v>
      </c>
      <c r="S786" s="5" t="n">
        <v>504.42</v>
      </c>
      <c r="T786" s="3" t="str">
        <f aca="false">PROPER(TRIM(SUBSTITUTE(Raw_Text_Fields!J787,CHAR(160)," ")))</f>
        <v>Paid</v>
      </c>
      <c r="U786" s="3" t="str">
        <f aca="false">PROPER(TRIM(SUBSTITUTE(Raw_Text_Fields!K787,CHAR(160)," ")))</f>
        <v>Completed</v>
      </c>
      <c r="V786" s="7" t="n">
        <f aca="false">IF(OR(P786&lt;0,P786&gt;0.5),0,P786)</f>
        <v>0.05</v>
      </c>
      <c r="W786" s="8" t="n">
        <f aca="false">N786*O786*(1-V786)</f>
        <v>1589.084</v>
      </c>
      <c r="X786" s="8" t="n">
        <f aca="false">W786-R786</f>
        <v>504.424</v>
      </c>
      <c r="Y786" s="7" t="n">
        <f aca="false">IFERROR(X786/W786,0)</f>
        <v>0.3174306707512</v>
      </c>
      <c r="Z786" s="9" t="n">
        <f aca="false">C786-B786</f>
        <v>1</v>
      </c>
      <c r="AA786" s="1" t="str">
        <f aca="false">IF(B786="","",TEXT(B786,"mmm"))</f>
        <v>Oct</v>
      </c>
      <c r="AB786" s="9" t="n">
        <f aca="false">IF(B786="","",YEAR(B786))</f>
        <v>2025</v>
      </c>
      <c r="AC786" s="3"/>
      <c r="AD786" s="3" t="str">
        <f aca="false">IF(LEFT(AC786&amp;IF(B786="","; Missing Order Date","")&amp;IF(C786="","; Missing Ship Date","")&amp;IF(P786&lt;0,"; Invalid Discount (Negative)","")&amp;IF(P786&gt;0.5,"; Invalid Discount (Too High)","")&amp;IF(Z786&lt;0,"; Invalid Shipping Record (Ship Before Order)","")&amp;IF(ABS(Q786-W786)&gt;1,"; Sales Mismatch","")&amp;IF(ABS(S786-X786)&gt;1,"; Profit Mismatch","")&amp;IF(COUNTIF($A$2:$A$913,A786)&gt;1,"; Duplicate Order ID Conflict",""),2)="; ",MID(AC786&amp;IF(B786="","; Missing Order Date","")&amp;IF(C786="","; Missing Ship Date","")&amp;IF(P786&lt;0,"; Invalid Discount (Negative)","")&amp;IF(P786&gt;0.5,"; Invalid Discount (Too High)","")&amp;IF(Z786&lt;0,"; Invalid Shipping Record (Ship Before Order)","")&amp;IF(ABS(Q786-W786)&gt;1,"; Sales Mismatch","")&amp;IF(ABS(S786-X786)&gt;1,"; Profit Mismatch","")&amp;IF(COUNTIF($A$2:$A$913,A786)&gt;1,"; Duplicate Order ID Conflict",""),3,500),AC786&amp;IF(B786="","; Missing Order Date","")&amp;IF(C786="","; Missing Ship Date","")&amp;IF(P786&lt;0,"; Invalid Discount (Negative)","")&amp;IF(P786&gt;0.5,"; Invalid Discount (Too High)","")&amp;IF(Z786&lt;0,"; Invalid Shipping Record (Ship Before Order)","")&amp;IF(ABS(Q786-W786)&gt;1,"; Sales Mismatch","")&amp;IF(ABS(S786-X786)&gt;1,"; Profit Mismatch","")&amp;IF(COUNTIF($A$2:$A$913,A786)&gt;1,"; Duplicate Order ID Conflict",""))</f>
        <v/>
      </c>
      <c r="AE786" s="10" t="str">
        <f aca="false">IF(OR(ISNUMBER(SEARCH("Invalid Discount",AD786)),ISNUMBER(SEARCH("Invalid Shipping Record",AD786)),ISNUMBER(SEARCH("Sales Mismatch",AD786)),ISNUMBER(SEARCH("Profit Mismatch",AD786)),ISNUMBER(SEARCH("Duplicate Order ID Conflict",AD786)),ISNUMBER(SEARCH("Missing Order Date",AD786)),ISNUMBER(SEARCH("Missing Ship Date",AD786))),"Invalid",IF(AD786&lt;&gt;"","Warning","Clean"))</f>
        <v>Clean</v>
      </c>
    </row>
    <row r="787" customFormat="false" ht="15" hidden="false" customHeight="true" outlineLevel="0" collapsed="false">
      <c r="A787" s="3" t="s">
        <v>2353</v>
      </c>
      <c r="B787" s="4" t="n">
        <v>45435</v>
      </c>
      <c r="C787" s="4" t="n">
        <v>45441</v>
      </c>
      <c r="D787" s="3" t="s">
        <v>2354</v>
      </c>
      <c r="E787" s="3" t="str">
        <f aca="false">PROPER(TRIM(SUBSTITUTE(Raw_Text_Fields!B788,CHAR(160)," ")))</f>
        <v>Diya Patel</v>
      </c>
      <c r="F787" s="3" t="str">
        <f aca="false">PROPER(TRIM(SUBSTITUTE(Raw_Text_Fields!C788,CHAR(160)," ")))</f>
        <v>Small Business</v>
      </c>
      <c r="G787" s="3" t="str">
        <f aca="false">PROPER(TRIM(SUBSTITUTE(Raw_Text_Fields!D788,CHAR(160)," ")))</f>
        <v>North</v>
      </c>
      <c r="H787" s="3" t="str">
        <f aca="false">PROPER(TRIM(SUBSTITUTE(Raw_Text_Fields!E788,CHAR(160)," ")))</f>
        <v>Haryana</v>
      </c>
      <c r="I787" s="3" t="str">
        <f aca="false">PROPER(TRIM(SUBSTITUTE(Raw_Text_Fields!F788,CHAR(160)," ")))</f>
        <v>Gurugram</v>
      </c>
      <c r="J787" s="3" t="str">
        <f aca="false">PROPER(TRIM(SUBSTITUTE(Raw_Text_Fields!G788,CHAR(160)," ")))</f>
        <v>Office Supplies</v>
      </c>
      <c r="K787" s="3" t="str">
        <f aca="false">PROPER(TRIM(SUBSTITUTE(Raw_Text_Fields!H788,CHAR(160)," ")))</f>
        <v>Storage</v>
      </c>
      <c r="L787" s="3" t="s">
        <v>2355</v>
      </c>
      <c r="M787" s="3" t="str">
        <f aca="false">PROPER(TRIM(SUBSTITUTE(Raw_Text_Fields!I788,CHAR(160)," ")))</f>
        <v>Same Day</v>
      </c>
      <c r="N787" s="3" t="n">
        <v>2</v>
      </c>
      <c r="O787" s="5" t="n">
        <v>3012.94</v>
      </c>
      <c r="P787" s="6" t="n">
        <v>0.25</v>
      </c>
      <c r="Q787" s="5" t="n">
        <v>4519.41</v>
      </c>
      <c r="R787" s="5" t="n">
        <v>3504.16</v>
      </c>
      <c r="S787" s="5" t="n">
        <v>1275.55</v>
      </c>
      <c r="T787" s="3" t="str">
        <f aca="false">PROPER(TRIM(SUBSTITUTE(Raw_Text_Fields!J788,CHAR(160)," ")))</f>
        <v>Failed</v>
      </c>
      <c r="U787" s="3" t="str">
        <f aca="false">PROPER(TRIM(SUBSTITUTE(Raw_Text_Fields!K788,CHAR(160)," ")))</f>
        <v>Cancelled</v>
      </c>
      <c r="V787" s="7" t="n">
        <f aca="false">IF(OR(P787&lt;0,P787&gt;0.5),0,P787)</f>
        <v>0.25</v>
      </c>
      <c r="W787" s="8" t="n">
        <f aca="false">N787*O787*(1-V787)</f>
        <v>4519.41</v>
      </c>
      <c r="X787" s="8" t="n">
        <f aca="false">W787-R787</f>
        <v>1015.25</v>
      </c>
      <c r="Y787" s="7" t="n">
        <f aca="false">IFERROR(X787/W787,0)</f>
        <v>0.224642154617528</v>
      </c>
      <c r="Z787" s="9" t="n">
        <f aca="false">C787-B787</f>
        <v>6</v>
      </c>
      <c r="AA787" s="1" t="str">
        <f aca="false">IF(B787="","",TEXT(B787,"mmm"))</f>
        <v>May</v>
      </c>
      <c r="AB787" s="9" t="n">
        <f aca="false">IF(B787="","",YEAR(B787))</f>
        <v>2024</v>
      </c>
      <c r="AC787" s="3"/>
      <c r="AD787" s="3" t="str">
        <f aca="false">IF(LEFT(AC787&amp;IF(B787="","; Missing Order Date","")&amp;IF(C787="","; Missing Ship Date","")&amp;IF(P787&lt;0,"; Invalid Discount (Negative)","")&amp;IF(P787&gt;0.5,"; Invalid Discount (Too High)","")&amp;IF(Z787&lt;0,"; Invalid Shipping Record (Ship Before Order)","")&amp;IF(ABS(Q787-W787)&gt;1,"; Sales Mismatch","")&amp;IF(ABS(S787-X787)&gt;1,"; Profit Mismatch","")&amp;IF(COUNTIF($A$2:$A$913,A787)&gt;1,"; Duplicate Order ID Conflict",""),2)="; ",MID(AC787&amp;IF(B787="","; Missing Order Date","")&amp;IF(C787="","; Missing Ship Date","")&amp;IF(P787&lt;0,"; Invalid Discount (Negative)","")&amp;IF(P787&gt;0.5,"; Invalid Discount (Too High)","")&amp;IF(Z787&lt;0,"; Invalid Shipping Record (Ship Before Order)","")&amp;IF(ABS(Q787-W787)&gt;1,"; Sales Mismatch","")&amp;IF(ABS(S787-X787)&gt;1,"; Profit Mismatch","")&amp;IF(COUNTIF($A$2:$A$913,A787)&gt;1,"; Duplicate Order ID Conflict",""),3,500),AC787&amp;IF(B787="","; Missing Order Date","")&amp;IF(C787="","; Missing Ship Date","")&amp;IF(P787&lt;0,"; Invalid Discount (Negative)","")&amp;IF(P787&gt;0.5,"; Invalid Discount (Too High)","")&amp;IF(Z787&lt;0,"; Invalid Shipping Record (Ship Before Order)","")&amp;IF(ABS(Q787-W787)&gt;1,"; Sales Mismatch","")&amp;IF(ABS(S787-X787)&gt;1,"; Profit Mismatch","")&amp;IF(COUNTIF($A$2:$A$913,A787)&gt;1,"; Duplicate Order ID Conflict",""))</f>
        <v>Profit Mismatch</v>
      </c>
      <c r="AE787" s="10" t="str">
        <f aca="false">IF(OR(ISNUMBER(SEARCH("Invalid Discount",AD787)),ISNUMBER(SEARCH("Invalid Shipping Record",AD787)),ISNUMBER(SEARCH("Sales Mismatch",AD787)),ISNUMBER(SEARCH("Profit Mismatch",AD787)),ISNUMBER(SEARCH("Duplicate Order ID Conflict",AD787)),ISNUMBER(SEARCH("Missing Order Date",AD787)),ISNUMBER(SEARCH("Missing Ship Date",AD787))),"Invalid",IF(AD787&lt;&gt;"","Warning","Clean"))</f>
        <v>Invalid</v>
      </c>
    </row>
    <row r="788" customFormat="false" ht="15" hidden="false" customHeight="true" outlineLevel="0" collapsed="false">
      <c r="A788" s="3" t="s">
        <v>2356</v>
      </c>
      <c r="B788" s="4" t="n">
        <v>45844</v>
      </c>
      <c r="C788" s="4" t="n">
        <v>45846</v>
      </c>
      <c r="D788" s="3" t="s">
        <v>2357</v>
      </c>
      <c r="E788" s="3" t="str">
        <f aca="false">PROPER(TRIM(SUBSTITUTE(Raw_Text_Fields!B789,CHAR(160)," ")))</f>
        <v>Ananya Rao</v>
      </c>
      <c r="F788" s="3" t="str">
        <f aca="false">PROPER(TRIM(SUBSTITUTE(Raw_Text_Fields!C789,CHAR(160)," ")))</f>
        <v>Corporate</v>
      </c>
      <c r="G788" s="3" t="str">
        <f aca="false">PROPER(TRIM(SUBSTITUTE(Raw_Text_Fields!D789,CHAR(160)," ")))</f>
        <v>North</v>
      </c>
      <c r="H788" s="3" t="str">
        <f aca="false">PROPER(TRIM(SUBSTITUTE(Raw_Text_Fields!E789,CHAR(160)," ")))</f>
        <v>Rajasthan</v>
      </c>
      <c r="I788" s="3" t="str">
        <f aca="false">PROPER(TRIM(SUBSTITUTE(Raw_Text_Fields!F789,CHAR(160)," ")))</f>
        <v>Jaipur</v>
      </c>
      <c r="J788" s="3" t="str">
        <f aca="false">PROPER(TRIM(SUBSTITUTE(Raw_Text_Fields!G789,CHAR(160)," ")))</f>
        <v>Furniture</v>
      </c>
      <c r="K788" s="3" t="str">
        <f aca="false">PROPER(TRIM(SUBSTITUTE(Raw_Text_Fields!H789,CHAR(160)," ")))</f>
        <v>Furnishings</v>
      </c>
      <c r="L788" s="3" t="s">
        <v>2358</v>
      </c>
      <c r="M788" s="3" t="str">
        <f aca="false">PROPER(TRIM(SUBSTITUTE(Raw_Text_Fields!I789,CHAR(160)," ")))</f>
        <v>Unknown</v>
      </c>
      <c r="N788" s="3" t="n">
        <v>4</v>
      </c>
      <c r="O788" s="5" t="n">
        <v>715.45</v>
      </c>
      <c r="P788" s="6" t="n">
        <v>0.05</v>
      </c>
      <c r="Q788" s="5" t="n">
        <v>2718.71</v>
      </c>
      <c r="R788" s="5" t="n">
        <v>2065.05</v>
      </c>
      <c r="S788" s="5" t="n">
        <v>653.66</v>
      </c>
      <c r="T788" s="3" t="str">
        <f aca="false">PROPER(TRIM(SUBSTITUTE(Raw_Text_Fields!J789,CHAR(160)," ")))</f>
        <v>Refunded</v>
      </c>
      <c r="U788" s="3" t="str">
        <f aca="false">PROPER(TRIM(SUBSTITUTE(Raw_Text_Fields!K789,CHAR(160)," ")))</f>
        <v>Returned</v>
      </c>
      <c r="V788" s="7" t="n">
        <f aca="false">IF(OR(P788&lt;0,P788&gt;0.5),0,P788)</f>
        <v>0.05</v>
      </c>
      <c r="W788" s="8" t="n">
        <f aca="false">N788*O788*(1-V788)</f>
        <v>2718.71</v>
      </c>
      <c r="X788" s="8" t="n">
        <f aca="false">W788-R788</f>
        <v>653.66</v>
      </c>
      <c r="Y788" s="7" t="n">
        <f aca="false">IFERROR(X788/W788,0)</f>
        <v>0.240430204030588</v>
      </c>
      <c r="Z788" s="9" t="n">
        <f aca="false">C788-B788</f>
        <v>2</v>
      </c>
      <c r="AA788" s="1" t="str">
        <f aca="false">IF(B788="","",TEXT(B788,"mmm"))</f>
        <v>Jul</v>
      </c>
      <c r="AB788" s="9" t="n">
        <f aca="false">IF(B788="","",YEAR(B788))</f>
        <v>2025</v>
      </c>
      <c r="AC788" s="3" t="s">
        <v>137</v>
      </c>
      <c r="AD788" s="3" t="str">
        <f aca="false">IF(LEFT(AC788&amp;IF(B788="","; Missing Order Date","")&amp;IF(C788="","; Missing Ship Date","")&amp;IF(P788&lt;0,"; Invalid Discount (Negative)","")&amp;IF(P788&gt;0.5,"; Invalid Discount (Too High)","")&amp;IF(Z788&lt;0,"; Invalid Shipping Record (Ship Before Order)","")&amp;IF(ABS(Q788-W788)&gt;1,"; Sales Mismatch","")&amp;IF(ABS(S788-X788)&gt;1,"; Profit Mismatch","")&amp;IF(COUNTIF($A$2:$A$913,A788)&gt;1,"; Duplicate Order ID Conflict",""),2)="; ",MID(AC788&amp;IF(B788="","; Missing Order Date","")&amp;IF(C788="","; Missing Ship Date","")&amp;IF(P788&lt;0,"; Invalid Discount (Negative)","")&amp;IF(P788&gt;0.5,"; Invalid Discount (Too High)","")&amp;IF(Z788&lt;0,"; Invalid Shipping Record (Ship Before Order)","")&amp;IF(ABS(Q788-W788)&gt;1,"; Sales Mismatch","")&amp;IF(ABS(S788-X788)&gt;1,"; Profit Mismatch","")&amp;IF(COUNTIF($A$2:$A$913,A788)&gt;1,"; Duplicate Order ID Conflict",""),3,500),AC788&amp;IF(B788="","; Missing Order Date","")&amp;IF(C788="","; Missing Ship Date","")&amp;IF(P788&lt;0,"; Invalid Discount (Negative)","")&amp;IF(P788&gt;0.5,"; Invalid Discount (Too High)","")&amp;IF(Z788&lt;0,"; Invalid Shipping Record (Ship Before Order)","")&amp;IF(ABS(Q788-W788)&gt;1,"; Sales Mismatch","")&amp;IF(ABS(S788-X788)&gt;1,"; Profit Mismatch","")&amp;IF(COUNTIF($A$2:$A$913,A788)&gt;1,"; Duplicate Order ID Conflict",""))</f>
        <v>Missing Ship Mode (filled Unknown)</v>
      </c>
      <c r="AE788" s="10" t="str">
        <f aca="false">IF(OR(ISNUMBER(SEARCH("Invalid Discount",AD788)),ISNUMBER(SEARCH("Invalid Shipping Record",AD788)),ISNUMBER(SEARCH("Sales Mismatch",AD788)),ISNUMBER(SEARCH("Profit Mismatch",AD788)),ISNUMBER(SEARCH("Duplicate Order ID Conflict",AD788)),ISNUMBER(SEARCH("Missing Order Date",AD788)),ISNUMBER(SEARCH("Missing Ship Date",AD788))),"Invalid",IF(AD788&lt;&gt;"","Warning","Clean"))</f>
        <v>Warning</v>
      </c>
    </row>
    <row r="789" customFormat="false" ht="15" hidden="false" customHeight="true" outlineLevel="0" collapsed="false">
      <c r="A789" s="3" t="s">
        <v>2359</v>
      </c>
      <c r="B789" s="4" t="n">
        <v>45547</v>
      </c>
      <c r="C789" s="4" t="n">
        <v>45553</v>
      </c>
      <c r="D789" s="3" t="s">
        <v>2360</v>
      </c>
      <c r="E789" s="3" t="str">
        <f aca="false">PROPER(TRIM(SUBSTITUTE(Raw_Text_Fields!B790,CHAR(160)," ")))</f>
        <v>Ananya Rao</v>
      </c>
      <c r="F789" s="3" t="str">
        <f aca="false">PROPER(TRIM(SUBSTITUTE(Raw_Text_Fields!C790,CHAR(160)," ")))</f>
        <v>Home Office</v>
      </c>
      <c r="G789" s="3" t="str">
        <f aca="false">PROPER(TRIM(SUBSTITUTE(Raw_Text_Fields!D790,CHAR(160)," ")))</f>
        <v>East</v>
      </c>
      <c r="H789" s="3" t="str">
        <f aca="false">PROPER(TRIM(SUBSTITUTE(Raw_Text_Fields!E790,CHAR(160)," ")))</f>
        <v>Bihar</v>
      </c>
      <c r="I789" s="3" t="str">
        <f aca="false">PROPER(TRIM(SUBSTITUTE(Raw_Text_Fields!F790,CHAR(160)," ")))</f>
        <v>Patna</v>
      </c>
      <c r="J789" s="3" t="str">
        <f aca="false">PROPER(TRIM(SUBSTITUTE(Raw_Text_Fields!G790,CHAR(160)," ")))</f>
        <v>Office Supplies</v>
      </c>
      <c r="K789" s="3" t="str">
        <f aca="false">PROPER(TRIM(SUBSTITUTE(Raw_Text_Fields!H790,CHAR(160)," ")))</f>
        <v>Paper</v>
      </c>
      <c r="L789" s="3" t="s">
        <v>2361</v>
      </c>
      <c r="M789" s="3" t="str">
        <f aca="false">PROPER(TRIM(SUBSTITUTE(Raw_Text_Fields!I790,CHAR(160)," ")))</f>
        <v>Second Class</v>
      </c>
      <c r="N789" s="3" t="n">
        <v>2</v>
      </c>
      <c r="O789" s="5" t="n">
        <v>3718.77</v>
      </c>
      <c r="P789" s="6" t="n">
        <v>0.05</v>
      </c>
      <c r="Q789" s="5" t="n">
        <v>7065.66</v>
      </c>
      <c r="R789" s="5" t="n">
        <v>4915.27</v>
      </c>
      <c r="S789" s="5" t="n">
        <v>2150.39</v>
      </c>
      <c r="T789" s="3" t="str">
        <f aca="false">PROPER(TRIM(SUBSTITUTE(Raw_Text_Fields!J790,CHAR(160)," ")))</f>
        <v>Paid</v>
      </c>
      <c r="U789" s="3" t="str">
        <f aca="false">PROPER(TRIM(SUBSTITUTE(Raw_Text_Fields!K790,CHAR(160)," ")))</f>
        <v>Completed</v>
      </c>
      <c r="V789" s="7" t="n">
        <f aca="false">IF(OR(P789&lt;0,P789&gt;0.5),0,P789)</f>
        <v>0.05</v>
      </c>
      <c r="W789" s="8" t="n">
        <f aca="false">N789*O789*(1-V789)</f>
        <v>7065.663</v>
      </c>
      <c r="X789" s="8" t="n">
        <f aca="false">W789-R789</f>
        <v>2150.393</v>
      </c>
      <c r="Y789" s="7" t="n">
        <f aca="false">IFERROR(X789/W789,0)</f>
        <v>0.30434412170521</v>
      </c>
      <c r="Z789" s="9" t="n">
        <f aca="false">C789-B789</f>
        <v>6</v>
      </c>
      <c r="AA789" s="1" t="str">
        <f aca="false">IF(B789="","",TEXT(B789,"mmm"))</f>
        <v>Sep</v>
      </c>
      <c r="AB789" s="9" t="n">
        <f aca="false">IF(B789="","",YEAR(B789))</f>
        <v>2024</v>
      </c>
      <c r="AC789" s="3"/>
      <c r="AD789" s="3" t="str">
        <f aca="false">IF(LEFT(AC789&amp;IF(B789="","; Missing Order Date","")&amp;IF(C789="","; Missing Ship Date","")&amp;IF(P789&lt;0,"; Invalid Discount (Negative)","")&amp;IF(P789&gt;0.5,"; Invalid Discount (Too High)","")&amp;IF(Z789&lt;0,"; Invalid Shipping Record (Ship Before Order)","")&amp;IF(ABS(Q789-W789)&gt;1,"; Sales Mismatch","")&amp;IF(ABS(S789-X789)&gt;1,"; Profit Mismatch","")&amp;IF(COUNTIF($A$2:$A$913,A789)&gt;1,"; Duplicate Order ID Conflict",""),2)="; ",MID(AC789&amp;IF(B789="","; Missing Order Date","")&amp;IF(C789="","; Missing Ship Date","")&amp;IF(P789&lt;0,"; Invalid Discount (Negative)","")&amp;IF(P789&gt;0.5,"; Invalid Discount (Too High)","")&amp;IF(Z789&lt;0,"; Invalid Shipping Record (Ship Before Order)","")&amp;IF(ABS(Q789-W789)&gt;1,"; Sales Mismatch","")&amp;IF(ABS(S789-X789)&gt;1,"; Profit Mismatch","")&amp;IF(COUNTIF($A$2:$A$913,A789)&gt;1,"; Duplicate Order ID Conflict",""),3,500),AC789&amp;IF(B789="","; Missing Order Date","")&amp;IF(C789="","; Missing Ship Date","")&amp;IF(P789&lt;0,"; Invalid Discount (Negative)","")&amp;IF(P789&gt;0.5,"; Invalid Discount (Too High)","")&amp;IF(Z789&lt;0,"; Invalid Shipping Record (Ship Before Order)","")&amp;IF(ABS(Q789-W789)&gt;1,"; Sales Mismatch","")&amp;IF(ABS(S789-X789)&gt;1,"; Profit Mismatch","")&amp;IF(COUNTIF($A$2:$A$913,A789)&gt;1,"; Duplicate Order ID Conflict",""))</f>
        <v/>
      </c>
      <c r="AE789" s="10" t="str">
        <f aca="false">IF(OR(ISNUMBER(SEARCH("Invalid Discount",AD789)),ISNUMBER(SEARCH("Invalid Shipping Record",AD789)),ISNUMBER(SEARCH("Sales Mismatch",AD789)),ISNUMBER(SEARCH("Profit Mismatch",AD789)),ISNUMBER(SEARCH("Duplicate Order ID Conflict",AD789)),ISNUMBER(SEARCH("Missing Order Date",AD789)),ISNUMBER(SEARCH("Missing Ship Date",AD789))),"Invalid",IF(AD789&lt;&gt;"","Warning","Clean"))</f>
        <v>Clean</v>
      </c>
    </row>
    <row r="790" customFormat="false" ht="15" hidden="false" customHeight="true" outlineLevel="0" collapsed="false">
      <c r="A790" s="3" t="s">
        <v>2362</v>
      </c>
      <c r="B790" s="4" t="n">
        <v>45505</v>
      </c>
      <c r="C790" s="4" t="n">
        <v>45506</v>
      </c>
      <c r="D790" s="3" t="s">
        <v>2363</v>
      </c>
      <c r="E790" s="3" t="str">
        <f aca="false">PROPER(TRIM(SUBSTITUTE(Raw_Text_Fields!B791,CHAR(160)," ")))</f>
        <v>Isha Nair</v>
      </c>
      <c r="F790" s="3" t="str">
        <f aca="false">PROPER(TRIM(SUBSTITUTE(Raw_Text_Fields!C791,CHAR(160)," ")))</f>
        <v>Corporate</v>
      </c>
      <c r="G790" s="3" t="str">
        <f aca="false">PROPER(TRIM(SUBSTITUTE(Raw_Text_Fields!D791,CHAR(160)," ")))</f>
        <v>North</v>
      </c>
      <c r="H790" s="3" t="str">
        <f aca="false">PROPER(TRIM(SUBSTITUTE(Raw_Text_Fields!E791,CHAR(160)," ")))</f>
        <v>Uttar Pradesh</v>
      </c>
      <c r="I790" s="3" t="str">
        <f aca="false">PROPER(TRIM(SUBSTITUTE(Raw_Text_Fields!F791,CHAR(160)," ")))</f>
        <v>Noida</v>
      </c>
      <c r="J790" s="3" t="str">
        <f aca="false">PROPER(TRIM(SUBSTITUTE(Raw_Text_Fields!G791,CHAR(160)," ")))</f>
        <v>Furniture</v>
      </c>
      <c r="K790" s="3" t="str">
        <f aca="false">PROPER(TRIM(SUBSTITUTE(Raw_Text_Fields!H791,CHAR(160)," ")))</f>
        <v>Chairs</v>
      </c>
      <c r="L790" s="3" t="s">
        <v>2364</v>
      </c>
      <c r="M790" s="3" t="str">
        <f aca="false">PROPER(TRIM(SUBSTITUTE(Raw_Text_Fields!I791,CHAR(160)," ")))</f>
        <v>Standard Class</v>
      </c>
      <c r="N790" s="3" t="n">
        <v>8</v>
      </c>
      <c r="O790" s="5" t="n">
        <v>2487.64</v>
      </c>
      <c r="P790" s="6" t="n">
        <v>0.1</v>
      </c>
      <c r="Q790" s="5" t="n">
        <v>17911.01</v>
      </c>
      <c r="R790" s="5" t="n">
        <v>11546.05</v>
      </c>
      <c r="S790" s="5" t="n">
        <v>6364.96</v>
      </c>
      <c r="T790" s="3" t="str">
        <f aca="false">PROPER(TRIM(SUBSTITUTE(Raw_Text_Fields!J791,CHAR(160)," ")))</f>
        <v>Failed</v>
      </c>
      <c r="U790" s="3" t="str">
        <f aca="false">PROPER(TRIM(SUBSTITUTE(Raw_Text_Fields!K791,CHAR(160)," ")))</f>
        <v>Returned</v>
      </c>
      <c r="V790" s="7" t="n">
        <f aca="false">IF(OR(P790&lt;0,P790&gt;0.5),0,P790)</f>
        <v>0.1</v>
      </c>
      <c r="W790" s="8" t="n">
        <f aca="false">N790*O790*(1-V790)</f>
        <v>17911.008</v>
      </c>
      <c r="X790" s="8" t="n">
        <f aca="false">W790-R790</f>
        <v>6364.958</v>
      </c>
      <c r="Y790" s="7" t="n">
        <f aca="false">IFERROR(X790/W790,0)</f>
        <v>0.355365705827388</v>
      </c>
      <c r="Z790" s="9" t="n">
        <f aca="false">C790-B790</f>
        <v>1</v>
      </c>
      <c r="AA790" s="1" t="str">
        <f aca="false">IF(B790="","",TEXT(B790,"mmm"))</f>
        <v>Aug</v>
      </c>
      <c r="AB790" s="9" t="n">
        <f aca="false">IF(B790="","",YEAR(B790))</f>
        <v>2024</v>
      </c>
      <c r="AC790" s="3"/>
      <c r="AD790" s="3" t="str">
        <f aca="false">IF(LEFT(AC790&amp;IF(B790="","; Missing Order Date","")&amp;IF(C790="","; Missing Ship Date","")&amp;IF(P790&lt;0,"; Invalid Discount (Negative)","")&amp;IF(P790&gt;0.5,"; Invalid Discount (Too High)","")&amp;IF(Z790&lt;0,"; Invalid Shipping Record (Ship Before Order)","")&amp;IF(ABS(Q790-W790)&gt;1,"; Sales Mismatch","")&amp;IF(ABS(S790-X790)&gt;1,"; Profit Mismatch","")&amp;IF(COUNTIF($A$2:$A$913,A790)&gt;1,"; Duplicate Order ID Conflict",""),2)="; ",MID(AC790&amp;IF(B790="","; Missing Order Date","")&amp;IF(C790="","; Missing Ship Date","")&amp;IF(P790&lt;0,"; Invalid Discount (Negative)","")&amp;IF(P790&gt;0.5,"; Invalid Discount (Too High)","")&amp;IF(Z790&lt;0,"; Invalid Shipping Record (Ship Before Order)","")&amp;IF(ABS(Q790-W790)&gt;1,"; Sales Mismatch","")&amp;IF(ABS(S790-X790)&gt;1,"; Profit Mismatch","")&amp;IF(COUNTIF($A$2:$A$913,A790)&gt;1,"; Duplicate Order ID Conflict",""),3,500),AC790&amp;IF(B790="","; Missing Order Date","")&amp;IF(C790="","; Missing Ship Date","")&amp;IF(P790&lt;0,"; Invalid Discount (Negative)","")&amp;IF(P790&gt;0.5,"; Invalid Discount (Too High)","")&amp;IF(Z790&lt;0,"; Invalid Shipping Record (Ship Before Order)","")&amp;IF(ABS(Q790-W790)&gt;1,"; Sales Mismatch","")&amp;IF(ABS(S790-X790)&gt;1,"; Profit Mismatch","")&amp;IF(COUNTIF($A$2:$A$913,A790)&gt;1,"; Duplicate Order ID Conflict",""))</f>
        <v/>
      </c>
      <c r="AE790" s="10" t="str">
        <f aca="false">IF(OR(ISNUMBER(SEARCH("Invalid Discount",AD790)),ISNUMBER(SEARCH("Invalid Shipping Record",AD790)),ISNUMBER(SEARCH("Sales Mismatch",AD790)),ISNUMBER(SEARCH("Profit Mismatch",AD790)),ISNUMBER(SEARCH("Duplicate Order ID Conflict",AD790)),ISNUMBER(SEARCH("Missing Order Date",AD790)),ISNUMBER(SEARCH("Missing Ship Date",AD790))),"Invalid",IF(AD790&lt;&gt;"","Warning","Clean"))</f>
        <v>Clean</v>
      </c>
    </row>
    <row r="791" customFormat="false" ht="15" hidden="false" customHeight="true" outlineLevel="0" collapsed="false">
      <c r="A791" s="3" t="s">
        <v>2365</v>
      </c>
      <c r="B791" s="4" t="n">
        <v>45723</v>
      </c>
      <c r="C791" s="4" t="n">
        <v>45724</v>
      </c>
      <c r="D791" s="3" t="s">
        <v>2366</v>
      </c>
      <c r="E791" s="3" t="str">
        <f aca="false">PROPER(TRIM(SUBSTITUTE(Raw_Text_Fields!B792,CHAR(160)," ")))</f>
        <v>Priya Menon</v>
      </c>
      <c r="F791" s="3" t="str">
        <f aca="false">PROPER(TRIM(SUBSTITUTE(Raw_Text_Fields!C792,CHAR(160)," ")))</f>
        <v>Home Office</v>
      </c>
      <c r="G791" s="3" t="str">
        <f aca="false">PROPER(TRIM(SUBSTITUTE(Raw_Text_Fields!D792,CHAR(160)," ")))</f>
        <v>Unknown</v>
      </c>
      <c r="H791" s="3" t="str">
        <f aca="false">PROPER(TRIM(SUBSTITUTE(Raw_Text_Fields!E792,CHAR(160)," ")))</f>
        <v>Rajasthan</v>
      </c>
      <c r="I791" s="3" t="str">
        <f aca="false">PROPER(TRIM(SUBSTITUTE(Raw_Text_Fields!F792,CHAR(160)," ")))</f>
        <v>Udaipur</v>
      </c>
      <c r="J791" s="3" t="str">
        <f aca="false">PROPER(TRIM(SUBSTITUTE(Raw_Text_Fields!G792,CHAR(160)," ")))</f>
        <v>Technology</v>
      </c>
      <c r="K791" s="3" t="str">
        <f aca="false">PROPER(TRIM(SUBSTITUTE(Raw_Text_Fields!H792,CHAR(160)," ")))</f>
        <v>Copiers</v>
      </c>
      <c r="L791" s="3" t="s">
        <v>2367</v>
      </c>
      <c r="M791" s="3" t="str">
        <f aca="false">PROPER(TRIM(SUBSTITUTE(Raw_Text_Fields!I792,CHAR(160)," ")))</f>
        <v>Same Day</v>
      </c>
      <c r="N791" s="3" t="n">
        <v>4</v>
      </c>
      <c r="O791" s="5" t="n">
        <v>3537.48</v>
      </c>
      <c r="P791" s="6" t="n">
        <v>0</v>
      </c>
      <c r="Q791" s="5" t="n">
        <v>14149.92</v>
      </c>
      <c r="R791" s="5" t="n">
        <v>9466.51</v>
      </c>
      <c r="S791" s="5" t="n">
        <v>4683.41</v>
      </c>
      <c r="T791" s="3" t="str">
        <f aca="false">PROPER(TRIM(SUBSTITUTE(Raw_Text_Fields!J792,CHAR(160)," ")))</f>
        <v>Paid</v>
      </c>
      <c r="U791" s="3" t="str">
        <f aca="false">PROPER(TRIM(SUBSTITUTE(Raw_Text_Fields!K792,CHAR(160)," ")))</f>
        <v>Completed</v>
      </c>
      <c r="V791" s="7" t="n">
        <f aca="false">IF(OR(P791&lt;0,P791&gt;0.5),0,P791)</f>
        <v>0</v>
      </c>
      <c r="W791" s="8" t="n">
        <f aca="false">N791*O791*(1-V791)</f>
        <v>14149.92</v>
      </c>
      <c r="X791" s="8" t="n">
        <f aca="false">W791-R791</f>
        <v>4683.41</v>
      </c>
      <c r="Y791" s="7" t="n">
        <f aca="false">IFERROR(X791/W791,0)</f>
        <v>0.330984910162036</v>
      </c>
      <c r="Z791" s="9" t="n">
        <f aca="false">C791-B791</f>
        <v>1</v>
      </c>
      <c r="AA791" s="1" t="str">
        <f aca="false">IF(B791="","",TEXT(B791,"mmm"))</f>
        <v>Mar</v>
      </c>
      <c r="AB791" s="9" t="n">
        <f aca="false">IF(B791="","",YEAR(B791))</f>
        <v>2025</v>
      </c>
      <c r="AC791" s="3" t="s">
        <v>372</v>
      </c>
      <c r="AD791" s="3" t="str">
        <f aca="false">IF(LEFT(AC791&amp;IF(B791="","; Missing Order Date","")&amp;IF(C791="","; Missing Ship Date","")&amp;IF(P791&lt;0,"; Invalid Discount (Negative)","")&amp;IF(P791&gt;0.5,"; Invalid Discount (Too High)","")&amp;IF(Z791&lt;0,"; Invalid Shipping Record (Ship Before Order)","")&amp;IF(ABS(Q791-W791)&gt;1,"; Sales Mismatch","")&amp;IF(ABS(S791-X791)&gt;1,"; Profit Mismatch","")&amp;IF(COUNTIF($A$2:$A$913,A791)&gt;1,"; Duplicate Order ID Conflict",""),2)="; ",MID(AC791&amp;IF(B791="","; Missing Order Date","")&amp;IF(C791="","; Missing Ship Date","")&amp;IF(P791&lt;0,"; Invalid Discount (Negative)","")&amp;IF(P791&gt;0.5,"; Invalid Discount (Too High)","")&amp;IF(Z791&lt;0,"; Invalid Shipping Record (Ship Before Order)","")&amp;IF(ABS(Q791-W791)&gt;1,"; Sales Mismatch","")&amp;IF(ABS(S791-X791)&gt;1,"; Profit Mismatch","")&amp;IF(COUNTIF($A$2:$A$913,A791)&gt;1,"; Duplicate Order ID Conflict",""),3,500),AC791&amp;IF(B791="","; Missing Order Date","")&amp;IF(C791="","; Missing Ship Date","")&amp;IF(P791&lt;0,"; Invalid Discount (Negative)","")&amp;IF(P791&gt;0.5,"; Invalid Discount (Too High)","")&amp;IF(Z791&lt;0,"; Invalid Shipping Record (Ship Before Order)","")&amp;IF(ABS(Q791-W791)&gt;1,"; Sales Mismatch","")&amp;IF(ABS(S791-X791)&gt;1,"; Profit Mismatch","")&amp;IF(COUNTIF($A$2:$A$913,A791)&gt;1,"; Duplicate Order ID Conflict",""))</f>
        <v>Missing Region (filled Unknown)</v>
      </c>
      <c r="AE791" s="10" t="str">
        <f aca="false">IF(OR(ISNUMBER(SEARCH("Invalid Discount",AD791)),ISNUMBER(SEARCH("Invalid Shipping Record",AD791)),ISNUMBER(SEARCH("Sales Mismatch",AD791)),ISNUMBER(SEARCH("Profit Mismatch",AD791)),ISNUMBER(SEARCH("Duplicate Order ID Conflict",AD791)),ISNUMBER(SEARCH("Missing Order Date",AD791)),ISNUMBER(SEARCH("Missing Ship Date",AD791))),"Invalid",IF(AD791&lt;&gt;"","Warning","Clean"))</f>
        <v>Warning</v>
      </c>
    </row>
    <row r="792" customFormat="false" ht="15" hidden="false" customHeight="true" outlineLevel="0" collapsed="false">
      <c r="A792" s="3" t="s">
        <v>2368</v>
      </c>
      <c r="B792" s="4" t="n">
        <v>45443</v>
      </c>
      <c r="C792" s="4" t="n">
        <v>45445</v>
      </c>
      <c r="D792" s="3" t="s">
        <v>2369</v>
      </c>
      <c r="E792" s="3" t="str">
        <f aca="false">PROPER(TRIM(SUBSTITUTE(Raw_Text_Fields!B793,CHAR(160)," ")))</f>
        <v>Rahul Verma</v>
      </c>
      <c r="F792" s="3" t="str">
        <f aca="false">PROPER(TRIM(SUBSTITUTE(Raw_Text_Fields!C793,CHAR(160)," ")))</f>
        <v>Corporate</v>
      </c>
      <c r="G792" s="3" t="str">
        <f aca="false">PROPER(TRIM(SUBSTITUTE(Raw_Text_Fields!D793,CHAR(160)," ")))</f>
        <v>South</v>
      </c>
      <c r="H792" s="3" t="str">
        <f aca="false">PROPER(TRIM(SUBSTITUTE(Raw_Text_Fields!E793,CHAR(160)," ")))</f>
        <v>Andhra Pradesh</v>
      </c>
      <c r="I792" s="3" t="str">
        <f aca="false">PROPER(TRIM(SUBSTITUTE(Raw_Text_Fields!F793,CHAR(160)," ")))</f>
        <v>Vijayawada</v>
      </c>
      <c r="J792" s="3" t="str">
        <f aca="false">PROPER(TRIM(SUBSTITUTE(Raw_Text_Fields!G793,CHAR(160)," ")))</f>
        <v>Office Supplies</v>
      </c>
      <c r="K792" s="3" t="str">
        <f aca="false">PROPER(TRIM(SUBSTITUTE(Raw_Text_Fields!H793,CHAR(160)," ")))</f>
        <v>Art</v>
      </c>
      <c r="L792" s="3" t="s">
        <v>2370</v>
      </c>
      <c r="M792" s="3" t="str">
        <f aca="false">PROPER(TRIM(SUBSTITUTE(Raw_Text_Fields!I793,CHAR(160)," ")))</f>
        <v>Standard Class</v>
      </c>
      <c r="N792" s="3" t="n">
        <v>8</v>
      </c>
      <c r="O792" s="5" t="n">
        <v>667.59</v>
      </c>
      <c r="P792" s="6" t="n">
        <v>0.2</v>
      </c>
      <c r="Q792" s="5" t="n">
        <v>4272.58</v>
      </c>
      <c r="R792" s="5" t="n">
        <v>3328.92</v>
      </c>
      <c r="S792" s="5" t="n">
        <v>943.66</v>
      </c>
      <c r="T792" s="3" t="str">
        <f aca="false">PROPER(TRIM(SUBSTITUTE(Raw_Text_Fields!J793,CHAR(160)," ")))</f>
        <v>Paid</v>
      </c>
      <c r="U792" s="3" t="str">
        <f aca="false">PROPER(TRIM(SUBSTITUTE(Raw_Text_Fields!K793,CHAR(160)," ")))</f>
        <v>Completed</v>
      </c>
      <c r="V792" s="7" t="n">
        <f aca="false">IF(OR(P792&lt;0,P792&gt;0.5),0,P792)</f>
        <v>0.2</v>
      </c>
      <c r="W792" s="8" t="n">
        <f aca="false">N792*O792*(1-V792)</f>
        <v>4272.576</v>
      </c>
      <c r="X792" s="8" t="n">
        <f aca="false">W792-R792</f>
        <v>943.656</v>
      </c>
      <c r="Y792" s="7" t="n">
        <f aca="false">IFERROR(X792/W792,0)</f>
        <v>0.220863479081472</v>
      </c>
      <c r="Z792" s="9" t="n">
        <f aca="false">C792-B792</f>
        <v>2</v>
      </c>
      <c r="AA792" s="1" t="str">
        <f aca="false">IF(B792="","",TEXT(B792,"mmm"))</f>
        <v>May</v>
      </c>
      <c r="AB792" s="9" t="n">
        <f aca="false">IF(B792="","",YEAR(B792))</f>
        <v>2024</v>
      </c>
      <c r="AC792" s="3"/>
      <c r="AD792" s="3" t="str">
        <f aca="false">IF(LEFT(AC792&amp;IF(B792="","; Missing Order Date","")&amp;IF(C792="","; Missing Ship Date","")&amp;IF(P792&lt;0,"; Invalid Discount (Negative)","")&amp;IF(P792&gt;0.5,"; Invalid Discount (Too High)","")&amp;IF(Z792&lt;0,"; Invalid Shipping Record (Ship Before Order)","")&amp;IF(ABS(Q792-W792)&gt;1,"; Sales Mismatch","")&amp;IF(ABS(S792-X792)&gt;1,"; Profit Mismatch","")&amp;IF(COUNTIF($A$2:$A$913,A792)&gt;1,"; Duplicate Order ID Conflict",""),2)="; ",MID(AC792&amp;IF(B792="","; Missing Order Date","")&amp;IF(C792="","; Missing Ship Date","")&amp;IF(P792&lt;0,"; Invalid Discount (Negative)","")&amp;IF(P792&gt;0.5,"; Invalid Discount (Too High)","")&amp;IF(Z792&lt;0,"; Invalid Shipping Record (Ship Before Order)","")&amp;IF(ABS(Q792-W792)&gt;1,"; Sales Mismatch","")&amp;IF(ABS(S792-X792)&gt;1,"; Profit Mismatch","")&amp;IF(COUNTIF($A$2:$A$913,A792)&gt;1,"; Duplicate Order ID Conflict",""),3,500),AC792&amp;IF(B792="","; Missing Order Date","")&amp;IF(C792="","; Missing Ship Date","")&amp;IF(P792&lt;0,"; Invalid Discount (Negative)","")&amp;IF(P792&gt;0.5,"; Invalid Discount (Too High)","")&amp;IF(Z792&lt;0,"; Invalid Shipping Record (Ship Before Order)","")&amp;IF(ABS(Q792-W792)&gt;1,"; Sales Mismatch","")&amp;IF(ABS(S792-X792)&gt;1,"; Profit Mismatch","")&amp;IF(COUNTIF($A$2:$A$913,A792)&gt;1,"; Duplicate Order ID Conflict",""))</f>
        <v/>
      </c>
      <c r="AE792" s="10" t="str">
        <f aca="false">IF(OR(ISNUMBER(SEARCH("Invalid Discount",AD792)),ISNUMBER(SEARCH("Invalid Shipping Record",AD792)),ISNUMBER(SEARCH("Sales Mismatch",AD792)),ISNUMBER(SEARCH("Profit Mismatch",AD792)),ISNUMBER(SEARCH("Duplicate Order ID Conflict",AD792)),ISNUMBER(SEARCH("Missing Order Date",AD792)),ISNUMBER(SEARCH("Missing Ship Date",AD792))),"Invalid",IF(AD792&lt;&gt;"","Warning","Clean"))</f>
        <v>Clean</v>
      </c>
    </row>
    <row r="793" customFormat="false" ht="15" hidden="false" customHeight="true" outlineLevel="0" collapsed="false">
      <c r="A793" s="3" t="s">
        <v>2371</v>
      </c>
      <c r="B793" s="4" t="n">
        <v>45567</v>
      </c>
      <c r="C793" s="4" t="n">
        <v>45571</v>
      </c>
      <c r="D793" s="3" t="s">
        <v>2372</v>
      </c>
      <c r="E793" s="3" t="str">
        <f aca="false">PROPER(TRIM(SUBSTITUTE(Raw_Text_Fields!B794,CHAR(160)," ")))</f>
        <v>Rahul Verma</v>
      </c>
      <c r="F793" s="3" t="str">
        <f aca="false">PROPER(TRIM(SUBSTITUTE(Raw_Text_Fields!C794,CHAR(160)," ")))</f>
        <v>Home Office</v>
      </c>
      <c r="G793" s="3" t="str">
        <f aca="false">PROPER(TRIM(SUBSTITUTE(Raw_Text_Fields!D794,CHAR(160)," ")))</f>
        <v>South</v>
      </c>
      <c r="H793" s="3" t="str">
        <f aca="false">PROPER(TRIM(SUBSTITUTE(Raw_Text_Fields!E794,CHAR(160)," ")))</f>
        <v>Karnataka</v>
      </c>
      <c r="I793" s="3" t="str">
        <f aca="false">PROPER(TRIM(SUBSTITUTE(Raw_Text_Fields!F794,CHAR(160)," ")))</f>
        <v>Bengaluru</v>
      </c>
      <c r="J793" s="3" t="str">
        <f aca="false">PROPER(TRIM(SUBSTITUTE(Raw_Text_Fields!G794,CHAR(160)," ")))</f>
        <v>Furniture</v>
      </c>
      <c r="K793" s="3" t="str">
        <f aca="false">PROPER(TRIM(SUBSTITUTE(Raw_Text_Fields!H794,CHAR(160)," ")))</f>
        <v>Bookcases</v>
      </c>
      <c r="L793" s="3" t="s">
        <v>2373</v>
      </c>
      <c r="M793" s="3" t="str">
        <f aca="false">PROPER(TRIM(SUBSTITUTE(Raw_Text_Fields!I794,CHAR(160)," ")))</f>
        <v>Same Day</v>
      </c>
      <c r="N793" s="3" t="n">
        <v>8</v>
      </c>
      <c r="O793" s="5" t="n">
        <v>1558.77</v>
      </c>
      <c r="P793" s="6" t="n">
        <v>0.25</v>
      </c>
      <c r="Q793" s="5" t="n">
        <v>9352.62</v>
      </c>
      <c r="R793" s="5" t="n">
        <v>5269.41</v>
      </c>
      <c r="S793" s="5" t="n">
        <v>4083.21</v>
      </c>
      <c r="T793" s="3" t="str">
        <f aca="false">PROPER(TRIM(SUBSTITUTE(Raw_Text_Fields!J794,CHAR(160)," ")))</f>
        <v>Paid</v>
      </c>
      <c r="U793" s="3" t="str">
        <f aca="false">PROPER(TRIM(SUBSTITUTE(Raw_Text_Fields!K794,CHAR(160)," ")))</f>
        <v>Completed</v>
      </c>
      <c r="V793" s="7" t="n">
        <f aca="false">IF(OR(P793&lt;0,P793&gt;0.5),0,P793)</f>
        <v>0.25</v>
      </c>
      <c r="W793" s="8" t="n">
        <f aca="false">N793*O793*(1-V793)</f>
        <v>9352.62</v>
      </c>
      <c r="X793" s="8" t="n">
        <f aca="false">W793-R793</f>
        <v>4083.21</v>
      </c>
      <c r="Y793" s="7" t="n">
        <f aca="false">IFERROR(X793/W793,0)</f>
        <v>0.436584614792432</v>
      </c>
      <c r="Z793" s="9" t="n">
        <f aca="false">C793-B793</f>
        <v>4</v>
      </c>
      <c r="AA793" s="1" t="str">
        <f aca="false">IF(B793="","",TEXT(B793,"mmm"))</f>
        <v>Oct</v>
      </c>
      <c r="AB793" s="9" t="n">
        <f aca="false">IF(B793="","",YEAR(B793))</f>
        <v>2024</v>
      </c>
      <c r="AC793" s="3"/>
      <c r="AD793" s="3" t="str">
        <f aca="false">IF(LEFT(AC793&amp;IF(B793="","; Missing Order Date","")&amp;IF(C793="","; Missing Ship Date","")&amp;IF(P793&lt;0,"; Invalid Discount (Negative)","")&amp;IF(P793&gt;0.5,"; Invalid Discount (Too High)","")&amp;IF(Z793&lt;0,"; Invalid Shipping Record (Ship Before Order)","")&amp;IF(ABS(Q793-W793)&gt;1,"; Sales Mismatch","")&amp;IF(ABS(S793-X793)&gt;1,"; Profit Mismatch","")&amp;IF(COUNTIF($A$2:$A$913,A793)&gt;1,"; Duplicate Order ID Conflict",""),2)="; ",MID(AC793&amp;IF(B793="","; Missing Order Date","")&amp;IF(C793="","; Missing Ship Date","")&amp;IF(P793&lt;0,"; Invalid Discount (Negative)","")&amp;IF(P793&gt;0.5,"; Invalid Discount (Too High)","")&amp;IF(Z793&lt;0,"; Invalid Shipping Record (Ship Before Order)","")&amp;IF(ABS(Q793-W793)&gt;1,"; Sales Mismatch","")&amp;IF(ABS(S793-X793)&gt;1,"; Profit Mismatch","")&amp;IF(COUNTIF($A$2:$A$913,A793)&gt;1,"; Duplicate Order ID Conflict",""),3,500),AC793&amp;IF(B793="","; Missing Order Date","")&amp;IF(C793="","; Missing Ship Date","")&amp;IF(P793&lt;0,"; Invalid Discount (Negative)","")&amp;IF(P793&gt;0.5,"; Invalid Discount (Too High)","")&amp;IF(Z793&lt;0,"; Invalid Shipping Record (Ship Before Order)","")&amp;IF(ABS(Q793-W793)&gt;1,"; Sales Mismatch","")&amp;IF(ABS(S793-X793)&gt;1,"; Profit Mismatch","")&amp;IF(COUNTIF($A$2:$A$913,A793)&gt;1,"; Duplicate Order ID Conflict",""))</f>
        <v/>
      </c>
      <c r="AE793" s="10" t="str">
        <f aca="false">IF(OR(ISNUMBER(SEARCH("Invalid Discount",AD793)),ISNUMBER(SEARCH("Invalid Shipping Record",AD793)),ISNUMBER(SEARCH("Sales Mismatch",AD793)),ISNUMBER(SEARCH("Profit Mismatch",AD793)),ISNUMBER(SEARCH("Duplicate Order ID Conflict",AD793)),ISNUMBER(SEARCH("Missing Order Date",AD793)),ISNUMBER(SEARCH("Missing Ship Date",AD793))),"Invalid",IF(AD793&lt;&gt;"","Warning","Clean"))</f>
        <v>Clean</v>
      </c>
    </row>
    <row r="794" customFormat="false" ht="15" hidden="false" customHeight="true" outlineLevel="0" collapsed="false">
      <c r="A794" s="3" t="s">
        <v>2374</v>
      </c>
      <c r="B794" s="4" t="n">
        <v>45812</v>
      </c>
      <c r="C794" s="4" t="n">
        <v>45816</v>
      </c>
      <c r="D794" s="3" t="s">
        <v>2375</v>
      </c>
      <c r="E794" s="3" t="str">
        <f aca="false">PROPER(TRIM(SUBSTITUTE(Raw_Text_Fields!B795,CHAR(160)," ")))</f>
        <v>Arjun Bose</v>
      </c>
      <c r="F794" s="3" t="str">
        <f aca="false">PROPER(TRIM(SUBSTITUTE(Raw_Text_Fields!C795,CHAR(160)," ")))</f>
        <v>Small Business</v>
      </c>
      <c r="G794" s="3" t="str">
        <f aca="false">PROPER(TRIM(SUBSTITUTE(Raw_Text_Fields!D795,CHAR(160)," ")))</f>
        <v>East</v>
      </c>
      <c r="H794" s="3" t="str">
        <f aca="false">PROPER(TRIM(SUBSTITUTE(Raw_Text_Fields!E795,CHAR(160)," ")))</f>
        <v>Assam</v>
      </c>
      <c r="I794" s="3" t="str">
        <f aca="false">PROPER(TRIM(SUBSTITUTE(Raw_Text_Fields!F795,CHAR(160)," ")))</f>
        <v>Guwahati</v>
      </c>
      <c r="J794" s="3" t="str">
        <f aca="false">PROPER(TRIM(SUBSTITUTE(Raw_Text_Fields!G795,CHAR(160)," ")))</f>
        <v>Furniture</v>
      </c>
      <c r="K794" s="3" t="str">
        <f aca="false">PROPER(TRIM(SUBSTITUTE(Raw_Text_Fields!H795,CHAR(160)," ")))</f>
        <v>Furnishings</v>
      </c>
      <c r="L794" s="3" t="s">
        <v>2376</v>
      </c>
      <c r="M794" s="3" t="str">
        <f aca="false">PROPER(TRIM(SUBSTITUTE(Raw_Text_Fields!I795,CHAR(160)," ")))</f>
        <v>Second Class</v>
      </c>
      <c r="N794" s="3" t="n">
        <v>1</v>
      </c>
      <c r="O794" s="5" t="n">
        <v>3501.12</v>
      </c>
      <c r="P794" s="6" t="n">
        <v>0.2</v>
      </c>
      <c r="Q794" s="5" t="n">
        <v>2800.9</v>
      </c>
      <c r="R794" s="5" t="n">
        <v>1735.98</v>
      </c>
      <c r="S794" s="5" t="n">
        <v>1064.92</v>
      </c>
      <c r="T794" s="3" t="str">
        <f aca="false">PROPER(TRIM(SUBSTITUTE(Raw_Text_Fields!J795,CHAR(160)," ")))</f>
        <v>Paid</v>
      </c>
      <c r="U794" s="3" t="str">
        <f aca="false">PROPER(TRIM(SUBSTITUTE(Raw_Text_Fields!K795,CHAR(160)," ")))</f>
        <v>Returned</v>
      </c>
      <c r="V794" s="7" t="n">
        <f aca="false">IF(OR(P794&lt;0,P794&gt;0.5),0,P794)</f>
        <v>0.2</v>
      </c>
      <c r="W794" s="8" t="n">
        <f aca="false">N794*O794*(1-V794)</f>
        <v>2800.896</v>
      </c>
      <c r="X794" s="8" t="n">
        <f aca="false">W794-R794</f>
        <v>1064.916</v>
      </c>
      <c r="Y794" s="7" t="n">
        <f aca="false">IFERROR(X794/W794,0)</f>
        <v>0.380205477104469</v>
      </c>
      <c r="Z794" s="9" t="n">
        <f aca="false">C794-B794</f>
        <v>4</v>
      </c>
      <c r="AA794" s="1" t="str">
        <f aca="false">IF(B794="","",TEXT(B794,"mmm"))</f>
        <v>Jun</v>
      </c>
      <c r="AB794" s="9" t="n">
        <f aca="false">IF(B794="","",YEAR(B794))</f>
        <v>2025</v>
      </c>
      <c r="AC794" s="3"/>
      <c r="AD794" s="3" t="str">
        <f aca="false">IF(LEFT(AC794&amp;IF(B794="","; Missing Order Date","")&amp;IF(C794="","; Missing Ship Date","")&amp;IF(P794&lt;0,"; Invalid Discount (Negative)","")&amp;IF(P794&gt;0.5,"; Invalid Discount (Too High)","")&amp;IF(Z794&lt;0,"; Invalid Shipping Record (Ship Before Order)","")&amp;IF(ABS(Q794-W794)&gt;1,"; Sales Mismatch","")&amp;IF(ABS(S794-X794)&gt;1,"; Profit Mismatch","")&amp;IF(COUNTIF($A$2:$A$913,A794)&gt;1,"; Duplicate Order ID Conflict",""),2)="; ",MID(AC794&amp;IF(B794="","; Missing Order Date","")&amp;IF(C794="","; Missing Ship Date","")&amp;IF(P794&lt;0,"; Invalid Discount (Negative)","")&amp;IF(P794&gt;0.5,"; Invalid Discount (Too High)","")&amp;IF(Z794&lt;0,"; Invalid Shipping Record (Ship Before Order)","")&amp;IF(ABS(Q794-W794)&gt;1,"; Sales Mismatch","")&amp;IF(ABS(S794-X794)&gt;1,"; Profit Mismatch","")&amp;IF(COUNTIF($A$2:$A$913,A794)&gt;1,"; Duplicate Order ID Conflict",""),3,500),AC794&amp;IF(B794="","; Missing Order Date","")&amp;IF(C794="","; Missing Ship Date","")&amp;IF(P794&lt;0,"; Invalid Discount (Negative)","")&amp;IF(P794&gt;0.5,"; Invalid Discount (Too High)","")&amp;IF(Z794&lt;0,"; Invalid Shipping Record (Ship Before Order)","")&amp;IF(ABS(Q794-W794)&gt;1,"; Sales Mismatch","")&amp;IF(ABS(S794-X794)&gt;1,"; Profit Mismatch","")&amp;IF(COUNTIF($A$2:$A$913,A794)&gt;1,"; Duplicate Order ID Conflict",""))</f>
        <v/>
      </c>
      <c r="AE794" s="10" t="str">
        <f aca="false">IF(OR(ISNUMBER(SEARCH("Invalid Discount",AD794)),ISNUMBER(SEARCH("Invalid Shipping Record",AD794)),ISNUMBER(SEARCH("Sales Mismatch",AD794)),ISNUMBER(SEARCH("Profit Mismatch",AD794)),ISNUMBER(SEARCH("Duplicate Order ID Conflict",AD794)),ISNUMBER(SEARCH("Missing Order Date",AD794)),ISNUMBER(SEARCH("Missing Ship Date",AD794))),"Invalid",IF(AD794&lt;&gt;"","Warning","Clean"))</f>
        <v>Clean</v>
      </c>
    </row>
    <row r="795" customFormat="false" ht="15" hidden="false" customHeight="true" outlineLevel="0" collapsed="false">
      <c r="A795" s="3" t="s">
        <v>2377</v>
      </c>
      <c r="B795" s="4" t="n">
        <v>45440</v>
      </c>
      <c r="C795" s="4" t="n">
        <v>45446</v>
      </c>
      <c r="D795" s="3" t="s">
        <v>2378</v>
      </c>
      <c r="E795" s="3" t="str">
        <f aca="false">PROPER(TRIM(SUBSTITUTE(Raw_Text_Fields!B796,CHAR(160)," ")))</f>
        <v>Vikram Iyer</v>
      </c>
      <c r="F795" s="3" t="str">
        <f aca="false">PROPER(TRIM(SUBSTITUTE(Raw_Text_Fields!C796,CHAR(160)," ")))</f>
        <v>Corporate</v>
      </c>
      <c r="G795" s="3" t="str">
        <f aca="false">PROPER(TRIM(SUBSTITUTE(Raw_Text_Fields!D796,CHAR(160)," ")))</f>
        <v>North</v>
      </c>
      <c r="H795" s="3" t="str">
        <f aca="false">PROPER(TRIM(SUBSTITUTE(Raw_Text_Fields!E796,CHAR(160)," ")))</f>
        <v>Rajasthan</v>
      </c>
      <c r="I795" s="3" t="str">
        <f aca="false">PROPER(TRIM(SUBSTITUTE(Raw_Text_Fields!F796,CHAR(160)," ")))</f>
        <v>Jaipur</v>
      </c>
      <c r="J795" s="3" t="str">
        <f aca="false">PROPER(TRIM(SUBSTITUTE(Raw_Text_Fields!G796,CHAR(160)," ")))</f>
        <v>Technology</v>
      </c>
      <c r="K795" s="3" t="str">
        <f aca="false">PROPER(TRIM(SUBSTITUTE(Raw_Text_Fields!H796,CHAR(160)," ")))</f>
        <v>Copiers</v>
      </c>
      <c r="L795" s="3" t="s">
        <v>2379</v>
      </c>
      <c r="M795" s="3" t="str">
        <f aca="false">PROPER(TRIM(SUBSTITUTE(Raw_Text_Fields!I796,CHAR(160)," ")))</f>
        <v>Second Class</v>
      </c>
      <c r="N795" s="3" t="n">
        <v>5</v>
      </c>
      <c r="O795" s="5" t="n">
        <v>4302.32</v>
      </c>
      <c r="P795" s="6" t="n">
        <v>0</v>
      </c>
      <c r="Q795" s="5" t="n">
        <v>21511.6</v>
      </c>
      <c r="R795" s="5" t="n">
        <v>15408.47</v>
      </c>
      <c r="S795" s="5" t="n">
        <v>6103.13</v>
      </c>
      <c r="T795" s="3" t="str">
        <f aca="false">PROPER(TRIM(SUBSTITUTE(Raw_Text_Fields!J796,CHAR(160)," ")))</f>
        <v>Paid</v>
      </c>
      <c r="U795" s="3" t="str">
        <f aca="false">PROPER(TRIM(SUBSTITUTE(Raw_Text_Fields!K796,CHAR(160)," ")))</f>
        <v>Completed</v>
      </c>
      <c r="V795" s="7" t="n">
        <f aca="false">IF(OR(P795&lt;0,P795&gt;0.5),0,P795)</f>
        <v>0</v>
      </c>
      <c r="W795" s="8" t="n">
        <f aca="false">N795*O795*(1-V795)</f>
        <v>21511.6</v>
      </c>
      <c r="X795" s="8" t="n">
        <f aca="false">W795-R795</f>
        <v>6103.13</v>
      </c>
      <c r="Y795" s="7" t="n">
        <f aca="false">IFERROR(X795/W795,0)</f>
        <v>0.283713438330947</v>
      </c>
      <c r="Z795" s="9" t="n">
        <f aca="false">C795-B795</f>
        <v>6</v>
      </c>
      <c r="AA795" s="1" t="str">
        <f aca="false">IF(B795="","",TEXT(B795,"mmm"))</f>
        <v>May</v>
      </c>
      <c r="AB795" s="9" t="n">
        <f aca="false">IF(B795="","",YEAR(B795))</f>
        <v>2024</v>
      </c>
      <c r="AC795" s="3"/>
      <c r="AD795" s="3" t="str">
        <f aca="false">IF(LEFT(AC795&amp;IF(B795="","; Missing Order Date","")&amp;IF(C795="","; Missing Ship Date","")&amp;IF(P795&lt;0,"; Invalid Discount (Negative)","")&amp;IF(P795&gt;0.5,"; Invalid Discount (Too High)","")&amp;IF(Z795&lt;0,"; Invalid Shipping Record (Ship Before Order)","")&amp;IF(ABS(Q795-W795)&gt;1,"; Sales Mismatch","")&amp;IF(ABS(S795-X795)&gt;1,"; Profit Mismatch","")&amp;IF(COUNTIF($A$2:$A$913,A795)&gt;1,"; Duplicate Order ID Conflict",""),2)="; ",MID(AC795&amp;IF(B795="","; Missing Order Date","")&amp;IF(C795="","; Missing Ship Date","")&amp;IF(P795&lt;0,"; Invalid Discount (Negative)","")&amp;IF(P795&gt;0.5,"; Invalid Discount (Too High)","")&amp;IF(Z795&lt;0,"; Invalid Shipping Record (Ship Before Order)","")&amp;IF(ABS(Q795-W795)&gt;1,"; Sales Mismatch","")&amp;IF(ABS(S795-X795)&gt;1,"; Profit Mismatch","")&amp;IF(COUNTIF($A$2:$A$913,A795)&gt;1,"; Duplicate Order ID Conflict",""),3,500),AC795&amp;IF(B795="","; Missing Order Date","")&amp;IF(C795="","; Missing Ship Date","")&amp;IF(P795&lt;0,"; Invalid Discount (Negative)","")&amp;IF(P795&gt;0.5,"; Invalid Discount (Too High)","")&amp;IF(Z795&lt;0,"; Invalid Shipping Record (Ship Before Order)","")&amp;IF(ABS(Q795-W795)&gt;1,"; Sales Mismatch","")&amp;IF(ABS(S795-X795)&gt;1,"; Profit Mismatch","")&amp;IF(COUNTIF($A$2:$A$913,A795)&gt;1,"; Duplicate Order ID Conflict",""))</f>
        <v/>
      </c>
      <c r="AE795" s="10" t="str">
        <f aca="false">IF(OR(ISNUMBER(SEARCH("Invalid Discount",AD795)),ISNUMBER(SEARCH("Invalid Shipping Record",AD795)),ISNUMBER(SEARCH("Sales Mismatch",AD795)),ISNUMBER(SEARCH("Profit Mismatch",AD795)),ISNUMBER(SEARCH("Duplicate Order ID Conflict",AD795)),ISNUMBER(SEARCH("Missing Order Date",AD795)),ISNUMBER(SEARCH("Missing Ship Date",AD795))),"Invalid",IF(AD795&lt;&gt;"","Warning","Clean"))</f>
        <v>Clean</v>
      </c>
    </row>
    <row r="796" customFormat="false" ht="15" hidden="false" customHeight="true" outlineLevel="0" collapsed="false">
      <c r="A796" s="3" t="s">
        <v>2380</v>
      </c>
      <c r="B796" s="4" t="n">
        <v>45830</v>
      </c>
      <c r="C796" s="4" t="n">
        <v>45832</v>
      </c>
      <c r="D796" s="3" t="s">
        <v>2381</v>
      </c>
      <c r="E796" s="3" t="str">
        <f aca="false">PROPER(TRIM(SUBSTITUTE(Raw_Text_Fields!B797,CHAR(160)," ")))</f>
        <v>Sneha Kapoor</v>
      </c>
      <c r="F796" s="3" t="str">
        <f aca="false">PROPER(TRIM(SUBSTITUTE(Raw_Text_Fields!C797,CHAR(160)," ")))</f>
        <v>Corporate</v>
      </c>
      <c r="G796" s="3" t="str">
        <f aca="false">PROPER(TRIM(SUBSTITUTE(Raw_Text_Fields!D797,CHAR(160)," ")))</f>
        <v>East</v>
      </c>
      <c r="H796" s="3" t="str">
        <f aca="false">PROPER(TRIM(SUBSTITUTE(Raw_Text_Fields!E797,CHAR(160)," ")))</f>
        <v>Assam</v>
      </c>
      <c r="I796" s="3" t="str">
        <f aca="false">PROPER(TRIM(SUBSTITUTE(Raw_Text_Fields!F797,CHAR(160)," ")))</f>
        <v>Guwahati</v>
      </c>
      <c r="J796" s="3" t="str">
        <f aca="false">PROPER(TRIM(SUBSTITUTE(Raw_Text_Fields!G797,CHAR(160)," ")))</f>
        <v>Office Supplies</v>
      </c>
      <c r="K796" s="3" t="str">
        <f aca="false">PROPER(TRIM(SUBSTITUTE(Raw_Text_Fields!H797,CHAR(160)," ")))</f>
        <v>Paper</v>
      </c>
      <c r="L796" s="3" t="s">
        <v>2382</v>
      </c>
      <c r="M796" s="3" t="str">
        <f aca="false">PROPER(TRIM(SUBSTITUTE(Raw_Text_Fields!I797,CHAR(160)," ")))</f>
        <v>Standard Class</v>
      </c>
      <c r="N796" s="3" t="n">
        <v>9</v>
      </c>
      <c r="O796" s="5" t="n">
        <v>951.55</v>
      </c>
      <c r="P796" s="6" t="n">
        <v>0.15</v>
      </c>
      <c r="Q796" s="5" t="n">
        <v>7279.36</v>
      </c>
      <c r="R796" s="5" t="n">
        <v>4870.39</v>
      </c>
      <c r="S796" s="5" t="n">
        <v>2408.97</v>
      </c>
      <c r="T796" s="3" t="str">
        <f aca="false">PROPER(TRIM(SUBSTITUTE(Raw_Text_Fields!J797,CHAR(160)," ")))</f>
        <v>Paid</v>
      </c>
      <c r="U796" s="3" t="str">
        <f aca="false">PROPER(TRIM(SUBSTITUTE(Raw_Text_Fields!K797,CHAR(160)," ")))</f>
        <v>Completed</v>
      </c>
      <c r="V796" s="7" t="n">
        <f aca="false">IF(OR(P796&lt;0,P796&gt;0.5),0,P796)</f>
        <v>0.15</v>
      </c>
      <c r="W796" s="8" t="n">
        <f aca="false">N796*O796*(1-V796)</f>
        <v>7279.3575</v>
      </c>
      <c r="X796" s="8" t="n">
        <f aca="false">W796-R796</f>
        <v>2408.9675</v>
      </c>
      <c r="Y796" s="7" t="n">
        <f aca="false">IFERROR(X796/W796,0)</f>
        <v>0.330931335629552</v>
      </c>
      <c r="Z796" s="9" t="n">
        <f aca="false">C796-B796</f>
        <v>2</v>
      </c>
      <c r="AA796" s="1" t="str">
        <f aca="false">IF(B796="","",TEXT(B796,"mmm"))</f>
        <v>Jun</v>
      </c>
      <c r="AB796" s="9" t="n">
        <f aca="false">IF(B796="","",YEAR(B796))</f>
        <v>2025</v>
      </c>
      <c r="AC796" s="3"/>
      <c r="AD796" s="3" t="str">
        <f aca="false">IF(LEFT(AC796&amp;IF(B796="","; Missing Order Date","")&amp;IF(C796="","; Missing Ship Date","")&amp;IF(P796&lt;0,"; Invalid Discount (Negative)","")&amp;IF(P796&gt;0.5,"; Invalid Discount (Too High)","")&amp;IF(Z796&lt;0,"; Invalid Shipping Record (Ship Before Order)","")&amp;IF(ABS(Q796-W796)&gt;1,"; Sales Mismatch","")&amp;IF(ABS(S796-X796)&gt;1,"; Profit Mismatch","")&amp;IF(COUNTIF($A$2:$A$913,A796)&gt;1,"; Duplicate Order ID Conflict",""),2)="; ",MID(AC796&amp;IF(B796="","; Missing Order Date","")&amp;IF(C796="","; Missing Ship Date","")&amp;IF(P796&lt;0,"; Invalid Discount (Negative)","")&amp;IF(P796&gt;0.5,"; Invalid Discount (Too High)","")&amp;IF(Z796&lt;0,"; Invalid Shipping Record (Ship Before Order)","")&amp;IF(ABS(Q796-W796)&gt;1,"; Sales Mismatch","")&amp;IF(ABS(S796-X796)&gt;1,"; Profit Mismatch","")&amp;IF(COUNTIF($A$2:$A$913,A796)&gt;1,"; Duplicate Order ID Conflict",""),3,500),AC796&amp;IF(B796="","; Missing Order Date","")&amp;IF(C796="","; Missing Ship Date","")&amp;IF(P796&lt;0,"; Invalid Discount (Negative)","")&amp;IF(P796&gt;0.5,"; Invalid Discount (Too High)","")&amp;IF(Z796&lt;0,"; Invalid Shipping Record (Ship Before Order)","")&amp;IF(ABS(Q796-W796)&gt;1,"; Sales Mismatch","")&amp;IF(ABS(S796-X796)&gt;1,"; Profit Mismatch","")&amp;IF(COUNTIF($A$2:$A$913,A796)&gt;1,"; Duplicate Order ID Conflict",""))</f>
        <v/>
      </c>
      <c r="AE796" s="10" t="str">
        <f aca="false">IF(OR(ISNUMBER(SEARCH("Invalid Discount",AD796)),ISNUMBER(SEARCH("Invalid Shipping Record",AD796)),ISNUMBER(SEARCH("Sales Mismatch",AD796)),ISNUMBER(SEARCH("Profit Mismatch",AD796)),ISNUMBER(SEARCH("Duplicate Order ID Conflict",AD796)),ISNUMBER(SEARCH("Missing Order Date",AD796)),ISNUMBER(SEARCH("Missing Ship Date",AD796))),"Invalid",IF(AD796&lt;&gt;"","Warning","Clean"))</f>
        <v>Clean</v>
      </c>
    </row>
    <row r="797" customFormat="false" ht="15" hidden="false" customHeight="true" outlineLevel="0" collapsed="false">
      <c r="A797" s="3" t="s">
        <v>2383</v>
      </c>
      <c r="B797" s="4" t="n">
        <v>45503</v>
      </c>
      <c r="C797" s="4" t="n">
        <v>45503</v>
      </c>
      <c r="D797" s="3" t="s">
        <v>2384</v>
      </c>
      <c r="E797" s="3" t="str">
        <f aca="false">PROPER(TRIM(SUBSTITUTE(Raw_Text_Fields!B798,CHAR(160)," ")))</f>
        <v>Diya Patel</v>
      </c>
      <c r="F797" s="3" t="str">
        <f aca="false">PROPER(TRIM(SUBSTITUTE(Raw_Text_Fields!C798,CHAR(160)," ")))</f>
        <v>Home Office</v>
      </c>
      <c r="G797" s="3" t="str">
        <f aca="false">PROPER(TRIM(SUBSTITUTE(Raw_Text_Fields!D798,CHAR(160)," ")))</f>
        <v>East</v>
      </c>
      <c r="H797" s="3" t="str">
        <f aca="false">PROPER(TRIM(SUBSTITUTE(Raw_Text_Fields!E798,CHAR(160)," ")))</f>
        <v>Odisha</v>
      </c>
      <c r="I797" s="3" t="str">
        <f aca="false">PROPER(TRIM(SUBSTITUTE(Raw_Text_Fields!F798,CHAR(160)," ")))</f>
        <v>Bhubaneswar</v>
      </c>
      <c r="J797" s="3" t="str">
        <f aca="false">PROPER(TRIM(SUBSTITUTE(Raw_Text_Fields!G798,CHAR(160)," ")))</f>
        <v>Technology</v>
      </c>
      <c r="K797" s="3" t="str">
        <f aca="false">PROPER(TRIM(SUBSTITUTE(Raw_Text_Fields!H798,CHAR(160)," ")))</f>
        <v>Copiers</v>
      </c>
      <c r="L797" s="3" t="s">
        <v>2385</v>
      </c>
      <c r="M797" s="3" t="str">
        <f aca="false">PROPER(TRIM(SUBSTITUTE(Raw_Text_Fields!I798,CHAR(160)," ")))</f>
        <v>Same Day</v>
      </c>
      <c r="N797" s="3" t="n">
        <v>9</v>
      </c>
      <c r="O797" s="5" t="n">
        <v>2894.66</v>
      </c>
      <c r="P797" s="6" t="n">
        <v>0</v>
      </c>
      <c r="Q797" s="5" t="n">
        <v>26051.94</v>
      </c>
      <c r="R797" s="5" t="n">
        <v>16883.59</v>
      </c>
      <c r="S797" s="5" t="n">
        <v>9168.35</v>
      </c>
      <c r="T797" s="3" t="str">
        <f aca="false">PROPER(TRIM(SUBSTITUTE(Raw_Text_Fields!J798,CHAR(160)," ")))</f>
        <v>Refunded</v>
      </c>
      <c r="U797" s="3" t="str">
        <f aca="false">PROPER(TRIM(SUBSTITUTE(Raw_Text_Fields!K798,CHAR(160)," ")))</f>
        <v>Cancelled</v>
      </c>
      <c r="V797" s="7" t="n">
        <f aca="false">IF(OR(P797&lt;0,P797&gt;0.5),0,P797)</f>
        <v>0</v>
      </c>
      <c r="W797" s="8" t="n">
        <f aca="false">N797*O797*(1-V797)</f>
        <v>26051.94</v>
      </c>
      <c r="X797" s="8" t="n">
        <f aca="false">W797-R797</f>
        <v>9168.35</v>
      </c>
      <c r="Y797" s="7" t="n">
        <f aca="false">IFERROR(X797/W797,0)</f>
        <v>0.351925806676969</v>
      </c>
      <c r="Z797" s="9" t="n">
        <f aca="false">C797-B797</f>
        <v>0</v>
      </c>
      <c r="AA797" s="1" t="str">
        <f aca="false">IF(B797="","",TEXT(B797,"mmm"))</f>
        <v>Jul</v>
      </c>
      <c r="AB797" s="9" t="n">
        <f aca="false">IF(B797="","",YEAR(B797))</f>
        <v>2024</v>
      </c>
      <c r="AC797" s="3"/>
      <c r="AD797" s="3" t="str">
        <f aca="false">IF(LEFT(AC797&amp;IF(B797="","; Missing Order Date","")&amp;IF(C797="","; Missing Ship Date","")&amp;IF(P797&lt;0,"; Invalid Discount (Negative)","")&amp;IF(P797&gt;0.5,"; Invalid Discount (Too High)","")&amp;IF(Z797&lt;0,"; Invalid Shipping Record (Ship Before Order)","")&amp;IF(ABS(Q797-W797)&gt;1,"; Sales Mismatch","")&amp;IF(ABS(S797-X797)&gt;1,"; Profit Mismatch","")&amp;IF(COUNTIF($A$2:$A$913,A797)&gt;1,"; Duplicate Order ID Conflict",""),2)="; ",MID(AC797&amp;IF(B797="","; Missing Order Date","")&amp;IF(C797="","; Missing Ship Date","")&amp;IF(P797&lt;0,"; Invalid Discount (Negative)","")&amp;IF(P797&gt;0.5,"; Invalid Discount (Too High)","")&amp;IF(Z797&lt;0,"; Invalid Shipping Record (Ship Before Order)","")&amp;IF(ABS(Q797-W797)&gt;1,"; Sales Mismatch","")&amp;IF(ABS(S797-X797)&gt;1,"; Profit Mismatch","")&amp;IF(COUNTIF($A$2:$A$913,A797)&gt;1,"; Duplicate Order ID Conflict",""),3,500),AC797&amp;IF(B797="","; Missing Order Date","")&amp;IF(C797="","; Missing Ship Date","")&amp;IF(P797&lt;0,"; Invalid Discount (Negative)","")&amp;IF(P797&gt;0.5,"; Invalid Discount (Too High)","")&amp;IF(Z797&lt;0,"; Invalid Shipping Record (Ship Before Order)","")&amp;IF(ABS(Q797-W797)&gt;1,"; Sales Mismatch","")&amp;IF(ABS(S797-X797)&gt;1,"; Profit Mismatch","")&amp;IF(COUNTIF($A$2:$A$913,A797)&gt;1,"; Duplicate Order ID Conflict",""))</f>
        <v/>
      </c>
      <c r="AE797" s="10" t="str">
        <f aca="false">IF(OR(ISNUMBER(SEARCH("Invalid Discount",AD797)),ISNUMBER(SEARCH("Invalid Shipping Record",AD797)),ISNUMBER(SEARCH("Sales Mismatch",AD797)),ISNUMBER(SEARCH("Profit Mismatch",AD797)),ISNUMBER(SEARCH("Duplicate Order ID Conflict",AD797)),ISNUMBER(SEARCH("Missing Order Date",AD797)),ISNUMBER(SEARCH("Missing Ship Date",AD797))),"Invalid",IF(AD797&lt;&gt;"","Warning","Clean"))</f>
        <v>Clean</v>
      </c>
    </row>
    <row r="798" customFormat="false" ht="15" hidden="false" customHeight="true" outlineLevel="0" collapsed="false">
      <c r="A798" s="3" t="s">
        <v>2386</v>
      </c>
      <c r="B798" s="4" t="n">
        <v>45374</v>
      </c>
      <c r="C798" s="4" t="n">
        <v>45381</v>
      </c>
      <c r="D798" s="3" t="s">
        <v>2387</v>
      </c>
      <c r="E798" s="3" t="str">
        <f aca="false">PROPER(TRIM(SUBSTITUTE(Raw_Text_Fields!B799,CHAR(160)," ")))</f>
        <v>Rohan Mehta</v>
      </c>
      <c r="F798" s="3" t="str">
        <f aca="false">PROPER(TRIM(SUBSTITUTE(Raw_Text_Fields!C799,CHAR(160)," ")))</f>
        <v>Small Business</v>
      </c>
      <c r="G798" s="3" t="str">
        <f aca="false">PROPER(TRIM(SUBSTITUTE(Raw_Text_Fields!D799,CHAR(160)," ")))</f>
        <v>South</v>
      </c>
      <c r="H798" s="3" t="str">
        <f aca="false">PROPER(TRIM(SUBSTITUTE(Raw_Text_Fields!E799,CHAR(160)," ")))</f>
        <v>Andhra Pradesh</v>
      </c>
      <c r="I798" s="3" t="str">
        <f aca="false">PROPER(TRIM(SUBSTITUTE(Raw_Text_Fields!F799,CHAR(160)," ")))</f>
        <v>Vijayawada</v>
      </c>
      <c r="J798" s="3" t="str">
        <f aca="false">PROPER(TRIM(SUBSTITUTE(Raw_Text_Fields!G799,CHAR(160)," ")))</f>
        <v>Technology</v>
      </c>
      <c r="K798" s="3" t="str">
        <f aca="false">PROPER(TRIM(SUBSTITUTE(Raw_Text_Fields!H799,CHAR(160)," ")))</f>
        <v>Machines</v>
      </c>
      <c r="L798" s="3" t="s">
        <v>2388</v>
      </c>
      <c r="M798" s="3" t="str">
        <f aca="false">PROPER(TRIM(SUBSTITUTE(Raw_Text_Fields!I799,CHAR(160)," ")))</f>
        <v>First Class</v>
      </c>
      <c r="N798" s="3" t="n">
        <v>6</v>
      </c>
      <c r="O798" s="5" t="n">
        <v>1894.44</v>
      </c>
      <c r="P798" s="6" t="n">
        <v>0.15</v>
      </c>
      <c r="Q798" s="5" t="n">
        <v>9661.64</v>
      </c>
      <c r="R798" s="5" t="n">
        <v>6303.77</v>
      </c>
      <c r="S798" s="5" t="n">
        <v>3357.87</v>
      </c>
      <c r="T798" s="3" t="str">
        <f aca="false">PROPER(TRIM(SUBSTITUTE(Raw_Text_Fields!J799,CHAR(160)," ")))</f>
        <v>Paid</v>
      </c>
      <c r="U798" s="3" t="str">
        <f aca="false">PROPER(TRIM(SUBSTITUTE(Raw_Text_Fields!K799,CHAR(160)," ")))</f>
        <v>Completed</v>
      </c>
      <c r="V798" s="7" t="n">
        <f aca="false">IF(OR(P798&lt;0,P798&gt;0.5),0,P798)</f>
        <v>0.15</v>
      </c>
      <c r="W798" s="8" t="n">
        <f aca="false">N798*O798*(1-V798)</f>
        <v>9661.644</v>
      </c>
      <c r="X798" s="8" t="n">
        <f aca="false">W798-R798</f>
        <v>3357.874</v>
      </c>
      <c r="Y798" s="7" t="n">
        <f aca="false">IFERROR(X798/W798,0)</f>
        <v>0.347546856414912</v>
      </c>
      <c r="Z798" s="9" t="n">
        <f aca="false">C798-B798</f>
        <v>7</v>
      </c>
      <c r="AA798" s="1" t="str">
        <f aca="false">IF(B798="","",TEXT(B798,"mmm"))</f>
        <v>Mar</v>
      </c>
      <c r="AB798" s="9" t="n">
        <f aca="false">IF(B798="","",YEAR(B798))</f>
        <v>2024</v>
      </c>
      <c r="AC798" s="3"/>
      <c r="AD798" s="3" t="str">
        <f aca="false">IF(LEFT(AC798&amp;IF(B798="","; Missing Order Date","")&amp;IF(C798="","; Missing Ship Date","")&amp;IF(P798&lt;0,"; Invalid Discount (Negative)","")&amp;IF(P798&gt;0.5,"; Invalid Discount (Too High)","")&amp;IF(Z798&lt;0,"; Invalid Shipping Record (Ship Before Order)","")&amp;IF(ABS(Q798-W798)&gt;1,"; Sales Mismatch","")&amp;IF(ABS(S798-X798)&gt;1,"; Profit Mismatch","")&amp;IF(COUNTIF($A$2:$A$913,A798)&gt;1,"; Duplicate Order ID Conflict",""),2)="; ",MID(AC798&amp;IF(B798="","; Missing Order Date","")&amp;IF(C798="","; Missing Ship Date","")&amp;IF(P798&lt;0,"; Invalid Discount (Negative)","")&amp;IF(P798&gt;0.5,"; Invalid Discount (Too High)","")&amp;IF(Z798&lt;0,"; Invalid Shipping Record (Ship Before Order)","")&amp;IF(ABS(Q798-W798)&gt;1,"; Sales Mismatch","")&amp;IF(ABS(S798-X798)&gt;1,"; Profit Mismatch","")&amp;IF(COUNTIF($A$2:$A$913,A798)&gt;1,"; Duplicate Order ID Conflict",""),3,500),AC798&amp;IF(B798="","; Missing Order Date","")&amp;IF(C798="","; Missing Ship Date","")&amp;IF(P798&lt;0,"; Invalid Discount (Negative)","")&amp;IF(P798&gt;0.5,"; Invalid Discount (Too High)","")&amp;IF(Z798&lt;0,"; Invalid Shipping Record (Ship Before Order)","")&amp;IF(ABS(Q798-W798)&gt;1,"; Sales Mismatch","")&amp;IF(ABS(S798-X798)&gt;1,"; Profit Mismatch","")&amp;IF(COUNTIF($A$2:$A$913,A798)&gt;1,"; Duplicate Order ID Conflict",""))</f>
        <v/>
      </c>
      <c r="AE798" s="10" t="str">
        <f aca="false">IF(OR(ISNUMBER(SEARCH("Invalid Discount",AD798)),ISNUMBER(SEARCH("Invalid Shipping Record",AD798)),ISNUMBER(SEARCH("Sales Mismatch",AD798)),ISNUMBER(SEARCH("Profit Mismatch",AD798)),ISNUMBER(SEARCH("Duplicate Order ID Conflict",AD798)),ISNUMBER(SEARCH("Missing Order Date",AD798)),ISNUMBER(SEARCH("Missing Ship Date",AD798))),"Invalid",IF(AD798&lt;&gt;"","Warning","Clean"))</f>
        <v>Clean</v>
      </c>
    </row>
    <row r="799" customFormat="false" ht="15" hidden="false" customHeight="true" outlineLevel="0" collapsed="false">
      <c r="A799" s="3" t="s">
        <v>2389</v>
      </c>
      <c r="B799" s="4" t="n">
        <v>45400</v>
      </c>
      <c r="C799" s="4" t="n">
        <v>45404</v>
      </c>
      <c r="D799" s="3" t="s">
        <v>2390</v>
      </c>
      <c r="E799" s="3" t="str">
        <f aca="false">PROPER(TRIM(SUBSTITUTE(Raw_Text_Fields!B800,CHAR(160)," ")))</f>
        <v>Aarav Sharma</v>
      </c>
      <c r="F799" s="3" t="str">
        <f aca="false">PROPER(TRIM(SUBSTITUTE(Raw_Text_Fields!C800,CHAR(160)," ")))</f>
        <v>Consumer</v>
      </c>
      <c r="G799" s="3" t="str">
        <f aca="false">PROPER(TRIM(SUBSTITUTE(Raw_Text_Fields!D800,CHAR(160)," ")))</f>
        <v>East</v>
      </c>
      <c r="H799" s="3" t="str">
        <f aca="false">PROPER(TRIM(SUBSTITUTE(Raw_Text_Fields!E800,CHAR(160)," ")))</f>
        <v>Odisha</v>
      </c>
      <c r="I799" s="3" t="str">
        <f aca="false">PROPER(TRIM(SUBSTITUTE(Raw_Text_Fields!F800,CHAR(160)," ")))</f>
        <v>Bhubaneswar</v>
      </c>
      <c r="J799" s="3" t="str">
        <f aca="false">PROPER(TRIM(SUBSTITUTE(Raw_Text_Fields!G800,CHAR(160)," ")))</f>
        <v>Office Supplies</v>
      </c>
      <c r="K799" s="3" t="str">
        <f aca="false">PROPER(TRIM(SUBSTITUTE(Raw_Text_Fields!H800,CHAR(160)," ")))</f>
        <v>Binders</v>
      </c>
      <c r="L799" s="3" t="s">
        <v>2391</v>
      </c>
      <c r="M799" s="3" t="str">
        <f aca="false">PROPER(TRIM(SUBSTITUTE(Raw_Text_Fields!I800,CHAR(160)," ")))</f>
        <v>First Class</v>
      </c>
      <c r="N799" s="3" t="n">
        <v>8</v>
      </c>
      <c r="O799" s="5" t="n">
        <v>1714.37</v>
      </c>
      <c r="P799" s="6" t="n">
        <v>0</v>
      </c>
      <c r="Q799" s="5" t="n">
        <v>13714.96</v>
      </c>
      <c r="R799" s="5" t="n">
        <v>10550.47</v>
      </c>
      <c r="S799" s="5" t="n">
        <v>3164.49</v>
      </c>
      <c r="T799" s="3" t="str">
        <f aca="false">PROPER(TRIM(SUBSTITUTE(Raw_Text_Fields!J800,CHAR(160)," ")))</f>
        <v>Failed</v>
      </c>
      <c r="U799" s="3" t="str">
        <f aca="false">PROPER(TRIM(SUBSTITUTE(Raw_Text_Fields!K800,CHAR(160)," ")))</f>
        <v>Cancelled</v>
      </c>
      <c r="V799" s="7" t="n">
        <f aca="false">IF(OR(P799&lt;0,P799&gt;0.5),0,P799)</f>
        <v>0</v>
      </c>
      <c r="W799" s="8" t="n">
        <f aca="false">N799*O799*(1-V799)</f>
        <v>13714.96</v>
      </c>
      <c r="X799" s="8" t="n">
        <f aca="false">W799-R799</f>
        <v>3164.49</v>
      </c>
      <c r="Y799" s="7" t="n">
        <f aca="false">IFERROR(X799/W799,0)</f>
        <v>0.230732718141358</v>
      </c>
      <c r="Z799" s="9" t="n">
        <f aca="false">C799-B799</f>
        <v>4</v>
      </c>
      <c r="AA799" s="1" t="str">
        <f aca="false">IF(B799="","",TEXT(B799,"mmm"))</f>
        <v>Apr</v>
      </c>
      <c r="AB799" s="9" t="n">
        <f aca="false">IF(B799="","",YEAR(B799))</f>
        <v>2024</v>
      </c>
      <c r="AC799" s="3"/>
      <c r="AD799" s="3" t="str">
        <f aca="false">IF(LEFT(AC799&amp;IF(B799="","; Missing Order Date","")&amp;IF(C799="","; Missing Ship Date","")&amp;IF(P799&lt;0,"; Invalid Discount (Negative)","")&amp;IF(P799&gt;0.5,"; Invalid Discount (Too High)","")&amp;IF(Z799&lt;0,"; Invalid Shipping Record (Ship Before Order)","")&amp;IF(ABS(Q799-W799)&gt;1,"; Sales Mismatch","")&amp;IF(ABS(S799-X799)&gt;1,"; Profit Mismatch","")&amp;IF(COUNTIF($A$2:$A$913,A799)&gt;1,"; Duplicate Order ID Conflict",""),2)="; ",MID(AC799&amp;IF(B799="","; Missing Order Date","")&amp;IF(C799="","; Missing Ship Date","")&amp;IF(P799&lt;0,"; Invalid Discount (Negative)","")&amp;IF(P799&gt;0.5,"; Invalid Discount (Too High)","")&amp;IF(Z799&lt;0,"; Invalid Shipping Record (Ship Before Order)","")&amp;IF(ABS(Q799-W799)&gt;1,"; Sales Mismatch","")&amp;IF(ABS(S799-X799)&gt;1,"; Profit Mismatch","")&amp;IF(COUNTIF($A$2:$A$913,A799)&gt;1,"; Duplicate Order ID Conflict",""),3,500),AC799&amp;IF(B799="","; Missing Order Date","")&amp;IF(C799="","; Missing Ship Date","")&amp;IF(P799&lt;0,"; Invalid Discount (Negative)","")&amp;IF(P799&gt;0.5,"; Invalid Discount (Too High)","")&amp;IF(Z799&lt;0,"; Invalid Shipping Record (Ship Before Order)","")&amp;IF(ABS(Q799-W799)&gt;1,"; Sales Mismatch","")&amp;IF(ABS(S799-X799)&gt;1,"; Profit Mismatch","")&amp;IF(COUNTIF($A$2:$A$913,A799)&gt;1,"; Duplicate Order ID Conflict",""))</f>
        <v/>
      </c>
      <c r="AE799" s="10" t="str">
        <f aca="false">IF(OR(ISNUMBER(SEARCH("Invalid Discount",AD799)),ISNUMBER(SEARCH("Invalid Shipping Record",AD799)),ISNUMBER(SEARCH("Sales Mismatch",AD799)),ISNUMBER(SEARCH("Profit Mismatch",AD799)),ISNUMBER(SEARCH("Duplicate Order ID Conflict",AD799)),ISNUMBER(SEARCH("Missing Order Date",AD799)),ISNUMBER(SEARCH("Missing Ship Date",AD799))),"Invalid",IF(AD799&lt;&gt;"","Warning","Clean"))</f>
        <v>Clean</v>
      </c>
    </row>
    <row r="800" customFormat="false" ht="15" hidden="false" customHeight="true" outlineLevel="0" collapsed="false">
      <c r="A800" s="3" t="s">
        <v>2392</v>
      </c>
      <c r="B800" s="4" t="n">
        <v>45849</v>
      </c>
      <c r="C800" s="4" t="n">
        <v>45847</v>
      </c>
      <c r="D800" s="3" t="s">
        <v>2393</v>
      </c>
      <c r="E800" s="3" t="str">
        <f aca="false">PROPER(TRIM(SUBSTITUTE(Raw_Text_Fields!B801,CHAR(160)," ")))</f>
        <v>Aditi Sen</v>
      </c>
      <c r="F800" s="3" t="str">
        <f aca="false">PROPER(TRIM(SUBSTITUTE(Raw_Text_Fields!C801,CHAR(160)," ")))</f>
        <v>Corporate</v>
      </c>
      <c r="G800" s="3" t="str">
        <f aca="false">PROPER(TRIM(SUBSTITUTE(Raw_Text_Fields!D801,CHAR(160)," ")))</f>
        <v>North</v>
      </c>
      <c r="H800" s="3" t="str">
        <f aca="false">PROPER(TRIM(SUBSTITUTE(Raw_Text_Fields!E801,CHAR(160)," ")))</f>
        <v>Delhi</v>
      </c>
      <c r="I800" s="3" t="str">
        <f aca="false">PROPER(TRIM(SUBSTITUTE(Raw_Text_Fields!F801,CHAR(160)," ")))</f>
        <v>New Delhi</v>
      </c>
      <c r="J800" s="3" t="str">
        <f aca="false">PROPER(TRIM(SUBSTITUTE(Raw_Text_Fields!G801,CHAR(160)," ")))</f>
        <v>Furniture</v>
      </c>
      <c r="K800" s="3" t="str">
        <f aca="false">PROPER(TRIM(SUBSTITUTE(Raw_Text_Fields!H801,CHAR(160)," ")))</f>
        <v>Furnishings</v>
      </c>
      <c r="L800" s="3" t="s">
        <v>2394</v>
      </c>
      <c r="M800" s="3" t="str">
        <f aca="false">PROPER(TRIM(SUBSTITUTE(Raw_Text_Fields!I801,CHAR(160)," ")))</f>
        <v>Standard Class</v>
      </c>
      <c r="N800" s="3" t="n">
        <v>9</v>
      </c>
      <c r="O800" s="5" t="n">
        <v>1706.05</v>
      </c>
      <c r="P800" s="6" t="n">
        <v>0</v>
      </c>
      <c r="Q800" s="5" t="n">
        <v>15354.45</v>
      </c>
      <c r="R800" s="5" t="n">
        <v>9656.5</v>
      </c>
      <c r="S800" s="5" t="n">
        <v>5697.95</v>
      </c>
      <c r="T800" s="3" t="str">
        <f aca="false">PROPER(TRIM(SUBSTITUTE(Raw_Text_Fields!J801,CHAR(160)," ")))</f>
        <v>Paid</v>
      </c>
      <c r="U800" s="3" t="str">
        <f aca="false">PROPER(TRIM(SUBSTITUTE(Raw_Text_Fields!K801,CHAR(160)," ")))</f>
        <v>Completed</v>
      </c>
      <c r="V800" s="7" t="n">
        <f aca="false">IF(OR(P800&lt;0,P800&gt;0.5),0,P800)</f>
        <v>0</v>
      </c>
      <c r="W800" s="8" t="n">
        <f aca="false">N800*O800*(1-V800)</f>
        <v>15354.45</v>
      </c>
      <c r="X800" s="8" t="n">
        <f aca="false">W800-R800</f>
        <v>5697.95</v>
      </c>
      <c r="Y800" s="7" t="n">
        <f aca="false">IFERROR(X800/W800,0)</f>
        <v>0.371094373292433</v>
      </c>
      <c r="Z800" s="9" t="n">
        <f aca="false">C800-B800</f>
        <v>-2</v>
      </c>
      <c r="AA800" s="1" t="str">
        <f aca="false">IF(B800="","",TEXT(B800,"mmm"))</f>
        <v>Jul</v>
      </c>
      <c r="AB800" s="9" t="n">
        <f aca="false">IF(B800="","",YEAR(B800))</f>
        <v>2025</v>
      </c>
      <c r="AC800" s="3"/>
      <c r="AD800" s="3" t="str">
        <f aca="false">IF(LEFT(AC800&amp;IF(B800="","; Missing Order Date","")&amp;IF(C800="","; Missing Ship Date","")&amp;IF(P800&lt;0,"; Invalid Discount (Negative)","")&amp;IF(P800&gt;0.5,"; Invalid Discount (Too High)","")&amp;IF(Z800&lt;0,"; Invalid Shipping Record (Ship Before Order)","")&amp;IF(ABS(Q800-W800)&gt;1,"; Sales Mismatch","")&amp;IF(ABS(S800-X800)&gt;1,"; Profit Mismatch","")&amp;IF(COUNTIF($A$2:$A$913,A800)&gt;1,"; Duplicate Order ID Conflict",""),2)="; ",MID(AC800&amp;IF(B800="","; Missing Order Date","")&amp;IF(C800="","; Missing Ship Date","")&amp;IF(P800&lt;0,"; Invalid Discount (Negative)","")&amp;IF(P800&gt;0.5,"; Invalid Discount (Too High)","")&amp;IF(Z800&lt;0,"; Invalid Shipping Record (Ship Before Order)","")&amp;IF(ABS(Q800-W800)&gt;1,"; Sales Mismatch","")&amp;IF(ABS(S800-X800)&gt;1,"; Profit Mismatch","")&amp;IF(COUNTIF($A$2:$A$913,A800)&gt;1,"; Duplicate Order ID Conflict",""),3,500),AC800&amp;IF(B800="","; Missing Order Date","")&amp;IF(C800="","; Missing Ship Date","")&amp;IF(P800&lt;0,"; Invalid Discount (Negative)","")&amp;IF(P800&gt;0.5,"; Invalid Discount (Too High)","")&amp;IF(Z800&lt;0,"; Invalid Shipping Record (Ship Before Order)","")&amp;IF(ABS(Q800-W800)&gt;1,"; Sales Mismatch","")&amp;IF(ABS(S800-X800)&gt;1,"; Profit Mismatch","")&amp;IF(COUNTIF($A$2:$A$913,A800)&gt;1,"; Duplicate Order ID Conflict",""))</f>
        <v>Invalid Shipping Record (Ship Before Order)</v>
      </c>
      <c r="AE800" s="10" t="str">
        <f aca="false">IF(OR(ISNUMBER(SEARCH("Invalid Discount",AD800)),ISNUMBER(SEARCH("Invalid Shipping Record",AD800)),ISNUMBER(SEARCH("Sales Mismatch",AD800)),ISNUMBER(SEARCH("Profit Mismatch",AD800)),ISNUMBER(SEARCH("Duplicate Order ID Conflict",AD800)),ISNUMBER(SEARCH("Missing Order Date",AD800)),ISNUMBER(SEARCH("Missing Ship Date",AD800))),"Invalid",IF(AD800&lt;&gt;"","Warning","Clean"))</f>
        <v>Invalid</v>
      </c>
    </row>
    <row r="801" customFormat="false" ht="15" hidden="false" customHeight="true" outlineLevel="0" collapsed="false">
      <c r="A801" s="3" t="s">
        <v>2395</v>
      </c>
      <c r="B801" s="4" t="n">
        <v>45575</v>
      </c>
      <c r="C801" s="4" t="n">
        <v>45582</v>
      </c>
      <c r="D801" s="3" t="s">
        <v>2396</v>
      </c>
      <c r="E801" s="3" t="str">
        <f aca="false">PROPER(TRIM(SUBSTITUTE(Raw_Text_Fields!B802,CHAR(160)," ")))</f>
        <v>Isha Nair</v>
      </c>
      <c r="F801" s="3" t="str">
        <f aca="false">PROPER(TRIM(SUBSTITUTE(Raw_Text_Fields!C802,CHAR(160)," ")))</f>
        <v>Home Office</v>
      </c>
      <c r="G801" s="3" t="str">
        <f aca="false">PROPER(TRIM(SUBSTITUTE(Raw_Text_Fields!D802,CHAR(160)," ")))</f>
        <v>North</v>
      </c>
      <c r="H801" s="3" t="str">
        <f aca="false">PROPER(TRIM(SUBSTITUTE(Raw_Text_Fields!E802,CHAR(160)," ")))</f>
        <v>Haryana</v>
      </c>
      <c r="I801" s="3" t="str">
        <f aca="false">PROPER(TRIM(SUBSTITUTE(Raw_Text_Fields!F802,CHAR(160)," ")))</f>
        <v>Gurugram</v>
      </c>
      <c r="J801" s="3" t="str">
        <f aca="false">PROPER(TRIM(SUBSTITUTE(Raw_Text_Fields!G802,CHAR(160)," ")))</f>
        <v>Technology</v>
      </c>
      <c r="K801" s="3" t="str">
        <f aca="false">PROPER(TRIM(SUBSTITUTE(Raw_Text_Fields!H802,CHAR(160)," ")))</f>
        <v>Accessories</v>
      </c>
      <c r="L801" s="3" t="s">
        <v>2397</v>
      </c>
      <c r="M801" s="3" t="str">
        <f aca="false">PROPER(TRIM(SUBSTITUTE(Raw_Text_Fields!I802,CHAR(160)," ")))</f>
        <v>Unknown</v>
      </c>
      <c r="N801" s="3" t="n">
        <v>5</v>
      </c>
      <c r="O801" s="5" t="n">
        <v>967.41</v>
      </c>
      <c r="P801" s="6" t="n">
        <v>0.05</v>
      </c>
      <c r="Q801" s="5" t="n">
        <v>4595.2</v>
      </c>
      <c r="R801" s="5" t="n">
        <v>3887.41</v>
      </c>
      <c r="S801" s="5" t="n">
        <v>707.79</v>
      </c>
      <c r="T801" s="3" t="str">
        <f aca="false">PROPER(TRIM(SUBSTITUTE(Raw_Text_Fields!J802,CHAR(160)," ")))</f>
        <v>Paid</v>
      </c>
      <c r="U801" s="3" t="str">
        <f aca="false">PROPER(TRIM(SUBSTITUTE(Raw_Text_Fields!K802,CHAR(160)," ")))</f>
        <v>Returned</v>
      </c>
      <c r="V801" s="7" t="n">
        <f aca="false">IF(OR(P801&lt;0,P801&gt;0.5),0,P801)</f>
        <v>0.05</v>
      </c>
      <c r="W801" s="8" t="n">
        <f aca="false">N801*O801*(1-V801)</f>
        <v>4595.1975</v>
      </c>
      <c r="X801" s="8" t="n">
        <f aca="false">W801-R801</f>
        <v>707.7875</v>
      </c>
      <c r="Y801" s="7" t="n">
        <f aca="false">IFERROR(X801/W801,0)</f>
        <v>0.154027656047428</v>
      </c>
      <c r="Z801" s="9" t="n">
        <f aca="false">C801-B801</f>
        <v>7</v>
      </c>
      <c r="AA801" s="1" t="str">
        <f aca="false">IF(B801="","",TEXT(B801,"mmm"))</f>
        <v>Oct</v>
      </c>
      <c r="AB801" s="9" t="n">
        <f aca="false">IF(B801="","",YEAR(B801))</f>
        <v>2024</v>
      </c>
      <c r="AC801" s="3" t="s">
        <v>137</v>
      </c>
      <c r="AD801" s="3" t="str">
        <f aca="false">IF(LEFT(AC801&amp;IF(B801="","; Missing Order Date","")&amp;IF(C801="","; Missing Ship Date","")&amp;IF(P801&lt;0,"; Invalid Discount (Negative)","")&amp;IF(P801&gt;0.5,"; Invalid Discount (Too High)","")&amp;IF(Z801&lt;0,"; Invalid Shipping Record (Ship Before Order)","")&amp;IF(ABS(Q801-W801)&gt;1,"; Sales Mismatch","")&amp;IF(ABS(S801-X801)&gt;1,"; Profit Mismatch","")&amp;IF(COUNTIF($A$2:$A$913,A801)&gt;1,"; Duplicate Order ID Conflict",""),2)="; ",MID(AC801&amp;IF(B801="","; Missing Order Date","")&amp;IF(C801="","; Missing Ship Date","")&amp;IF(P801&lt;0,"; Invalid Discount (Negative)","")&amp;IF(P801&gt;0.5,"; Invalid Discount (Too High)","")&amp;IF(Z801&lt;0,"; Invalid Shipping Record (Ship Before Order)","")&amp;IF(ABS(Q801-W801)&gt;1,"; Sales Mismatch","")&amp;IF(ABS(S801-X801)&gt;1,"; Profit Mismatch","")&amp;IF(COUNTIF($A$2:$A$913,A801)&gt;1,"; Duplicate Order ID Conflict",""),3,500),AC801&amp;IF(B801="","; Missing Order Date","")&amp;IF(C801="","; Missing Ship Date","")&amp;IF(P801&lt;0,"; Invalid Discount (Negative)","")&amp;IF(P801&gt;0.5,"; Invalid Discount (Too High)","")&amp;IF(Z801&lt;0,"; Invalid Shipping Record (Ship Before Order)","")&amp;IF(ABS(Q801-W801)&gt;1,"; Sales Mismatch","")&amp;IF(ABS(S801-X801)&gt;1,"; Profit Mismatch","")&amp;IF(COUNTIF($A$2:$A$913,A801)&gt;1,"; Duplicate Order ID Conflict",""))</f>
        <v>Missing Ship Mode (filled Unknown)</v>
      </c>
      <c r="AE801" s="10" t="str">
        <f aca="false">IF(OR(ISNUMBER(SEARCH("Invalid Discount",AD801)),ISNUMBER(SEARCH("Invalid Shipping Record",AD801)),ISNUMBER(SEARCH("Sales Mismatch",AD801)),ISNUMBER(SEARCH("Profit Mismatch",AD801)),ISNUMBER(SEARCH("Duplicate Order ID Conflict",AD801)),ISNUMBER(SEARCH("Missing Order Date",AD801)),ISNUMBER(SEARCH("Missing Ship Date",AD801))),"Invalid",IF(AD801&lt;&gt;"","Warning","Clean"))</f>
        <v>Warning</v>
      </c>
    </row>
    <row r="802" customFormat="false" ht="15" hidden="false" customHeight="true" outlineLevel="0" collapsed="false">
      <c r="A802" s="3" t="s">
        <v>2398</v>
      </c>
      <c r="B802" s="4" t="n">
        <v>45352</v>
      </c>
      <c r="C802" s="4" t="n">
        <v>45358</v>
      </c>
      <c r="D802" s="3" t="s">
        <v>2399</v>
      </c>
      <c r="E802" s="3" t="str">
        <f aca="false">PROPER(TRIM(SUBSTITUTE(Raw_Text_Fields!B803,CHAR(160)," ")))</f>
        <v>Vikram Iyer</v>
      </c>
      <c r="F802" s="3" t="str">
        <f aca="false">PROPER(TRIM(SUBSTITUTE(Raw_Text_Fields!C803,CHAR(160)," ")))</f>
        <v>Small Business</v>
      </c>
      <c r="G802" s="3" t="str">
        <f aca="false">PROPER(TRIM(SUBSTITUTE(Raw_Text_Fields!D803,CHAR(160)," ")))</f>
        <v>West</v>
      </c>
      <c r="H802" s="3" t="str">
        <f aca="false">PROPER(TRIM(SUBSTITUTE(Raw_Text_Fields!E803,CHAR(160)," ")))</f>
        <v>Maharashtra</v>
      </c>
      <c r="I802" s="3" t="str">
        <f aca="false">PROPER(TRIM(SUBSTITUTE(Raw_Text_Fields!F803,CHAR(160)," ")))</f>
        <v>Mumbai</v>
      </c>
      <c r="J802" s="3" t="str">
        <f aca="false">PROPER(TRIM(SUBSTITUTE(Raw_Text_Fields!G803,CHAR(160)," ")))</f>
        <v>Office Supplies</v>
      </c>
      <c r="K802" s="3" t="str">
        <f aca="false">PROPER(TRIM(SUBSTITUTE(Raw_Text_Fields!H803,CHAR(160)," ")))</f>
        <v>Storage</v>
      </c>
      <c r="L802" s="3" t="s">
        <v>2400</v>
      </c>
      <c r="M802" s="3" t="str">
        <f aca="false">PROPER(TRIM(SUBSTITUTE(Raw_Text_Fields!I803,CHAR(160)," ")))</f>
        <v>Second Class</v>
      </c>
      <c r="N802" s="3" t="n">
        <v>6</v>
      </c>
      <c r="O802" s="5" t="n">
        <v>4163.72</v>
      </c>
      <c r="P802" s="6" t="n">
        <v>0.15</v>
      </c>
      <c r="Q802" s="5" t="n">
        <v>21234.97</v>
      </c>
      <c r="R802" s="5" t="n">
        <v>16736.09</v>
      </c>
      <c r="S802" s="5" t="n">
        <v>4498.88</v>
      </c>
      <c r="T802" s="3" t="str">
        <f aca="false">PROPER(TRIM(SUBSTITUTE(Raw_Text_Fields!J803,CHAR(160)," ")))</f>
        <v>Paid</v>
      </c>
      <c r="U802" s="3" t="str">
        <f aca="false">PROPER(TRIM(SUBSTITUTE(Raw_Text_Fields!K803,CHAR(160)," ")))</f>
        <v>Completed</v>
      </c>
      <c r="V802" s="7" t="n">
        <f aca="false">IF(OR(P802&lt;0,P802&gt;0.5),0,P802)</f>
        <v>0.15</v>
      </c>
      <c r="W802" s="8" t="n">
        <f aca="false">N802*O802*(1-V802)</f>
        <v>21234.972</v>
      </c>
      <c r="X802" s="8" t="n">
        <f aca="false">W802-R802</f>
        <v>4498.882</v>
      </c>
      <c r="Y802" s="7" t="n">
        <f aca="false">IFERROR(X802/W802,0)</f>
        <v>0.2118619228695</v>
      </c>
      <c r="Z802" s="9" t="n">
        <f aca="false">C802-B802</f>
        <v>6</v>
      </c>
      <c r="AA802" s="1" t="str">
        <f aca="false">IF(B802="","",TEXT(B802,"mmm"))</f>
        <v>Mar</v>
      </c>
      <c r="AB802" s="9" t="n">
        <f aca="false">IF(B802="","",YEAR(B802))</f>
        <v>2024</v>
      </c>
      <c r="AC802" s="3"/>
      <c r="AD802" s="3" t="str">
        <f aca="false">IF(LEFT(AC802&amp;IF(B802="","; Missing Order Date","")&amp;IF(C802="","; Missing Ship Date","")&amp;IF(P802&lt;0,"; Invalid Discount (Negative)","")&amp;IF(P802&gt;0.5,"; Invalid Discount (Too High)","")&amp;IF(Z802&lt;0,"; Invalid Shipping Record (Ship Before Order)","")&amp;IF(ABS(Q802-W802)&gt;1,"; Sales Mismatch","")&amp;IF(ABS(S802-X802)&gt;1,"; Profit Mismatch","")&amp;IF(COUNTIF($A$2:$A$913,A802)&gt;1,"; Duplicate Order ID Conflict",""),2)="; ",MID(AC802&amp;IF(B802="","; Missing Order Date","")&amp;IF(C802="","; Missing Ship Date","")&amp;IF(P802&lt;0,"; Invalid Discount (Negative)","")&amp;IF(P802&gt;0.5,"; Invalid Discount (Too High)","")&amp;IF(Z802&lt;0,"; Invalid Shipping Record (Ship Before Order)","")&amp;IF(ABS(Q802-W802)&gt;1,"; Sales Mismatch","")&amp;IF(ABS(S802-X802)&gt;1,"; Profit Mismatch","")&amp;IF(COUNTIF($A$2:$A$913,A802)&gt;1,"; Duplicate Order ID Conflict",""),3,500),AC802&amp;IF(B802="","; Missing Order Date","")&amp;IF(C802="","; Missing Ship Date","")&amp;IF(P802&lt;0,"; Invalid Discount (Negative)","")&amp;IF(P802&gt;0.5,"; Invalid Discount (Too High)","")&amp;IF(Z802&lt;0,"; Invalid Shipping Record (Ship Before Order)","")&amp;IF(ABS(Q802-W802)&gt;1,"; Sales Mismatch","")&amp;IF(ABS(S802-X802)&gt;1,"; Profit Mismatch","")&amp;IF(COUNTIF($A$2:$A$913,A802)&gt;1,"; Duplicate Order ID Conflict",""))</f>
        <v/>
      </c>
      <c r="AE802" s="10" t="str">
        <f aca="false">IF(OR(ISNUMBER(SEARCH("Invalid Discount",AD802)),ISNUMBER(SEARCH("Invalid Shipping Record",AD802)),ISNUMBER(SEARCH("Sales Mismatch",AD802)),ISNUMBER(SEARCH("Profit Mismatch",AD802)),ISNUMBER(SEARCH("Duplicate Order ID Conflict",AD802)),ISNUMBER(SEARCH("Missing Order Date",AD802)),ISNUMBER(SEARCH("Missing Ship Date",AD802))),"Invalid",IF(AD802&lt;&gt;"","Warning","Clean"))</f>
        <v>Clean</v>
      </c>
    </row>
    <row r="803" customFormat="false" ht="15" hidden="false" customHeight="true" outlineLevel="0" collapsed="false">
      <c r="A803" s="3" t="s">
        <v>2401</v>
      </c>
      <c r="B803" s="4" t="n">
        <v>45938</v>
      </c>
      <c r="C803" s="4" t="n">
        <v>45945</v>
      </c>
      <c r="D803" s="3" t="s">
        <v>2402</v>
      </c>
      <c r="E803" s="3" t="str">
        <f aca="false">PROPER(TRIM(SUBSTITUTE(Raw_Text_Fields!B804,CHAR(160)," ")))</f>
        <v>Aarav Sharma</v>
      </c>
      <c r="F803" s="3" t="str">
        <f aca="false">PROPER(TRIM(SUBSTITUTE(Raw_Text_Fields!C804,CHAR(160)," ")))</f>
        <v>Home Office</v>
      </c>
      <c r="G803" s="3" t="str">
        <f aca="false">PROPER(TRIM(SUBSTITUTE(Raw_Text_Fields!D804,CHAR(160)," ")))</f>
        <v>East</v>
      </c>
      <c r="H803" s="3" t="str">
        <f aca="false">PROPER(TRIM(SUBSTITUTE(Raw_Text_Fields!E804,CHAR(160)," ")))</f>
        <v>Odisha</v>
      </c>
      <c r="I803" s="3" t="str">
        <f aca="false">PROPER(TRIM(SUBSTITUTE(Raw_Text_Fields!F804,CHAR(160)," ")))</f>
        <v>Bhubaneswar</v>
      </c>
      <c r="J803" s="3" t="str">
        <f aca="false">PROPER(TRIM(SUBSTITUTE(Raw_Text_Fields!G804,CHAR(160)," ")))</f>
        <v>Technology</v>
      </c>
      <c r="K803" s="3" t="str">
        <f aca="false">PROPER(TRIM(SUBSTITUTE(Raw_Text_Fields!H804,CHAR(160)," ")))</f>
        <v>Accessories</v>
      </c>
      <c r="L803" s="3" t="s">
        <v>2403</v>
      </c>
      <c r="M803" s="3" t="str">
        <f aca="false">PROPER(TRIM(SUBSTITUTE(Raw_Text_Fields!I804,CHAR(160)," ")))</f>
        <v>Second Class</v>
      </c>
      <c r="N803" s="3" t="n">
        <v>3</v>
      </c>
      <c r="O803" s="5" t="n">
        <v>3372.21</v>
      </c>
      <c r="P803" s="6" t="n">
        <v>0.2</v>
      </c>
      <c r="Q803" s="5" t="n">
        <v>8093.3</v>
      </c>
      <c r="R803" s="5" t="n">
        <v>6052.43</v>
      </c>
      <c r="S803" s="5" t="n">
        <v>2040.87</v>
      </c>
      <c r="T803" s="3" t="str">
        <f aca="false">PROPER(TRIM(SUBSTITUTE(Raw_Text_Fields!J804,CHAR(160)," ")))</f>
        <v>Pending</v>
      </c>
      <c r="U803" s="3" t="str">
        <f aca="false">PROPER(TRIM(SUBSTITUTE(Raw_Text_Fields!K804,CHAR(160)," ")))</f>
        <v>Cancelled</v>
      </c>
      <c r="V803" s="7" t="n">
        <f aca="false">IF(OR(P803&lt;0,P803&gt;0.5),0,P803)</f>
        <v>0.2</v>
      </c>
      <c r="W803" s="8" t="n">
        <f aca="false">N803*O803*(1-V803)</f>
        <v>8093.304</v>
      </c>
      <c r="X803" s="8" t="n">
        <f aca="false">W803-R803</f>
        <v>2040.874</v>
      </c>
      <c r="Y803" s="7" t="n">
        <f aca="false">IFERROR(X803/W803,0)</f>
        <v>0.25216821214179</v>
      </c>
      <c r="Z803" s="9" t="n">
        <f aca="false">C803-B803</f>
        <v>7</v>
      </c>
      <c r="AA803" s="1" t="str">
        <f aca="false">IF(B803="","",TEXT(B803,"mmm"))</f>
        <v>Oct</v>
      </c>
      <c r="AB803" s="9" t="n">
        <f aca="false">IF(B803="","",YEAR(B803))</f>
        <v>2025</v>
      </c>
      <c r="AC803" s="3"/>
      <c r="AD803" s="3" t="str">
        <f aca="false">IF(LEFT(AC803&amp;IF(B803="","; Missing Order Date","")&amp;IF(C803="","; Missing Ship Date","")&amp;IF(P803&lt;0,"; Invalid Discount (Negative)","")&amp;IF(P803&gt;0.5,"; Invalid Discount (Too High)","")&amp;IF(Z803&lt;0,"; Invalid Shipping Record (Ship Before Order)","")&amp;IF(ABS(Q803-W803)&gt;1,"; Sales Mismatch","")&amp;IF(ABS(S803-X803)&gt;1,"; Profit Mismatch","")&amp;IF(COUNTIF($A$2:$A$913,A803)&gt;1,"; Duplicate Order ID Conflict",""),2)="; ",MID(AC803&amp;IF(B803="","; Missing Order Date","")&amp;IF(C803="","; Missing Ship Date","")&amp;IF(P803&lt;0,"; Invalid Discount (Negative)","")&amp;IF(P803&gt;0.5,"; Invalid Discount (Too High)","")&amp;IF(Z803&lt;0,"; Invalid Shipping Record (Ship Before Order)","")&amp;IF(ABS(Q803-W803)&gt;1,"; Sales Mismatch","")&amp;IF(ABS(S803-X803)&gt;1,"; Profit Mismatch","")&amp;IF(COUNTIF($A$2:$A$913,A803)&gt;1,"; Duplicate Order ID Conflict",""),3,500),AC803&amp;IF(B803="","; Missing Order Date","")&amp;IF(C803="","; Missing Ship Date","")&amp;IF(P803&lt;0,"; Invalid Discount (Negative)","")&amp;IF(P803&gt;0.5,"; Invalid Discount (Too High)","")&amp;IF(Z803&lt;0,"; Invalid Shipping Record (Ship Before Order)","")&amp;IF(ABS(Q803-W803)&gt;1,"; Sales Mismatch","")&amp;IF(ABS(S803-X803)&gt;1,"; Profit Mismatch","")&amp;IF(COUNTIF($A$2:$A$913,A803)&gt;1,"; Duplicate Order ID Conflict",""))</f>
        <v/>
      </c>
      <c r="AE803" s="10" t="str">
        <f aca="false">IF(OR(ISNUMBER(SEARCH("Invalid Discount",AD803)),ISNUMBER(SEARCH("Invalid Shipping Record",AD803)),ISNUMBER(SEARCH("Sales Mismatch",AD803)),ISNUMBER(SEARCH("Profit Mismatch",AD803)),ISNUMBER(SEARCH("Duplicate Order ID Conflict",AD803)),ISNUMBER(SEARCH("Missing Order Date",AD803)),ISNUMBER(SEARCH("Missing Ship Date",AD803))),"Invalid",IF(AD803&lt;&gt;"","Warning","Clean"))</f>
        <v>Clean</v>
      </c>
    </row>
    <row r="804" customFormat="false" ht="15" hidden="false" customHeight="true" outlineLevel="0" collapsed="false">
      <c r="A804" s="3" t="s">
        <v>2404</v>
      </c>
      <c r="B804" s="4" t="n">
        <v>45704</v>
      </c>
      <c r="C804" s="4" t="n">
        <v>45704</v>
      </c>
      <c r="D804" s="3" t="s">
        <v>2405</v>
      </c>
      <c r="E804" s="3" t="str">
        <f aca="false">PROPER(TRIM(SUBSTITUTE(Raw_Text_Fields!B805,CHAR(160)," ")))</f>
        <v>Rohan Mehta</v>
      </c>
      <c r="F804" s="3" t="str">
        <f aca="false">PROPER(TRIM(SUBSTITUTE(Raw_Text_Fields!C805,CHAR(160)," ")))</f>
        <v>Small Business</v>
      </c>
      <c r="G804" s="3" t="str">
        <f aca="false">PROPER(TRIM(SUBSTITUTE(Raw_Text_Fields!D805,CHAR(160)," ")))</f>
        <v>East</v>
      </c>
      <c r="H804" s="3" t="str">
        <f aca="false">PROPER(TRIM(SUBSTITUTE(Raw_Text_Fields!E805,CHAR(160)," ")))</f>
        <v>Assam</v>
      </c>
      <c r="I804" s="3" t="str">
        <f aca="false">PROPER(TRIM(SUBSTITUTE(Raw_Text_Fields!F805,CHAR(160)," ")))</f>
        <v>Guwahati</v>
      </c>
      <c r="J804" s="3" t="str">
        <f aca="false">PROPER(TRIM(SUBSTITUTE(Raw_Text_Fields!G805,CHAR(160)," ")))</f>
        <v>Furniture</v>
      </c>
      <c r="K804" s="3" t="str">
        <f aca="false">PROPER(TRIM(SUBSTITUTE(Raw_Text_Fields!H805,CHAR(160)," ")))</f>
        <v>Furnishings</v>
      </c>
      <c r="L804" s="3" t="s">
        <v>2406</v>
      </c>
      <c r="M804" s="3" t="str">
        <f aca="false">PROPER(TRIM(SUBSTITUTE(Raw_Text_Fields!I805,CHAR(160)," ")))</f>
        <v>Second Class</v>
      </c>
      <c r="N804" s="3" t="n">
        <v>6</v>
      </c>
      <c r="O804" s="5" t="n">
        <v>1441.91</v>
      </c>
      <c r="P804" s="6" t="n">
        <v>0</v>
      </c>
      <c r="Q804" s="5" t="n">
        <v>8651.46</v>
      </c>
      <c r="R804" s="5" t="n">
        <v>5254.62</v>
      </c>
      <c r="S804" s="5" t="n">
        <v>3396.84</v>
      </c>
      <c r="T804" s="3" t="str">
        <f aca="false">PROPER(TRIM(SUBSTITUTE(Raw_Text_Fields!J805,CHAR(160)," ")))</f>
        <v>Failed</v>
      </c>
      <c r="U804" s="3" t="str">
        <f aca="false">PROPER(TRIM(SUBSTITUTE(Raw_Text_Fields!K805,CHAR(160)," ")))</f>
        <v>Returned</v>
      </c>
      <c r="V804" s="7" t="n">
        <f aca="false">IF(OR(P804&lt;0,P804&gt;0.5),0,P804)</f>
        <v>0</v>
      </c>
      <c r="W804" s="8" t="n">
        <f aca="false">N804*O804*(1-V804)</f>
        <v>8651.46</v>
      </c>
      <c r="X804" s="8" t="n">
        <f aca="false">W804-R804</f>
        <v>3396.84</v>
      </c>
      <c r="Y804" s="7" t="n">
        <f aca="false">IFERROR(X804/W804,0)</f>
        <v>0.392631995062105</v>
      </c>
      <c r="Z804" s="9" t="n">
        <f aca="false">C804-B804</f>
        <v>0</v>
      </c>
      <c r="AA804" s="1" t="str">
        <f aca="false">IF(B804="","",TEXT(B804,"mmm"))</f>
        <v>Feb</v>
      </c>
      <c r="AB804" s="9" t="n">
        <f aca="false">IF(B804="","",YEAR(B804))</f>
        <v>2025</v>
      </c>
      <c r="AC804" s="3"/>
      <c r="AD804" s="3" t="str">
        <f aca="false">IF(LEFT(AC804&amp;IF(B804="","; Missing Order Date","")&amp;IF(C804="","; Missing Ship Date","")&amp;IF(P804&lt;0,"; Invalid Discount (Negative)","")&amp;IF(P804&gt;0.5,"; Invalid Discount (Too High)","")&amp;IF(Z804&lt;0,"; Invalid Shipping Record (Ship Before Order)","")&amp;IF(ABS(Q804-W804)&gt;1,"; Sales Mismatch","")&amp;IF(ABS(S804-X804)&gt;1,"; Profit Mismatch","")&amp;IF(COUNTIF($A$2:$A$913,A804)&gt;1,"; Duplicate Order ID Conflict",""),2)="; ",MID(AC804&amp;IF(B804="","; Missing Order Date","")&amp;IF(C804="","; Missing Ship Date","")&amp;IF(P804&lt;0,"; Invalid Discount (Negative)","")&amp;IF(P804&gt;0.5,"; Invalid Discount (Too High)","")&amp;IF(Z804&lt;0,"; Invalid Shipping Record (Ship Before Order)","")&amp;IF(ABS(Q804-W804)&gt;1,"; Sales Mismatch","")&amp;IF(ABS(S804-X804)&gt;1,"; Profit Mismatch","")&amp;IF(COUNTIF($A$2:$A$913,A804)&gt;1,"; Duplicate Order ID Conflict",""),3,500),AC804&amp;IF(B804="","; Missing Order Date","")&amp;IF(C804="","; Missing Ship Date","")&amp;IF(P804&lt;0,"; Invalid Discount (Negative)","")&amp;IF(P804&gt;0.5,"; Invalid Discount (Too High)","")&amp;IF(Z804&lt;0,"; Invalid Shipping Record (Ship Before Order)","")&amp;IF(ABS(Q804-W804)&gt;1,"; Sales Mismatch","")&amp;IF(ABS(S804-X804)&gt;1,"; Profit Mismatch","")&amp;IF(COUNTIF($A$2:$A$913,A804)&gt;1,"; Duplicate Order ID Conflict",""))</f>
        <v/>
      </c>
      <c r="AE804" s="10" t="str">
        <f aca="false">IF(OR(ISNUMBER(SEARCH("Invalid Discount",AD804)),ISNUMBER(SEARCH("Invalid Shipping Record",AD804)),ISNUMBER(SEARCH("Sales Mismatch",AD804)),ISNUMBER(SEARCH("Profit Mismatch",AD804)),ISNUMBER(SEARCH("Duplicate Order ID Conflict",AD804)),ISNUMBER(SEARCH("Missing Order Date",AD804)),ISNUMBER(SEARCH("Missing Ship Date",AD804))),"Invalid",IF(AD804&lt;&gt;"","Warning","Clean"))</f>
        <v>Clean</v>
      </c>
    </row>
    <row r="805" customFormat="false" ht="15" hidden="false" customHeight="true" outlineLevel="0" collapsed="false">
      <c r="A805" s="3" t="s">
        <v>2407</v>
      </c>
      <c r="B805" s="4" t="n">
        <v>45635</v>
      </c>
      <c r="C805" s="4" t="n">
        <v>45639</v>
      </c>
      <c r="D805" s="3" t="s">
        <v>2408</v>
      </c>
      <c r="E805" s="3" t="str">
        <f aca="false">PROPER(TRIM(SUBSTITUTE(Raw_Text_Fields!B806,CHAR(160)," ")))</f>
        <v>Rohan Mehta</v>
      </c>
      <c r="F805" s="3" t="str">
        <f aca="false">PROPER(TRIM(SUBSTITUTE(Raw_Text_Fields!C806,CHAR(160)," ")))</f>
        <v>Consumer</v>
      </c>
      <c r="G805" s="3" t="str">
        <f aca="false">PROPER(TRIM(SUBSTITUTE(Raw_Text_Fields!D806,CHAR(160)," ")))</f>
        <v>Unknown</v>
      </c>
      <c r="H805" s="3" t="str">
        <f aca="false">PROPER(TRIM(SUBSTITUTE(Raw_Text_Fields!E806,CHAR(160)," ")))</f>
        <v>Jharkhand</v>
      </c>
      <c r="I805" s="3" t="str">
        <f aca="false">PROPER(TRIM(SUBSTITUTE(Raw_Text_Fields!F806,CHAR(160)," ")))</f>
        <v>Ranchi</v>
      </c>
      <c r="J805" s="3" t="str">
        <f aca="false">PROPER(TRIM(SUBSTITUTE(Raw_Text_Fields!G806,CHAR(160)," ")))</f>
        <v>Office Supplies</v>
      </c>
      <c r="K805" s="3" t="str">
        <f aca="false">PROPER(TRIM(SUBSTITUTE(Raw_Text_Fields!H806,CHAR(160)," ")))</f>
        <v>Labels</v>
      </c>
      <c r="L805" s="3" t="s">
        <v>2409</v>
      </c>
      <c r="M805" s="3" t="str">
        <f aca="false">PROPER(TRIM(SUBSTITUTE(Raw_Text_Fields!I806,CHAR(160)," ")))</f>
        <v>First Class</v>
      </c>
      <c r="N805" s="3" t="n">
        <v>1</v>
      </c>
      <c r="O805" s="5" t="n">
        <v>4306.65</v>
      </c>
      <c r="P805" s="6" t="n">
        <v>0</v>
      </c>
      <c r="Q805" s="5" t="n">
        <v>4306.65</v>
      </c>
      <c r="R805" s="5" t="n">
        <v>2568.82</v>
      </c>
      <c r="S805" s="5" t="n">
        <v>1737.83</v>
      </c>
      <c r="T805" s="3" t="str">
        <f aca="false">PROPER(TRIM(SUBSTITUTE(Raw_Text_Fields!J806,CHAR(160)," ")))</f>
        <v>Paid</v>
      </c>
      <c r="U805" s="3" t="str">
        <f aca="false">PROPER(TRIM(SUBSTITUTE(Raw_Text_Fields!K806,CHAR(160)," ")))</f>
        <v>Completed</v>
      </c>
      <c r="V805" s="7" t="n">
        <f aca="false">IF(OR(P805&lt;0,P805&gt;0.5),0,P805)</f>
        <v>0</v>
      </c>
      <c r="W805" s="8" t="n">
        <f aca="false">N805*O805*(1-V805)</f>
        <v>4306.65</v>
      </c>
      <c r="X805" s="8" t="n">
        <f aca="false">W805-R805</f>
        <v>1737.83</v>
      </c>
      <c r="Y805" s="7" t="n">
        <f aca="false">IFERROR(X805/W805,0)</f>
        <v>0.403522459452242</v>
      </c>
      <c r="Z805" s="9" t="n">
        <f aca="false">C805-B805</f>
        <v>4</v>
      </c>
      <c r="AA805" s="1" t="str">
        <f aca="false">IF(B805="","",TEXT(B805,"mmm"))</f>
        <v>Dec</v>
      </c>
      <c r="AB805" s="9" t="n">
        <f aca="false">IF(B805="","",YEAR(B805))</f>
        <v>2024</v>
      </c>
      <c r="AC805" s="3" t="s">
        <v>372</v>
      </c>
      <c r="AD805" s="3" t="str">
        <f aca="false">IF(LEFT(AC805&amp;IF(B805="","; Missing Order Date","")&amp;IF(C805="","; Missing Ship Date","")&amp;IF(P805&lt;0,"; Invalid Discount (Negative)","")&amp;IF(P805&gt;0.5,"; Invalid Discount (Too High)","")&amp;IF(Z805&lt;0,"; Invalid Shipping Record (Ship Before Order)","")&amp;IF(ABS(Q805-W805)&gt;1,"; Sales Mismatch","")&amp;IF(ABS(S805-X805)&gt;1,"; Profit Mismatch","")&amp;IF(COUNTIF($A$2:$A$913,A805)&gt;1,"; Duplicate Order ID Conflict",""),2)="; ",MID(AC805&amp;IF(B805="","; Missing Order Date","")&amp;IF(C805="","; Missing Ship Date","")&amp;IF(P805&lt;0,"; Invalid Discount (Negative)","")&amp;IF(P805&gt;0.5,"; Invalid Discount (Too High)","")&amp;IF(Z805&lt;0,"; Invalid Shipping Record (Ship Before Order)","")&amp;IF(ABS(Q805-W805)&gt;1,"; Sales Mismatch","")&amp;IF(ABS(S805-X805)&gt;1,"; Profit Mismatch","")&amp;IF(COUNTIF($A$2:$A$913,A805)&gt;1,"; Duplicate Order ID Conflict",""),3,500),AC805&amp;IF(B805="","; Missing Order Date","")&amp;IF(C805="","; Missing Ship Date","")&amp;IF(P805&lt;0,"; Invalid Discount (Negative)","")&amp;IF(P805&gt;0.5,"; Invalid Discount (Too High)","")&amp;IF(Z805&lt;0,"; Invalid Shipping Record (Ship Before Order)","")&amp;IF(ABS(Q805-W805)&gt;1,"; Sales Mismatch","")&amp;IF(ABS(S805-X805)&gt;1,"; Profit Mismatch","")&amp;IF(COUNTIF($A$2:$A$913,A805)&gt;1,"; Duplicate Order ID Conflict",""))</f>
        <v>Missing Region (filled Unknown)</v>
      </c>
      <c r="AE805" s="10" t="str">
        <f aca="false">IF(OR(ISNUMBER(SEARCH("Invalid Discount",AD805)),ISNUMBER(SEARCH("Invalid Shipping Record",AD805)),ISNUMBER(SEARCH("Sales Mismatch",AD805)),ISNUMBER(SEARCH("Profit Mismatch",AD805)),ISNUMBER(SEARCH("Duplicate Order ID Conflict",AD805)),ISNUMBER(SEARCH("Missing Order Date",AD805)),ISNUMBER(SEARCH("Missing Ship Date",AD805))),"Invalid",IF(AD805&lt;&gt;"","Warning","Clean"))</f>
        <v>Warning</v>
      </c>
    </row>
    <row r="806" customFormat="false" ht="15" hidden="false" customHeight="true" outlineLevel="0" collapsed="false">
      <c r="A806" s="3" t="s">
        <v>2410</v>
      </c>
      <c r="B806" s="4" t="n">
        <v>45910</v>
      </c>
      <c r="C806" s="4" t="n">
        <v>45918</v>
      </c>
      <c r="D806" s="3" t="s">
        <v>2411</v>
      </c>
      <c r="E806" s="3" t="str">
        <f aca="false">PROPER(TRIM(SUBSTITUTE(Raw_Text_Fields!B807,CHAR(160)," ")))</f>
        <v>Rahul Verma</v>
      </c>
      <c r="F806" s="3" t="str">
        <f aca="false">PROPER(TRIM(SUBSTITUTE(Raw_Text_Fields!C807,CHAR(160)," ")))</f>
        <v>Home Office</v>
      </c>
      <c r="G806" s="3" t="str">
        <f aca="false">PROPER(TRIM(SUBSTITUTE(Raw_Text_Fields!D807,CHAR(160)," ")))</f>
        <v>South</v>
      </c>
      <c r="H806" s="3" t="str">
        <f aca="false">PROPER(TRIM(SUBSTITUTE(Raw_Text_Fields!E807,CHAR(160)," ")))</f>
        <v>Telangana</v>
      </c>
      <c r="I806" s="3" t="str">
        <f aca="false">PROPER(TRIM(SUBSTITUTE(Raw_Text_Fields!F807,CHAR(160)," ")))</f>
        <v>Hyderabad</v>
      </c>
      <c r="J806" s="3" t="str">
        <f aca="false">PROPER(TRIM(SUBSTITUTE(Raw_Text_Fields!G807,CHAR(160)," ")))</f>
        <v>Furniture</v>
      </c>
      <c r="K806" s="3" t="str">
        <f aca="false">PROPER(TRIM(SUBSTITUTE(Raw_Text_Fields!H807,CHAR(160)," ")))</f>
        <v>Furnishings</v>
      </c>
      <c r="L806" s="3" t="s">
        <v>2412</v>
      </c>
      <c r="M806" s="3" t="str">
        <f aca="false">PROPER(TRIM(SUBSTITUTE(Raw_Text_Fields!I807,CHAR(160)," ")))</f>
        <v>Standard Class</v>
      </c>
      <c r="N806" s="3" t="n">
        <v>1</v>
      </c>
      <c r="O806" s="5" t="n">
        <v>2050.62</v>
      </c>
      <c r="P806" s="6" t="n">
        <v>0.05</v>
      </c>
      <c r="Q806" s="5" t="n">
        <v>1948.09</v>
      </c>
      <c r="R806" s="5" t="n">
        <v>1507.08</v>
      </c>
      <c r="S806" s="5" t="n">
        <v>441.01</v>
      </c>
      <c r="T806" s="3" t="str">
        <f aca="false">PROPER(TRIM(SUBSTITUTE(Raw_Text_Fields!J807,CHAR(160)," ")))</f>
        <v>Paid</v>
      </c>
      <c r="U806" s="3" t="str">
        <f aca="false">PROPER(TRIM(SUBSTITUTE(Raw_Text_Fields!K807,CHAR(160)," ")))</f>
        <v>Completed</v>
      </c>
      <c r="V806" s="7" t="n">
        <f aca="false">IF(OR(P806&lt;0,P806&gt;0.5),0,P806)</f>
        <v>0.05</v>
      </c>
      <c r="W806" s="8" t="n">
        <f aca="false">N806*O806*(1-V806)</f>
        <v>1948.089</v>
      </c>
      <c r="X806" s="8" t="n">
        <f aca="false">W806-R806</f>
        <v>441.009</v>
      </c>
      <c r="Y806" s="7" t="n">
        <f aca="false">IFERROR(X806/W806,0)</f>
        <v>0.226380314246423</v>
      </c>
      <c r="Z806" s="9" t="n">
        <f aca="false">C806-B806</f>
        <v>8</v>
      </c>
      <c r="AA806" s="1" t="str">
        <f aca="false">IF(B806="","",TEXT(B806,"mmm"))</f>
        <v>Sep</v>
      </c>
      <c r="AB806" s="9" t="n">
        <f aca="false">IF(B806="","",YEAR(B806))</f>
        <v>2025</v>
      </c>
      <c r="AC806" s="3"/>
      <c r="AD806" s="3" t="str">
        <f aca="false">IF(LEFT(AC806&amp;IF(B806="","; Missing Order Date","")&amp;IF(C806="","; Missing Ship Date","")&amp;IF(P806&lt;0,"; Invalid Discount (Negative)","")&amp;IF(P806&gt;0.5,"; Invalid Discount (Too High)","")&amp;IF(Z806&lt;0,"; Invalid Shipping Record (Ship Before Order)","")&amp;IF(ABS(Q806-W806)&gt;1,"; Sales Mismatch","")&amp;IF(ABS(S806-X806)&gt;1,"; Profit Mismatch","")&amp;IF(COUNTIF($A$2:$A$913,A806)&gt;1,"; Duplicate Order ID Conflict",""),2)="; ",MID(AC806&amp;IF(B806="","; Missing Order Date","")&amp;IF(C806="","; Missing Ship Date","")&amp;IF(P806&lt;0,"; Invalid Discount (Negative)","")&amp;IF(P806&gt;0.5,"; Invalid Discount (Too High)","")&amp;IF(Z806&lt;0,"; Invalid Shipping Record (Ship Before Order)","")&amp;IF(ABS(Q806-W806)&gt;1,"; Sales Mismatch","")&amp;IF(ABS(S806-X806)&gt;1,"; Profit Mismatch","")&amp;IF(COUNTIF($A$2:$A$913,A806)&gt;1,"; Duplicate Order ID Conflict",""),3,500),AC806&amp;IF(B806="","; Missing Order Date","")&amp;IF(C806="","; Missing Ship Date","")&amp;IF(P806&lt;0,"; Invalid Discount (Negative)","")&amp;IF(P806&gt;0.5,"; Invalid Discount (Too High)","")&amp;IF(Z806&lt;0,"; Invalid Shipping Record (Ship Before Order)","")&amp;IF(ABS(Q806-W806)&gt;1,"; Sales Mismatch","")&amp;IF(ABS(S806-X806)&gt;1,"; Profit Mismatch","")&amp;IF(COUNTIF($A$2:$A$913,A806)&gt;1,"; Duplicate Order ID Conflict",""))</f>
        <v/>
      </c>
      <c r="AE806" s="10" t="str">
        <f aca="false">IF(OR(ISNUMBER(SEARCH("Invalid Discount",AD806)),ISNUMBER(SEARCH("Invalid Shipping Record",AD806)),ISNUMBER(SEARCH("Sales Mismatch",AD806)),ISNUMBER(SEARCH("Profit Mismatch",AD806)),ISNUMBER(SEARCH("Duplicate Order ID Conflict",AD806)),ISNUMBER(SEARCH("Missing Order Date",AD806)),ISNUMBER(SEARCH("Missing Ship Date",AD806))),"Invalid",IF(AD806&lt;&gt;"","Warning","Clean"))</f>
        <v>Clean</v>
      </c>
    </row>
    <row r="807" customFormat="false" ht="15" hidden="false" customHeight="true" outlineLevel="0" collapsed="false">
      <c r="A807" s="3" t="s">
        <v>2413</v>
      </c>
      <c r="B807" s="4" t="n">
        <v>45753</v>
      </c>
      <c r="C807" s="4" t="n">
        <v>45754</v>
      </c>
      <c r="D807" s="3" t="s">
        <v>2278</v>
      </c>
      <c r="E807" s="3" t="str">
        <f aca="false">PROPER(TRIM(SUBSTITUTE(Raw_Text_Fields!B808,CHAR(160)," ")))</f>
        <v>Priya Menon</v>
      </c>
      <c r="F807" s="3" t="str">
        <f aca="false">PROPER(TRIM(SUBSTITUTE(Raw_Text_Fields!C808,CHAR(160)," ")))</f>
        <v>Home Office</v>
      </c>
      <c r="G807" s="3" t="str">
        <f aca="false">PROPER(TRIM(SUBSTITUTE(Raw_Text_Fields!D808,CHAR(160)," ")))</f>
        <v>East</v>
      </c>
      <c r="H807" s="3" t="str">
        <f aca="false">PROPER(TRIM(SUBSTITUTE(Raw_Text_Fields!E808,CHAR(160)," ")))</f>
        <v>Assam</v>
      </c>
      <c r="I807" s="3" t="str">
        <f aca="false">PROPER(TRIM(SUBSTITUTE(Raw_Text_Fields!F808,CHAR(160)," ")))</f>
        <v>Guwahati</v>
      </c>
      <c r="J807" s="3" t="str">
        <f aca="false">PROPER(TRIM(SUBSTITUTE(Raw_Text_Fields!G808,CHAR(160)," ")))</f>
        <v>Office Supplies</v>
      </c>
      <c r="K807" s="3" t="str">
        <f aca="false">PROPER(TRIM(SUBSTITUTE(Raw_Text_Fields!H808,CHAR(160)," ")))</f>
        <v>Binders</v>
      </c>
      <c r="L807" s="3" t="s">
        <v>2414</v>
      </c>
      <c r="M807" s="3" t="str">
        <f aca="false">PROPER(TRIM(SUBSTITUTE(Raw_Text_Fields!I808,CHAR(160)," ")))</f>
        <v>Second Class</v>
      </c>
      <c r="N807" s="3" t="n">
        <v>2</v>
      </c>
      <c r="O807" s="5" t="n">
        <v>2030.06</v>
      </c>
      <c r="P807" s="6" t="n">
        <v>0.25</v>
      </c>
      <c r="Q807" s="5" t="n">
        <v>3045.09</v>
      </c>
      <c r="R807" s="5" t="n">
        <v>2601.09</v>
      </c>
      <c r="S807" s="5" t="n">
        <v>444</v>
      </c>
      <c r="T807" s="3" t="str">
        <f aca="false">PROPER(TRIM(SUBSTITUTE(Raw_Text_Fields!J808,CHAR(160)," ")))</f>
        <v>Paid</v>
      </c>
      <c r="U807" s="3" t="str">
        <f aca="false">PROPER(TRIM(SUBSTITUTE(Raw_Text_Fields!K808,CHAR(160)," ")))</f>
        <v>Completed</v>
      </c>
      <c r="V807" s="7" t="n">
        <f aca="false">IF(OR(P807&lt;0,P807&gt;0.5),0,P807)</f>
        <v>0.25</v>
      </c>
      <c r="W807" s="8" t="n">
        <f aca="false">N807*O807*(1-V807)</f>
        <v>3045.09</v>
      </c>
      <c r="X807" s="8" t="n">
        <f aca="false">W807-R807</f>
        <v>444</v>
      </c>
      <c r="Y807" s="7" t="n">
        <f aca="false">IFERROR(X807/W807,0)</f>
        <v>0.145808498270987</v>
      </c>
      <c r="Z807" s="9" t="n">
        <f aca="false">C807-B807</f>
        <v>1</v>
      </c>
      <c r="AA807" s="1" t="str">
        <f aca="false">IF(B807="","",TEXT(B807,"mmm"))</f>
        <v>Apr</v>
      </c>
      <c r="AB807" s="9" t="n">
        <f aca="false">IF(B807="","",YEAR(B807))</f>
        <v>2025</v>
      </c>
      <c r="AC807" s="3"/>
      <c r="AD807" s="3" t="str">
        <f aca="false">IF(LEFT(AC807&amp;IF(B807="","; Missing Order Date","")&amp;IF(C807="","; Missing Ship Date","")&amp;IF(P807&lt;0,"; Invalid Discount (Negative)","")&amp;IF(P807&gt;0.5,"; Invalid Discount (Too High)","")&amp;IF(Z807&lt;0,"; Invalid Shipping Record (Ship Before Order)","")&amp;IF(ABS(Q807-W807)&gt;1,"; Sales Mismatch","")&amp;IF(ABS(S807-X807)&gt;1,"; Profit Mismatch","")&amp;IF(COUNTIF($A$2:$A$913,A807)&gt;1,"; Duplicate Order ID Conflict",""),2)="; ",MID(AC807&amp;IF(B807="","; Missing Order Date","")&amp;IF(C807="","; Missing Ship Date","")&amp;IF(P807&lt;0,"; Invalid Discount (Negative)","")&amp;IF(P807&gt;0.5,"; Invalid Discount (Too High)","")&amp;IF(Z807&lt;0,"; Invalid Shipping Record (Ship Before Order)","")&amp;IF(ABS(Q807-W807)&gt;1,"; Sales Mismatch","")&amp;IF(ABS(S807-X807)&gt;1,"; Profit Mismatch","")&amp;IF(COUNTIF($A$2:$A$913,A807)&gt;1,"; Duplicate Order ID Conflict",""),3,500),AC807&amp;IF(B807="","; Missing Order Date","")&amp;IF(C807="","; Missing Ship Date","")&amp;IF(P807&lt;0,"; Invalid Discount (Negative)","")&amp;IF(P807&gt;0.5,"; Invalid Discount (Too High)","")&amp;IF(Z807&lt;0,"; Invalid Shipping Record (Ship Before Order)","")&amp;IF(ABS(Q807-W807)&gt;1,"; Sales Mismatch","")&amp;IF(ABS(S807-X807)&gt;1,"; Profit Mismatch","")&amp;IF(COUNTIF($A$2:$A$913,A807)&gt;1,"; Duplicate Order ID Conflict",""))</f>
        <v/>
      </c>
      <c r="AE807" s="10" t="str">
        <f aca="false">IF(OR(ISNUMBER(SEARCH("Invalid Discount",AD807)),ISNUMBER(SEARCH("Invalid Shipping Record",AD807)),ISNUMBER(SEARCH("Sales Mismatch",AD807)),ISNUMBER(SEARCH("Profit Mismatch",AD807)),ISNUMBER(SEARCH("Duplicate Order ID Conflict",AD807)),ISNUMBER(SEARCH("Missing Order Date",AD807)),ISNUMBER(SEARCH("Missing Ship Date",AD807))),"Invalid",IF(AD807&lt;&gt;"","Warning","Clean"))</f>
        <v>Clean</v>
      </c>
    </row>
    <row r="808" customFormat="false" ht="15" hidden="false" customHeight="true" outlineLevel="0" collapsed="false">
      <c r="A808" s="3" t="s">
        <v>2415</v>
      </c>
      <c r="B808" s="4" t="n">
        <v>45605</v>
      </c>
      <c r="C808" s="4" t="n">
        <v>45611</v>
      </c>
      <c r="D808" s="3" t="s">
        <v>2416</v>
      </c>
      <c r="E808" s="3" t="str">
        <f aca="false">PROPER(TRIM(SUBSTITUTE(Raw_Text_Fields!B809,CHAR(160)," ")))</f>
        <v>Isha Nair</v>
      </c>
      <c r="F808" s="3" t="str">
        <f aca="false">PROPER(TRIM(SUBSTITUTE(Raw_Text_Fields!C809,CHAR(160)," ")))</f>
        <v>Home Office</v>
      </c>
      <c r="G808" s="3" t="str">
        <f aca="false">PROPER(TRIM(SUBSTITUTE(Raw_Text_Fields!D809,CHAR(160)," ")))</f>
        <v>North</v>
      </c>
      <c r="H808" s="3" t="str">
        <f aca="false">PROPER(TRIM(SUBSTITUTE(Raw_Text_Fields!E809,CHAR(160)," ")))</f>
        <v>Rajasthan</v>
      </c>
      <c r="I808" s="3" t="str">
        <f aca="false">PROPER(TRIM(SUBSTITUTE(Raw_Text_Fields!F809,CHAR(160)," ")))</f>
        <v>Jaipur</v>
      </c>
      <c r="J808" s="3" t="str">
        <f aca="false">PROPER(TRIM(SUBSTITUTE(Raw_Text_Fields!G809,CHAR(160)," ")))</f>
        <v>Technology</v>
      </c>
      <c r="K808" s="3" t="str">
        <f aca="false">PROPER(TRIM(SUBSTITUTE(Raw_Text_Fields!H809,CHAR(160)," ")))</f>
        <v>Copiers</v>
      </c>
      <c r="L808" s="3" t="s">
        <v>2417</v>
      </c>
      <c r="M808" s="3" t="str">
        <f aca="false">PROPER(TRIM(SUBSTITUTE(Raw_Text_Fields!I809,CHAR(160)," ")))</f>
        <v>Standard Class</v>
      </c>
      <c r="N808" s="3" t="n">
        <v>1</v>
      </c>
      <c r="O808" s="5" t="n">
        <v>3665.97</v>
      </c>
      <c r="P808" s="6" t="n">
        <v>0.2</v>
      </c>
      <c r="Q808" s="5" t="n">
        <v>2932.78</v>
      </c>
      <c r="R808" s="5" t="n">
        <v>1900.35</v>
      </c>
      <c r="S808" s="5" t="n">
        <v>1032.43</v>
      </c>
      <c r="T808" s="3" t="str">
        <f aca="false">PROPER(TRIM(SUBSTITUTE(Raw_Text_Fields!J809,CHAR(160)," ")))</f>
        <v>Failed</v>
      </c>
      <c r="U808" s="3" t="str">
        <f aca="false">PROPER(TRIM(SUBSTITUTE(Raw_Text_Fields!K809,CHAR(160)," ")))</f>
        <v>Cancelled</v>
      </c>
      <c r="V808" s="7" t="n">
        <f aca="false">IF(OR(P808&lt;0,P808&gt;0.5),0,P808)</f>
        <v>0.2</v>
      </c>
      <c r="W808" s="8" t="n">
        <f aca="false">N808*O808*(1-V808)</f>
        <v>2932.776</v>
      </c>
      <c r="X808" s="8" t="n">
        <f aca="false">W808-R808</f>
        <v>1032.426</v>
      </c>
      <c r="Y808" s="7" t="n">
        <f aca="false">IFERROR(X808/W808,0)</f>
        <v>0.35203029484693</v>
      </c>
      <c r="Z808" s="9" t="n">
        <f aca="false">C808-B808</f>
        <v>6</v>
      </c>
      <c r="AA808" s="1" t="str">
        <f aca="false">IF(B808="","",TEXT(B808,"mmm"))</f>
        <v>Nov</v>
      </c>
      <c r="AB808" s="9" t="n">
        <f aca="false">IF(B808="","",YEAR(B808))</f>
        <v>2024</v>
      </c>
      <c r="AC808" s="3"/>
      <c r="AD808" s="3" t="str">
        <f aca="false">IF(LEFT(AC808&amp;IF(B808="","; Missing Order Date","")&amp;IF(C808="","; Missing Ship Date","")&amp;IF(P808&lt;0,"; Invalid Discount (Negative)","")&amp;IF(P808&gt;0.5,"; Invalid Discount (Too High)","")&amp;IF(Z808&lt;0,"; Invalid Shipping Record (Ship Before Order)","")&amp;IF(ABS(Q808-W808)&gt;1,"; Sales Mismatch","")&amp;IF(ABS(S808-X808)&gt;1,"; Profit Mismatch","")&amp;IF(COUNTIF($A$2:$A$913,A808)&gt;1,"; Duplicate Order ID Conflict",""),2)="; ",MID(AC808&amp;IF(B808="","; Missing Order Date","")&amp;IF(C808="","; Missing Ship Date","")&amp;IF(P808&lt;0,"; Invalid Discount (Negative)","")&amp;IF(P808&gt;0.5,"; Invalid Discount (Too High)","")&amp;IF(Z808&lt;0,"; Invalid Shipping Record (Ship Before Order)","")&amp;IF(ABS(Q808-W808)&gt;1,"; Sales Mismatch","")&amp;IF(ABS(S808-X808)&gt;1,"; Profit Mismatch","")&amp;IF(COUNTIF($A$2:$A$913,A808)&gt;1,"; Duplicate Order ID Conflict",""),3,500),AC808&amp;IF(B808="","; Missing Order Date","")&amp;IF(C808="","; Missing Ship Date","")&amp;IF(P808&lt;0,"; Invalid Discount (Negative)","")&amp;IF(P808&gt;0.5,"; Invalid Discount (Too High)","")&amp;IF(Z808&lt;0,"; Invalid Shipping Record (Ship Before Order)","")&amp;IF(ABS(Q808-W808)&gt;1,"; Sales Mismatch","")&amp;IF(ABS(S808-X808)&gt;1,"; Profit Mismatch","")&amp;IF(COUNTIF($A$2:$A$913,A808)&gt;1,"; Duplicate Order ID Conflict",""))</f>
        <v/>
      </c>
      <c r="AE808" s="10" t="str">
        <f aca="false">IF(OR(ISNUMBER(SEARCH("Invalid Discount",AD808)),ISNUMBER(SEARCH("Invalid Shipping Record",AD808)),ISNUMBER(SEARCH("Sales Mismatch",AD808)),ISNUMBER(SEARCH("Profit Mismatch",AD808)),ISNUMBER(SEARCH("Duplicate Order ID Conflict",AD808)),ISNUMBER(SEARCH("Missing Order Date",AD808)),ISNUMBER(SEARCH("Missing Ship Date",AD808))),"Invalid",IF(AD808&lt;&gt;"","Warning","Clean"))</f>
        <v>Clean</v>
      </c>
    </row>
    <row r="809" customFormat="false" ht="15" hidden="false" customHeight="true" outlineLevel="0" collapsed="false">
      <c r="A809" s="3" t="s">
        <v>2418</v>
      </c>
      <c r="B809" s="4" t="n">
        <v>45695</v>
      </c>
      <c r="C809" s="4" t="n">
        <v>45696</v>
      </c>
      <c r="D809" s="3" t="s">
        <v>2419</v>
      </c>
      <c r="E809" s="3" t="str">
        <f aca="false">PROPER(TRIM(SUBSTITUTE(Raw_Text_Fields!B810,CHAR(160)," ")))</f>
        <v>Karan Malhotra</v>
      </c>
      <c r="F809" s="3" t="str">
        <f aca="false">PROPER(TRIM(SUBSTITUTE(Raw_Text_Fields!C810,CHAR(160)," ")))</f>
        <v>Small Business</v>
      </c>
      <c r="G809" s="3" t="str">
        <f aca="false">PROPER(TRIM(SUBSTITUTE(Raw_Text_Fields!D810,CHAR(160)," ")))</f>
        <v>South</v>
      </c>
      <c r="H809" s="3" t="str">
        <f aca="false">PROPER(TRIM(SUBSTITUTE(Raw_Text_Fields!E810,CHAR(160)," ")))</f>
        <v>Telangana</v>
      </c>
      <c r="I809" s="3" t="str">
        <f aca="false">PROPER(TRIM(SUBSTITUTE(Raw_Text_Fields!F810,CHAR(160)," ")))</f>
        <v>Hyderabad</v>
      </c>
      <c r="J809" s="3" t="str">
        <f aca="false">PROPER(TRIM(SUBSTITUTE(Raw_Text_Fields!G810,CHAR(160)," ")))</f>
        <v>Office Supplies</v>
      </c>
      <c r="K809" s="3" t="str">
        <f aca="false">PROPER(TRIM(SUBSTITUTE(Raw_Text_Fields!H810,CHAR(160)," ")))</f>
        <v>Labels</v>
      </c>
      <c r="L809" s="3" t="s">
        <v>2420</v>
      </c>
      <c r="M809" s="3" t="str">
        <f aca="false">PROPER(TRIM(SUBSTITUTE(Raw_Text_Fields!I810,CHAR(160)," ")))</f>
        <v>Standard Class</v>
      </c>
      <c r="N809" s="3" t="n">
        <v>2</v>
      </c>
      <c r="O809" s="5" t="n">
        <v>2432.98</v>
      </c>
      <c r="P809" s="6" t="n">
        <v>0.1</v>
      </c>
      <c r="Q809" s="5" t="n">
        <v>4379.36</v>
      </c>
      <c r="R809" s="5" t="n">
        <v>3723.93</v>
      </c>
      <c r="S809" s="5" t="n">
        <v>655.43</v>
      </c>
      <c r="T809" s="3" t="str">
        <f aca="false">PROPER(TRIM(SUBSTITUTE(Raw_Text_Fields!J810,CHAR(160)," ")))</f>
        <v>Paid</v>
      </c>
      <c r="U809" s="3" t="str">
        <f aca="false">PROPER(TRIM(SUBSTITUTE(Raw_Text_Fields!K810,CHAR(160)," ")))</f>
        <v>Completed</v>
      </c>
      <c r="V809" s="7" t="n">
        <f aca="false">IF(OR(P809&lt;0,P809&gt;0.5),0,P809)</f>
        <v>0.1</v>
      </c>
      <c r="W809" s="8" t="n">
        <f aca="false">N809*O809*(1-V809)</f>
        <v>4379.364</v>
      </c>
      <c r="X809" s="8" t="n">
        <f aca="false">W809-R809</f>
        <v>655.434000000001</v>
      </c>
      <c r="Y809" s="7" t="n">
        <f aca="false">IFERROR(X809/W809,0)</f>
        <v>0.149664197815025</v>
      </c>
      <c r="Z809" s="9" t="n">
        <f aca="false">C809-B809</f>
        <v>1</v>
      </c>
      <c r="AA809" s="1" t="str">
        <f aca="false">IF(B809="","",TEXT(B809,"mmm"))</f>
        <v>Feb</v>
      </c>
      <c r="AB809" s="9" t="n">
        <f aca="false">IF(B809="","",YEAR(B809))</f>
        <v>2025</v>
      </c>
      <c r="AC809" s="3"/>
      <c r="AD809" s="3" t="str">
        <f aca="false">IF(LEFT(AC809&amp;IF(B809="","; Missing Order Date","")&amp;IF(C809="","; Missing Ship Date","")&amp;IF(P809&lt;0,"; Invalid Discount (Negative)","")&amp;IF(P809&gt;0.5,"; Invalid Discount (Too High)","")&amp;IF(Z809&lt;0,"; Invalid Shipping Record (Ship Before Order)","")&amp;IF(ABS(Q809-W809)&gt;1,"; Sales Mismatch","")&amp;IF(ABS(S809-X809)&gt;1,"; Profit Mismatch","")&amp;IF(COUNTIF($A$2:$A$913,A809)&gt;1,"; Duplicate Order ID Conflict",""),2)="; ",MID(AC809&amp;IF(B809="","; Missing Order Date","")&amp;IF(C809="","; Missing Ship Date","")&amp;IF(P809&lt;0,"; Invalid Discount (Negative)","")&amp;IF(P809&gt;0.5,"; Invalid Discount (Too High)","")&amp;IF(Z809&lt;0,"; Invalid Shipping Record (Ship Before Order)","")&amp;IF(ABS(Q809-W809)&gt;1,"; Sales Mismatch","")&amp;IF(ABS(S809-X809)&gt;1,"; Profit Mismatch","")&amp;IF(COUNTIF($A$2:$A$913,A809)&gt;1,"; Duplicate Order ID Conflict",""),3,500),AC809&amp;IF(B809="","; Missing Order Date","")&amp;IF(C809="","; Missing Ship Date","")&amp;IF(P809&lt;0,"; Invalid Discount (Negative)","")&amp;IF(P809&gt;0.5,"; Invalid Discount (Too High)","")&amp;IF(Z809&lt;0,"; Invalid Shipping Record (Ship Before Order)","")&amp;IF(ABS(Q809-W809)&gt;1,"; Sales Mismatch","")&amp;IF(ABS(S809-X809)&gt;1,"; Profit Mismatch","")&amp;IF(COUNTIF($A$2:$A$913,A809)&gt;1,"; Duplicate Order ID Conflict",""))</f>
        <v/>
      </c>
      <c r="AE809" s="10" t="str">
        <f aca="false">IF(OR(ISNUMBER(SEARCH("Invalid Discount",AD809)),ISNUMBER(SEARCH("Invalid Shipping Record",AD809)),ISNUMBER(SEARCH("Sales Mismatch",AD809)),ISNUMBER(SEARCH("Profit Mismatch",AD809)),ISNUMBER(SEARCH("Duplicate Order ID Conflict",AD809)),ISNUMBER(SEARCH("Missing Order Date",AD809)),ISNUMBER(SEARCH("Missing Ship Date",AD809))),"Invalid",IF(AD809&lt;&gt;"","Warning","Clean"))</f>
        <v>Clean</v>
      </c>
    </row>
    <row r="810" customFormat="false" ht="15" hidden="false" customHeight="true" outlineLevel="0" collapsed="false">
      <c r="A810" s="3" t="s">
        <v>2421</v>
      </c>
      <c r="B810" s="4" t="n">
        <v>45900</v>
      </c>
      <c r="C810" s="4" t="n">
        <v>45897</v>
      </c>
      <c r="D810" s="3" t="s">
        <v>2422</v>
      </c>
      <c r="E810" s="3" t="str">
        <f aca="false">PROPER(TRIM(SUBSTITUTE(Raw_Text_Fields!B811,CHAR(160)," ")))</f>
        <v>Aarav Sharma</v>
      </c>
      <c r="F810" s="3" t="str">
        <f aca="false">PROPER(TRIM(SUBSTITUTE(Raw_Text_Fields!C811,CHAR(160)," ")))</f>
        <v>Small Business</v>
      </c>
      <c r="G810" s="3" t="str">
        <f aca="false">PROPER(TRIM(SUBSTITUTE(Raw_Text_Fields!D811,CHAR(160)," ")))</f>
        <v>South</v>
      </c>
      <c r="H810" s="3" t="str">
        <f aca="false">PROPER(TRIM(SUBSTITUTE(Raw_Text_Fields!E811,CHAR(160)," ")))</f>
        <v>Tamil Nadu</v>
      </c>
      <c r="I810" s="3" t="str">
        <f aca="false">PROPER(TRIM(SUBSTITUTE(Raw_Text_Fields!F811,CHAR(160)," ")))</f>
        <v>Chennai</v>
      </c>
      <c r="J810" s="3" t="str">
        <f aca="false">PROPER(TRIM(SUBSTITUTE(Raw_Text_Fields!G811,CHAR(160)," ")))</f>
        <v>Furniture</v>
      </c>
      <c r="K810" s="3" t="str">
        <f aca="false">PROPER(TRIM(SUBSTITUTE(Raw_Text_Fields!H811,CHAR(160)," ")))</f>
        <v>Furnishings</v>
      </c>
      <c r="L810" s="3" t="s">
        <v>2423</v>
      </c>
      <c r="M810" s="3" t="str">
        <f aca="false">PROPER(TRIM(SUBSTITUTE(Raw_Text_Fields!I811,CHAR(160)," ")))</f>
        <v>First Class</v>
      </c>
      <c r="N810" s="3" t="n">
        <v>7</v>
      </c>
      <c r="O810" s="5" t="n">
        <v>977.28</v>
      </c>
      <c r="P810" s="6" t="n">
        <v>0.2</v>
      </c>
      <c r="Q810" s="5" t="n">
        <v>5472.77</v>
      </c>
      <c r="R810" s="5" t="n">
        <v>4477.33</v>
      </c>
      <c r="S810" s="5" t="n">
        <v>995.44</v>
      </c>
      <c r="T810" s="3" t="str">
        <f aca="false">PROPER(TRIM(SUBSTITUTE(Raw_Text_Fields!J811,CHAR(160)," ")))</f>
        <v>Paid</v>
      </c>
      <c r="U810" s="3" t="str">
        <f aca="false">PROPER(TRIM(SUBSTITUTE(Raw_Text_Fields!K811,CHAR(160)," ")))</f>
        <v>Completed</v>
      </c>
      <c r="V810" s="7" t="n">
        <f aca="false">IF(OR(P810&lt;0,P810&gt;0.5),0,P810)</f>
        <v>0.2</v>
      </c>
      <c r="W810" s="8" t="n">
        <f aca="false">N810*O810*(1-V810)</f>
        <v>5472.768</v>
      </c>
      <c r="X810" s="8" t="n">
        <f aca="false">W810-R810</f>
        <v>995.438</v>
      </c>
      <c r="Y810" s="7" t="n">
        <f aca="false">IFERROR(X810/W810,0)</f>
        <v>0.181889310856956</v>
      </c>
      <c r="Z810" s="9" t="n">
        <f aca="false">C810-B810</f>
        <v>-3</v>
      </c>
      <c r="AA810" s="1" t="str">
        <f aca="false">IF(B810="","",TEXT(B810,"mmm"))</f>
        <v>Aug</v>
      </c>
      <c r="AB810" s="9" t="n">
        <f aca="false">IF(B810="","",YEAR(B810))</f>
        <v>2025</v>
      </c>
      <c r="AC810" s="3"/>
      <c r="AD810" s="3" t="str">
        <f aca="false">IF(LEFT(AC810&amp;IF(B810="","; Missing Order Date","")&amp;IF(C810="","; Missing Ship Date","")&amp;IF(P810&lt;0,"; Invalid Discount (Negative)","")&amp;IF(P810&gt;0.5,"; Invalid Discount (Too High)","")&amp;IF(Z810&lt;0,"; Invalid Shipping Record (Ship Before Order)","")&amp;IF(ABS(Q810-W810)&gt;1,"; Sales Mismatch","")&amp;IF(ABS(S810-X810)&gt;1,"; Profit Mismatch","")&amp;IF(COUNTIF($A$2:$A$913,A810)&gt;1,"; Duplicate Order ID Conflict",""),2)="; ",MID(AC810&amp;IF(B810="","; Missing Order Date","")&amp;IF(C810="","; Missing Ship Date","")&amp;IF(P810&lt;0,"; Invalid Discount (Negative)","")&amp;IF(P810&gt;0.5,"; Invalid Discount (Too High)","")&amp;IF(Z810&lt;0,"; Invalid Shipping Record (Ship Before Order)","")&amp;IF(ABS(Q810-W810)&gt;1,"; Sales Mismatch","")&amp;IF(ABS(S810-X810)&gt;1,"; Profit Mismatch","")&amp;IF(COUNTIF($A$2:$A$913,A810)&gt;1,"; Duplicate Order ID Conflict",""),3,500),AC810&amp;IF(B810="","; Missing Order Date","")&amp;IF(C810="","; Missing Ship Date","")&amp;IF(P810&lt;0,"; Invalid Discount (Negative)","")&amp;IF(P810&gt;0.5,"; Invalid Discount (Too High)","")&amp;IF(Z810&lt;0,"; Invalid Shipping Record (Ship Before Order)","")&amp;IF(ABS(Q810-W810)&gt;1,"; Sales Mismatch","")&amp;IF(ABS(S810-X810)&gt;1,"; Profit Mismatch","")&amp;IF(COUNTIF($A$2:$A$913,A810)&gt;1,"; Duplicate Order ID Conflict",""))</f>
        <v>Invalid Shipping Record (Ship Before Order)</v>
      </c>
      <c r="AE810" s="10" t="str">
        <f aca="false">IF(OR(ISNUMBER(SEARCH("Invalid Discount",AD810)),ISNUMBER(SEARCH("Invalid Shipping Record",AD810)),ISNUMBER(SEARCH("Sales Mismatch",AD810)),ISNUMBER(SEARCH("Profit Mismatch",AD810)),ISNUMBER(SEARCH("Duplicate Order ID Conflict",AD810)),ISNUMBER(SEARCH("Missing Order Date",AD810)),ISNUMBER(SEARCH("Missing Ship Date",AD810))),"Invalid",IF(AD810&lt;&gt;"","Warning","Clean"))</f>
        <v>Invalid</v>
      </c>
    </row>
    <row r="811" customFormat="false" ht="15" hidden="false" customHeight="true" outlineLevel="0" collapsed="false">
      <c r="A811" s="3" t="s">
        <v>2424</v>
      </c>
      <c r="B811" s="4" t="n">
        <v>45833</v>
      </c>
      <c r="C811" s="4" t="n">
        <v>45833</v>
      </c>
      <c r="D811" s="3" t="s">
        <v>2425</v>
      </c>
      <c r="E811" s="3" t="str">
        <f aca="false">PROPER(TRIM(SUBSTITUTE(Raw_Text_Fields!B812,CHAR(160)," ")))</f>
        <v>Arjun Bose</v>
      </c>
      <c r="F811" s="3" t="str">
        <f aca="false">PROPER(TRIM(SUBSTITUTE(Raw_Text_Fields!C812,CHAR(160)," ")))</f>
        <v>Small Business</v>
      </c>
      <c r="G811" s="3" t="str">
        <f aca="false">PROPER(TRIM(SUBSTITUTE(Raw_Text_Fields!D812,CHAR(160)," ")))</f>
        <v>Unknown</v>
      </c>
      <c r="H811" s="3" t="str">
        <f aca="false">PROPER(TRIM(SUBSTITUTE(Raw_Text_Fields!E812,CHAR(160)," ")))</f>
        <v>Punjab</v>
      </c>
      <c r="I811" s="3" t="str">
        <f aca="false">PROPER(TRIM(SUBSTITUTE(Raw_Text_Fields!F812,CHAR(160)," ")))</f>
        <v>Ludhiana</v>
      </c>
      <c r="J811" s="3" t="str">
        <f aca="false">PROPER(TRIM(SUBSTITUTE(Raw_Text_Fields!G812,CHAR(160)," ")))</f>
        <v>Office Supplies</v>
      </c>
      <c r="K811" s="3" t="str">
        <f aca="false">PROPER(TRIM(SUBSTITUTE(Raw_Text_Fields!H812,CHAR(160)," ")))</f>
        <v>Binders</v>
      </c>
      <c r="L811" s="3" t="s">
        <v>2426</v>
      </c>
      <c r="M811" s="3" t="str">
        <f aca="false">PROPER(TRIM(SUBSTITUTE(Raw_Text_Fields!I812,CHAR(160)," ")))</f>
        <v>Second Class</v>
      </c>
      <c r="N811" s="3" t="n">
        <v>6</v>
      </c>
      <c r="O811" s="5" t="n">
        <v>1366.13</v>
      </c>
      <c r="P811" s="6" t="n">
        <v>0.1</v>
      </c>
      <c r="Q811" s="5" t="n">
        <v>7377.1</v>
      </c>
      <c r="R811" s="5" t="n">
        <v>5085.21</v>
      </c>
      <c r="S811" s="5" t="n">
        <v>2291.89</v>
      </c>
      <c r="T811" s="3" t="str">
        <f aca="false">PROPER(TRIM(SUBSTITUTE(Raw_Text_Fields!J812,CHAR(160)," ")))</f>
        <v>Paid</v>
      </c>
      <c r="U811" s="3" t="str">
        <f aca="false">PROPER(TRIM(SUBSTITUTE(Raw_Text_Fields!K812,CHAR(160)," ")))</f>
        <v>Completed</v>
      </c>
      <c r="V811" s="7" t="n">
        <f aca="false">IF(OR(P811&lt;0,P811&gt;0.5),0,P811)</f>
        <v>0.1</v>
      </c>
      <c r="W811" s="8" t="n">
        <f aca="false">N811*O811*(1-V811)</f>
        <v>7377.102</v>
      </c>
      <c r="X811" s="8" t="n">
        <f aca="false">W811-R811</f>
        <v>2291.892</v>
      </c>
      <c r="Y811" s="7" t="n">
        <f aca="false">IFERROR(X811/W811,0)</f>
        <v>0.310676468889816</v>
      </c>
      <c r="Z811" s="9" t="n">
        <f aca="false">C811-B811</f>
        <v>0</v>
      </c>
      <c r="AA811" s="1" t="str">
        <f aca="false">IF(B811="","",TEXT(B811,"mmm"))</f>
        <v>Jun</v>
      </c>
      <c r="AB811" s="9" t="n">
        <f aca="false">IF(B811="","",YEAR(B811))</f>
        <v>2025</v>
      </c>
      <c r="AC811" s="3" t="s">
        <v>372</v>
      </c>
      <c r="AD811" s="3" t="str">
        <f aca="false">IF(LEFT(AC811&amp;IF(B811="","; Missing Order Date","")&amp;IF(C811="","; Missing Ship Date","")&amp;IF(P811&lt;0,"; Invalid Discount (Negative)","")&amp;IF(P811&gt;0.5,"; Invalid Discount (Too High)","")&amp;IF(Z811&lt;0,"; Invalid Shipping Record (Ship Before Order)","")&amp;IF(ABS(Q811-W811)&gt;1,"; Sales Mismatch","")&amp;IF(ABS(S811-X811)&gt;1,"; Profit Mismatch","")&amp;IF(COUNTIF($A$2:$A$913,A811)&gt;1,"; Duplicate Order ID Conflict",""),2)="; ",MID(AC811&amp;IF(B811="","; Missing Order Date","")&amp;IF(C811="","; Missing Ship Date","")&amp;IF(P811&lt;0,"; Invalid Discount (Negative)","")&amp;IF(P811&gt;0.5,"; Invalid Discount (Too High)","")&amp;IF(Z811&lt;0,"; Invalid Shipping Record (Ship Before Order)","")&amp;IF(ABS(Q811-W811)&gt;1,"; Sales Mismatch","")&amp;IF(ABS(S811-X811)&gt;1,"; Profit Mismatch","")&amp;IF(COUNTIF($A$2:$A$913,A811)&gt;1,"; Duplicate Order ID Conflict",""),3,500),AC811&amp;IF(B811="","; Missing Order Date","")&amp;IF(C811="","; Missing Ship Date","")&amp;IF(P811&lt;0,"; Invalid Discount (Negative)","")&amp;IF(P811&gt;0.5,"; Invalid Discount (Too High)","")&amp;IF(Z811&lt;0,"; Invalid Shipping Record (Ship Before Order)","")&amp;IF(ABS(Q811-W811)&gt;1,"; Sales Mismatch","")&amp;IF(ABS(S811-X811)&gt;1,"; Profit Mismatch","")&amp;IF(COUNTIF($A$2:$A$913,A811)&gt;1,"; Duplicate Order ID Conflict",""))</f>
        <v>Missing Region (filled Unknown)</v>
      </c>
      <c r="AE811" s="10" t="str">
        <f aca="false">IF(OR(ISNUMBER(SEARCH("Invalid Discount",AD811)),ISNUMBER(SEARCH("Invalid Shipping Record",AD811)),ISNUMBER(SEARCH("Sales Mismatch",AD811)),ISNUMBER(SEARCH("Profit Mismatch",AD811)),ISNUMBER(SEARCH("Duplicate Order ID Conflict",AD811)),ISNUMBER(SEARCH("Missing Order Date",AD811)),ISNUMBER(SEARCH("Missing Ship Date",AD811))),"Invalid",IF(AD811&lt;&gt;"","Warning","Clean"))</f>
        <v>Warning</v>
      </c>
    </row>
    <row r="812" customFormat="false" ht="15" hidden="false" customHeight="true" outlineLevel="0" collapsed="false">
      <c r="A812" s="3" t="s">
        <v>2427</v>
      </c>
      <c r="B812" s="4" t="n">
        <v>45385</v>
      </c>
      <c r="C812" s="4" t="n">
        <v>45390</v>
      </c>
      <c r="D812" s="3" t="s">
        <v>1590</v>
      </c>
      <c r="E812" s="3" t="str">
        <f aca="false">PROPER(TRIM(SUBSTITUTE(Raw_Text_Fields!B813,CHAR(160)," ")))</f>
        <v>Kabir Singh</v>
      </c>
      <c r="F812" s="3" t="str">
        <f aca="false">PROPER(TRIM(SUBSTITUTE(Raw_Text_Fields!C813,CHAR(160)," ")))</f>
        <v>Home Office</v>
      </c>
      <c r="G812" s="3" t="str">
        <f aca="false">PROPER(TRIM(SUBSTITUTE(Raw_Text_Fields!D813,CHAR(160)," ")))</f>
        <v>West</v>
      </c>
      <c r="H812" s="3" t="str">
        <f aca="false">PROPER(TRIM(SUBSTITUTE(Raw_Text_Fields!E813,CHAR(160)," ")))</f>
        <v>Gujarat</v>
      </c>
      <c r="I812" s="3" t="str">
        <f aca="false">PROPER(TRIM(SUBSTITUTE(Raw_Text_Fields!F813,CHAR(160)," ")))</f>
        <v>Ahmedabad</v>
      </c>
      <c r="J812" s="3" t="str">
        <f aca="false">PROPER(TRIM(SUBSTITUTE(Raw_Text_Fields!G813,CHAR(160)," ")))</f>
        <v>Technology</v>
      </c>
      <c r="K812" s="3" t="str">
        <f aca="false">PROPER(TRIM(SUBSTITUTE(Raw_Text_Fields!H813,CHAR(160)," ")))</f>
        <v>Copiers</v>
      </c>
      <c r="L812" s="3" t="s">
        <v>2428</v>
      </c>
      <c r="M812" s="3" t="str">
        <f aca="false">PROPER(TRIM(SUBSTITUTE(Raw_Text_Fields!I813,CHAR(160)," ")))</f>
        <v>First Class</v>
      </c>
      <c r="N812" s="3" t="n">
        <v>1</v>
      </c>
      <c r="O812" s="5" t="n">
        <v>3151.85</v>
      </c>
      <c r="P812" s="6" t="n">
        <v>0.25</v>
      </c>
      <c r="Q812" s="5" t="n">
        <v>2363.89</v>
      </c>
      <c r="R812" s="5" t="n">
        <v>1471.51</v>
      </c>
      <c r="S812" s="5" t="n">
        <v>892.38</v>
      </c>
      <c r="T812" s="3" t="str">
        <f aca="false">PROPER(TRIM(SUBSTITUTE(Raw_Text_Fields!J813,CHAR(160)," ")))</f>
        <v>Paid</v>
      </c>
      <c r="U812" s="3" t="str">
        <f aca="false">PROPER(TRIM(SUBSTITUTE(Raw_Text_Fields!K813,CHAR(160)," ")))</f>
        <v>Completed</v>
      </c>
      <c r="V812" s="7" t="n">
        <f aca="false">IF(OR(P812&lt;0,P812&gt;0.5),0,P812)</f>
        <v>0.25</v>
      </c>
      <c r="W812" s="8" t="n">
        <f aca="false">N812*O812*(1-V812)</f>
        <v>2363.8875</v>
      </c>
      <c r="X812" s="8" t="n">
        <f aca="false">W812-R812</f>
        <v>892.3775</v>
      </c>
      <c r="Y812" s="7" t="n">
        <f aca="false">IFERROR(X812/W812,0)</f>
        <v>0.37750421710001</v>
      </c>
      <c r="Z812" s="9" t="n">
        <f aca="false">C812-B812</f>
        <v>5</v>
      </c>
      <c r="AA812" s="1" t="str">
        <f aca="false">IF(B812="","",TEXT(B812,"mmm"))</f>
        <v>Apr</v>
      </c>
      <c r="AB812" s="9" t="n">
        <f aca="false">IF(B812="","",YEAR(B812))</f>
        <v>2024</v>
      </c>
      <c r="AC812" s="3"/>
      <c r="AD812" s="3" t="str">
        <f aca="false">IF(LEFT(AC812&amp;IF(B812="","; Missing Order Date","")&amp;IF(C812="","; Missing Ship Date","")&amp;IF(P812&lt;0,"; Invalid Discount (Negative)","")&amp;IF(P812&gt;0.5,"; Invalid Discount (Too High)","")&amp;IF(Z812&lt;0,"; Invalid Shipping Record (Ship Before Order)","")&amp;IF(ABS(Q812-W812)&gt;1,"; Sales Mismatch","")&amp;IF(ABS(S812-X812)&gt;1,"; Profit Mismatch","")&amp;IF(COUNTIF($A$2:$A$913,A812)&gt;1,"; Duplicate Order ID Conflict",""),2)="; ",MID(AC812&amp;IF(B812="","; Missing Order Date","")&amp;IF(C812="","; Missing Ship Date","")&amp;IF(P812&lt;0,"; Invalid Discount (Negative)","")&amp;IF(P812&gt;0.5,"; Invalid Discount (Too High)","")&amp;IF(Z812&lt;0,"; Invalid Shipping Record (Ship Before Order)","")&amp;IF(ABS(Q812-W812)&gt;1,"; Sales Mismatch","")&amp;IF(ABS(S812-X812)&gt;1,"; Profit Mismatch","")&amp;IF(COUNTIF($A$2:$A$913,A812)&gt;1,"; Duplicate Order ID Conflict",""),3,500),AC812&amp;IF(B812="","; Missing Order Date","")&amp;IF(C812="","; Missing Ship Date","")&amp;IF(P812&lt;0,"; Invalid Discount (Negative)","")&amp;IF(P812&gt;0.5,"; Invalid Discount (Too High)","")&amp;IF(Z812&lt;0,"; Invalid Shipping Record (Ship Before Order)","")&amp;IF(ABS(Q812-W812)&gt;1,"; Sales Mismatch","")&amp;IF(ABS(S812-X812)&gt;1,"; Profit Mismatch","")&amp;IF(COUNTIF($A$2:$A$913,A812)&gt;1,"; Duplicate Order ID Conflict",""))</f>
        <v/>
      </c>
      <c r="AE812" s="10" t="str">
        <f aca="false">IF(OR(ISNUMBER(SEARCH("Invalid Discount",AD812)),ISNUMBER(SEARCH("Invalid Shipping Record",AD812)),ISNUMBER(SEARCH("Sales Mismatch",AD812)),ISNUMBER(SEARCH("Profit Mismatch",AD812)),ISNUMBER(SEARCH("Duplicate Order ID Conflict",AD812)),ISNUMBER(SEARCH("Missing Order Date",AD812)),ISNUMBER(SEARCH("Missing Ship Date",AD812))),"Invalid",IF(AD812&lt;&gt;"","Warning","Clean"))</f>
        <v>Clean</v>
      </c>
    </row>
    <row r="813" customFormat="false" ht="15" hidden="false" customHeight="true" outlineLevel="0" collapsed="false">
      <c r="A813" s="3" t="s">
        <v>2429</v>
      </c>
      <c r="B813" s="4" t="n">
        <v>45638</v>
      </c>
      <c r="C813" s="4" t="n">
        <v>45645</v>
      </c>
      <c r="D813" s="3" t="s">
        <v>2430</v>
      </c>
      <c r="E813" s="3" t="str">
        <f aca="false">PROPER(TRIM(SUBSTITUTE(Raw_Text_Fields!B814,CHAR(160)," ")))</f>
        <v>Rohan Mehta</v>
      </c>
      <c r="F813" s="3" t="str">
        <f aca="false">PROPER(TRIM(SUBSTITUTE(Raw_Text_Fields!C814,CHAR(160)," ")))</f>
        <v>Home Office</v>
      </c>
      <c r="G813" s="3" t="str">
        <f aca="false">PROPER(TRIM(SUBSTITUTE(Raw_Text_Fields!D814,CHAR(160)," ")))</f>
        <v>North</v>
      </c>
      <c r="H813" s="3" t="str">
        <f aca="false">PROPER(TRIM(SUBSTITUTE(Raw_Text_Fields!E814,CHAR(160)," ")))</f>
        <v>Haryana</v>
      </c>
      <c r="I813" s="3" t="str">
        <f aca="false">PROPER(TRIM(SUBSTITUTE(Raw_Text_Fields!F814,CHAR(160)," ")))</f>
        <v>Gurugram</v>
      </c>
      <c r="J813" s="3" t="str">
        <f aca="false">PROPER(TRIM(SUBSTITUTE(Raw_Text_Fields!G814,CHAR(160)," ")))</f>
        <v>Technology</v>
      </c>
      <c r="K813" s="3" t="str">
        <f aca="false">PROPER(TRIM(SUBSTITUTE(Raw_Text_Fields!H814,CHAR(160)," ")))</f>
        <v>Accessories</v>
      </c>
      <c r="L813" s="3" t="s">
        <v>2431</v>
      </c>
      <c r="M813" s="3" t="str">
        <f aca="false">PROPER(TRIM(SUBSTITUTE(Raw_Text_Fields!I814,CHAR(160)," ")))</f>
        <v>First Class</v>
      </c>
      <c r="N813" s="3" t="n">
        <v>2</v>
      </c>
      <c r="O813" s="5" t="n">
        <v>1610.75</v>
      </c>
      <c r="P813" s="6" t="n">
        <v>0.2</v>
      </c>
      <c r="Q813" s="5" t="n">
        <v>2577.2</v>
      </c>
      <c r="R813" s="5" t="n">
        <v>1475.87</v>
      </c>
      <c r="S813" s="5" t="n">
        <v>1101.33</v>
      </c>
      <c r="T813" s="3" t="str">
        <f aca="false">PROPER(TRIM(SUBSTITUTE(Raw_Text_Fields!J814,CHAR(160)," ")))</f>
        <v>Paid</v>
      </c>
      <c r="U813" s="3" t="str">
        <f aca="false">PROPER(TRIM(SUBSTITUTE(Raw_Text_Fields!K814,CHAR(160)," ")))</f>
        <v>Completed</v>
      </c>
      <c r="V813" s="7" t="n">
        <f aca="false">IF(OR(P813&lt;0,P813&gt;0.5),0,P813)</f>
        <v>0.2</v>
      </c>
      <c r="W813" s="8" t="n">
        <f aca="false">N813*O813*(1-V813)</f>
        <v>2577.2</v>
      </c>
      <c r="X813" s="8" t="n">
        <f aca="false">W813-R813</f>
        <v>1101.33</v>
      </c>
      <c r="Y813" s="7" t="n">
        <f aca="false">IFERROR(X813/W813,0)</f>
        <v>0.427335868384293</v>
      </c>
      <c r="Z813" s="9" t="n">
        <f aca="false">C813-B813</f>
        <v>7</v>
      </c>
      <c r="AA813" s="1" t="str">
        <f aca="false">IF(B813="","",TEXT(B813,"mmm"))</f>
        <v>Dec</v>
      </c>
      <c r="AB813" s="9" t="n">
        <f aca="false">IF(B813="","",YEAR(B813))</f>
        <v>2024</v>
      </c>
      <c r="AC813" s="3"/>
      <c r="AD813" s="3" t="str">
        <f aca="false">IF(LEFT(AC813&amp;IF(B813="","; Missing Order Date","")&amp;IF(C813="","; Missing Ship Date","")&amp;IF(P813&lt;0,"; Invalid Discount (Negative)","")&amp;IF(P813&gt;0.5,"; Invalid Discount (Too High)","")&amp;IF(Z813&lt;0,"; Invalid Shipping Record (Ship Before Order)","")&amp;IF(ABS(Q813-W813)&gt;1,"; Sales Mismatch","")&amp;IF(ABS(S813-X813)&gt;1,"; Profit Mismatch","")&amp;IF(COUNTIF($A$2:$A$913,A813)&gt;1,"; Duplicate Order ID Conflict",""),2)="; ",MID(AC813&amp;IF(B813="","; Missing Order Date","")&amp;IF(C813="","; Missing Ship Date","")&amp;IF(P813&lt;0,"; Invalid Discount (Negative)","")&amp;IF(P813&gt;0.5,"; Invalid Discount (Too High)","")&amp;IF(Z813&lt;0,"; Invalid Shipping Record (Ship Before Order)","")&amp;IF(ABS(Q813-W813)&gt;1,"; Sales Mismatch","")&amp;IF(ABS(S813-X813)&gt;1,"; Profit Mismatch","")&amp;IF(COUNTIF($A$2:$A$913,A813)&gt;1,"; Duplicate Order ID Conflict",""),3,500),AC813&amp;IF(B813="","; Missing Order Date","")&amp;IF(C813="","; Missing Ship Date","")&amp;IF(P813&lt;0,"; Invalid Discount (Negative)","")&amp;IF(P813&gt;0.5,"; Invalid Discount (Too High)","")&amp;IF(Z813&lt;0,"; Invalid Shipping Record (Ship Before Order)","")&amp;IF(ABS(Q813-W813)&gt;1,"; Sales Mismatch","")&amp;IF(ABS(S813-X813)&gt;1,"; Profit Mismatch","")&amp;IF(COUNTIF($A$2:$A$913,A813)&gt;1,"; Duplicate Order ID Conflict",""))</f>
        <v/>
      </c>
      <c r="AE813" s="10" t="str">
        <f aca="false">IF(OR(ISNUMBER(SEARCH("Invalid Discount",AD813)),ISNUMBER(SEARCH("Invalid Shipping Record",AD813)),ISNUMBER(SEARCH("Sales Mismatch",AD813)),ISNUMBER(SEARCH("Profit Mismatch",AD813)),ISNUMBER(SEARCH("Duplicate Order ID Conflict",AD813)),ISNUMBER(SEARCH("Missing Order Date",AD813)),ISNUMBER(SEARCH("Missing Ship Date",AD813))),"Invalid",IF(AD813&lt;&gt;"","Warning","Clean"))</f>
        <v>Clean</v>
      </c>
    </row>
    <row r="814" customFormat="false" ht="15" hidden="false" customHeight="true" outlineLevel="0" collapsed="false">
      <c r="A814" s="3" t="s">
        <v>2432</v>
      </c>
      <c r="B814" s="4" t="n">
        <v>45458</v>
      </c>
      <c r="C814" s="4" t="n">
        <v>45463</v>
      </c>
      <c r="D814" s="3" t="s">
        <v>2433</v>
      </c>
      <c r="E814" s="3" t="str">
        <f aca="false">PROPER(TRIM(SUBSTITUTE(Raw_Text_Fields!B815,CHAR(160)," ")))</f>
        <v>Sneha Kapoor</v>
      </c>
      <c r="F814" s="3" t="str">
        <f aca="false">PROPER(TRIM(SUBSTITUTE(Raw_Text_Fields!C815,CHAR(160)," ")))</f>
        <v>Small Business</v>
      </c>
      <c r="G814" s="3" t="str">
        <f aca="false">PROPER(TRIM(SUBSTITUTE(Raw_Text_Fields!D815,CHAR(160)," ")))</f>
        <v>East</v>
      </c>
      <c r="H814" s="3" t="str">
        <f aca="false">PROPER(TRIM(SUBSTITUTE(Raw_Text_Fields!E815,CHAR(160)," ")))</f>
        <v>Jharkhand</v>
      </c>
      <c r="I814" s="3" t="str">
        <f aca="false">PROPER(TRIM(SUBSTITUTE(Raw_Text_Fields!F815,CHAR(160)," ")))</f>
        <v>Ranchi</v>
      </c>
      <c r="J814" s="3" t="str">
        <f aca="false">PROPER(TRIM(SUBSTITUTE(Raw_Text_Fields!G815,CHAR(160)," ")))</f>
        <v>Furniture</v>
      </c>
      <c r="K814" s="3" t="str">
        <f aca="false">PROPER(TRIM(SUBSTITUTE(Raw_Text_Fields!H815,CHAR(160)," ")))</f>
        <v>Tables</v>
      </c>
      <c r="L814" s="3" t="s">
        <v>2434</v>
      </c>
      <c r="M814" s="3" t="str">
        <f aca="false">PROPER(TRIM(SUBSTITUTE(Raw_Text_Fields!I815,CHAR(160)," ")))</f>
        <v>First Class</v>
      </c>
      <c r="N814" s="3" t="n">
        <v>8</v>
      </c>
      <c r="O814" s="5" t="n">
        <v>2228.47</v>
      </c>
      <c r="P814" s="6" t="n">
        <v>0</v>
      </c>
      <c r="Q814" s="5" t="n">
        <v>17827.76</v>
      </c>
      <c r="R814" s="5" t="n">
        <v>14122.13</v>
      </c>
      <c r="S814" s="5" t="n">
        <v>3705.63</v>
      </c>
      <c r="T814" s="3" t="str">
        <f aca="false">PROPER(TRIM(SUBSTITUTE(Raw_Text_Fields!J815,CHAR(160)," ")))</f>
        <v>Paid</v>
      </c>
      <c r="U814" s="3" t="str">
        <f aca="false">PROPER(TRIM(SUBSTITUTE(Raw_Text_Fields!K815,CHAR(160)," ")))</f>
        <v>Completed</v>
      </c>
      <c r="V814" s="7" t="n">
        <f aca="false">IF(OR(P814&lt;0,P814&gt;0.5),0,P814)</f>
        <v>0</v>
      </c>
      <c r="W814" s="8" t="n">
        <f aca="false">N814*O814*(1-V814)</f>
        <v>17827.76</v>
      </c>
      <c r="X814" s="8" t="n">
        <f aca="false">W814-R814</f>
        <v>3705.63</v>
      </c>
      <c r="Y814" s="7" t="n">
        <f aca="false">IFERROR(X814/W814,0)</f>
        <v>0.207857296710299</v>
      </c>
      <c r="Z814" s="9" t="n">
        <f aca="false">C814-B814</f>
        <v>5</v>
      </c>
      <c r="AA814" s="1" t="str">
        <f aca="false">IF(B814="","",TEXT(B814,"mmm"))</f>
        <v>Jun</v>
      </c>
      <c r="AB814" s="9" t="n">
        <f aca="false">IF(B814="","",YEAR(B814))</f>
        <v>2024</v>
      </c>
      <c r="AC814" s="3"/>
      <c r="AD814" s="3" t="str">
        <f aca="false">IF(LEFT(AC814&amp;IF(B814="","; Missing Order Date","")&amp;IF(C814="","; Missing Ship Date","")&amp;IF(P814&lt;0,"; Invalid Discount (Negative)","")&amp;IF(P814&gt;0.5,"; Invalid Discount (Too High)","")&amp;IF(Z814&lt;0,"; Invalid Shipping Record (Ship Before Order)","")&amp;IF(ABS(Q814-W814)&gt;1,"; Sales Mismatch","")&amp;IF(ABS(S814-X814)&gt;1,"; Profit Mismatch","")&amp;IF(COUNTIF($A$2:$A$913,A814)&gt;1,"; Duplicate Order ID Conflict",""),2)="; ",MID(AC814&amp;IF(B814="","; Missing Order Date","")&amp;IF(C814="","; Missing Ship Date","")&amp;IF(P814&lt;0,"; Invalid Discount (Negative)","")&amp;IF(P814&gt;0.5,"; Invalid Discount (Too High)","")&amp;IF(Z814&lt;0,"; Invalid Shipping Record (Ship Before Order)","")&amp;IF(ABS(Q814-W814)&gt;1,"; Sales Mismatch","")&amp;IF(ABS(S814-X814)&gt;1,"; Profit Mismatch","")&amp;IF(COUNTIF($A$2:$A$913,A814)&gt;1,"; Duplicate Order ID Conflict",""),3,500),AC814&amp;IF(B814="","; Missing Order Date","")&amp;IF(C814="","; Missing Ship Date","")&amp;IF(P814&lt;0,"; Invalid Discount (Negative)","")&amp;IF(P814&gt;0.5,"; Invalid Discount (Too High)","")&amp;IF(Z814&lt;0,"; Invalid Shipping Record (Ship Before Order)","")&amp;IF(ABS(Q814-W814)&gt;1,"; Sales Mismatch","")&amp;IF(ABS(S814-X814)&gt;1,"; Profit Mismatch","")&amp;IF(COUNTIF($A$2:$A$913,A814)&gt;1,"; Duplicate Order ID Conflict",""))</f>
        <v/>
      </c>
      <c r="AE814" s="10" t="str">
        <f aca="false">IF(OR(ISNUMBER(SEARCH("Invalid Discount",AD814)),ISNUMBER(SEARCH("Invalid Shipping Record",AD814)),ISNUMBER(SEARCH("Sales Mismatch",AD814)),ISNUMBER(SEARCH("Profit Mismatch",AD814)),ISNUMBER(SEARCH("Duplicate Order ID Conflict",AD814)),ISNUMBER(SEARCH("Missing Order Date",AD814)),ISNUMBER(SEARCH("Missing Ship Date",AD814))),"Invalid",IF(AD814&lt;&gt;"","Warning","Clean"))</f>
        <v>Clean</v>
      </c>
    </row>
    <row r="815" customFormat="false" ht="15" hidden="false" customHeight="true" outlineLevel="0" collapsed="false">
      <c r="A815" s="3" t="s">
        <v>2435</v>
      </c>
      <c r="B815" s="4" t="n">
        <v>45753</v>
      </c>
      <c r="C815" s="4" t="n">
        <v>45757</v>
      </c>
      <c r="D815" s="3" t="s">
        <v>2436</v>
      </c>
      <c r="E815" s="3" t="str">
        <f aca="false">PROPER(TRIM(SUBSTITUTE(Raw_Text_Fields!B816,CHAR(160)," ")))</f>
        <v>Rohan Mehta</v>
      </c>
      <c r="F815" s="3" t="str">
        <f aca="false">PROPER(TRIM(SUBSTITUTE(Raw_Text_Fields!C816,CHAR(160)," ")))</f>
        <v>Consumer</v>
      </c>
      <c r="G815" s="3" t="str">
        <f aca="false">PROPER(TRIM(SUBSTITUTE(Raw_Text_Fields!D816,CHAR(160)," ")))</f>
        <v>East</v>
      </c>
      <c r="H815" s="3" t="str">
        <f aca="false">PROPER(TRIM(SUBSTITUTE(Raw_Text_Fields!E816,CHAR(160)," ")))</f>
        <v>Odisha</v>
      </c>
      <c r="I815" s="3" t="str">
        <f aca="false">PROPER(TRIM(SUBSTITUTE(Raw_Text_Fields!F816,CHAR(160)," ")))</f>
        <v>Bhubaneswar</v>
      </c>
      <c r="J815" s="3" t="str">
        <f aca="false">PROPER(TRIM(SUBSTITUTE(Raw_Text_Fields!G816,CHAR(160)," ")))</f>
        <v>Furniture</v>
      </c>
      <c r="K815" s="3" t="str">
        <f aca="false">PROPER(TRIM(SUBSTITUTE(Raw_Text_Fields!H816,CHAR(160)," ")))</f>
        <v>Bookcases</v>
      </c>
      <c r="L815" s="3" t="s">
        <v>1045</v>
      </c>
      <c r="M815" s="3" t="str">
        <f aca="false">PROPER(TRIM(SUBSTITUTE(Raw_Text_Fields!I816,CHAR(160)," ")))</f>
        <v>Standard Class</v>
      </c>
      <c r="N815" s="3" t="n">
        <v>2</v>
      </c>
      <c r="O815" s="5" t="n">
        <v>1337.67</v>
      </c>
      <c r="P815" s="6" t="n">
        <v>0</v>
      </c>
      <c r="Q815" s="5" t="n">
        <v>2675.34</v>
      </c>
      <c r="R815" s="5" t="n">
        <v>1595.87</v>
      </c>
      <c r="S815" s="5" t="n">
        <v>1079.47</v>
      </c>
      <c r="T815" s="3" t="str">
        <f aca="false">PROPER(TRIM(SUBSTITUTE(Raw_Text_Fields!J816,CHAR(160)," ")))</f>
        <v>Paid</v>
      </c>
      <c r="U815" s="3" t="str">
        <f aca="false">PROPER(TRIM(SUBSTITUTE(Raw_Text_Fields!K816,CHAR(160)," ")))</f>
        <v>Completed</v>
      </c>
      <c r="V815" s="7" t="n">
        <f aca="false">IF(OR(P815&lt;0,P815&gt;0.5),0,P815)</f>
        <v>0</v>
      </c>
      <c r="W815" s="8" t="n">
        <f aca="false">N815*O815*(1-V815)</f>
        <v>2675.34</v>
      </c>
      <c r="X815" s="8" t="n">
        <f aca="false">W815-R815</f>
        <v>1079.47</v>
      </c>
      <c r="Y815" s="7" t="n">
        <f aca="false">IFERROR(X815/W815,0)</f>
        <v>0.403488902345123</v>
      </c>
      <c r="Z815" s="9" t="n">
        <f aca="false">C815-B815</f>
        <v>4</v>
      </c>
      <c r="AA815" s="1" t="str">
        <f aca="false">IF(B815="","",TEXT(B815,"mmm"))</f>
        <v>Apr</v>
      </c>
      <c r="AB815" s="9" t="n">
        <f aca="false">IF(B815="","",YEAR(B815))</f>
        <v>2025</v>
      </c>
      <c r="AC815" s="3"/>
      <c r="AD815" s="3" t="str">
        <f aca="false">IF(LEFT(AC815&amp;IF(B815="","; Missing Order Date","")&amp;IF(C815="","; Missing Ship Date","")&amp;IF(P815&lt;0,"; Invalid Discount (Negative)","")&amp;IF(P815&gt;0.5,"; Invalid Discount (Too High)","")&amp;IF(Z815&lt;0,"; Invalid Shipping Record (Ship Before Order)","")&amp;IF(ABS(Q815-W815)&gt;1,"; Sales Mismatch","")&amp;IF(ABS(S815-X815)&gt;1,"; Profit Mismatch","")&amp;IF(COUNTIF($A$2:$A$913,A815)&gt;1,"; Duplicate Order ID Conflict",""),2)="; ",MID(AC815&amp;IF(B815="","; Missing Order Date","")&amp;IF(C815="","; Missing Ship Date","")&amp;IF(P815&lt;0,"; Invalid Discount (Negative)","")&amp;IF(P815&gt;0.5,"; Invalid Discount (Too High)","")&amp;IF(Z815&lt;0,"; Invalid Shipping Record (Ship Before Order)","")&amp;IF(ABS(Q815-W815)&gt;1,"; Sales Mismatch","")&amp;IF(ABS(S815-X815)&gt;1,"; Profit Mismatch","")&amp;IF(COUNTIF($A$2:$A$913,A815)&gt;1,"; Duplicate Order ID Conflict",""),3,500),AC815&amp;IF(B815="","; Missing Order Date","")&amp;IF(C815="","; Missing Ship Date","")&amp;IF(P815&lt;0,"; Invalid Discount (Negative)","")&amp;IF(P815&gt;0.5,"; Invalid Discount (Too High)","")&amp;IF(Z815&lt;0,"; Invalid Shipping Record (Ship Before Order)","")&amp;IF(ABS(Q815-W815)&gt;1,"; Sales Mismatch","")&amp;IF(ABS(S815-X815)&gt;1,"; Profit Mismatch","")&amp;IF(COUNTIF($A$2:$A$913,A815)&gt;1,"; Duplicate Order ID Conflict",""))</f>
        <v/>
      </c>
      <c r="AE815" s="10" t="str">
        <f aca="false">IF(OR(ISNUMBER(SEARCH("Invalid Discount",AD815)),ISNUMBER(SEARCH("Invalid Shipping Record",AD815)),ISNUMBER(SEARCH("Sales Mismatch",AD815)),ISNUMBER(SEARCH("Profit Mismatch",AD815)),ISNUMBER(SEARCH("Duplicate Order ID Conflict",AD815)),ISNUMBER(SEARCH("Missing Order Date",AD815)),ISNUMBER(SEARCH("Missing Ship Date",AD815))),"Invalid",IF(AD815&lt;&gt;"","Warning","Clean"))</f>
        <v>Clean</v>
      </c>
    </row>
    <row r="816" customFormat="false" ht="15" hidden="false" customHeight="true" outlineLevel="0" collapsed="false">
      <c r="A816" s="3" t="s">
        <v>2437</v>
      </c>
      <c r="B816" s="4" t="n">
        <v>45875</v>
      </c>
      <c r="C816" s="4" t="n">
        <v>45880</v>
      </c>
      <c r="D816" s="3" t="s">
        <v>2438</v>
      </c>
      <c r="E816" s="3" t="str">
        <f aca="false">PROPER(TRIM(SUBSTITUTE(Raw_Text_Fields!B817,CHAR(160)," ")))</f>
        <v>Arjun Bose</v>
      </c>
      <c r="F816" s="3" t="str">
        <f aca="false">PROPER(TRIM(SUBSTITUTE(Raw_Text_Fields!C817,CHAR(160)," ")))</f>
        <v>Consumer</v>
      </c>
      <c r="G816" s="3" t="str">
        <f aca="false">PROPER(TRIM(SUBSTITUTE(Raw_Text_Fields!D817,CHAR(160)," ")))</f>
        <v>West</v>
      </c>
      <c r="H816" s="3" t="str">
        <f aca="false">PROPER(TRIM(SUBSTITUTE(Raw_Text_Fields!E817,CHAR(160)," ")))</f>
        <v>Madhya Pradesh</v>
      </c>
      <c r="I816" s="3" t="str">
        <f aca="false">PROPER(TRIM(SUBSTITUTE(Raw_Text_Fields!F817,CHAR(160)," ")))</f>
        <v>Indore</v>
      </c>
      <c r="J816" s="3" t="str">
        <f aca="false">PROPER(TRIM(SUBSTITUTE(Raw_Text_Fields!G817,CHAR(160)," ")))</f>
        <v>Office Supplies</v>
      </c>
      <c r="K816" s="3" t="str">
        <f aca="false">PROPER(TRIM(SUBSTITUTE(Raw_Text_Fields!H817,CHAR(160)," ")))</f>
        <v>Labels</v>
      </c>
      <c r="L816" s="3" t="s">
        <v>2439</v>
      </c>
      <c r="M816" s="3" t="str">
        <f aca="false">PROPER(TRIM(SUBSTITUTE(Raw_Text_Fields!I817,CHAR(160)," ")))</f>
        <v>First Class</v>
      </c>
      <c r="N816" s="3" t="n">
        <v>2</v>
      </c>
      <c r="O816" s="5" t="n">
        <v>2375.94</v>
      </c>
      <c r="P816" s="6" t="n">
        <v>0.25</v>
      </c>
      <c r="Q816" s="5" t="n">
        <v>3563.91</v>
      </c>
      <c r="R816" s="5" t="n">
        <v>2639.7</v>
      </c>
      <c r="S816" s="5" t="n">
        <v>924.21</v>
      </c>
      <c r="T816" s="3" t="str">
        <f aca="false">PROPER(TRIM(SUBSTITUTE(Raw_Text_Fields!J817,CHAR(160)," ")))</f>
        <v>Paid</v>
      </c>
      <c r="U816" s="3" t="str">
        <f aca="false">PROPER(TRIM(SUBSTITUTE(Raw_Text_Fields!K817,CHAR(160)," ")))</f>
        <v>Completed</v>
      </c>
      <c r="V816" s="7" t="n">
        <f aca="false">IF(OR(P816&lt;0,P816&gt;0.5),0,P816)</f>
        <v>0.25</v>
      </c>
      <c r="W816" s="8" t="n">
        <f aca="false">N816*O816*(1-V816)</f>
        <v>3563.91</v>
      </c>
      <c r="X816" s="8" t="n">
        <f aca="false">W816-R816</f>
        <v>924.21</v>
      </c>
      <c r="Y816" s="7" t="n">
        <f aca="false">IFERROR(X816/W816,0)</f>
        <v>0.259324730422485</v>
      </c>
      <c r="Z816" s="9" t="n">
        <f aca="false">C816-B816</f>
        <v>5</v>
      </c>
      <c r="AA816" s="1" t="str">
        <f aca="false">IF(B816="","",TEXT(B816,"mmm"))</f>
        <v>Aug</v>
      </c>
      <c r="AB816" s="9" t="n">
        <f aca="false">IF(B816="","",YEAR(B816))</f>
        <v>2025</v>
      </c>
      <c r="AC816" s="3"/>
      <c r="AD816" s="3" t="str">
        <f aca="false">IF(LEFT(AC816&amp;IF(B816="","; Missing Order Date","")&amp;IF(C816="","; Missing Ship Date","")&amp;IF(P816&lt;0,"; Invalid Discount (Negative)","")&amp;IF(P816&gt;0.5,"; Invalid Discount (Too High)","")&amp;IF(Z816&lt;0,"; Invalid Shipping Record (Ship Before Order)","")&amp;IF(ABS(Q816-W816)&gt;1,"; Sales Mismatch","")&amp;IF(ABS(S816-X816)&gt;1,"; Profit Mismatch","")&amp;IF(COUNTIF($A$2:$A$913,A816)&gt;1,"; Duplicate Order ID Conflict",""),2)="; ",MID(AC816&amp;IF(B816="","; Missing Order Date","")&amp;IF(C816="","; Missing Ship Date","")&amp;IF(P816&lt;0,"; Invalid Discount (Negative)","")&amp;IF(P816&gt;0.5,"; Invalid Discount (Too High)","")&amp;IF(Z816&lt;0,"; Invalid Shipping Record (Ship Before Order)","")&amp;IF(ABS(Q816-W816)&gt;1,"; Sales Mismatch","")&amp;IF(ABS(S816-X816)&gt;1,"; Profit Mismatch","")&amp;IF(COUNTIF($A$2:$A$913,A816)&gt;1,"; Duplicate Order ID Conflict",""),3,500),AC816&amp;IF(B816="","; Missing Order Date","")&amp;IF(C816="","; Missing Ship Date","")&amp;IF(P816&lt;0,"; Invalid Discount (Negative)","")&amp;IF(P816&gt;0.5,"; Invalid Discount (Too High)","")&amp;IF(Z816&lt;0,"; Invalid Shipping Record (Ship Before Order)","")&amp;IF(ABS(Q816-W816)&gt;1,"; Sales Mismatch","")&amp;IF(ABS(S816-X816)&gt;1,"; Profit Mismatch","")&amp;IF(COUNTIF($A$2:$A$913,A816)&gt;1,"; Duplicate Order ID Conflict",""))</f>
        <v/>
      </c>
      <c r="AE816" s="10" t="str">
        <f aca="false">IF(OR(ISNUMBER(SEARCH("Invalid Discount",AD816)),ISNUMBER(SEARCH("Invalid Shipping Record",AD816)),ISNUMBER(SEARCH("Sales Mismatch",AD816)),ISNUMBER(SEARCH("Profit Mismatch",AD816)),ISNUMBER(SEARCH("Duplicate Order ID Conflict",AD816)),ISNUMBER(SEARCH("Missing Order Date",AD816)),ISNUMBER(SEARCH("Missing Ship Date",AD816))),"Invalid",IF(AD816&lt;&gt;"","Warning","Clean"))</f>
        <v>Clean</v>
      </c>
    </row>
    <row r="817" customFormat="false" ht="15" hidden="false" customHeight="true" outlineLevel="0" collapsed="false">
      <c r="A817" s="3" t="s">
        <v>2440</v>
      </c>
      <c r="B817" s="4" t="n">
        <v>45383</v>
      </c>
      <c r="C817" s="4" t="n">
        <v>45390</v>
      </c>
      <c r="D817" s="3" t="s">
        <v>2441</v>
      </c>
      <c r="E817" s="3" t="str">
        <f aca="false">PROPER(TRIM(SUBSTITUTE(Raw_Text_Fields!B818,CHAR(160)," ")))</f>
        <v>Diya Patel</v>
      </c>
      <c r="F817" s="3" t="str">
        <f aca="false">PROPER(TRIM(SUBSTITUTE(Raw_Text_Fields!C818,CHAR(160)," ")))</f>
        <v>Consumer</v>
      </c>
      <c r="G817" s="3" t="str">
        <f aca="false">PROPER(TRIM(SUBSTITUTE(Raw_Text_Fields!D818,CHAR(160)," ")))</f>
        <v>East</v>
      </c>
      <c r="H817" s="3" t="str">
        <f aca="false">PROPER(TRIM(SUBSTITUTE(Raw_Text_Fields!E818,CHAR(160)," ")))</f>
        <v>Odisha</v>
      </c>
      <c r="I817" s="3" t="str">
        <f aca="false">PROPER(TRIM(SUBSTITUTE(Raw_Text_Fields!F818,CHAR(160)," ")))</f>
        <v>Bhubaneswar</v>
      </c>
      <c r="J817" s="3" t="str">
        <f aca="false">PROPER(TRIM(SUBSTITUTE(Raw_Text_Fields!G818,CHAR(160)," ")))</f>
        <v>Technology</v>
      </c>
      <c r="K817" s="3" t="str">
        <f aca="false">PROPER(TRIM(SUBSTITUTE(Raw_Text_Fields!H818,CHAR(160)," ")))</f>
        <v>Machines</v>
      </c>
      <c r="L817" s="3" t="s">
        <v>2442</v>
      </c>
      <c r="M817" s="3" t="str">
        <f aca="false">PROPER(TRIM(SUBSTITUTE(Raw_Text_Fields!I818,CHAR(160)," ")))</f>
        <v>Standard Class</v>
      </c>
      <c r="N817" s="3" t="n">
        <v>7</v>
      </c>
      <c r="O817" s="5" t="n">
        <v>715.81</v>
      </c>
      <c r="P817" s="6" t="n">
        <v>0.15</v>
      </c>
      <c r="Q817" s="5" t="n">
        <v>4259.07</v>
      </c>
      <c r="R817" s="5" t="n">
        <v>3130.32</v>
      </c>
      <c r="S817" s="5" t="n">
        <v>1128.75</v>
      </c>
      <c r="T817" s="3" t="str">
        <f aca="false">PROPER(TRIM(SUBSTITUTE(Raw_Text_Fields!J818,CHAR(160)," ")))</f>
        <v>Pending</v>
      </c>
      <c r="U817" s="3" t="str">
        <f aca="false">PROPER(TRIM(SUBSTITUTE(Raw_Text_Fields!K818,CHAR(160)," ")))</f>
        <v>Cancelled</v>
      </c>
      <c r="V817" s="7" t="n">
        <f aca="false">IF(OR(P817&lt;0,P817&gt;0.5),0,P817)</f>
        <v>0.15</v>
      </c>
      <c r="W817" s="8" t="n">
        <f aca="false">N817*O817*(1-V817)</f>
        <v>4259.0695</v>
      </c>
      <c r="X817" s="8" t="n">
        <f aca="false">W817-R817</f>
        <v>1128.7495</v>
      </c>
      <c r="Y817" s="7" t="n">
        <f aca="false">IFERROR(X817/W817,0)</f>
        <v>0.265022559505075</v>
      </c>
      <c r="Z817" s="9" t="n">
        <f aca="false">C817-B817</f>
        <v>7</v>
      </c>
      <c r="AA817" s="1" t="str">
        <f aca="false">IF(B817="","",TEXT(B817,"mmm"))</f>
        <v>Apr</v>
      </c>
      <c r="AB817" s="9" t="n">
        <f aca="false">IF(B817="","",YEAR(B817))</f>
        <v>2024</v>
      </c>
      <c r="AC817" s="3"/>
      <c r="AD817" s="3" t="str">
        <f aca="false">IF(LEFT(AC817&amp;IF(B817="","; Missing Order Date","")&amp;IF(C817="","; Missing Ship Date","")&amp;IF(P817&lt;0,"; Invalid Discount (Negative)","")&amp;IF(P817&gt;0.5,"; Invalid Discount (Too High)","")&amp;IF(Z817&lt;0,"; Invalid Shipping Record (Ship Before Order)","")&amp;IF(ABS(Q817-W817)&gt;1,"; Sales Mismatch","")&amp;IF(ABS(S817-X817)&gt;1,"; Profit Mismatch","")&amp;IF(COUNTIF($A$2:$A$913,A817)&gt;1,"; Duplicate Order ID Conflict",""),2)="; ",MID(AC817&amp;IF(B817="","; Missing Order Date","")&amp;IF(C817="","; Missing Ship Date","")&amp;IF(P817&lt;0,"; Invalid Discount (Negative)","")&amp;IF(P817&gt;0.5,"; Invalid Discount (Too High)","")&amp;IF(Z817&lt;0,"; Invalid Shipping Record (Ship Before Order)","")&amp;IF(ABS(Q817-W817)&gt;1,"; Sales Mismatch","")&amp;IF(ABS(S817-X817)&gt;1,"; Profit Mismatch","")&amp;IF(COUNTIF($A$2:$A$913,A817)&gt;1,"; Duplicate Order ID Conflict",""),3,500),AC817&amp;IF(B817="","; Missing Order Date","")&amp;IF(C817="","; Missing Ship Date","")&amp;IF(P817&lt;0,"; Invalid Discount (Negative)","")&amp;IF(P817&gt;0.5,"; Invalid Discount (Too High)","")&amp;IF(Z817&lt;0,"; Invalid Shipping Record (Ship Before Order)","")&amp;IF(ABS(Q817-W817)&gt;1,"; Sales Mismatch","")&amp;IF(ABS(S817-X817)&gt;1,"; Profit Mismatch","")&amp;IF(COUNTIF($A$2:$A$913,A817)&gt;1,"; Duplicate Order ID Conflict",""))</f>
        <v/>
      </c>
      <c r="AE817" s="10" t="str">
        <f aca="false">IF(OR(ISNUMBER(SEARCH("Invalid Discount",AD817)),ISNUMBER(SEARCH("Invalid Shipping Record",AD817)),ISNUMBER(SEARCH("Sales Mismatch",AD817)),ISNUMBER(SEARCH("Profit Mismatch",AD817)),ISNUMBER(SEARCH("Duplicate Order ID Conflict",AD817)),ISNUMBER(SEARCH("Missing Order Date",AD817)),ISNUMBER(SEARCH("Missing Ship Date",AD817))),"Invalid",IF(AD817&lt;&gt;"","Warning","Clean"))</f>
        <v>Clean</v>
      </c>
    </row>
    <row r="818" customFormat="false" ht="15" hidden="false" customHeight="true" outlineLevel="0" collapsed="false">
      <c r="A818" s="3" t="s">
        <v>2443</v>
      </c>
      <c r="B818" s="4" t="n">
        <v>45623</v>
      </c>
      <c r="C818" s="4" t="n">
        <v>45626</v>
      </c>
      <c r="D818" s="3" t="s">
        <v>2444</v>
      </c>
      <c r="E818" s="3" t="str">
        <f aca="false">PROPER(TRIM(SUBSTITUTE(Raw_Text_Fields!B819,CHAR(160)," ")))</f>
        <v>Rahul Verma</v>
      </c>
      <c r="F818" s="3" t="str">
        <f aca="false">PROPER(TRIM(SUBSTITUTE(Raw_Text_Fields!C819,CHAR(160)," ")))</f>
        <v>Small Business</v>
      </c>
      <c r="G818" s="3" t="str">
        <f aca="false">PROPER(TRIM(SUBSTITUTE(Raw_Text_Fields!D819,CHAR(160)," ")))</f>
        <v>East</v>
      </c>
      <c r="H818" s="3" t="str">
        <f aca="false">PROPER(TRIM(SUBSTITUTE(Raw_Text_Fields!E819,CHAR(160)," ")))</f>
        <v>Jharkhand</v>
      </c>
      <c r="I818" s="3" t="str">
        <f aca="false">PROPER(TRIM(SUBSTITUTE(Raw_Text_Fields!F819,CHAR(160)," ")))</f>
        <v>Ranchi</v>
      </c>
      <c r="J818" s="3" t="str">
        <f aca="false">PROPER(TRIM(SUBSTITUTE(Raw_Text_Fields!G819,CHAR(160)," ")))</f>
        <v>Furniture</v>
      </c>
      <c r="K818" s="3" t="str">
        <f aca="false">PROPER(TRIM(SUBSTITUTE(Raw_Text_Fields!H819,CHAR(160)," ")))</f>
        <v>Furnishings</v>
      </c>
      <c r="L818" s="3" t="s">
        <v>2445</v>
      </c>
      <c r="M818" s="3" t="str">
        <f aca="false">PROPER(TRIM(SUBSTITUTE(Raw_Text_Fields!I819,CHAR(160)," ")))</f>
        <v>First Class</v>
      </c>
      <c r="N818" s="3" t="n">
        <v>1</v>
      </c>
      <c r="O818" s="5" t="n">
        <v>874.3</v>
      </c>
      <c r="P818" s="6" t="n">
        <v>0.1</v>
      </c>
      <c r="Q818" s="5" t="n">
        <v>786.87</v>
      </c>
      <c r="R818" s="5" t="n">
        <v>498.5</v>
      </c>
      <c r="S818" s="5" t="n">
        <v>288.37</v>
      </c>
      <c r="T818" s="3" t="str">
        <f aca="false">PROPER(TRIM(SUBSTITUTE(Raw_Text_Fields!J819,CHAR(160)," ")))</f>
        <v>Paid</v>
      </c>
      <c r="U818" s="3" t="str">
        <f aca="false">PROPER(TRIM(SUBSTITUTE(Raw_Text_Fields!K819,CHAR(160)," ")))</f>
        <v>Completed</v>
      </c>
      <c r="V818" s="7" t="n">
        <f aca="false">IF(OR(P818&lt;0,P818&gt;0.5),0,P818)</f>
        <v>0.1</v>
      </c>
      <c r="W818" s="8" t="n">
        <f aca="false">N818*O818*(1-V818)</f>
        <v>786.87</v>
      </c>
      <c r="X818" s="8" t="n">
        <f aca="false">W818-R818</f>
        <v>288.37</v>
      </c>
      <c r="Y818" s="7" t="n">
        <f aca="false">IFERROR(X818/W818,0)</f>
        <v>0.366477308831192</v>
      </c>
      <c r="Z818" s="9" t="n">
        <f aca="false">C818-B818</f>
        <v>3</v>
      </c>
      <c r="AA818" s="1" t="str">
        <f aca="false">IF(B818="","",TEXT(B818,"mmm"))</f>
        <v>Nov</v>
      </c>
      <c r="AB818" s="9" t="n">
        <f aca="false">IF(B818="","",YEAR(B818))</f>
        <v>2024</v>
      </c>
      <c r="AC818" s="3"/>
      <c r="AD818" s="3" t="str">
        <f aca="false">IF(LEFT(AC818&amp;IF(B818="","; Missing Order Date","")&amp;IF(C818="","; Missing Ship Date","")&amp;IF(P818&lt;0,"; Invalid Discount (Negative)","")&amp;IF(P818&gt;0.5,"; Invalid Discount (Too High)","")&amp;IF(Z818&lt;0,"; Invalid Shipping Record (Ship Before Order)","")&amp;IF(ABS(Q818-W818)&gt;1,"; Sales Mismatch","")&amp;IF(ABS(S818-X818)&gt;1,"; Profit Mismatch","")&amp;IF(COUNTIF($A$2:$A$913,A818)&gt;1,"; Duplicate Order ID Conflict",""),2)="; ",MID(AC818&amp;IF(B818="","; Missing Order Date","")&amp;IF(C818="","; Missing Ship Date","")&amp;IF(P818&lt;0,"; Invalid Discount (Negative)","")&amp;IF(P818&gt;0.5,"; Invalid Discount (Too High)","")&amp;IF(Z818&lt;0,"; Invalid Shipping Record (Ship Before Order)","")&amp;IF(ABS(Q818-W818)&gt;1,"; Sales Mismatch","")&amp;IF(ABS(S818-X818)&gt;1,"; Profit Mismatch","")&amp;IF(COUNTIF($A$2:$A$913,A818)&gt;1,"; Duplicate Order ID Conflict",""),3,500),AC818&amp;IF(B818="","; Missing Order Date","")&amp;IF(C818="","; Missing Ship Date","")&amp;IF(P818&lt;0,"; Invalid Discount (Negative)","")&amp;IF(P818&gt;0.5,"; Invalid Discount (Too High)","")&amp;IF(Z818&lt;0,"; Invalid Shipping Record (Ship Before Order)","")&amp;IF(ABS(Q818-W818)&gt;1,"; Sales Mismatch","")&amp;IF(ABS(S818-X818)&gt;1,"; Profit Mismatch","")&amp;IF(COUNTIF($A$2:$A$913,A818)&gt;1,"; Duplicate Order ID Conflict",""))</f>
        <v/>
      </c>
      <c r="AE818" s="10" t="str">
        <f aca="false">IF(OR(ISNUMBER(SEARCH("Invalid Discount",AD818)),ISNUMBER(SEARCH("Invalid Shipping Record",AD818)),ISNUMBER(SEARCH("Sales Mismatch",AD818)),ISNUMBER(SEARCH("Profit Mismatch",AD818)),ISNUMBER(SEARCH("Duplicate Order ID Conflict",AD818)),ISNUMBER(SEARCH("Missing Order Date",AD818)),ISNUMBER(SEARCH("Missing Ship Date",AD818))),"Invalid",IF(AD818&lt;&gt;"","Warning","Clean"))</f>
        <v>Clean</v>
      </c>
    </row>
    <row r="819" customFormat="false" ht="15" hidden="false" customHeight="true" outlineLevel="0" collapsed="false">
      <c r="A819" s="3" t="s">
        <v>2446</v>
      </c>
      <c r="B819" s="4" t="n">
        <v>45752</v>
      </c>
      <c r="C819" s="4" t="n">
        <v>45752</v>
      </c>
      <c r="D819" s="3" t="s">
        <v>2447</v>
      </c>
      <c r="E819" s="3" t="str">
        <f aca="false">PROPER(TRIM(SUBSTITUTE(Raw_Text_Fields!B820,CHAR(160)," ")))</f>
        <v>Sneha Kapoor</v>
      </c>
      <c r="F819" s="3" t="str">
        <f aca="false">PROPER(TRIM(SUBSTITUTE(Raw_Text_Fields!C820,CHAR(160)," ")))</f>
        <v>Consumer</v>
      </c>
      <c r="G819" s="3" t="str">
        <f aca="false">PROPER(TRIM(SUBSTITUTE(Raw_Text_Fields!D820,CHAR(160)," ")))</f>
        <v>East</v>
      </c>
      <c r="H819" s="3" t="str">
        <f aca="false">PROPER(TRIM(SUBSTITUTE(Raw_Text_Fields!E820,CHAR(160)," ")))</f>
        <v>Bihar</v>
      </c>
      <c r="I819" s="3" t="str">
        <f aca="false">PROPER(TRIM(SUBSTITUTE(Raw_Text_Fields!F820,CHAR(160)," ")))</f>
        <v>Patna</v>
      </c>
      <c r="J819" s="3" t="str">
        <f aca="false">PROPER(TRIM(SUBSTITUTE(Raw_Text_Fields!G820,CHAR(160)," ")))</f>
        <v>Office Supplies</v>
      </c>
      <c r="K819" s="3" t="str">
        <f aca="false">PROPER(TRIM(SUBSTITUTE(Raw_Text_Fields!H820,CHAR(160)," ")))</f>
        <v>Binders</v>
      </c>
      <c r="L819" s="3" t="s">
        <v>2448</v>
      </c>
      <c r="M819" s="3" t="str">
        <f aca="false">PROPER(TRIM(SUBSTITUTE(Raw_Text_Fields!I820,CHAR(160)," ")))</f>
        <v>Standard Class</v>
      </c>
      <c r="N819" s="3" t="n">
        <v>6</v>
      </c>
      <c r="O819" s="5" t="n">
        <v>1829.69</v>
      </c>
      <c r="P819" s="6" t="n">
        <v>0.25</v>
      </c>
      <c r="Q819" s="5" t="n">
        <v>8233.6</v>
      </c>
      <c r="R819" s="5" t="n">
        <v>4713.79</v>
      </c>
      <c r="S819" s="5" t="n">
        <v>3519.81</v>
      </c>
      <c r="T819" s="3" t="str">
        <f aca="false">PROPER(TRIM(SUBSTITUTE(Raw_Text_Fields!J820,CHAR(160)," ")))</f>
        <v>Paid</v>
      </c>
      <c r="U819" s="3" t="str">
        <f aca="false">PROPER(TRIM(SUBSTITUTE(Raw_Text_Fields!K820,CHAR(160)," ")))</f>
        <v>Completed</v>
      </c>
      <c r="V819" s="7" t="n">
        <f aca="false">IF(OR(P819&lt;0,P819&gt;0.5),0,P819)</f>
        <v>0.25</v>
      </c>
      <c r="W819" s="8" t="n">
        <f aca="false">N819*O819*(1-V819)</f>
        <v>8233.605</v>
      </c>
      <c r="X819" s="8" t="n">
        <f aca="false">W819-R819</f>
        <v>3519.815</v>
      </c>
      <c r="Y819" s="7" t="n">
        <f aca="false">IFERROR(X819/W819,0)</f>
        <v>0.427493789172544</v>
      </c>
      <c r="Z819" s="9" t="n">
        <f aca="false">C819-B819</f>
        <v>0</v>
      </c>
      <c r="AA819" s="1" t="str">
        <f aca="false">IF(B819="","",TEXT(B819,"mmm"))</f>
        <v>Apr</v>
      </c>
      <c r="AB819" s="9" t="n">
        <f aca="false">IF(B819="","",YEAR(B819))</f>
        <v>2025</v>
      </c>
      <c r="AC819" s="3"/>
      <c r="AD819" s="3" t="str">
        <f aca="false">IF(LEFT(AC819&amp;IF(B819="","; Missing Order Date","")&amp;IF(C819="","; Missing Ship Date","")&amp;IF(P819&lt;0,"; Invalid Discount (Negative)","")&amp;IF(P819&gt;0.5,"; Invalid Discount (Too High)","")&amp;IF(Z819&lt;0,"; Invalid Shipping Record (Ship Before Order)","")&amp;IF(ABS(Q819-W819)&gt;1,"; Sales Mismatch","")&amp;IF(ABS(S819-X819)&gt;1,"; Profit Mismatch","")&amp;IF(COUNTIF($A$2:$A$913,A819)&gt;1,"; Duplicate Order ID Conflict",""),2)="; ",MID(AC819&amp;IF(B819="","; Missing Order Date","")&amp;IF(C819="","; Missing Ship Date","")&amp;IF(P819&lt;0,"; Invalid Discount (Negative)","")&amp;IF(P819&gt;0.5,"; Invalid Discount (Too High)","")&amp;IF(Z819&lt;0,"; Invalid Shipping Record (Ship Before Order)","")&amp;IF(ABS(Q819-W819)&gt;1,"; Sales Mismatch","")&amp;IF(ABS(S819-X819)&gt;1,"; Profit Mismatch","")&amp;IF(COUNTIF($A$2:$A$913,A819)&gt;1,"; Duplicate Order ID Conflict",""),3,500),AC819&amp;IF(B819="","; Missing Order Date","")&amp;IF(C819="","; Missing Ship Date","")&amp;IF(P819&lt;0,"; Invalid Discount (Negative)","")&amp;IF(P819&gt;0.5,"; Invalid Discount (Too High)","")&amp;IF(Z819&lt;0,"; Invalid Shipping Record (Ship Before Order)","")&amp;IF(ABS(Q819-W819)&gt;1,"; Sales Mismatch","")&amp;IF(ABS(S819-X819)&gt;1,"; Profit Mismatch","")&amp;IF(COUNTIF($A$2:$A$913,A819)&gt;1,"; Duplicate Order ID Conflict",""))</f>
        <v/>
      </c>
      <c r="AE819" s="10" t="str">
        <f aca="false">IF(OR(ISNUMBER(SEARCH("Invalid Discount",AD819)),ISNUMBER(SEARCH("Invalid Shipping Record",AD819)),ISNUMBER(SEARCH("Sales Mismatch",AD819)),ISNUMBER(SEARCH("Profit Mismatch",AD819)),ISNUMBER(SEARCH("Duplicate Order ID Conflict",AD819)),ISNUMBER(SEARCH("Missing Order Date",AD819)),ISNUMBER(SEARCH("Missing Ship Date",AD819))),"Invalid",IF(AD819&lt;&gt;"","Warning","Clean"))</f>
        <v>Clean</v>
      </c>
    </row>
    <row r="820" customFormat="false" ht="15" hidden="false" customHeight="true" outlineLevel="0" collapsed="false">
      <c r="A820" s="3" t="s">
        <v>2449</v>
      </c>
      <c r="B820" s="4" t="n">
        <v>45564</v>
      </c>
      <c r="C820" s="4" t="n">
        <v>45570</v>
      </c>
      <c r="D820" s="3" t="s">
        <v>2450</v>
      </c>
      <c r="E820" s="3" t="str">
        <f aca="false">PROPER(TRIM(SUBSTITUTE(Raw_Text_Fields!B821,CHAR(160)," ")))</f>
        <v>Priya Menon</v>
      </c>
      <c r="F820" s="3" t="str">
        <f aca="false">PROPER(TRIM(SUBSTITUTE(Raw_Text_Fields!C821,CHAR(160)," ")))</f>
        <v>Small Business</v>
      </c>
      <c r="G820" s="3" t="str">
        <f aca="false">PROPER(TRIM(SUBSTITUTE(Raw_Text_Fields!D821,CHAR(160)," ")))</f>
        <v>West</v>
      </c>
      <c r="H820" s="3" t="str">
        <f aca="false">PROPER(TRIM(SUBSTITUTE(Raw_Text_Fields!E821,CHAR(160)," ")))</f>
        <v>Maharashtra</v>
      </c>
      <c r="I820" s="3" t="str">
        <f aca="false">PROPER(TRIM(SUBSTITUTE(Raw_Text_Fields!F821,CHAR(160)," ")))</f>
        <v>Mumbai</v>
      </c>
      <c r="J820" s="3" t="str">
        <f aca="false">PROPER(TRIM(SUBSTITUTE(Raw_Text_Fields!G821,CHAR(160)," ")))</f>
        <v>Office Supplies</v>
      </c>
      <c r="K820" s="3" t="str">
        <f aca="false">PROPER(TRIM(SUBSTITUTE(Raw_Text_Fields!H821,CHAR(160)," ")))</f>
        <v>Labels</v>
      </c>
      <c r="L820" s="3" t="s">
        <v>2451</v>
      </c>
      <c r="M820" s="3" t="str">
        <f aca="false">PROPER(TRIM(SUBSTITUTE(Raw_Text_Fields!I821,CHAR(160)," ")))</f>
        <v>First Class</v>
      </c>
      <c r="N820" s="3" t="n">
        <v>8</v>
      </c>
      <c r="O820" s="5" t="n">
        <v>1981.04</v>
      </c>
      <c r="P820" s="6" t="n">
        <v>-0.14</v>
      </c>
      <c r="Q820" s="5" t="n">
        <v>12678.66</v>
      </c>
      <c r="R820" s="5" t="n">
        <v>10088.65</v>
      </c>
      <c r="S820" s="5" t="n">
        <v>2590.01</v>
      </c>
      <c r="T820" s="3" t="str">
        <f aca="false">PROPER(TRIM(SUBSTITUTE(Raw_Text_Fields!J821,CHAR(160)," ")))</f>
        <v>Paid</v>
      </c>
      <c r="U820" s="3" t="str">
        <f aca="false">PROPER(TRIM(SUBSTITUTE(Raw_Text_Fields!K821,CHAR(160)," ")))</f>
        <v>Completed</v>
      </c>
      <c r="V820" s="7" t="n">
        <f aca="false">IF(OR(P820&lt;0,P820&gt;0.5),0,P820)</f>
        <v>0</v>
      </c>
      <c r="W820" s="8" t="n">
        <f aca="false">N820*O820*(1-V820)</f>
        <v>15848.32</v>
      </c>
      <c r="X820" s="8" t="n">
        <f aca="false">W820-R820</f>
        <v>5759.67</v>
      </c>
      <c r="Y820" s="7" t="n">
        <f aca="false">IFERROR(X820/W820,0)</f>
        <v>0.36342464059282</v>
      </c>
      <c r="Z820" s="9" t="n">
        <f aca="false">C820-B820</f>
        <v>6</v>
      </c>
      <c r="AA820" s="1" t="str">
        <f aca="false">IF(B820="","",TEXT(B820,"mmm"))</f>
        <v>Sep</v>
      </c>
      <c r="AB820" s="9" t="n">
        <f aca="false">IF(B820="","",YEAR(B820))</f>
        <v>2024</v>
      </c>
      <c r="AC820" s="3"/>
      <c r="AD820" s="3" t="str">
        <f aca="false">IF(LEFT(AC820&amp;IF(B820="","; Missing Order Date","")&amp;IF(C820="","; Missing Ship Date","")&amp;IF(P820&lt;0,"; Invalid Discount (Negative)","")&amp;IF(P820&gt;0.5,"; Invalid Discount (Too High)","")&amp;IF(Z820&lt;0,"; Invalid Shipping Record (Ship Before Order)","")&amp;IF(ABS(Q820-W820)&gt;1,"; Sales Mismatch","")&amp;IF(ABS(S820-X820)&gt;1,"; Profit Mismatch","")&amp;IF(COUNTIF($A$2:$A$913,A820)&gt;1,"; Duplicate Order ID Conflict",""),2)="; ",MID(AC820&amp;IF(B820="","; Missing Order Date","")&amp;IF(C820="","; Missing Ship Date","")&amp;IF(P820&lt;0,"; Invalid Discount (Negative)","")&amp;IF(P820&gt;0.5,"; Invalid Discount (Too High)","")&amp;IF(Z820&lt;0,"; Invalid Shipping Record (Ship Before Order)","")&amp;IF(ABS(Q820-W820)&gt;1,"; Sales Mismatch","")&amp;IF(ABS(S820-X820)&gt;1,"; Profit Mismatch","")&amp;IF(COUNTIF($A$2:$A$913,A820)&gt;1,"; Duplicate Order ID Conflict",""),3,500),AC820&amp;IF(B820="","; Missing Order Date","")&amp;IF(C820="","; Missing Ship Date","")&amp;IF(P820&lt;0,"; Invalid Discount (Negative)","")&amp;IF(P820&gt;0.5,"; Invalid Discount (Too High)","")&amp;IF(Z820&lt;0,"; Invalid Shipping Record (Ship Before Order)","")&amp;IF(ABS(Q820-W820)&gt;1,"; Sales Mismatch","")&amp;IF(ABS(S820-X820)&gt;1,"; Profit Mismatch","")&amp;IF(COUNTIF($A$2:$A$913,A820)&gt;1,"; Duplicate Order ID Conflict",""))</f>
        <v>Invalid Discount (Negative); Sales Mismatch; Profit Mismatch</v>
      </c>
      <c r="AE820" s="10" t="str">
        <f aca="false">IF(OR(ISNUMBER(SEARCH("Invalid Discount",AD820)),ISNUMBER(SEARCH("Invalid Shipping Record",AD820)),ISNUMBER(SEARCH("Sales Mismatch",AD820)),ISNUMBER(SEARCH("Profit Mismatch",AD820)),ISNUMBER(SEARCH("Duplicate Order ID Conflict",AD820)),ISNUMBER(SEARCH("Missing Order Date",AD820)),ISNUMBER(SEARCH("Missing Ship Date",AD820))),"Invalid",IF(AD820&lt;&gt;"","Warning","Clean"))</f>
        <v>Invalid</v>
      </c>
    </row>
    <row r="821" customFormat="false" ht="15" hidden="false" customHeight="true" outlineLevel="0" collapsed="false">
      <c r="A821" s="3" t="s">
        <v>2452</v>
      </c>
      <c r="B821" s="4" t="n">
        <v>45504</v>
      </c>
      <c r="C821" s="4" t="n">
        <v>45504</v>
      </c>
      <c r="D821" s="3" t="s">
        <v>2453</v>
      </c>
      <c r="E821" s="3" t="str">
        <f aca="false">PROPER(TRIM(SUBSTITUTE(Raw_Text_Fields!B822,CHAR(160)," ")))</f>
        <v>Karan Malhotra</v>
      </c>
      <c r="F821" s="3" t="str">
        <f aca="false">PROPER(TRIM(SUBSTITUTE(Raw_Text_Fields!C822,CHAR(160)," ")))</f>
        <v>Home Office</v>
      </c>
      <c r="G821" s="3" t="str">
        <f aca="false">PROPER(TRIM(SUBSTITUTE(Raw_Text_Fields!D822,CHAR(160)," ")))</f>
        <v>South</v>
      </c>
      <c r="H821" s="3" t="str">
        <f aca="false">PROPER(TRIM(SUBSTITUTE(Raw_Text_Fields!E822,CHAR(160)," ")))</f>
        <v>Kerala</v>
      </c>
      <c r="I821" s="3" t="str">
        <f aca="false">PROPER(TRIM(SUBSTITUTE(Raw_Text_Fields!F822,CHAR(160)," ")))</f>
        <v>Kochi</v>
      </c>
      <c r="J821" s="3" t="str">
        <f aca="false">PROPER(TRIM(SUBSTITUTE(Raw_Text_Fields!G822,CHAR(160)," ")))</f>
        <v>Technology</v>
      </c>
      <c r="K821" s="3" t="str">
        <f aca="false">PROPER(TRIM(SUBSTITUTE(Raw_Text_Fields!H822,CHAR(160)," ")))</f>
        <v>Machines</v>
      </c>
      <c r="L821" s="3" t="s">
        <v>2454</v>
      </c>
      <c r="M821" s="3" t="str">
        <f aca="false">PROPER(TRIM(SUBSTITUTE(Raw_Text_Fields!I822,CHAR(160)," ")))</f>
        <v>Standard Class</v>
      </c>
      <c r="N821" s="3" t="n">
        <v>8</v>
      </c>
      <c r="O821" s="5" t="n">
        <v>4246.01</v>
      </c>
      <c r="P821" s="6" t="n">
        <v>0</v>
      </c>
      <c r="Q821" s="5" t="n">
        <v>33968.08</v>
      </c>
      <c r="R821" s="5" t="n">
        <v>26902.44</v>
      </c>
      <c r="S821" s="5" t="n">
        <v>7065.64</v>
      </c>
      <c r="T821" s="3" t="str">
        <f aca="false">PROPER(TRIM(SUBSTITUTE(Raw_Text_Fields!J822,CHAR(160)," ")))</f>
        <v>Failed</v>
      </c>
      <c r="U821" s="3" t="str">
        <f aca="false">PROPER(TRIM(SUBSTITUTE(Raw_Text_Fields!K822,CHAR(160)," ")))</f>
        <v>Cancelled</v>
      </c>
      <c r="V821" s="7" t="n">
        <f aca="false">IF(OR(P821&lt;0,P821&gt;0.5),0,P821)</f>
        <v>0</v>
      </c>
      <c r="W821" s="8" t="n">
        <f aca="false">N821*O821*(1-V821)</f>
        <v>33968.08</v>
      </c>
      <c r="X821" s="8" t="n">
        <f aca="false">W821-R821</f>
        <v>7065.64</v>
      </c>
      <c r="Y821" s="7" t="n">
        <f aca="false">IFERROR(X821/W821,0)</f>
        <v>0.208008224191653</v>
      </c>
      <c r="Z821" s="9" t="n">
        <f aca="false">C821-B821</f>
        <v>0</v>
      </c>
      <c r="AA821" s="1" t="str">
        <f aca="false">IF(B821="","",TEXT(B821,"mmm"))</f>
        <v>Jul</v>
      </c>
      <c r="AB821" s="9" t="n">
        <f aca="false">IF(B821="","",YEAR(B821))</f>
        <v>2024</v>
      </c>
      <c r="AC821" s="3"/>
      <c r="AD821" s="3" t="str">
        <f aca="false">IF(LEFT(AC821&amp;IF(B821="","; Missing Order Date","")&amp;IF(C821="","; Missing Ship Date","")&amp;IF(P821&lt;0,"; Invalid Discount (Negative)","")&amp;IF(P821&gt;0.5,"; Invalid Discount (Too High)","")&amp;IF(Z821&lt;0,"; Invalid Shipping Record (Ship Before Order)","")&amp;IF(ABS(Q821-W821)&gt;1,"; Sales Mismatch","")&amp;IF(ABS(S821-X821)&gt;1,"; Profit Mismatch","")&amp;IF(COUNTIF($A$2:$A$913,A821)&gt;1,"; Duplicate Order ID Conflict",""),2)="; ",MID(AC821&amp;IF(B821="","; Missing Order Date","")&amp;IF(C821="","; Missing Ship Date","")&amp;IF(P821&lt;0,"; Invalid Discount (Negative)","")&amp;IF(P821&gt;0.5,"; Invalid Discount (Too High)","")&amp;IF(Z821&lt;0,"; Invalid Shipping Record (Ship Before Order)","")&amp;IF(ABS(Q821-W821)&gt;1,"; Sales Mismatch","")&amp;IF(ABS(S821-X821)&gt;1,"; Profit Mismatch","")&amp;IF(COUNTIF($A$2:$A$913,A821)&gt;1,"; Duplicate Order ID Conflict",""),3,500),AC821&amp;IF(B821="","; Missing Order Date","")&amp;IF(C821="","; Missing Ship Date","")&amp;IF(P821&lt;0,"; Invalid Discount (Negative)","")&amp;IF(P821&gt;0.5,"; Invalid Discount (Too High)","")&amp;IF(Z821&lt;0,"; Invalid Shipping Record (Ship Before Order)","")&amp;IF(ABS(Q821-W821)&gt;1,"; Sales Mismatch","")&amp;IF(ABS(S821-X821)&gt;1,"; Profit Mismatch","")&amp;IF(COUNTIF($A$2:$A$913,A821)&gt;1,"; Duplicate Order ID Conflict",""))</f>
        <v/>
      </c>
      <c r="AE821" s="10" t="str">
        <f aca="false">IF(OR(ISNUMBER(SEARCH("Invalid Discount",AD821)),ISNUMBER(SEARCH("Invalid Shipping Record",AD821)),ISNUMBER(SEARCH("Sales Mismatch",AD821)),ISNUMBER(SEARCH("Profit Mismatch",AD821)),ISNUMBER(SEARCH("Duplicate Order ID Conflict",AD821)),ISNUMBER(SEARCH("Missing Order Date",AD821)),ISNUMBER(SEARCH("Missing Ship Date",AD821))),"Invalid",IF(AD821&lt;&gt;"","Warning","Clean"))</f>
        <v>Clean</v>
      </c>
    </row>
    <row r="822" customFormat="false" ht="15" hidden="false" customHeight="true" outlineLevel="0" collapsed="false">
      <c r="A822" s="3" t="s">
        <v>2455</v>
      </c>
      <c r="B822" s="4" t="n">
        <v>45694</v>
      </c>
      <c r="C822" s="4" t="n">
        <v>45698</v>
      </c>
      <c r="D822" s="3" t="s">
        <v>2456</v>
      </c>
      <c r="E822" s="3" t="str">
        <f aca="false">PROPER(TRIM(SUBSTITUTE(Raw_Text_Fields!B823,CHAR(160)," ")))</f>
        <v>Ananya Rao</v>
      </c>
      <c r="F822" s="3" t="str">
        <f aca="false">PROPER(TRIM(SUBSTITUTE(Raw_Text_Fields!C823,CHAR(160)," ")))</f>
        <v>Home Office</v>
      </c>
      <c r="G822" s="3" t="str">
        <f aca="false">PROPER(TRIM(SUBSTITUTE(Raw_Text_Fields!D823,CHAR(160)," ")))</f>
        <v>North</v>
      </c>
      <c r="H822" s="3" t="str">
        <f aca="false">PROPER(TRIM(SUBSTITUTE(Raw_Text_Fields!E823,CHAR(160)," ")))</f>
        <v>Uttar Pradesh</v>
      </c>
      <c r="I822" s="3" t="str">
        <f aca="false">PROPER(TRIM(SUBSTITUTE(Raw_Text_Fields!F823,CHAR(160)," ")))</f>
        <v>Noida</v>
      </c>
      <c r="J822" s="3" t="str">
        <f aca="false">PROPER(TRIM(SUBSTITUTE(Raw_Text_Fields!G823,CHAR(160)," ")))</f>
        <v>Furniture</v>
      </c>
      <c r="K822" s="3" t="str">
        <f aca="false">PROPER(TRIM(SUBSTITUTE(Raw_Text_Fields!H823,CHAR(160)," ")))</f>
        <v>Bookcases</v>
      </c>
      <c r="L822" s="3" t="s">
        <v>2457</v>
      </c>
      <c r="M822" s="3" t="str">
        <f aca="false">PROPER(TRIM(SUBSTITUTE(Raw_Text_Fields!I823,CHAR(160)," ")))</f>
        <v>Standard Class</v>
      </c>
      <c r="N822" s="3" t="n">
        <v>2</v>
      </c>
      <c r="O822" s="5" t="n">
        <v>319.57</v>
      </c>
      <c r="P822" s="6" t="n">
        <v>0.2</v>
      </c>
      <c r="Q822" s="5" t="n">
        <v>511.31</v>
      </c>
      <c r="R822" s="5" t="n">
        <v>436.43</v>
      </c>
      <c r="S822" s="5" t="n">
        <v>74.88</v>
      </c>
      <c r="T822" s="3" t="str">
        <f aca="false">PROPER(TRIM(SUBSTITUTE(Raw_Text_Fields!J823,CHAR(160)," ")))</f>
        <v>Paid</v>
      </c>
      <c r="U822" s="3" t="str">
        <f aca="false">PROPER(TRIM(SUBSTITUTE(Raw_Text_Fields!K823,CHAR(160)," ")))</f>
        <v>Completed</v>
      </c>
      <c r="V822" s="7" t="n">
        <f aca="false">IF(OR(P822&lt;0,P822&gt;0.5),0,P822)</f>
        <v>0.2</v>
      </c>
      <c r="W822" s="8" t="n">
        <f aca="false">N822*O822*(1-V822)</f>
        <v>511.312</v>
      </c>
      <c r="X822" s="8" t="n">
        <f aca="false">W822-R822</f>
        <v>74.882</v>
      </c>
      <c r="Y822" s="7" t="n">
        <f aca="false">IFERROR(X822/W822,0)</f>
        <v>0.146450699377288</v>
      </c>
      <c r="Z822" s="9" t="n">
        <f aca="false">C822-B822</f>
        <v>4</v>
      </c>
      <c r="AA822" s="1" t="str">
        <f aca="false">IF(B822="","",TEXT(B822,"mmm"))</f>
        <v>Feb</v>
      </c>
      <c r="AB822" s="9" t="n">
        <f aca="false">IF(B822="","",YEAR(B822))</f>
        <v>2025</v>
      </c>
      <c r="AC822" s="3"/>
      <c r="AD822" s="3" t="str">
        <f aca="false">IF(LEFT(AC822&amp;IF(B822="","; Missing Order Date","")&amp;IF(C822="","; Missing Ship Date","")&amp;IF(P822&lt;0,"; Invalid Discount (Negative)","")&amp;IF(P822&gt;0.5,"; Invalid Discount (Too High)","")&amp;IF(Z822&lt;0,"; Invalid Shipping Record (Ship Before Order)","")&amp;IF(ABS(Q822-W822)&gt;1,"; Sales Mismatch","")&amp;IF(ABS(S822-X822)&gt;1,"; Profit Mismatch","")&amp;IF(COUNTIF($A$2:$A$913,A822)&gt;1,"; Duplicate Order ID Conflict",""),2)="; ",MID(AC822&amp;IF(B822="","; Missing Order Date","")&amp;IF(C822="","; Missing Ship Date","")&amp;IF(P822&lt;0,"; Invalid Discount (Negative)","")&amp;IF(P822&gt;0.5,"; Invalid Discount (Too High)","")&amp;IF(Z822&lt;0,"; Invalid Shipping Record (Ship Before Order)","")&amp;IF(ABS(Q822-W822)&gt;1,"; Sales Mismatch","")&amp;IF(ABS(S822-X822)&gt;1,"; Profit Mismatch","")&amp;IF(COUNTIF($A$2:$A$913,A822)&gt;1,"; Duplicate Order ID Conflict",""),3,500),AC822&amp;IF(B822="","; Missing Order Date","")&amp;IF(C822="","; Missing Ship Date","")&amp;IF(P822&lt;0,"; Invalid Discount (Negative)","")&amp;IF(P822&gt;0.5,"; Invalid Discount (Too High)","")&amp;IF(Z822&lt;0,"; Invalid Shipping Record (Ship Before Order)","")&amp;IF(ABS(Q822-W822)&gt;1,"; Sales Mismatch","")&amp;IF(ABS(S822-X822)&gt;1,"; Profit Mismatch","")&amp;IF(COUNTIF($A$2:$A$913,A822)&gt;1,"; Duplicate Order ID Conflict",""))</f>
        <v/>
      </c>
      <c r="AE822" s="10" t="str">
        <f aca="false">IF(OR(ISNUMBER(SEARCH("Invalid Discount",AD822)),ISNUMBER(SEARCH("Invalid Shipping Record",AD822)),ISNUMBER(SEARCH("Sales Mismatch",AD822)),ISNUMBER(SEARCH("Profit Mismatch",AD822)),ISNUMBER(SEARCH("Duplicate Order ID Conflict",AD822)),ISNUMBER(SEARCH("Missing Order Date",AD822)),ISNUMBER(SEARCH("Missing Ship Date",AD822))),"Invalid",IF(AD822&lt;&gt;"","Warning","Clean"))</f>
        <v>Clean</v>
      </c>
    </row>
    <row r="823" customFormat="false" ht="15" hidden="false" customHeight="true" outlineLevel="0" collapsed="false">
      <c r="A823" s="3" t="s">
        <v>2458</v>
      </c>
      <c r="B823" s="4" t="n">
        <v>45476</v>
      </c>
      <c r="C823" s="4" t="n">
        <v>45479</v>
      </c>
      <c r="D823" s="3" t="s">
        <v>2459</v>
      </c>
      <c r="E823" s="3" t="str">
        <f aca="false">PROPER(TRIM(SUBSTITUTE(Raw_Text_Fields!B824,CHAR(160)," ")))</f>
        <v>Aarav Sharma</v>
      </c>
      <c r="F823" s="3" t="str">
        <f aca="false">PROPER(TRIM(SUBSTITUTE(Raw_Text_Fields!C824,CHAR(160)," ")))</f>
        <v>Corporate</v>
      </c>
      <c r="G823" s="3" t="str">
        <f aca="false">PROPER(TRIM(SUBSTITUTE(Raw_Text_Fields!D824,CHAR(160)," ")))</f>
        <v>South</v>
      </c>
      <c r="H823" s="3" t="str">
        <f aca="false">PROPER(TRIM(SUBSTITUTE(Raw_Text_Fields!E824,CHAR(160)," ")))</f>
        <v>Karnataka</v>
      </c>
      <c r="I823" s="3" t="str">
        <f aca="false">PROPER(TRIM(SUBSTITUTE(Raw_Text_Fields!F824,CHAR(160)," ")))</f>
        <v>Bengaluru</v>
      </c>
      <c r="J823" s="3" t="str">
        <f aca="false">PROPER(TRIM(SUBSTITUTE(Raw_Text_Fields!G824,CHAR(160)," ")))</f>
        <v>Technology</v>
      </c>
      <c r="K823" s="3" t="str">
        <f aca="false">PROPER(TRIM(SUBSTITUTE(Raw_Text_Fields!H824,CHAR(160)," ")))</f>
        <v>Accessories</v>
      </c>
      <c r="L823" s="3" t="s">
        <v>2460</v>
      </c>
      <c r="M823" s="3" t="str">
        <f aca="false">PROPER(TRIM(SUBSTITUTE(Raw_Text_Fields!I824,CHAR(160)," ")))</f>
        <v>First Class</v>
      </c>
      <c r="N823" s="3" t="n">
        <v>7</v>
      </c>
      <c r="O823" s="5" t="n">
        <v>1942.49</v>
      </c>
      <c r="P823" s="6" t="n">
        <v>0.2</v>
      </c>
      <c r="Q823" s="5" t="n">
        <v>10877.94</v>
      </c>
      <c r="R823" s="5" t="n">
        <v>9110.14</v>
      </c>
      <c r="S823" s="5" t="n">
        <v>1767.8</v>
      </c>
      <c r="T823" s="3" t="str">
        <f aca="false">PROPER(TRIM(SUBSTITUTE(Raw_Text_Fields!J824,CHAR(160)," ")))</f>
        <v>Paid</v>
      </c>
      <c r="U823" s="3" t="str">
        <f aca="false">PROPER(TRIM(SUBSTITUTE(Raw_Text_Fields!K824,CHAR(160)," ")))</f>
        <v>Completed</v>
      </c>
      <c r="V823" s="7" t="n">
        <f aca="false">IF(OR(P823&lt;0,P823&gt;0.5),0,P823)</f>
        <v>0.2</v>
      </c>
      <c r="W823" s="8" t="n">
        <f aca="false">N823*O823*(1-V823)</f>
        <v>10877.944</v>
      </c>
      <c r="X823" s="8" t="n">
        <f aca="false">W823-R823</f>
        <v>1767.804</v>
      </c>
      <c r="Y823" s="7" t="n">
        <f aca="false">IFERROR(X823/W823,0)</f>
        <v>0.162512695413766</v>
      </c>
      <c r="Z823" s="9" t="n">
        <f aca="false">C823-B823</f>
        <v>3</v>
      </c>
      <c r="AA823" s="1" t="str">
        <f aca="false">IF(B823="","",TEXT(B823,"mmm"))</f>
        <v>Jul</v>
      </c>
      <c r="AB823" s="9" t="n">
        <f aca="false">IF(B823="","",YEAR(B823))</f>
        <v>2024</v>
      </c>
      <c r="AC823" s="3"/>
      <c r="AD823" s="3" t="str">
        <f aca="false">IF(LEFT(AC823&amp;IF(B823="","; Missing Order Date","")&amp;IF(C823="","; Missing Ship Date","")&amp;IF(P823&lt;0,"; Invalid Discount (Negative)","")&amp;IF(P823&gt;0.5,"; Invalid Discount (Too High)","")&amp;IF(Z823&lt;0,"; Invalid Shipping Record (Ship Before Order)","")&amp;IF(ABS(Q823-W823)&gt;1,"; Sales Mismatch","")&amp;IF(ABS(S823-X823)&gt;1,"; Profit Mismatch","")&amp;IF(COUNTIF($A$2:$A$913,A823)&gt;1,"; Duplicate Order ID Conflict",""),2)="; ",MID(AC823&amp;IF(B823="","; Missing Order Date","")&amp;IF(C823="","; Missing Ship Date","")&amp;IF(P823&lt;0,"; Invalid Discount (Negative)","")&amp;IF(P823&gt;0.5,"; Invalid Discount (Too High)","")&amp;IF(Z823&lt;0,"; Invalid Shipping Record (Ship Before Order)","")&amp;IF(ABS(Q823-W823)&gt;1,"; Sales Mismatch","")&amp;IF(ABS(S823-X823)&gt;1,"; Profit Mismatch","")&amp;IF(COUNTIF($A$2:$A$913,A823)&gt;1,"; Duplicate Order ID Conflict",""),3,500),AC823&amp;IF(B823="","; Missing Order Date","")&amp;IF(C823="","; Missing Ship Date","")&amp;IF(P823&lt;0,"; Invalid Discount (Negative)","")&amp;IF(P823&gt;0.5,"; Invalid Discount (Too High)","")&amp;IF(Z823&lt;0,"; Invalid Shipping Record (Ship Before Order)","")&amp;IF(ABS(Q823-W823)&gt;1,"; Sales Mismatch","")&amp;IF(ABS(S823-X823)&gt;1,"; Profit Mismatch","")&amp;IF(COUNTIF($A$2:$A$913,A823)&gt;1,"; Duplicate Order ID Conflict",""))</f>
        <v/>
      </c>
      <c r="AE823" s="10" t="str">
        <f aca="false">IF(OR(ISNUMBER(SEARCH("Invalid Discount",AD823)),ISNUMBER(SEARCH("Invalid Shipping Record",AD823)),ISNUMBER(SEARCH("Sales Mismatch",AD823)),ISNUMBER(SEARCH("Profit Mismatch",AD823)),ISNUMBER(SEARCH("Duplicate Order ID Conflict",AD823)),ISNUMBER(SEARCH("Missing Order Date",AD823)),ISNUMBER(SEARCH("Missing Ship Date",AD823))),"Invalid",IF(AD823&lt;&gt;"","Warning","Clean"))</f>
        <v>Clean</v>
      </c>
    </row>
    <row r="824" customFormat="false" ht="15" hidden="false" customHeight="true" outlineLevel="0" collapsed="false">
      <c r="A824" s="3" t="s">
        <v>2461</v>
      </c>
      <c r="B824" s="4" t="n">
        <v>45577</v>
      </c>
      <c r="C824" s="4" t="n">
        <v>45573</v>
      </c>
      <c r="D824" s="3" t="s">
        <v>2462</v>
      </c>
      <c r="E824" s="3" t="str">
        <f aca="false">PROPER(TRIM(SUBSTITUTE(Raw_Text_Fields!B825,CHAR(160)," ")))</f>
        <v>Mira Das</v>
      </c>
      <c r="F824" s="3" t="str">
        <f aca="false">PROPER(TRIM(SUBSTITUTE(Raw_Text_Fields!C825,CHAR(160)," ")))</f>
        <v>Corporate</v>
      </c>
      <c r="G824" s="3" t="str">
        <f aca="false">PROPER(TRIM(SUBSTITUTE(Raw_Text_Fields!D825,CHAR(160)," ")))</f>
        <v>East</v>
      </c>
      <c r="H824" s="3" t="str">
        <f aca="false">PROPER(TRIM(SUBSTITUTE(Raw_Text_Fields!E825,CHAR(160)," ")))</f>
        <v>Assam</v>
      </c>
      <c r="I824" s="3" t="str">
        <f aca="false">PROPER(TRIM(SUBSTITUTE(Raw_Text_Fields!F825,CHAR(160)," ")))</f>
        <v>Guwahati</v>
      </c>
      <c r="J824" s="3" t="str">
        <f aca="false">PROPER(TRIM(SUBSTITUTE(Raw_Text_Fields!G825,CHAR(160)," ")))</f>
        <v>Furniture</v>
      </c>
      <c r="K824" s="3" t="str">
        <f aca="false">PROPER(TRIM(SUBSTITUTE(Raw_Text_Fields!H825,CHAR(160)," ")))</f>
        <v>Furnishings</v>
      </c>
      <c r="L824" s="3" t="s">
        <v>2463</v>
      </c>
      <c r="M824" s="3" t="str">
        <f aca="false">PROPER(TRIM(SUBSTITUTE(Raw_Text_Fields!I825,CHAR(160)," ")))</f>
        <v>Second Class</v>
      </c>
      <c r="N824" s="3" t="n">
        <v>4</v>
      </c>
      <c r="O824" s="5" t="n">
        <v>3202.04</v>
      </c>
      <c r="P824" s="6" t="n">
        <v>0.2</v>
      </c>
      <c r="Q824" s="5" t="n">
        <v>10246.53</v>
      </c>
      <c r="R824" s="5" t="n">
        <v>8634.42</v>
      </c>
      <c r="S824" s="5" t="n">
        <v>1612.11</v>
      </c>
      <c r="T824" s="3" t="str">
        <f aca="false">PROPER(TRIM(SUBSTITUTE(Raw_Text_Fields!J825,CHAR(160)," ")))</f>
        <v>Pending</v>
      </c>
      <c r="U824" s="3" t="str">
        <f aca="false">PROPER(TRIM(SUBSTITUTE(Raw_Text_Fields!K825,CHAR(160)," ")))</f>
        <v>Returned</v>
      </c>
      <c r="V824" s="7" t="n">
        <f aca="false">IF(OR(P824&lt;0,P824&gt;0.5),0,P824)</f>
        <v>0.2</v>
      </c>
      <c r="W824" s="8" t="n">
        <f aca="false">N824*O824*(1-V824)</f>
        <v>10246.528</v>
      </c>
      <c r="X824" s="8" t="n">
        <f aca="false">W824-R824</f>
        <v>1612.108</v>
      </c>
      <c r="Y824" s="7" t="n">
        <f aca="false">IFERROR(X824/W824,0)</f>
        <v>0.157332122646813</v>
      </c>
      <c r="Z824" s="9" t="n">
        <f aca="false">C824-B824</f>
        <v>-4</v>
      </c>
      <c r="AA824" s="1" t="str">
        <f aca="false">IF(B824="","",TEXT(B824,"mmm"))</f>
        <v>Oct</v>
      </c>
      <c r="AB824" s="9" t="n">
        <f aca="false">IF(B824="","",YEAR(B824))</f>
        <v>2024</v>
      </c>
      <c r="AC824" s="3"/>
      <c r="AD824" s="3" t="str">
        <f aca="false">IF(LEFT(AC824&amp;IF(B824="","; Missing Order Date","")&amp;IF(C824="","; Missing Ship Date","")&amp;IF(P824&lt;0,"; Invalid Discount (Negative)","")&amp;IF(P824&gt;0.5,"; Invalid Discount (Too High)","")&amp;IF(Z824&lt;0,"; Invalid Shipping Record (Ship Before Order)","")&amp;IF(ABS(Q824-W824)&gt;1,"; Sales Mismatch","")&amp;IF(ABS(S824-X824)&gt;1,"; Profit Mismatch","")&amp;IF(COUNTIF($A$2:$A$913,A824)&gt;1,"; Duplicate Order ID Conflict",""),2)="; ",MID(AC824&amp;IF(B824="","; Missing Order Date","")&amp;IF(C824="","; Missing Ship Date","")&amp;IF(P824&lt;0,"; Invalid Discount (Negative)","")&amp;IF(P824&gt;0.5,"; Invalid Discount (Too High)","")&amp;IF(Z824&lt;0,"; Invalid Shipping Record (Ship Before Order)","")&amp;IF(ABS(Q824-W824)&gt;1,"; Sales Mismatch","")&amp;IF(ABS(S824-X824)&gt;1,"; Profit Mismatch","")&amp;IF(COUNTIF($A$2:$A$913,A824)&gt;1,"; Duplicate Order ID Conflict",""),3,500),AC824&amp;IF(B824="","; Missing Order Date","")&amp;IF(C824="","; Missing Ship Date","")&amp;IF(P824&lt;0,"; Invalid Discount (Negative)","")&amp;IF(P824&gt;0.5,"; Invalid Discount (Too High)","")&amp;IF(Z824&lt;0,"; Invalid Shipping Record (Ship Before Order)","")&amp;IF(ABS(Q824-W824)&gt;1,"; Sales Mismatch","")&amp;IF(ABS(S824-X824)&gt;1,"; Profit Mismatch","")&amp;IF(COUNTIF($A$2:$A$913,A824)&gt;1,"; Duplicate Order ID Conflict",""))</f>
        <v>Invalid Shipping Record (Ship Before Order)</v>
      </c>
      <c r="AE824" s="10" t="str">
        <f aca="false">IF(OR(ISNUMBER(SEARCH("Invalid Discount",AD824)),ISNUMBER(SEARCH("Invalid Shipping Record",AD824)),ISNUMBER(SEARCH("Sales Mismatch",AD824)),ISNUMBER(SEARCH("Profit Mismatch",AD824)),ISNUMBER(SEARCH("Duplicate Order ID Conflict",AD824)),ISNUMBER(SEARCH("Missing Order Date",AD824)),ISNUMBER(SEARCH("Missing Ship Date",AD824))),"Invalid",IF(AD824&lt;&gt;"","Warning","Clean"))</f>
        <v>Invalid</v>
      </c>
    </row>
    <row r="825" customFormat="false" ht="15" hidden="false" customHeight="true" outlineLevel="0" collapsed="false">
      <c r="A825" s="3" t="s">
        <v>2464</v>
      </c>
      <c r="B825" s="4" t="n">
        <v>45663</v>
      </c>
      <c r="C825" s="4" t="n">
        <v>45669</v>
      </c>
      <c r="D825" s="3" t="s">
        <v>2465</v>
      </c>
      <c r="E825" s="3" t="str">
        <f aca="false">PROPER(TRIM(SUBSTITUTE(Raw_Text_Fields!B826,CHAR(160)," ")))</f>
        <v>Mira Das</v>
      </c>
      <c r="F825" s="3" t="str">
        <f aca="false">PROPER(TRIM(SUBSTITUTE(Raw_Text_Fields!C826,CHAR(160)," ")))</f>
        <v>Home Office</v>
      </c>
      <c r="G825" s="3" t="str">
        <f aca="false">PROPER(TRIM(SUBSTITUTE(Raw_Text_Fields!D826,CHAR(160)," ")))</f>
        <v>West</v>
      </c>
      <c r="H825" s="3" t="str">
        <f aca="false">PROPER(TRIM(SUBSTITUTE(Raw_Text_Fields!E826,CHAR(160)," ")))</f>
        <v>Goa</v>
      </c>
      <c r="I825" s="3" t="str">
        <f aca="false">PROPER(TRIM(SUBSTITUTE(Raw_Text_Fields!F826,CHAR(160)," ")))</f>
        <v>Panaji</v>
      </c>
      <c r="J825" s="3" t="str">
        <f aca="false">PROPER(TRIM(SUBSTITUTE(Raw_Text_Fields!G826,CHAR(160)," ")))</f>
        <v>Office Supplies</v>
      </c>
      <c r="K825" s="3" t="str">
        <f aca="false">PROPER(TRIM(SUBSTITUTE(Raw_Text_Fields!H826,CHAR(160)," ")))</f>
        <v>Paper</v>
      </c>
      <c r="L825" s="3" t="s">
        <v>2466</v>
      </c>
      <c r="M825" s="3" t="str">
        <f aca="false">PROPER(TRIM(SUBSTITUTE(Raw_Text_Fields!I826,CHAR(160)," ")))</f>
        <v>Same Day</v>
      </c>
      <c r="N825" s="3" t="n">
        <v>3</v>
      </c>
      <c r="O825" s="5" t="n">
        <v>668.33</v>
      </c>
      <c r="P825" s="6" t="n">
        <v>0.15</v>
      </c>
      <c r="Q825" s="5" t="n">
        <v>1704.24</v>
      </c>
      <c r="R825" s="5" t="n">
        <v>957.55</v>
      </c>
      <c r="S825" s="5" t="n">
        <v>746.69</v>
      </c>
      <c r="T825" s="3" t="str">
        <f aca="false">PROPER(TRIM(SUBSTITUTE(Raw_Text_Fields!J826,CHAR(160)," ")))</f>
        <v>Paid</v>
      </c>
      <c r="U825" s="3" t="str">
        <f aca="false">PROPER(TRIM(SUBSTITUTE(Raw_Text_Fields!K826,CHAR(160)," ")))</f>
        <v>Completed</v>
      </c>
      <c r="V825" s="7" t="n">
        <f aca="false">IF(OR(P825&lt;0,P825&gt;0.5),0,P825)</f>
        <v>0.15</v>
      </c>
      <c r="W825" s="8" t="n">
        <f aca="false">N825*O825*(1-V825)</f>
        <v>1704.2415</v>
      </c>
      <c r="X825" s="8" t="n">
        <f aca="false">W825-R825</f>
        <v>746.6915</v>
      </c>
      <c r="Y825" s="7" t="n">
        <f aca="false">IFERROR(X825/W825,0)</f>
        <v>0.438137141948486</v>
      </c>
      <c r="Z825" s="9" t="n">
        <f aca="false">C825-B825</f>
        <v>6</v>
      </c>
      <c r="AA825" s="1" t="str">
        <f aca="false">IF(B825="","",TEXT(B825,"mmm"))</f>
        <v>Jan</v>
      </c>
      <c r="AB825" s="9" t="n">
        <f aca="false">IF(B825="","",YEAR(B825))</f>
        <v>2025</v>
      </c>
      <c r="AC825" s="3"/>
      <c r="AD825" s="3" t="str">
        <f aca="false">IF(LEFT(AC825&amp;IF(B825="","; Missing Order Date","")&amp;IF(C825="","; Missing Ship Date","")&amp;IF(P825&lt;0,"; Invalid Discount (Negative)","")&amp;IF(P825&gt;0.5,"; Invalid Discount (Too High)","")&amp;IF(Z825&lt;0,"; Invalid Shipping Record (Ship Before Order)","")&amp;IF(ABS(Q825-W825)&gt;1,"; Sales Mismatch","")&amp;IF(ABS(S825-X825)&gt;1,"; Profit Mismatch","")&amp;IF(COUNTIF($A$2:$A$913,A825)&gt;1,"; Duplicate Order ID Conflict",""),2)="; ",MID(AC825&amp;IF(B825="","; Missing Order Date","")&amp;IF(C825="","; Missing Ship Date","")&amp;IF(P825&lt;0,"; Invalid Discount (Negative)","")&amp;IF(P825&gt;0.5,"; Invalid Discount (Too High)","")&amp;IF(Z825&lt;0,"; Invalid Shipping Record (Ship Before Order)","")&amp;IF(ABS(Q825-W825)&gt;1,"; Sales Mismatch","")&amp;IF(ABS(S825-X825)&gt;1,"; Profit Mismatch","")&amp;IF(COUNTIF($A$2:$A$913,A825)&gt;1,"; Duplicate Order ID Conflict",""),3,500),AC825&amp;IF(B825="","; Missing Order Date","")&amp;IF(C825="","; Missing Ship Date","")&amp;IF(P825&lt;0,"; Invalid Discount (Negative)","")&amp;IF(P825&gt;0.5,"; Invalid Discount (Too High)","")&amp;IF(Z825&lt;0,"; Invalid Shipping Record (Ship Before Order)","")&amp;IF(ABS(Q825-W825)&gt;1,"; Sales Mismatch","")&amp;IF(ABS(S825-X825)&gt;1,"; Profit Mismatch","")&amp;IF(COUNTIF($A$2:$A$913,A825)&gt;1,"; Duplicate Order ID Conflict",""))</f>
        <v/>
      </c>
      <c r="AE825" s="10" t="str">
        <f aca="false">IF(OR(ISNUMBER(SEARCH("Invalid Discount",AD825)),ISNUMBER(SEARCH("Invalid Shipping Record",AD825)),ISNUMBER(SEARCH("Sales Mismatch",AD825)),ISNUMBER(SEARCH("Profit Mismatch",AD825)),ISNUMBER(SEARCH("Duplicate Order ID Conflict",AD825)),ISNUMBER(SEARCH("Missing Order Date",AD825)),ISNUMBER(SEARCH("Missing Ship Date",AD825))),"Invalid",IF(AD825&lt;&gt;"","Warning","Clean"))</f>
        <v>Clean</v>
      </c>
    </row>
    <row r="826" customFormat="false" ht="15" hidden="false" customHeight="true" outlineLevel="0" collapsed="false">
      <c r="A826" s="3" t="s">
        <v>2467</v>
      </c>
      <c r="B826" s="4" t="n">
        <v>45737</v>
      </c>
      <c r="C826" s="4" t="n">
        <v>45738</v>
      </c>
      <c r="D826" s="3" t="s">
        <v>2468</v>
      </c>
      <c r="E826" s="3" t="str">
        <f aca="false">PROPER(TRIM(SUBSTITUTE(Raw_Text_Fields!B827,CHAR(160)," ")))</f>
        <v>Priya Menon</v>
      </c>
      <c r="F826" s="3" t="str">
        <f aca="false">PROPER(TRIM(SUBSTITUTE(Raw_Text_Fields!C827,CHAR(160)," ")))</f>
        <v>Consumer</v>
      </c>
      <c r="G826" s="3" t="str">
        <f aca="false">PROPER(TRIM(SUBSTITUTE(Raw_Text_Fields!D827,CHAR(160)," ")))</f>
        <v>West</v>
      </c>
      <c r="H826" s="3" t="str">
        <f aca="false">PROPER(TRIM(SUBSTITUTE(Raw_Text_Fields!E827,CHAR(160)," ")))</f>
        <v>Goa</v>
      </c>
      <c r="I826" s="3" t="str">
        <f aca="false">PROPER(TRIM(SUBSTITUTE(Raw_Text_Fields!F827,CHAR(160)," ")))</f>
        <v>Panaji</v>
      </c>
      <c r="J826" s="3" t="str">
        <f aca="false">PROPER(TRIM(SUBSTITUTE(Raw_Text_Fields!G827,CHAR(160)," ")))</f>
        <v>Office Supplies</v>
      </c>
      <c r="K826" s="3" t="str">
        <f aca="false">PROPER(TRIM(SUBSTITUTE(Raw_Text_Fields!H827,CHAR(160)," ")))</f>
        <v>Paper</v>
      </c>
      <c r="L826" s="3" t="s">
        <v>2469</v>
      </c>
      <c r="M826" s="3" t="str">
        <f aca="false">PROPER(TRIM(SUBSTITUTE(Raw_Text_Fields!I827,CHAR(160)," ")))</f>
        <v>First Class</v>
      </c>
      <c r="N826" s="3" t="n">
        <v>8</v>
      </c>
      <c r="O826" s="5" t="n">
        <v>4436.74</v>
      </c>
      <c r="P826" s="6" t="n">
        <v>0.05</v>
      </c>
      <c r="Q826" s="5" t="n">
        <v>33719.22</v>
      </c>
      <c r="R826" s="5" t="n">
        <v>28924.43</v>
      </c>
      <c r="S826" s="5" t="n">
        <v>4794.79</v>
      </c>
      <c r="T826" s="3" t="str">
        <f aca="false">PROPER(TRIM(SUBSTITUTE(Raw_Text_Fields!J827,CHAR(160)," ")))</f>
        <v>Paid</v>
      </c>
      <c r="U826" s="3" t="str">
        <f aca="false">PROPER(TRIM(SUBSTITUTE(Raw_Text_Fields!K827,CHAR(160)," ")))</f>
        <v>Completed</v>
      </c>
      <c r="V826" s="7" t="n">
        <f aca="false">IF(OR(P826&lt;0,P826&gt;0.5),0,P826)</f>
        <v>0.05</v>
      </c>
      <c r="W826" s="8" t="n">
        <f aca="false">N826*O826*(1-V826)</f>
        <v>33719.224</v>
      </c>
      <c r="X826" s="8" t="n">
        <f aca="false">W826-R826</f>
        <v>4794.79399999999</v>
      </c>
      <c r="Y826" s="7" t="n">
        <f aca="false">IFERROR(X826/W826,0)</f>
        <v>0.142197637762957</v>
      </c>
      <c r="Z826" s="9" t="n">
        <f aca="false">C826-B826</f>
        <v>1</v>
      </c>
      <c r="AA826" s="1" t="str">
        <f aca="false">IF(B826="","",TEXT(B826,"mmm"))</f>
        <v>Mar</v>
      </c>
      <c r="AB826" s="9" t="n">
        <f aca="false">IF(B826="","",YEAR(B826))</f>
        <v>2025</v>
      </c>
      <c r="AC826" s="3"/>
      <c r="AD826" s="3" t="str">
        <f aca="false">IF(LEFT(AC826&amp;IF(B826="","; Missing Order Date","")&amp;IF(C826="","; Missing Ship Date","")&amp;IF(P826&lt;0,"; Invalid Discount (Negative)","")&amp;IF(P826&gt;0.5,"; Invalid Discount (Too High)","")&amp;IF(Z826&lt;0,"; Invalid Shipping Record (Ship Before Order)","")&amp;IF(ABS(Q826-W826)&gt;1,"; Sales Mismatch","")&amp;IF(ABS(S826-X826)&gt;1,"; Profit Mismatch","")&amp;IF(COUNTIF($A$2:$A$913,A826)&gt;1,"; Duplicate Order ID Conflict",""),2)="; ",MID(AC826&amp;IF(B826="","; Missing Order Date","")&amp;IF(C826="","; Missing Ship Date","")&amp;IF(P826&lt;0,"; Invalid Discount (Negative)","")&amp;IF(P826&gt;0.5,"; Invalid Discount (Too High)","")&amp;IF(Z826&lt;0,"; Invalid Shipping Record (Ship Before Order)","")&amp;IF(ABS(Q826-W826)&gt;1,"; Sales Mismatch","")&amp;IF(ABS(S826-X826)&gt;1,"; Profit Mismatch","")&amp;IF(COUNTIF($A$2:$A$913,A826)&gt;1,"; Duplicate Order ID Conflict",""),3,500),AC826&amp;IF(B826="","; Missing Order Date","")&amp;IF(C826="","; Missing Ship Date","")&amp;IF(P826&lt;0,"; Invalid Discount (Negative)","")&amp;IF(P826&gt;0.5,"; Invalid Discount (Too High)","")&amp;IF(Z826&lt;0,"; Invalid Shipping Record (Ship Before Order)","")&amp;IF(ABS(Q826-W826)&gt;1,"; Sales Mismatch","")&amp;IF(ABS(S826-X826)&gt;1,"; Profit Mismatch","")&amp;IF(COUNTIF($A$2:$A$913,A826)&gt;1,"; Duplicate Order ID Conflict",""))</f>
        <v/>
      </c>
      <c r="AE826" s="10" t="str">
        <f aca="false">IF(OR(ISNUMBER(SEARCH("Invalid Discount",AD826)),ISNUMBER(SEARCH("Invalid Shipping Record",AD826)),ISNUMBER(SEARCH("Sales Mismatch",AD826)),ISNUMBER(SEARCH("Profit Mismatch",AD826)),ISNUMBER(SEARCH("Duplicate Order ID Conflict",AD826)),ISNUMBER(SEARCH("Missing Order Date",AD826)),ISNUMBER(SEARCH("Missing Ship Date",AD826))),"Invalid",IF(AD826&lt;&gt;"","Warning","Clean"))</f>
        <v>Clean</v>
      </c>
    </row>
    <row r="827" customFormat="false" ht="15" hidden="false" customHeight="true" outlineLevel="0" collapsed="false">
      <c r="A827" s="3" t="s">
        <v>2470</v>
      </c>
      <c r="B827" s="4" t="n">
        <v>45763</v>
      </c>
      <c r="C827" s="4" t="n">
        <v>45764</v>
      </c>
      <c r="D827" s="3" t="s">
        <v>2471</v>
      </c>
      <c r="E827" s="3" t="str">
        <f aca="false">PROPER(TRIM(SUBSTITUTE(Raw_Text_Fields!B828,CHAR(160)," ")))</f>
        <v>Vikram Iyer</v>
      </c>
      <c r="F827" s="3" t="str">
        <f aca="false">PROPER(TRIM(SUBSTITUTE(Raw_Text_Fields!C828,CHAR(160)," ")))</f>
        <v>Small Business</v>
      </c>
      <c r="G827" s="3" t="str">
        <f aca="false">PROPER(TRIM(SUBSTITUTE(Raw_Text_Fields!D828,CHAR(160)," ")))</f>
        <v>North</v>
      </c>
      <c r="H827" s="3" t="str">
        <f aca="false">PROPER(TRIM(SUBSTITUTE(Raw_Text_Fields!E828,CHAR(160)," ")))</f>
        <v>Uttar Pradesh</v>
      </c>
      <c r="I827" s="3" t="str">
        <f aca="false">PROPER(TRIM(SUBSTITUTE(Raw_Text_Fields!F828,CHAR(160)," ")))</f>
        <v>Noida</v>
      </c>
      <c r="J827" s="3" t="str">
        <f aca="false">PROPER(TRIM(SUBSTITUTE(Raw_Text_Fields!G828,CHAR(160)," ")))</f>
        <v>Technology</v>
      </c>
      <c r="K827" s="3" t="str">
        <f aca="false">PROPER(TRIM(SUBSTITUTE(Raw_Text_Fields!H828,CHAR(160)," ")))</f>
        <v>Machines</v>
      </c>
      <c r="L827" s="3" t="s">
        <v>2472</v>
      </c>
      <c r="M827" s="3" t="str">
        <f aca="false">PROPER(TRIM(SUBSTITUTE(Raw_Text_Fields!I828,CHAR(160)," ")))</f>
        <v>First Class</v>
      </c>
      <c r="N827" s="3" t="n">
        <v>1</v>
      </c>
      <c r="O827" s="5" t="n">
        <v>2720.17</v>
      </c>
      <c r="P827" s="6" t="n">
        <v>0</v>
      </c>
      <c r="Q827" s="5" t="n">
        <v>2720.17</v>
      </c>
      <c r="R827" s="5" t="n">
        <v>1834.23</v>
      </c>
      <c r="S827" s="5" t="n">
        <v>885.94</v>
      </c>
      <c r="T827" s="3" t="str">
        <f aca="false">PROPER(TRIM(SUBSTITUTE(Raw_Text_Fields!J828,CHAR(160)," ")))</f>
        <v>Paid</v>
      </c>
      <c r="U827" s="3" t="str">
        <f aca="false">PROPER(TRIM(SUBSTITUTE(Raw_Text_Fields!K828,CHAR(160)," ")))</f>
        <v>Completed</v>
      </c>
      <c r="V827" s="7" t="n">
        <f aca="false">IF(OR(P827&lt;0,P827&gt;0.5),0,P827)</f>
        <v>0</v>
      </c>
      <c r="W827" s="8" t="n">
        <f aca="false">N827*O827*(1-V827)</f>
        <v>2720.17</v>
      </c>
      <c r="X827" s="8" t="n">
        <f aca="false">W827-R827</f>
        <v>885.94</v>
      </c>
      <c r="Y827" s="7" t="n">
        <f aca="false">IFERROR(X827/W827,0)</f>
        <v>0.32569287948915</v>
      </c>
      <c r="Z827" s="9" t="n">
        <f aca="false">C827-B827</f>
        <v>1</v>
      </c>
      <c r="AA827" s="1" t="str">
        <f aca="false">IF(B827="","",TEXT(B827,"mmm"))</f>
        <v>Apr</v>
      </c>
      <c r="AB827" s="9" t="n">
        <f aca="false">IF(B827="","",YEAR(B827))</f>
        <v>2025</v>
      </c>
      <c r="AC827" s="3"/>
      <c r="AD827" s="3" t="str">
        <f aca="false">IF(LEFT(AC827&amp;IF(B827="","; Missing Order Date","")&amp;IF(C827="","; Missing Ship Date","")&amp;IF(P827&lt;0,"; Invalid Discount (Negative)","")&amp;IF(P827&gt;0.5,"; Invalid Discount (Too High)","")&amp;IF(Z827&lt;0,"; Invalid Shipping Record (Ship Before Order)","")&amp;IF(ABS(Q827-W827)&gt;1,"; Sales Mismatch","")&amp;IF(ABS(S827-X827)&gt;1,"; Profit Mismatch","")&amp;IF(COUNTIF($A$2:$A$913,A827)&gt;1,"; Duplicate Order ID Conflict",""),2)="; ",MID(AC827&amp;IF(B827="","; Missing Order Date","")&amp;IF(C827="","; Missing Ship Date","")&amp;IF(P827&lt;0,"; Invalid Discount (Negative)","")&amp;IF(P827&gt;0.5,"; Invalid Discount (Too High)","")&amp;IF(Z827&lt;0,"; Invalid Shipping Record (Ship Before Order)","")&amp;IF(ABS(Q827-W827)&gt;1,"; Sales Mismatch","")&amp;IF(ABS(S827-X827)&gt;1,"; Profit Mismatch","")&amp;IF(COUNTIF($A$2:$A$913,A827)&gt;1,"; Duplicate Order ID Conflict",""),3,500),AC827&amp;IF(B827="","; Missing Order Date","")&amp;IF(C827="","; Missing Ship Date","")&amp;IF(P827&lt;0,"; Invalid Discount (Negative)","")&amp;IF(P827&gt;0.5,"; Invalid Discount (Too High)","")&amp;IF(Z827&lt;0,"; Invalid Shipping Record (Ship Before Order)","")&amp;IF(ABS(Q827-W827)&gt;1,"; Sales Mismatch","")&amp;IF(ABS(S827-X827)&gt;1,"; Profit Mismatch","")&amp;IF(COUNTIF($A$2:$A$913,A827)&gt;1,"; Duplicate Order ID Conflict",""))</f>
        <v/>
      </c>
      <c r="AE827" s="10" t="str">
        <f aca="false">IF(OR(ISNUMBER(SEARCH("Invalid Discount",AD827)),ISNUMBER(SEARCH("Invalid Shipping Record",AD827)),ISNUMBER(SEARCH("Sales Mismatch",AD827)),ISNUMBER(SEARCH("Profit Mismatch",AD827)),ISNUMBER(SEARCH("Duplicate Order ID Conflict",AD827)),ISNUMBER(SEARCH("Missing Order Date",AD827)),ISNUMBER(SEARCH("Missing Ship Date",AD827))),"Invalid",IF(AD827&lt;&gt;"","Warning","Clean"))</f>
        <v>Clean</v>
      </c>
    </row>
    <row r="828" customFormat="false" ht="15" hidden="false" customHeight="true" outlineLevel="0" collapsed="false">
      <c r="A828" s="3" t="s">
        <v>2473</v>
      </c>
      <c r="B828" s="4" t="n">
        <v>45879</v>
      </c>
      <c r="C828" s="4" t="n">
        <v>45883</v>
      </c>
      <c r="D828" s="3" t="s">
        <v>2474</v>
      </c>
      <c r="E828" s="3" t="str">
        <f aca="false">PROPER(TRIM(SUBSTITUTE(Raw_Text_Fields!B829,CHAR(160)," ")))</f>
        <v>Aditi Sen</v>
      </c>
      <c r="F828" s="3" t="str">
        <f aca="false">PROPER(TRIM(SUBSTITUTE(Raw_Text_Fields!C829,CHAR(160)," ")))</f>
        <v>Consumer</v>
      </c>
      <c r="G828" s="3" t="str">
        <f aca="false">PROPER(TRIM(SUBSTITUTE(Raw_Text_Fields!D829,CHAR(160)," ")))</f>
        <v>West</v>
      </c>
      <c r="H828" s="3" t="str">
        <f aca="false">PROPER(TRIM(SUBSTITUTE(Raw_Text_Fields!E829,CHAR(160)," ")))</f>
        <v>Rajasthan</v>
      </c>
      <c r="I828" s="3" t="str">
        <f aca="false">PROPER(TRIM(SUBSTITUTE(Raw_Text_Fields!F829,CHAR(160)," ")))</f>
        <v>Udaipur</v>
      </c>
      <c r="J828" s="3" t="str">
        <f aca="false">PROPER(TRIM(SUBSTITUTE(Raw_Text_Fields!G829,CHAR(160)," ")))</f>
        <v>Technology</v>
      </c>
      <c r="K828" s="3" t="str">
        <f aca="false">PROPER(TRIM(SUBSTITUTE(Raw_Text_Fields!H829,CHAR(160)," ")))</f>
        <v>Accessories</v>
      </c>
      <c r="L828" s="3" t="s">
        <v>2475</v>
      </c>
      <c r="M828" s="3" t="str">
        <f aca="false">PROPER(TRIM(SUBSTITUTE(Raw_Text_Fields!I829,CHAR(160)," ")))</f>
        <v>Standard Class</v>
      </c>
      <c r="N828" s="3" t="n">
        <v>5</v>
      </c>
      <c r="O828" s="5" t="n">
        <v>2190.14</v>
      </c>
      <c r="P828" s="6" t="n">
        <v>0.25</v>
      </c>
      <c r="Q828" s="5" t="n">
        <v>8213.02</v>
      </c>
      <c r="R828" s="5" t="n">
        <v>5569.3</v>
      </c>
      <c r="S828" s="5" t="n">
        <v>2643.72</v>
      </c>
      <c r="T828" s="3" t="str">
        <f aca="false">PROPER(TRIM(SUBSTITUTE(Raw_Text_Fields!J829,CHAR(160)," ")))</f>
        <v>Paid</v>
      </c>
      <c r="U828" s="3" t="str">
        <f aca="false">PROPER(TRIM(SUBSTITUTE(Raw_Text_Fields!K829,CHAR(160)," ")))</f>
        <v>Completed</v>
      </c>
      <c r="V828" s="7" t="n">
        <f aca="false">IF(OR(P828&lt;0,P828&gt;0.5),0,P828)</f>
        <v>0.25</v>
      </c>
      <c r="W828" s="8" t="n">
        <f aca="false">N828*O828*(1-V828)</f>
        <v>8213.025</v>
      </c>
      <c r="X828" s="8" t="n">
        <f aca="false">W828-R828</f>
        <v>2643.725</v>
      </c>
      <c r="Y828" s="7" t="n">
        <f aca="false">IFERROR(X828/W828,0)</f>
        <v>0.321894186368603</v>
      </c>
      <c r="Z828" s="9" t="n">
        <f aca="false">C828-B828</f>
        <v>4</v>
      </c>
      <c r="AA828" s="1" t="str">
        <f aca="false">IF(B828="","",TEXT(B828,"mmm"))</f>
        <v>Aug</v>
      </c>
      <c r="AB828" s="9" t="n">
        <f aca="false">IF(B828="","",YEAR(B828))</f>
        <v>2025</v>
      </c>
      <c r="AC828" s="3"/>
      <c r="AD828" s="3" t="str">
        <f aca="false">IF(LEFT(AC828&amp;IF(B828="","; Missing Order Date","")&amp;IF(C828="","; Missing Ship Date","")&amp;IF(P828&lt;0,"; Invalid Discount (Negative)","")&amp;IF(P828&gt;0.5,"; Invalid Discount (Too High)","")&amp;IF(Z828&lt;0,"; Invalid Shipping Record (Ship Before Order)","")&amp;IF(ABS(Q828-W828)&gt;1,"; Sales Mismatch","")&amp;IF(ABS(S828-X828)&gt;1,"; Profit Mismatch","")&amp;IF(COUNTIF($A$2:$A$913,A828)&gt;1,"; Duplicate Order ID Conflict",""),2)="; ",MID(AC828&amp;IF(B828="","; Missing Order Date","")&amp;IF(C828="","; Missing Ship Date","")&amp;IF(P828&lt;0,"; Invalid Discount (Negative)","")&amp;IF(P828&gt;0.5,"; Invalid Discount (Too High)","")&amp;IF(Z828&lt;0,"; Invalid Shipping Record (Ship Before Order)","")&amp;IF(ABS(Q828-W828)&gt;1,"; Sales Mismatch","")&amp;IF(ABS(S828-X828)&gt;1,"; Profit Mismatch","")&amp;IF(COUNTIF($A$2:$A$913,A828)&gt;1,"; Duplicate Order ID Conflict",""),3,500),AC828&amp;IF(B828="","; Missing Order Date","")&amp;IF(C828="","; Missing Ship Date","")&amp;IF(P828&lt;0,"; Invalid Discount (Negative)","")&amp;IF(P828&gt;0.5,"; Invalid Discount (Too High)","")&amp;IF(Z828&lt;0,"; Invalid Shipping Record (Ship Before Order)","")&amp;IF(ABS(Q828-W828)&gt;1,"; Sales Mismatch","")&amp;IF(ABS(S828-X828)&gt;1,"; Profit Mismatch","")&amp;IF(COUNTIF($A$2:$A$913,A828)&gt;1,"; Duplicate Order ID Conflict",""))</f>
        <v/>
      </c>
      <c r="AE828" s="10" t="str">
        <f aca="false">IF(OR(ISNUMBER(SEARCH("Invalid Discount",AD828)),ISNUMBER(SEARCH("Invalid Shipping Record",AD828)),ISNUMBER(SEARCH("Sales Mismatch",AD828)),ISNUMBER(SEARCH("Profit Mismatch",AD828)),ISNUMBER(SEARCH("Duplicate Order ID Conflict",AD828)),ISNUMBER(SEARCH("Missing Order Date",AD828)),ISNUMBER(SEARCH("Missing Ship Date",AD828))),"Invalid",IF(AD828&lt;&gt;"","Warning","Clean"))</f>
        <v>Clean</v>
      </c>
    </row>
    <row r="829" customFormat="false" ht="15" hidden="false" customHeight="true" outlineLevel="0" collapsed="false">
      <c r="A829" s="3" t="s">
        <v>2476</v>
      </c>
      <c r="B829" s="4" t="n">
        <v>45620</v>
      </c>
      <c r="C829" s="4" t="n">
        <v>45627</v>
      </c>
      <c r="D829" s="3" t="s">
        <v>2477</v>
      </c>
      <c r="E829" s="3" t="str">
        <f aca="false">PROPER(TRIM(SUBSTITUTE(Raw_Text_Fields!B830,CHAR(160)," ")))</f>
        <v>Priya Menon</v>
      </c>
      <c r="F829" s="3" t="str">
        <f aca="false">PROPER(TRIM(SUBSTITUTE(Raw_Text_Fields!C830,CHAR(160)," ")))</f>
        <v>Home Office</v>
      </c>
      <c r="G829" s="3" t="str">
        <f aca="false">PROPER(TRIM(SUBSTITUTE(Raw_Text_Fields!D830,CHAR(160)," ")))</f>
        <v>South</v>
      </c>
      <c r="H829" s="3" t="str">
        <f aca="false">PROPER(TRIM(SUBSTITUTE(Raw_Text_Fields!E830,CHAR(160)," ")))</f>
        <v>Tamil Nadu</v>
      </c>
      <c r="I829" s="3" t="str">
        <f aca="false">PROPER(TRIM(SUBSTITUTE(Raw_Text_Fields!F830,CHAR(160)," ")))</f>
        <v>Chennai</v>
      </c>
      <c r="J829" s="3" t="str">
        <f aca="false">PROPER(TRIM(SUBSTITUTE(Raw_Text_Fields!G830,CHAR(160)," ")))</f>
        <v>Office Supplies</v>
      </c>
      <c r="K829" s="3" t="str">
        <f aca="false">PROPER(TRIM(SUBSTITUTE(Raw_Text_Fields!H830,CHAR(160)," ")))</f>
        <v>Paper</v>
      </c>
      <c r="L829" s="3" t="s">
        <v>2478</v>
      </c>
      <c r="M829" s="3" t="str">
        <f aca="false">PROPER(TRIM(SUBSTITUTE(Raw_Text_Fields!I830,CHAR(160)," ")))</f>
        <v>Same Day</v>
      </c>
      <c r="N829" s="3" t="n">
        <v>1</v>
      </c>
      <c r="O829" s="5" t="n">
        <v>844.89</v>
      </c>
      <c r="P829" s="6" t="n">
        <v>0.25</v>
      </c>
      <c r="Q829" s="5" t="n">
        <v>633.67</v>
      </c>
      <c r="R829" s="5" t="n">
        <v>520.47</v>
      </c>
      <c r="S829" s="5" t="n">
        <v>113.2</v>
      </c>
      <c r="T829" s="3" t="str">
        <f aca="false">PROPER(TRIM(SUBSTITUTE(Raw_Text_Fields!J830,CHAR(160)," ")))</f>
        <v>Paid</v>
      </c>
      <c r="U829" s="3" t="str">
        <f aca="false">PROPER(TRIM(SUBSTITUTE(Raw_Text_Fields!K830,CHAR(160)," ")))</f>
        <v>Cancelled</v>
      </c>
      <c r="V829" s="7" t="n">
        <f aca="false">IF(OR(P829&lt;0,P829&gt;0.5),0,P829)</f>
        <v>0.25</v>
      </c>
      <c r="W829" s="8" t="n">
        <f aca="false">N829*O829*(1-V829)</f>
        <v>633.6675</v>
      </c>
      <c r="X829" s="8" t="n">
        <f aca="false">W829-R829</f>
        <v>113.1975</v>
      </c>
      <c r="Y829" s="7" t="n">
        <f aca="false">IFERROR(X829/W829,0)</f>
        <v>0.178638639349501</v>
      </c>
      <c r="Z829" s="9" t="n">
        <f aca="false">C829-B829</f>
        <v>7</v>
      </c>
      <c r="AA829" s="1" t="str">
        <f aca="false">IF(B829="","",TEXT(B829,"mmm"))</f>
        <v>Nov</v>
      </c>
      <c r="AB829" s="9" t="n">
        <f aca="false">IF(B829="","",YEAR(B829))</f>
        <v>2024</v>
      </c>
      <c r="AC829" s="3"/>
      <c r="AD829" s="3" t="str">
        <f aca="false">IF(LEFT(AC829&amp;IF(B829="","; Missing Order Date","")&amp;IF(C829="","; Missing Ship Date","")&amp;IF(P829&lt;0,"; Invalid Discount (Negative)","")&amp;IF(P829&gt;0.5,"; Invalid Discount (Too High)","")&amp;IF(Z829&lt;0,"; Invalid Shipping Record (Ship Before Order)","")&amp;IF(ABS(Q829-W829)&gt;1,"; Sales Mismatch","")&amp;IF(ABS(S829-X829)&gt;1,"; Profit Mismatch","")&amp;IF(COUNTIF($A$2:$A$913,A829)&gt;1,"; Duplicate Order ID Conflict",""),2)="; ",MID(AC829&amp;IF(B829="","; Missing Order Date","")&amp;IF(C829="","; Missing Ship Date","")&amp;IF(P829&lt;0,"; Invalid Discount (Negative)","")&amp;IF(P829&gt;0.5,"; Invalid Discount (Too High)","")&amp;IF(Z829&lt;0,"; Invalid Shipping Record (Ship Before Order)","")&amp;IF(ABS(Q829-W829)&gt;1,"; Sales Mismatch","")&amp;IF(ABS(S829-X829)&gt;1,"; Profit Mismatch","")&amp;IF(COUNTIF($A$2:$A$913,A829)&gt;1,"; Duplicate Order ID Conflict",""),3,500),AC829&amp;IF(B829="","; Missing Order Date","")&amp;IF(C829="","; Missing Ship Date","")&amp;IF(P829&lt;0,"; Invalid Discount (Negative)","")&amp;IF(P829&gt;0.5,"; Invalid Discount (Too High)","")&amp;IF(Z829&lt;0,"; Invalid Shipping Record (Ship Before Order)","")&amp;IF(ABS(Q829-W829)&gt;1,"; Sales Mismatch","")&amp;IF(ABS(S829-X829)&gt;1,"; Profit Mismatch","")&amp;IF(COUNTIF($A$2:$A$913,A829)&gt;1,"; Duplicate Order ID Conflict",""))</f>
        <v/>
      </c>
      <c r="AE829" s="10" t="str">
        <f aca="false">IF(OR(ISNUMBER(SEARCH("Invalid Discount",AD829)),ISNUMBER(SEARCH("Invalid Shipping Record",AD829)),ISNUMBER(SEARCH("Sales Mismatch",AD829)),ISNUMBER(SEARCH("Profit Mismatch",AD829)),ISNUMBER(SEARCH("Duplicate Order ID Conflict",AD829)),ISNUMBER(SEARCH("Missing Order Date",AD829)),ISNUMBER(SEARCH("Missing Ship Date",AD829))),"Invalid",IF(AD829&lt;&gt;"","Warning","Clean"))</f>
        <v>Clean</v>
      </c>
    </row>
    <row r="830" customFormat="false" ht="15" hidden="false" customHeight="true" outlineLevel="0" collapsed="false">
      <c r="A830" s="3" t="s">
        <v>2479</v>
      </c>
      <c r="B830" s="4" t="n">
        <v>45940</v>
      </c>
      <c r="C830" s="4" t="n">
        <v>45941</v>
      </c>
      <c r="D830" s="3" t="s">
        <v>2480</v>
      </c>
      <c r="E830" s="3" t="str">
        <f aca="false">PROPER(TRIM(SUBSTITUTE(Raw_Text_Fields!B831,CHAR(160)," ")))</f>
        <v>Karan Malhotra</v>
      </c>
      <c r="F830" s="3" t="str">
        <f aca="false">PROPER(TRIM(SUBSTITUTE(Raw_Text_Fields!C831,CHAR(160)," ")))</f>
        <v>Corporate</v>
      </c>
      <c r="G830" s="3" t="str">
        <f aca="false">PROPER(TRIM(SUBSTITUTE(Raw_Text_Fields!D831,CHAR(160)," ")))</f>
        <v>East</v>
      </c>
      <c r="H830" s="3" t="str">
        <f aca="false">PROPER(TRIM(SUBSTITUTE(Raw_Text_Fields!E831,CHAR(160)," ")))</f>
        <v>Odisha</v>
      </c>
      <c r="I830" s="3" t="str">
        <f aca="false">PROPER(TRIM(SUBSTITUTE(Raw_Text_Fields!F831,CHAR(160)," ")))</f>
        <v>Bhubaneswar</v>
      </c>
      <c r="J830" s="3" t="str">
        <f aca="false">PROPER(TRIM(SUBSTITUTE(Raw_Text_Fields!G831,CHAR(160)," ")))</f>
        <v>Furniture</v>
      </c>
      <c r="K830" s="3" t="str">
        <f aca="false">PROPER(TRIM(SUBSTITUTE(Raw_Text_Fields!H831,CHAR(160)," ")))</f>
        <v>Chairs</v>
      </c>
      <c r="L830" s="3" t="s">
        <v>2481</v>
      </c>
      <c r="M830" s="3" t="str">
        <f aca="false">PROPER(TRIM(SUBSTITUTE(Raw_Text_Fields!I831,CHAR(160)," ")))</f>
        <v>Second Class</v>
      </c>
      <c r="N830" s="3" t="n">
        <v>7</v>
      </c>
      <c r="O830" s="5" t="n">
        <v>3791.96</v>
      </c>
      <c r="P830" s="6" t="n">
        <v>0.05</v>
      </c>
      <c r="Q830" s="5" t="n">
        <v>25216.53</v>
      </c>
      <c r="R830" s="5" t="n">
        <v>14216.94</v>
      </c>
      <c r="S830" s="5" t="n">
        <v>10999.59</v>
      </c>
      <c r="T830" s="3" t="str">
        <f aca="false">PROPER(TRIM(SUBSTITUTE(Raw_Text_Fields!J831,CHAR(160)," ")))</f>
        <v>Failed</v>
      </c>
      <c r="U830" s="3" t="str">
        <f aca="false">PROPER(TRIM(SUBSTITUTE(Raw_Text_Fields!K831,CHAR(160)," ")))</f>
        <v>Cancelled</v>
      </c>
      <c r="V830" s="7" t="n">
        <f aca="false">IF(OR(P830&lt;0,P830&gt;0.5),0,P830)</f>
        <v>0.05</v>
      </c>
      <c r="W830" s="8" t="n">
        <f aca="false">N830*O830*(1-V830)</f>
        <v>25216.534</v>
      </c>
      <c r="X830" s="8" t="n">
        <f aca="false">W830-R830</f>
        <v>10999.594</v>
      </c>
      <c r="Y830" s="7" t="n">
        <f aca="false">IFERROR(X830/W830,0)</f>
        <v>0.436205626038852</v>
      </c>
      <c r="Z830" s="9" t="n">
        <f aca="false">C830-B830</f>
        <v>1</v>
      </c>
      <c r="AA830" s="1" t="str">
        <f aca="false">IF(B830="","",TEXT(B830,"mmm"))</f>
        <v>Oct</v>
      </c>
      <c r="AB830" s="9" t="n">
        <f aca="false">IF(B830="","",YEAR(B830))</f>
        <v>2025</v>
      </c>
      <c r="AC830" s="3"/>
      <c r="AD830" s="3" t="str">
        <f aca="false">IF(LEFT(AC830&amp;IF(B830="","; Missing Order Date","")&amp;IF(C830="","; Missing Ship Date","")&amp;IF(P830&lt;0,"; Invalid Discount (Negative)","")&amp;IF(P830&gt;0.5,"; Invalid Discount (Too High)","")&amp;IF(Z830&lt;0,"; Invalid Shipping Record (Ship Before Order)","")&amp;IF(ABS(Q830-W830)&gt;1,"; Sales Mismatch","")&amp;IF(ABS(S830-X830)&gt;1,"; Profit Mismatch","")&amp;IF(COUNTIF($A$2:$A$913,A830)&gt;1,"; Duplicate Order ID Conflict",""),2)="; ",MID(AC830&amp;IF(B830="","; Missing Order Date","")&amp;IF(C830="","; Missing Ship Date","")&amp;IF(P830&lt;0,"; Invalid Discount (Negative)","")&amp;IF(P830&gt;0.5,"; Invalid Discount (Too High)","")&amp;IF(Z830&lt;0,"; Invalid Shipping Record (Ship Before Order)","")&amp;IF(ABS(Q830-W830)&gt;1,"; Sales Mismatch","")&amp;IF(ABS(S830-X830)&gt;1,"; Profit Mismatch","")&amp;IF(COUNTIF($A$2:$A$913,A830)&gt;1,"; Duplicate Order ID Conflict",""),3,500),AC830&amp;IF(B830="","; Missing Order Date","")&amp;IF(C830="","; Missing Ship Date","")&amp;IF(P830&lt;0,"; Invalid Discount (Negative)","")&amp;IF(P830&gt;0.5,"; Invalid Discount (Too High)","")&amp;IF(Z830&lt;0,"; Invalid Shipping Record (Ship Before Order)","")&amp;IF(ABS(Q830-W830)&gt;1,"; Sales Mismatch","")&amp;IF(ABS(S830-X830)&gt;1,"; Profit Mismatch","")&amp;IF(COUNTIF($A$2:$A$913,A830)&gt;1,"; Duplicate Order ID Conflict",""))</f>
        <v/>
      </c>
      <c r="AE830" s="10" t="str">
        <f aca="false">IF(OR(ISNUMBER(SEARCH("Invalid Discount",AD830)),ISNUMBER(SEARCH("Invalid Shipping Record",AD830)),ISNUMBER(SEARCH("Sales Mismatch",AD830)),ISNUMBER(SEARCH("Profit Mismatch",AD830)),ISNUMBER(SEARCH("Duplicate Order ID Conflict",AD830)),ISNUMBER(SEARCH("Missing Order Date",AD830)),ISNUMBER(SEARCH("Missing Ship Date",AD830))),"Invalid",IF(AD830&lt;&gt;"","Warning","Clean"))</f>
        <v>Clean</v>
      </c>
    </row>
    <row r="831" customFormat="false" ht="15" hidden="false" customHeight="true" outlineLevel="0" collapsed="false">
      <c r="A831" s="3" t="s">
        <v>2482</v>
      </c>
      <c r="B831" s="4" t="n">
        <v>45348</v>
      </c>
      <c r="C831" s="4" t="n">
        <v>45350</v>
      </c>
      <c r="D831" s="3" t="s">
        <v>2483</v>
      </c>
      <c r="E831" s="3" t="str">
        <f aca="false">PROPER(TRIM(SUBSTITUTE(Raw_Text_Fields!B832,CHAR(160)," ")))</f>
        <v>Aditi Sen</v>
      </c>
      <c r="F831" s="3" t="str">
        <f aca="false">PROPER(TRIM(SUBSTITUTE(Raw_Text_Fields!C832,CHAR(160)," ")))</f>
        <v>Small Business</v>
      </c>
      <c r="G831" s="3" t="str">
        <f aca="false">PROPER(TRIM(SUBSTITUTE(Raw_Text_Fields!D832,CHAR(160)," ")))</f>
        <v>West</v>
      </c>
      <c r="H831" s="3" t="str">
        <f aca="false">PROPER(TRIM(SUBSTITUTE(Raw_Text_Fields!E832,CHAR(160)," ")))</f>
        <v>Goa</v>
      </c>
      <c r="I831" s="3" t="str">
        <f aca="false">PROPER(TRIM(SUBSTITUTE(Raw_Text_Fields!F832,CHAR(160)," ")))</f>
        <v>Panaji</v>
      </c>
      <c r="J831" s="3" t="str">
        <f aca="false">PROPER(TRIM(SUBSTITUTE(Raw_Text_Fields!G832,CHAR(160)," ")))</f>
        <v>Furniture</v>
      </c>
      <c r="K831" s="3" t="str">
        <f aca="false">PROPER(TRIM(SUBSTITUTE(Raw_Text_Fields!H832,CHAR(160)," ")))</f>
        <v>Furnishings</v>
      </c>
      <c r="L831" s="3" t="s">
        <v>2484</v>
      </c>
      <c r="M831" s="3" t="str">
        <f aca="false">PROPER(TRIM(SUBSTITUTE(Raw_Text_Fields!I832,CHAR(160)," ")))</f>
        <v>Second Class</v>
      </c>
      <c r="N831" s="3" t="n">
        <v>7</v>
      </c>
      <c r="O831" s="5" t="n">
        <v>1035.14</v>
      </c>
      <c r="P831" s="6" t="n">
        <v>0.1</v>
      </c>
      <c r="Q831" s="5" t="n">
        <v>6521.38</v>
      </c>
      <c r="R831" s="5" t="n">
        <v>4511.1</v>
      </c>
      <c r="S831" s="5" t="n">
        <v>2010.28</v>
      </c>
      <c r="T831" s="3" t="str">
        <f aca="false">PROPER(TRIM(SUBSTITUTE(Raw_Text_Fields!J832,CHAR(160)," ")))</f>
        <v>Paid</v>
      </c>
      <c r="U831" s="3" t="str">
        <f aca="false">PROPER(TRIM(SUBSTITUTE(Raw_Text_Fields!K832,CHAR(160)," ")))</f>
        <v>Completed</v>
      </c>
      <c r="V831" s="7" t="n">
        <f aca="false">IF(OR(P831&lt;0,P831&gt;0.5),0,P831)</f>
        <v>0.1</v>
      </c>
      <c r="W831" s="8" t="n">
        <f aca="false">N831*O831*(1-V831)</f>
        <v>6521.382</v>
      </c>
      <c r="X831" s="8" t="n">
        <f aca="false">W831-R831</f>
        <v>2010.282</v>
      </c>
      <c r="Y831" s="7" t="n">
        <f aca="false">IFERROR(X831/W831,0)</f>
        <v>0.308260120324189</v>
      </c>
      <c r="Z831" s="9" t="n">
        <f aca="false">C831-B831</f>
        <v>2</v>
      </c>
      <c r="AA831" s="1" t="str">
        <f aca="false">IF(B831="","",TEXT(B831,"mmm"))</f>
        <v>Feb</v>
      </c>
      <c r="AB831" s="9" t="n">
        <f aca="false">IF(B831="","",YEAR(B831))</f>
        <v>2024</v>
      </c>
      <c r="AC831" s="3"/>
      <c r="AD831" s="3" t="str">
        <f aca="false">IF(LEFT(AC831&amp;IF(B831="","; Missing Order Date","")&amp;IF(C831="","; Missing Ship Date","")&amp;IF(P831&lt;0,"; Invalid Discount (Negative)","")&amp;IF(P831&gt;0.5,"; Invalid Discount (Too High)","")&amp;IF(Z831&lt;0,"; Invalid Shipping Record (Ship Before Order)","")&amp;IF(ABS(Q831-W831)&gt;1,"; Sales Mismatch","")&amp;IF(ABS(S831-X831)&gt;1,"; Profit Mismatch","")&amp;IF(COUNTIF($A$2:$A$913,A831)&gt;1,"; Duplicate Order ID Conflict",""),2)="; ",MID(AC831&amp;IF(B831="","; Missing Order Date","")&amp;IF(C831="","; Missing Ship Date","")&amp;IF(P831&lt;0,"; Invalid Discount (Negative)","")&amp;IF(P831&gt;0.5,"; Invalid Discount (Too High)","")&amp;IF(Z831&lt;0,"; Invalid Shipping Record (Ship Before Order)","")&amp;IF(ABS(Q831-W831)&gt;1,"; Sales Mismatch","")&amp;IF(ABS(S831-X831)&gt;1,"; Profit Mismatch","")&amp;IF(COUNTIF($A$2:$A$913,A831)&gt;1,"; Duplicate Order ID Conflict",""),3,500),AC831&amp;IF(B831="","; Missing Order Date","")&amp;IF(C831="","; Missing Ship Date","")&amp;IF(P831&lt;0,"; Invalid Discount (Negative)","")&amp;IF(P831&gt;0.5,"; Invalid Discount (Too High)","")&amp;IF(Z831&lt;0,"; Invalid Shipping Record (Ship Before Order)","")&amp;IF(ABS(Q831-W831)&gt;1,"; Sales Mismatch","")&amp;IF(ABS(S831-X831)&gt;1,"; Profit Mismatch","")&amp;IF(COUNTIF($A$2:$A$913,A831)&gt;1,"; Duplicate Order ID Conflict",""))</f>
        <v/>
      </c>
      <c r="AE831" s="10" t="str">
        <f aca="false">IF(OR(ISNUMBER(SEARCH("Invalid Discount",AD831)),ISNUMBER(SEARCH("Invalid Shipping Record",AD831)),ISNUMBER(SEARCH("Sales Mismatch",AD831)),ISNUMBER(SEARCH("Profit Mismatch",AD831)),ISNUMBER(SEARCH("Duplicate Order ID Conflict",AD831)),ISNUMBER(SEARCH("Missing Order Date",AD831)),ISNUMBER(SEARCH("Missing Ship Date",AD831))),"Invalid",IF(AD831&lt;&gt;"","Warning","Clean"))</f>
        <v>Clean</v>
      </c>
    </row>
    <row r="832" customFormat="false" ht="15" hidden="false" customHeight="true" outlineLevel="0" collapsed="false">
      <c r="A832" s="3" t="s">
        <v>2485</v>
      </c>
      <c r="B832" s="4" t="n">
        <v>45853</v>
      </c>
      <c r="C832" s="4" t="n">
        <v>45856</v>
      </c>
      <c r="D832" s="3" t="s">
        <v>2486</v>
      </c>
      <c r="E832" s="3" t="str">
        <f aca="false">PROPER(TRIM(SUBSTITUTE(Raw_Text_Fields!B833,CHAR(160)," ")))</f>
        <v>Aditi Sen</v>
      </c>
      <c r="F832" s="3" t="str">
        <f aca="false">PROPER(TRIM(SUBSTITUTE(Raw_Text_Fields!C833,CHAR(160)," ")))</f>
        <v>Small Business</v>
      </c>
      <c r="G832" s="3" t="str">
        <f aca="false">PROPER(TRIM(SUBSTITUTE(Raw_Text_Fields!D833,CHAR(160)," ")))</f>
        <v>Unknown</v>
      </c>
      <c r="H832" s="3" t="str">
        <f aca="false">PROPER(TRIM(SUBSTITUTE(Raw_Text_Fields!E833,CHAR(160)," ")))</f>
        <v>Tamil Nadu</v>
      </c>
      <c r="I832" s="3" t="str">
        <f aca="false">PROPER(TRIM(SUBSTITUTE(Raw_Text_Fields!F833,CHAR(160)," ")))</f>
        <v>Chennai</v>
      </c>
      <c r="J832" s="3" t="str">
        <f aca="false">PROPER(TRIM(SUBSTITUTE(Raw_Text_Fields!G833,CHAR(160)," ")))</f>
        <v>Technology</v>
      </c>
      <c r="K832" s="3" t="str">
        <f aca="false">PROPER(TRIM(SUBSTITUTE(Raw_Text_Fields!H833,CHAR(160)," ")))</f>
        <v>Machines</v>
      </c>
      <c r="L832" s="3" t="s">
        <v>2487</v>
      </c>
      <c r="M832" s="3" t="str">
        <f aca="false">PROPER(TRIM(SUBSTITUTE(Raw_Text_Fields!I833,CHAR(160)," ")))</f>
        <v>First Class</v>
      </c>
      <c r="N832" s="3" t="n">
        <v>6</v>
      </c>
      <c r="O832" s="5" t="n">
        <v>2382.88</v>
      </c>
      <c r="P832" s="6" t="n">
        <v>0.1</v>
      </c>
      <c r="Q832" s="5" t="n">
        <v>12867.55</v>
      </c>
      <c r="R832" s="5" t="n">
        <v>10068.94</v>
      </c>
      <c r="S832" s="5" t="n">
        <v>2798.61</v>
      </c>
      <c r="T832" s="3" t="str">
        <f aca="false">PROPER(TRIM(SUBSTITUTE(Raw_Text_Fields!J833,CHAR(160)," ")))</f>
        <v>Paid</v>
      </c>
      <c r="U832" s="3" t="str">
        <f aca="false">PROPER(TRIM(SUBSTITUTE(Raw_Text_Fields!K833,CHAR(160)," ")))</f>
        <v>Completed</v>
      </c>
      <c r="V832" s="7" t="n">
        <f aca="false">IF(OR(P832&lt;0,P832&gt;0.5),0,P832)</f>
        <v>0.1</v>
      </c>
      <c r="W832" s="8" t="n">
        <f aca="false">N832*O832*(1-V832)</f>
        <v>12867.552</v>
      </c>
      <c r="X832" s="8" t="n">
        <f aca="false">W832-R832</f>
        <v>2798.612</v>
      </c>
      <c r="Y832" s="7" t="n">
        <f aca="false">IFERROR(X832/W832,0)</f>
        <v>0.217493739290892</v>
      </c>
      <c r="Z832" s="9" t="n">
        <f aca="false">C832-B832</f>
        <v>3</v>
      </c>
      <c r="AA832" s="1" t="str">
        <f aca="false">IF(B832="","",TEXT(B832,"mmm"))</f>
        <v>Jul</v>
      </c>
      <c r="AB832" s="9" t="n">
        <f aca="false">IF(B832="","",YEAR(B832))</f>
        <v>2025</v>
      </c>
      <c r="AC832" s="3" t="s">
        <v>372</v>
      </c>
      <c r="AD832" s="3" t="str">
        <f aca="false">IF(LEFT(AC832&amp;IF(B832="","; Missing Order Date","")&amp;IF(C832="","; Missing Ship Date","")&amp;IF(P832&lt;0,"; Invalid Discount (Negative)","")&amp;IF(P832&gt;0.5,"; Invalid Discount (Too High)","")&amp;IF(Z832&lt;0,"; Invalid Shipping Record (Ship Before Order)","")&amp;IF(ABS(Q832-W832)&gt;1,"; Sales Mismatch","")&amp;IF(ABS(S832-X832)&gt;1,"; Profit Mismatch","")&amp;IF(COUNTIF($A$2:$A$913,A832)&gt;1,"; Duplicate Order ID Conflict",""),2)="; ",MID(AC832&amp;IF(B832="","; Missing Order Date","")&amp;IF(C832="","; Missing Ship Date","")&amp;IF(P832&lt;0,"; Invalid Discount (Negative)","")&amp;IF(P832&gt;0.5,"; Invalid Discount (Too High)","")&amp;IF(Z832&lt;0,"; Invalid Shipping Record (Ship Before Order)","")&amp;IF(ABS(Q832-W832)&gt;1,"; Sales Mismatch","")&amp;IF(ABS(S832-X832)&gt;1,"; Profit Mismatch","")&amp;IF(COUNTIF($A$2:$A$913,A832)&gt;1,"; Duplicate Order ID Conflict",""),3,500),AC832&amp;IF(B832="","; Missing Order Date","")&amp;IF(C832="","; Missing Ship Date","")&amp;IF(P832&lt;0,"; Invalid Discount (Negative)","")&amp;IF(P832&gt;0.5,"; Invalid Discount (Too High)","")&amp;IF(Z832&lt;0,"; Invalid Shipping Record (Ship Before Order)","")&amp;IF(ABS(Q832-W832)&gt;1,"; Sales Mismatch","")&amp;IF(ABS(S832-X832)&gt;1,"; Profit Mismatch","")&amp;IF(COUNTIF($A$2:$A$913,A832)&gt;1,"; Duplicate Order ID Conflict",""))</f>
        <v>Missing Region (filled Unknown)</v>
      </c>
      <c r="AE832" s="10" t="str">
        <f aca="false">IF(OR(ISNUMBER(SEARCH("Invalid Discount",AD832)),ISNUMBER(SEARCH("Invalid Shipping Record",AD832)),ISNUMBER(SEARCH("Sales Mismatch",AD832)),ISNUMBER(SEARCH("Profit Mismatch",AD832)),ISNUMBER(SEARCH("Duplicate Order ID Conflict",AD832)),ISNUMBER(SEARCH("Missing Order Date",AD832)),ISNUMBER(SEARCH("Missing Ship Date",AD832))),"Invalid",IF(AD832&lt;&gt;"","Warning","Clean"))</f>
        <v>Warning</v>
      </c>
    </row>
    <row r="833" customFormat="false" ht="15" hidden="false" customHeight="true" outlineLevel="0" collapsed="false">
      <c r="A833" s="3" t="s">
        <v>2488</v>
      </c>
      <c r="B833" s="4" t="n">
        <v>45750</v>
      </c>
      <c r="C833" s="4" t="n">
        <v>45750</v>
      </c>
      <c r="D833" s="3" t="s">
        <v>2489</v>
      </c>
      <c r="E833" s="3" t="str">
        <f aca="false">PROPER(TRIM(SUBSTITUTE(Raw_Text_Fields!B834,CHAR(160)," ")))</f>
        <v>Diya Patel</v>
      </c>
      <c r="F833" s="3" t="str">
        <f aca="false">PROPER(TRIM(SUBSTITUTE(Raw_Text_Fields!C834,CHAR(160)," ")))</f>
        <v>Home Office</v>
      </c>
      <c r="G833" s="3" t="str">
        <f aca="false">PROPER(TRIM(SUBSTITUTE(Raw_Text_Fields!D834,CHAR(160)," ")))</f>
        <v>Unknown</v>
      </c>
      <c r="H833" s="3" t="str">
        <f aca="false">PROPER(TRIM(SUBSTITUTE(Raw_Text_Fields!E834,CHAR(160)," ")))</f>
        <v>Haryana</v>
      </c>
      <c r="I833" s="3" t="str">
        <f aca="false">PROPER(TRIM(SUBSTITUTE(Raw_Text_Fields!F834,CHAR(160)," ")))</f>
        <v>Gurugram</v>
      </c>
      <c r="J833" s="3" t="str">
        <f aca="false">PROPER(TRIM(SUBSTITUTE(Raw_Text_Fields!G834,CHAR(160)," ")))</f>
        <v>Furniture</v>
      </c>
      <c r="K833" s="3" t="str">
        <f aca="false">PROPER(TRIM(SUBSTITUTE(Raw_Text_Fields!H834,CHAR(160)," ")))</f>
        <v>Chairs</v>
      </c>
      <c r="L833" s="3" t="s">
        <v>2490</v>
      </c>
      <c r="M833" s="3" t="str">
        <f aca="false">PROPER(TRIM(SUBSTITUTE(Raw_Text_Fields!I834,CHAR(160)," ")))</f>
        <v>First Class</v>
      </c>
      <c r="N833" s="3" t="n">
        <v>9</v>
      </c>
      <c r="O833" s="5" t="n">
        <v>3462.7</v>
      </c>
      <c r="P833" s="6" t="n">
        <v>0.15</v>
      </c>
      <c r="Q833" s="5" t="n">
        <v>26489.65</v>
      </c>
      <c r="R833" s="5" t="n">
        <v>15818.46</v>
      </c>
      <c r="S833" s="5" t="n">
        <v>10671.19</v>
      </c>
      <c r="T833" s="3" t="str">
        <f aca="false">PROPER(TRIM(SUBSTITUTE(Raw_Text_Fields!J834,CHAR(160)," ")))</f>
        <v>Failed</v>
      </c>
      <c r="U833" s="3" t="str">
        <f aca="false">PROPER(TRIM(SUBSTITUTE(Raw_Text_Fields!K834,CHAR(160)," ")))</f>
        <v>Returned</v>
      </c>
      <c r="V833" s="7" t="n">
        <f aca="false">IF(OR(P833&lt;0,P833&gt;0.5),0,P833)</f>
        <v>0.15</v>
      </c>
      <c r="W833" s="8" t="n">
        <f aca="false">N833*O833*(1-V833)</f>
        <v>26489.655</v>
      </c>
      <c r="X833" s="8" t="n">
        <f aca="false">W833-R833</f>
        <v>10671.195</v>
      </c>
      <c r="Y833" s="7" t="n">
        <f aca="false">IFERROR(X833/W833,0)</f>
        <v>0.402843864897448</v>
      </c>
      <c r="Z833" s="9" t="n">
        <f aca="false">C833-B833</f>
        <v>0</v>
      </c>
      <c r="AA833" s="1" t="str">
        <f aca="false">IF(B833="","",TEXT(B833,"mmm"))</f>
        <v>Apr</v>
      </c>
      <c r="AB833" s="9" t="n">
        <f aca="false">IF(B833="","",YEAR(B833))</f>
        <v>2025</v>
      </c>
      <c r="AC833" s="3" t="s">
        <v>372</v>
      </c>
      <c r="AD833" s="3" t="str">
        <f aca="false">IF(LEFT(AC833&amp;IF(B833="","; Missing Order Date","")&amp;IF(C833="","; Missing Ship Date","")&amp;IF(P833&lt;0,"; Invalid Discount (Negative)","")&amp;IF(P833&gt;0.5,"; Invalid Discount (Too High)","")&amp;IF(Z833&lt;0,"; Invalid Shipping Record (Ship Before Order)","")&amp;IF(ABS(Q833-W833)&gt;1,"; Sales Mismatch","")&amp;IF(ABS(S833-X833)&gt;1,"; Profit Mismatch","")&amp;IF(COUNTIF($A$2:$A$913,A833)&gt;1,"; Duplicate Order ID Conflict",""),2)="; ",MID(AC833&amp;IF(B833="","; Missing Order Date","")&amp;IF(C833="","; Missing Ship Date","")&amp;IF(P833&lt;0,"; Invalid Discount (Negative)","")&amp;IF(P833&gt;0.5,"; Invalid Discount (Too High)","")&amp;IF(Z833&lt;0,"; Invalid Shipping Record (Ship Before Order)","")&amp;IF(ABS(Q833-W833)&gt;1,"; Sales Mismatch","")&amp;IF(ABS(S833-X833)&gt;1,"; Profit Mismatch","")&amp;IF(COUNTIF($A$2:$A$913,A833)&gt;1,"; Duplicate Order ID Conflict",""),3,500),AC833&amp;IF(B833="","; Missing Order Date","")&amp;IF(C833="","; Missing Ship Date","")&amp;IF(P833&lt;0,"; Invalid Discount (Negative)","")&amp;IF(P833&gt;0.5,"; Invalid Discount (Too High)","")&amp;IF(Z833&lt;0,"; Invalid Shipping Record (Ship Before Order)","")&amp;IF(ABS(Q833-W833)&gt;1,"; Sales Mismatch","")&amp;IF(ABS(S833-X833)&gt;1,"; Profit Mismatch","")&amp;IF(COUNTIF($A$2:$A$913,A833)&gt;1,"; Duplicate Order ID Conflict",""))</f>
        <v>Missing Region (filled Unknown)</v>
      </c>
      <c r="AE833" s="10" t="str">
        <f aca="false">IF(OR(ISNUMBER(SEARCH("Invalid Discount",AD833)),ISNUMBER(SEARCH("Invalid Shipping Record",AD833)),ISNUMBER(SEARCH("Sales Mismatch",AD833)),ISNUMBER(SEARCH("Profit Mismatch",AD833)),ISNUMBER(SEARCH("Duplicate Order ID Conflict",AD833)),ISNUMBER(SEARCH("Missing Order Date",AD833)),ISNUMBER(SEARCH("Missing Ship Date",AD833))),"Invalid",IF(AD833&lt;&gt;"","Warning","Clean"))</f>
        <v>Warning</v>
      </c>
    </row>
    <row r="834" customFormat="false" ht="15" hidden="false" customHeight="true" outlineLevel="0" collapsed="false">
      <c r="A834" s="3" t="s">
        <v>2491</v>
      </c>
      <c r="B834" s="4" t="n">
        <v>45803</v>
      </c>
      <c r="C834" s="4" t="n">
        <v>45805</v>
      </c>
      <c r="D834" s="3" t="s">
        <v>2492</v>
      </c>
      <c r="E834" s="3" t="str">
        <f aca="false">PROPER(TRIM(SUBSTITUTE(Raw_Text_Fields!B835,CHAR(160)," ")))</f>
        <v>Kabir Singh</v>
      </c>
      <c r="F834" s="3" t="str">
        <f aca="false">PROPER(TRIM(SUBSTITUTE(Raw_Text_Fields!C835,CHAR(160)," ")))</f>
        <v>Small Business</v>
      </c>
      <c r="G834" s="3" t="str">
        <f aca="false">PROPER(TRIM(SUBSTITUTE(Raw_Text_Fields!D835,CHAR(160)," ")))</f>
        <v>South</v>
      </c>
      <c r="H834" s="3" t="str">
        <f aca="false">PROPER(TRIM(SUBSTITUTE(Raw_Text_Fields!E835,CHAR(160)," ")))</f>
        <v>Andhra Pradesh</v>
      </c>
      <c r="I834" s="3" t="str">
        <f aca="false">PROPER(TRIM(SUBSTITUTE(Raw_Text_Fields!F835,CHAR(160)," ")))</f>
        <v>Vijayawada</v>
      </c>
      <c r="J834" s="3" t="str">
        <f aca="false">PROPER(TRIM(SUBSTITUTE(Raw_Text_Fields!G835,CHAR(160)," ")))</f>
        <v>Technology</v>
      </c>
      <c r="K834" s="3" t="str">
        <f aca="false">PROPER(TRIM(SUBSTITUTE(Raw_Text_Fields!H835,CHAR(160)," ")))</f>
        <v>Phones</v>
      </c>
      <c r="L834" s="3" t="s">
        <v>2493</v>
      </c>
      <c r="M834" s="3" t="str">
        <f aca="false">PROPER(TRIM(SUBSTITUTE(Raw_Text_Fields!I835,CHAR(160)," ")))</f>
        <v>Second Class</v>
      </c>
      <c r="N834" s="3" t="n">
        <v>9</v>
      </c>
      <c r="O834" s="5" t="n">
        <v>4302.02</v>
      </c>
      <c r="P834" s="6" t="n">
        <v>0.05</v>
      </c>
      <c r="Q834" s="5" t="n">
        <v>36782.27</v>
      </c>
      <c r="R834" s="5" t="n">
        <v>25902.81</v>
      </c>
      <c r="S834" s="5" t="n">
        <v>10879.46</v>
      </c>
      <c r="T834" s="3" t="str">
        <f aca="false">PROPER(TRIM(SUBSTITUTE(Raw_Text_Fields!J835,CHAR(160)," ")))</f>
        <v>Paid</v>
      </c>
      <c r="U834" s="3" t="str">
        <f aca="false">PROPER(TRIM(SUBSTITUTE(Raw_Text_Fields!K835,CHAR(160)," ")))</f>
        <v>Completed</v>
      </c>
      <c r="V834" s="7" t="n">
        <f aca="false">IF(OR(P834&lt;0,P834&gt;0.5),0,P834)</f>
        <v>0.05</v>
      </c>
      <c r="W834" s="8" t="n">
        <f aca="false">N834*O834*(1-V834)</f>
        <v>36782.271</v>
      </c>
      <c r="X834" s="8" t="n">
        <f aca="false">W834-R834</f>
        <v>10879.461</v>
      </c>
      <c r="Y834" s="7" t="n">
        <f aca="false">IFERROR(X834/W834,0)</f>
        <v>0.295780024022987</v>
      </c>
      <c r="Z834" s="9" t="n">
        <f aca="false">C834-B834</f>
        <v>2</v>
      </c>
      <c r="AA834" s="1" t="str">
        <f aca="false">IF(B834="","",TEXT(B834,"mmm"))</f>
        <v>May</v>
      </c>
      <c r="AB834" s="9" t="n">
        <f aca="false">IF(B834="","",YEAR(B834))</f>
        <v>2025</v>
      </c>
      <c r="AC834" s="3"/>
      <c r="AD834" s="3" t="str">
        <f aca="false">IF(LEFT(AC834&amp;IF(B834="","; Missing Order Date","")&amp;IF(C834="","; Missing Ship Date","")&amp;IF(P834&lt;0,"; Invalid Discount (Negative)","")&amp;IF(P834&gt;0.5,"; Invalid Discount (Too High)","")&amp;IF(Z834&lt;0,"; Invalid Shipping Record (Ship Before Order)","")&amp;IF(ABS(Q834-W834)&gt;1,"; Sales Mismatch","")&amp;IF(ABS(S834-X834)&gt;1,"; Profit Mismatch","")&amp;IF(COUNTIF($A$2:$A$913,A834)&gt;1,"; Duplicate Order ID Conflict",""),2)="; ",MID(AC834&amp;IF(B834="","; Missing Order Date","")&amp;IF(C834="","; Missing Ship Date","")&amp;IF(P834&lt;0,"; Invalid Discount (Negative)","")&amp;IF(P834&gt;0.5,"; Invalid Discount (Too High)","")&amp;IF(Z834&lt;0,"; Invalid Shipping Record (Ship Before Order)","")&amp;IF(ABS(Q834-W834)&gt;1,"; Sales Mismatch","")&amp;IF(ABS(S834-X834)&gt;1,"; Profit Mismatch","")&amp;IF(COUNTIF($A$2:$A$913,A834)&gt;1,"; Duplicate Order ID Conflict",""),3,500),AC834&amp;IF(B834="","; Missing Order Date","")&amp;IF(C834="","; Missing Ship Date","")&amp;IF(P834&lt;0,"; Invalid Discount (Negative)","")&amp;IF(P834&gt;0.5,"; Invalid Discount (Too High)","")&amp;IF(Z834&lt;0,"; Invalid Shipping Record (Ship Before Order)","")&amp;IF(ABS(Q834-W834)&gt;1,"; Sales Mismatch","")&amp;IF(ABS(S834-X834)&gt;1,"; Profit Mismatch","")&amp;IF(COUNTIF($A$2:$A$913,A834)&gt;1,"; Duplicate Order ID Conflict",""))</f>
        <v/>
      </c>
      <c r="AE834" s="10" t="str">
        <f aca="false">IF(OR(ISNUMBER(SEARCH("Invalid Discount",AD834)),ISNUMBER(SEARCH("Invalid Shipping Record",AD834)),ISNUMBER(SEARCH("Sales Mismatch",AD834)),ISNUMBER(SEARCH("Profit Mismatch",AD834)),ISNUMBER(SEARCH("Duplicate Order ID Conflict",AD834)),ISNUMBER(SEARCH("Missing Order Date",AD834)),ISNUMBER(SEARCH("Missing Ship Date",AD834))),"Invalid",IF(AD834&lt;&gt;"","Warning","Clean"))</f>
        <v>Clean</v>
      </c>
    </row>
    <row r="835" customFormat="false" ht="15" hidden="false" customHeight="true" outlineLevel="0" collapsed="false">
      <c r="A835" s="3" t="s">
        <v>2494</v>
      </c>
      <c r="B835" s="4" t="n">
        <v>45447</v>
      </c>
      <c r="C835" s="4" t="n">
        <v>45447</v>
      </c>
      <c r="D835" s="3" t="s">
        <v>2495</v>
      </c>
      <c r="E835" s="3" t="str">
        <f aca="false">PROPER(TRIM(SUBSTITUTE(Raw_Text_Fields!B836,CHAR(160)," ")))</f>
        <v>Rahul Verma</v>
      </c>
      <c r="F835" s="3" t="str">
        <f aca="false">PROPER(TRIM(SUBSTITUTE(Raw_Text_Fields!C836,CHAR(160)," ")))</f>
        <v>Home Office</v>
      </c>
      <c r="G835" s="3" t="str">
        <f aca="false">PROPER(TRIM(SUBSTITUTE(Raw_Text_Fields!D836,CHAR(160)," ")))</f>
        <v>East</v>
      </c>
      <c r="H835" s="3" t="str">
        <f aca="false">PROPER(TRIM(SUBSTITUTE(Raw_Text_Fields!E836,CHAR(160)," ")))</f>
        <v>West Bengal</v>
      </c>
      <c r="I835" s="3" t="str">
        <f aca="false">PROPER(TRIM(SUBSTITUTE(Raw_Text_Fields!F836,CHAR(160)," ")))</f>
        <v>Kolkata</v>
      </c>
      <c r="J835" s="3" t="str">
        <f aca="false">PROPER(TRIM(SUBSTITUTE(Raw_Text_Fields!G836,CHAR(160)," ")))</f>
        <v>Furniture</v>
      </c>
      <c r="K835" s="3" t="str">
        <f aca="false">PROPER(TRIM(SUBSTITUTE(Raw_Text_Fields!H836,CHAR(160)," ")))</f>
        <v>Bookcases</v>
      </c>
      <c r="L835" s="3" t="s">
        <v>2496</v>
      </c>
      <c r="M835" s="3" t="str">
        <f aca="false">PROPER(TRIM(SUBSTITUTE(Raw_Text_Fields!I836,CHAR(160)," ")))</f>
        <v>First Class</v>
      </c>
      <c r="N835" s="3" t="n">
        <v>6</v>
      </c>
      <c r="O835" s="5" t="n">
        <v>3949.4</v>
      </c>
      <c r="P835" s="6" t="n">
        <v>0</v>
      </c>
      <c r="Q835" s="5" t="n">
        <v>23696.4</v>
      </c>
      <c r="R835" s="5" t="n">
        <v>18109.77</v>
      </c>
      <c r="S835" s="5" t="n">
        <v>5586.63</v>
      </c>
      <c r="T835" s="3" t="str">
        <f aca="false">PROPER(TRIM(SUBSTITUTE(Raw_Text_Fields!J836,CHAR(160)," ")))</f>
        <v>Paid</v>
      </c>
      <c r="U835" s="3" t="str">
        <f aca="false">PROPER(TRIM(SUBSTITUTE(Raw_Text_Fields!K836,CHAR(160)," ")))</f>
        <v>Completed</v>
      </c>
      <c r="V835" s="7" t="n">
        <f aca="false">IF(OR(P835&lt;0,P835&gt;0.5),0,P835)</f>
        <v>0</v>
      </c>
      <c r="W835" s="8" t="n">
        <f aca="false">N835*O835*(1-V835)</f>
        <v>23696.4</v>
      </c>
      <c r="X835" s="8" t="n">
        <f aca="false">W835-R835</f>
        <v>5586.63</v>
      </c>
      <c r="Y835" s="7" t="n">
        <f aca="false">IFERROR(X835/W835,0)</f>
        <v>0.235758596242467</v>
      </c>
      <c r="Z835" s="9" t="n">
        <f aca="false">C835-B835</f>
        <v>0</v>
      </c>
      <c r="AA835" s="1" t="str">
        <f aca="false">IF(B835="","",TEXT(B835,"mmm"))</f>
        <v>Jun</v>
      </c>
      <c r="AB835" s="9" t="n">
        <f aca="false">IF(B835="","",YEAR(B835))</f>
        <v>2024</v>
      </c>
      <c r="AC835" s="3"/>
      <c r="AD835" s="3" t="str">
        <f aca="false">IF(LEFT(AC835&amp;IF(B835="","; Missing Order Date","")&amp;IF(C835="","; Missing Ship Date","")&amp;IF(P835&lt;0,"; Invalid Discount (Negative)","")&amp;IF(P835&gt;0.5,"; Invalid Discount (Too High)","")&amp;IF(Z835&lt;0,"; Invalid Shipping Record (Ship Before Order)","")&amp;IF(ABS(Q835-W835)&gt;1,"; Sales Mismatch","")&amp;IF(ABS(S835-X835)&gt;1,"; Profit Mismatch","")&amp;IF(COUNTIF($A$2:$A$913,A835)&gt;1,"; Duplicate Order ID Conflict",""),2)="; ",MID(AC835&amp;IF(B835="","; Missing Order Date","")&amp;IF(C835="","; Missing Ship Date","")&amp;IF(P835&lt;0,"; Invalid Discount (Negative)","")&amp;IF(P835&gt;0.5,"; Invalid Discount (Too High)","")&amp;IF(Z835&lt;0,"; Invalid Shipping Record (Ship Before Order)","")&amp;IF(ABS(Q835-W835)&gt;1,"; Sales Mismatch","")&amp;IF(ABS(S835-X835)&gt;1,"; Profit Mismatch","")&amp;IF(COUNTIF($A$2:$A$913,A835)&gt;1,"; Duplicate Order ID Conflict",""),3,500),AC835&amp;IF(B835="","; Missing Order Date","")&amp;IF(C835="","; Missing Ship Date","")&amp;IF(P835&lt;0,"; Invalid Discount (Negative)","")&amp;IF(P835&gt;0.5,"; Invalid Discount (Too High)","")&amp;IF(Z835&lt;0,"; Invalid Shipping Record (Ship Before Order)","")&amp;IF(ABS(Q835-W835)&gt;1,"; Sales Mismatch","")&amp;IF(ABS(S835-X835)&gt;1,"; Profit Mismatch","")&amp;IF(COUNTIF($A$2:$A$913,A835)&gt;1,"; Duplicate Order ID Conflict",""))</f>
        <v/>
      </c>
      <c r="AE835" s="10" t="str">
        <f aca="false">IF(OR(ISNUMBER(SEARCH("Invalid Discount",AD835)),ISNUMBER(SEARCH("Invalid Shipping Record",AD835)),ISNUMBER(SEARCH("Sales Mismatch",AD835)),ISNUMBER(SEARCH("Profit Mismatch",AD835)),ISNUMBER(SEARCH("Duplicate Order ID Conflict",AD835)),ISNUMBER(SEARCH("Missing Order Date",AD835)),ISNUMBER(SEARCH("Missing Ship Date",AD835))),"Invalid",IF(AD835&lt;&gt;"","Warning","Clean"))</f>
        <v>Clean</v>
      </c>
    </row>
    <row r="836" customFormat="false" ht="15" hidden="false" customHeight="true" outlineLevel="0" collapsed="false">
      <c r="A836" s="3" t="s">
        <v>2497</v>
      </c>
      <c r="B836" s="4" t="n">
        <v>45583</v>
      </c>
      <c r="C836" s="4" t="n">
        <v>45587</v>
      </c>
      <c r="D836" s="3" t="s">
        <v>2498</v>
      </c>
      <c r="E836" s="3" t="str">
        <f aca="false">PROPER(TRIM(SUBSTITUTE(Raw_Text_Fields!B837,CHAR(160)," ")))</f>
        <v>Aarav Sharma</v>
      </c>
      <c r="F836" s="3" t="str">
        <f aca="false">PROPER(TRIM(SUBSTITUTE(Raw_Text_Fields!C837,CHAR(160)," ")))</f>
        <v>Home Office</v>
      </c>
      <c r="G836" s="3" t="str">
        <f aca="false">PROPER(TRIM(SUBSTITUTE(Raw_Text_Fields!D837,CHAR(160)," ")))</f>
        <v>South</v>
      </c>
      <c r="H836" s="3" t="str">
        <f aca="false">PROPER(TRIM(SUBSTITUTE(Raw_Text_Fields!E837,CHAR(160)," ")))</f>
        <v>Telangana</v>
      </c>
      <c r="I836" s="3" t="str">
        <f aca="false">PROPER(TRIM(SUBSTITUTE(Raw_Text_Fields!F837,CHAR(160)," ")))</f>
        <v>Hyderabad</v>
      </c>
      <c r="J836" s="3" t="str">
        <f aca="false">PROPER(TRIM(SUBSTITUTE(Raw_Text_Fields!G837,CHAR(160)," ")))</f>
        <v>Office Supplies</v>
      </c>
      <c r="K836" s="3" t="str">
        <f aca="false">PROPER(TRIM(SUBSTITUTE(Raw_Text_Fields!H837,CHAR(160)," ")))</f>
        <v>Art</v>
      </c>
      <c r="L836" s="3" t="s">
        <v>2499</v>
      </c>
      <c r="M836" s="3" t="str">
        <f aca="false">PROPER(TRIM(SUBSTITUTE(Raw_Text_Fields!I837,CHAR(160)," ")))</f>
        <v>First Class</v>
      </c>
      <c r="N836" s="3" t="n">
        <v>6</v>
      </c>
      <c r="O836" s="5" t="n">
        <v>674.61</v>
      </c>
      <c r="P836" s="6" t="n">
        <v>0</v>
      </c>
      <c r="Q836" s="5" t="n">
        <v>4047.66</v>
      </c>
      <c r="R836" s="5" t="n">
        <v>3078.93</v>
      </c>
      <c r="S836" s="5" t="n">
        <v>1279.79</v>
      </c>
      <c r="T836" s="3" t="str">
        <f aca="false">PROPER(TRIM(SUBSTITUTE(Raw_Text_Fields!J837,CHAR(160)," ")))</f>
        <v>Paid</v>
      </c>
      <c r="U836" s="3" t="str">
        <f aca="false">PROPER(TRIM(SUBSTITUTE(Raw_Text_Fields!K837,CHAR(160)," ")))</f>
        <v>Completed</v>
      </c>
      <c r="V836" s="7" t="n">
        <f aca="false">IF(OR(P836&lt;0,P836&gt;0.5),0,P836)</f>
        <v>0</v>
      </c>
      <c r="W836" s="8" t="n">
        <f aca="false">N836*O836*(1-V836)</f>
        <v>4047.66</v>
      </c>
      <c r="X836" s="8" t="n">
        <f aca="false">W836-R836</f>
        <v>968.73</v>
      </c>
      <c r="Y836" s="7" t="n">
        <f aca="false">IFERROR(X836/W836,0)</f>
        <v>0.239330872652347</v>
      </c>
      <c r="Z836" s="9" t="n">
        <f aca="false">C836-B836</f>
        <v>4</v>
      </c>
      <c r="AA836" s="1" t="str">
        <f aca="false">IF(B836="","",TEXT(B836,"mmm"))</f>
        <v>Oct</v>
      </c>
      <c r="AB836" s="9" t="n">
        <f aca="false">IF(B836="","",YEAR(B836))</f>
        <v>2024</v>
      </c>
      <c r="AC836" s="3"/>
      <c r="AD836" s="3" t="str">
        <f aca="false">IF(LEFT(AC836&amp;IF(B836="","; Missing Order Date","")&amp;IF(C836="","; Missing Ship Date","")&amp;IF(P836&lt;0,"; Invalid Discount (Negative)","")&amp;IF(P836&gt;0.5,"; Invalid Discount (Too High)","")&amp;IF(Z836&lt;0,"; Invalid Shipping Record (Ship Before Order)","")&amp;IF(ABS(Q836-W836)&gt;1,"; Sales Mismatch","")&amp;IF(ABS(S836-X836)&gt;1,"; Profit Mismatch","")&amp;IF(COUNTIF($A$2:$A$913,A836)&gt;1,"; Duplicate Order ID Conflict",""),2)="; ",MID(AC836&amp;IF(B836="","; Missing Order Date","")&amp;IF(C836="","; Missing Ship Date","")&amp;IF(P836&lt;0,"; Invalid Discount (Negative)","")&amp;IF(P836&gt;0.5,"; Invalid Discount (Too High)","")&amp;IF(Z836&lt;0,"; Invalid Shipping Record (Ship Before Order)","")&amp;IF(ABS(Q836-W836)&gt;1,"; Sales Mismatch","")&amp;IF(ABS(S836-X836)&gt;1,"; Profit Mismatch","")&amp;IF(COUNTIF($A$2:$A$913,A836)&gt;1,"; Duplicate Order ID Conflict",""),3,500),AC836&amp;IF(B836="","; Missing Order Date","")&amp;IF(C836="","; Missing Ship Date","")&amp;IF(P836&lt;0,"; Invalid Discount (Negative)","")&amp;IF(P836&gt;0.5,"; Invalid Discount (Too High)","")&amp;IF(Z836&lt;0,"; Invalid Shipping Record (Ship Before Order)","")&amp;IF(ABS(Q836-W836)&gt;1,"; Sales Mismatch","")&amp;IF(ABS(S836-X836)&gt;1,"; Profit Mismatch","")&amp;IF(COUNTIF($A$2:$A$913,A836)&gt;1,"; Duplicate Order ID Conflict",""))</f>
        <v>Profit Mismatch</v>
      </c>
      <c r="AE836" s="10" t="str">
        <f aca="false">IF(OR(ISNUMBER(SEARCH("Invalid Discount",AD836)),ISNUMBER(SEARCH("Invalid Shipping Record",AD836)),ISNUMBER(SEARCH("Sales Mismatch",AD836)),ISNUMBER(SEARCH("Profit Mismatch",AD836)),ISNUMBER(SEARCH("Duplicate Order ID Conflict",AD836)),ISNUMBER(SEARCH("Missing Order Date",AD836)),ISNUMBER(SEARCH("Missing Ship Date",AD836))),"Invalid",IF(AD836&lt;&gt;"","Warning","Clean"))</f>
        <v>Invalid</v>
      </c>
    </row>
    <row r="837" customFormat="false" ht="15" hidden="false" customHeight="true" outlineLevel="0" collapsed="false">
      <c r="A837" s="3" t="s">
        <v>2500</v>
      </c>
      <c r="B837" s="4" t="n">
        <v>45926</v>
      </c>
      <c r="C837" s="4" t="n">
        <v>45934</v>
      </c>
      <c r="D837" s="3" t="s">
        <v>2501</v>
      </c>
      <c r="E837" s="3" t="str">
        <f aca="false">PROPER(TRIM(SUBSTITUTE(Raw_Text_Fields!B838,CHAR(160)," ")))</f>
        <v>Priya Menon</v>
      </c>
      <c r="F837" s="3" t="str">
        <f aca="false">PROPER(TRIM(SUBSTITUTE(Raw_Text_Fields!C838,CHAR(160)," ")))</f>
        <v>Small Business</v>
      </c>
      <c r="G837" s="3" t="str">
        <f aca="false">PROPER(TRIM(SUBSTITUTE(Raw_Text_Fields!D838,CHAR(160)," ")))</f>
        <v>East</v>
      </c>
      <c r="H837" s="3" t="str">
        <f aca="false">PROPER(TRIM(SUBSTITUTE(Raw_Text_Fields!E838,CHAR(160)," ")))</f>
        <v>Assam</v>
      </c>
      <c r="I837" s="3" t="str">
        <f aca="false">PROPER(TRIM(SUBSTITUTE(Raw_Text_Fields!F838,CHAR(160)," ")))</f>
        <v>Guwahati</v>
      </c>
      <c r="J837" s="3" t="str">
        <f aca="false">PROPER(TRIM(SUBSTITUTE(Raw_Text_Fields!G838,CHAR(160)," ")))</f>
        <v>Technology</v>
      </c>
      <c r="K837" s="3" t="str">
        <f aca="false">PROPER(TRIM(SUBSTITUTE(Raw_Text_Fields!H838,CHAR(160)," ")))</f>
        <v>Phones</v>
      </c>
      <c r="L837" s="3" t="s">
        <v>2502</v>
      </c>
      <c r="M837" s="3" t="str">
        <f aca="false">PROPER(TRIM(SUBSTITUTE(Raw_Text_Fields!I838,CHAR(160)," ")))</f>
        <v>Second Class</v>
      </c>
      <c r="N837" s="3" t="n">
        <v>7</v>
      </c>
      <c r="O837" s="5" t="n">
        <v>1509.59</v>
      </c>
      <c r="P837" s="6" t="n">
        <v>0.05</v>
      </c>
      <c r="Q837" s="5" t="n">
        <v>10038.77</v>
      </c>
      <c r="R837" s="5" t="n">
        <v>5673.1</v>
      </c>
      <c r="S837" s="5" t="n">
        <v>4365.67</v>
      </c>
      <c r="T837" s="3" t="str">
        <f aca="false">PROPER(TRIM(SUBSTITUTE(Raw_Text_Fields!J838,CHAR(160)," ")))</f>
        <v>Paid</v>
      </c>
      <c r="U837" s="3" t="str">
        <f aca="false">PROPER(TRIM(SUBSTITUTE(Raw_Text_Fields!K838,CHAR(160)," ")))</f>
        <v>Completed</v>
      </c>
      <c r="V837" s="7" t="n">
        <f aca="false">IF(OR(P837&lt;0,P837&gt;0.5),0,P837)</f>
        <v>0.05</v>
      </c>
      <c r="W837" s="8" t="n">
        <f aca="false">N837*O837*(1-V837)</f>
        <v>10038.7735</v>
      </c>
      <c r="X837" s="8" t="n">
        <f aca="false">W837-R837</f>
        <v>4365.6735</v>
      </c>
      <c r="Y837" s="7" t="n">
        <f aca="false">IFERROR(X837/W837,0)</f>
        <v>0.434881163520623</v>
      </c>
      <c r="Z837" s="9" t="n">
        <f aca="false">C837-B837</f>
        <v>8</v>
      </c>
      <c r="AA837" s="1" t="str">
        <f aca="false">IF(B837="","",TEXT(B837,"mmm"))</f>
        <v>Sep</v>
      </c>
      <c r="AB837" s="9" t="n">
        <f aca="false">IF(B837="","",YEAR(B837))</f>
        <v>2025</v>
      </c>
      <c r="AC837" s="3"/>
      <c r="AD837" s="3" t="str">
        <f aca="false">IF(LEFT(AC837&amp;IF(B837="","; Missing Order Date","")&amp;IF(C837="","; Missing Ship Date","")&amp;IF(P837&lt;0,"; Invalid Discount (Negative)","")&amp;IF(P837&gt;0.5,"; Invalid Discount (Too High)","")&amp;IF(Z837&lt;0,"; Invalid Shipping Record (Ship Before Order)","")&amp;IF(ABS(Q837-W837)&gt;1,"; Sales Mismatch","")&amp;IF(ABS(S837-X837)&gt;1,"; Profit Mismatch","")&amp;IF(COUNTIF($A$2:$A$913,A837)&gt;1,"; Duplicate Order ID Conflict",""),2)="; ",MID(AC837&amp;IF(B837="","; Missing Order Date","")&amp;IF(C837="","; Missing Ship Date","")&amp;IF(P837&lt;0,"; Invalid Discount (Negative)","")&amp;IF(P837&gt;0.5,"; Invalid Discount (Too High)","")&amp;IF(Z837&lt;0,"; Invalid Shipping Record (Ship Before Order)","")&amp;IF(ABS(Q837-W837)&gt;1,"; Sales Mismatch","")&amp;IF(ABS(S837-X837)&gt;1,"; Profit Mismatch","")&amp;IF(COUNTIF($A$2:$A$913,A837)&gt;1,"; Duplicate Order ID Conflict",""),3,500),AC837&amp;IF(B837="","; Missing Order Date","")&amp;IF(C837="","; Missing Ship Date","")&amp;IF(P837&lt;0,"; Invalid Discount (Negative)","")&amp;IF(P837&gt;0.5,"; Invalid Discount (Too High)","")&amp;IF(Z837&lt;0,"; Invalid Shipping Record (Ship Before Order)","")&amp;IF(ABS(Q837-W837)&gt;1,"; Sales Mismatch","")&amp;IF(ABS(S837-X837)&gt;1,"; Profit Mismatch","")&amp;IF(COUNTIF($A$2:$A$913,A837)&gt;1,"; Duplicate Order ID Conflict",""))</f>
        <v/>
      </c>
      <c r="AE837" s="10" t="str">
        <f aca="false">IF(OR(ISNUMBER(SEARCH("Invalid Discount",AD837)),ISNUMBER(SEARCH("Invalid Shipping Record",AD837)),ISNUMBER(SEARCH("Sales Mismatch",AD837)),ISNUMBER(SEARCH("Profit Mismatch",AD837)),ISNUMBER(SEARCH("Duplicate Order ID Conflict",AD837)),ISNUMBER(SEARCH("Missing Order Date",AD837)),ISNUMBER(SEARCH("Missing Ship Date",AD837))),"Invalid",IF(AD837&lt;&gt;"","Warning","Clean"))</f>
        <v>Clean</v>
      </c>
    </row>
    <row r="838" customFormat="false" ht="15" hidden="false" customHeight="true" outlineLevel="0" collapsed="false">
      <c r="A838" s="3" t="s">
        <v>2503</v>
      </c>
      <c r="B838" s="4" t="n">
        <v>45641</v>
      </c>
      <c r="C838" s="4" t="n">
        <v>45644</v>
      </c>
      <c r="D838" s="3" t="s">
        <v>2504</v>
      </c>
      <c r="E838" s="3" t="str">
        <f aca="false">PROPER(TRIM(SUBSTITUTE(Raw_Text_Fields!B839,CHAR(160)," ")))</f>
        <v>Isha Nair</v>
      </c>
      <c r="F838" s="3" t="str">
        <f aca="false">PROPER(TRIM(SUBSTITUTE(Raw_Text_Fields!C839,CHAR(160)," ")))</f>
        <v>Small Business</v>
      </c>
      <c r="G838" s="3" t="str">
        <f aca="false">PROPER(TRIM(SUBSTITUTE(Raw_Text_Fields!D839,CHAR(160)," ")))</f>
        <v>North</v>
      </c>
      <c r="H838" s="3" t="str">
        <f aca="false">PROPER(TRIM(SUBSTITUTE(Raw_Text_Fields!E839,CHAR(160)," ")))</f>
        <v>Rajasthan</v>
      </c>
      <c r="I838" s="3" t="str">
        <f aca="false">PROPER(TRIM(SUBSTITUTE(Raw_Text_Fields!F839,CHAR(160)," ")))</f>
        <v>Jaipur</v>
      </c>
      <c r="J838" s="3" t="str">
        <f aca="false">PROPER(TRIM(SUBSTITUTE(Raw_Text_Fields!G839,CHAR(160)," ")))</f>
        <v>Office Supplies</v>
      </c>
      <c r="K838" s="3" t="str">
        <f aca="false">PROPER(TRIM(SUBSTITUTE(Raw_Text_Fields!H839,CHAR(160)," ")))</f>
        <v>Labels</v>
      </c>
      <c r="L838" s="3" t="s">
        <v>2505</v>
      </c>
      <c r="M838" s="3" t="str">
        <f aca="false">PROPER(TRIM(SUBSTITUTE(Raw_Text_Fields!I839,CHAR(160)," ")))</f>
        <v>Second Class</v>
      </c>
      <c r="N838" s="3" t="n">
        <v>2</v>
      </c>
      <c r="O838" s="5" t="n">
        <v>537.11</v>
      </c>
      <c r="P838" s="6" t="n">
        <v>0</v>
      </c>
      <c r="Q838" s="5" t="n">
        <v>1074.22</v>
      </c>
      <c r="R838" s="5" t="n">
        <v>850.86</v>
      </c>
      <c r="S838" s="5" t="n">
        <v>223.36</v>
      </c>
      <c r="T838" s="3" t="str">
        <f aca="false">PROPER(TRIM(SUBSTITUTE(Raw_Text_Fields!J839,CHAR(160)," ")))</f>
        <v>Paid</v>
      </c>
      <c r="U838" s="3" t="str">
        <f aca="false">PROPER(TRIM(SUBSTITUTE(Raw_Text_Fields!K839,CHAR(160)," ")))</f>
        <v>Completed</v>
      </c>
      <c r="V838" s="7" t="n">
        <f aca="false">IF(OR(P838&lt;0,P838&gt;0.5),0,P838)</f>
        <v>0</v>
      </c>
      <c r="W838" s="8" t="n">
        <f aca="false">N838*O838*(1-V838)</f>
        <v>1074.22</v>
      </c>
      <c r="X838" s="8" t="n">
        <f aca="false">W838-R838</f>
        <v>223.36</v>
      </c>
      <c r="Y838" s="7" t="n">
        <f aca="false">IFERROR(X838/W838,0)</f>
        <v>0.207927612593324</v>
      </c>
      <c r="Z838" s="9" t="n">
        <f aca="false">C838-B838</f>
        <v>3</v>
      </c>
      <c r="AA838" s="1" t="str">
        <f aca="false">IF(B838="","",TEXT(B838,"mmm"))</f>
        <v>Dec</v>
      </c>
      <c r="AB838" s="9" t="n">
        <f aca="false">IF(B838="","",YEAR(B838))</f>
        <v>2024</v>
      </c>
      <c r="AC838" s="3"/>
      <c r="AD838" s="3" t="str">
        <f aca="false">IF(LEFT(AC838&amp;IF(B838="","; Missing Order Date","")&amp;IF(C838="","; Missing Ship Date","")&amp;IF(P838&lt;0,"; Invalid Discount (Negative)","")&amp;IF(P838&gt;0.5,"; Invalid Discount (Too High)","")&amp;IF(Z838&lt;0,"; Invalid Shipping Record (Ship Before Order)","")&amp;IF(ABS(Q838-W838)&gt;1,"; Sales Mismatch","")&amp;IF(ABS(S838-X838)&gt;1,"; Profit Mismatch","")&amp;IF(COUNTIF($A$2:$A$913,A838)&gt;1,"; Duplicate Order ID Conflict",""),2)="; ",MID(AC838&amp;IF(B838="","; Missing Order Date","")&amp;IF(C838="","; Missing Ship Date","")&amp;IF(P838&lt;0,"; Invalid Discount (Negative)","")&amp;IF(P838&gt;0.5,"; Invalid Discount (Too High)","")&amp;IF(Z838&lt;0,"; Invalid Shipping Record (Ship Before Order)","")&amp;IF(ABS(Q838-W838)&gt;1,"; Sales Mismatch","")&amp;IF(ABS(S838-X838)&gt;1,"; Profit Mismatch","")&amp;IF(COUNTIF($A$2:$A$913,A838)&gt;1,"; Duplicate Order ID Conflict",""),3,500),AC838&amp;IF(B838="","; Missing Order Date","")&amp;IF(C838="","; Missing Ship Date","")&amp;IF(P838&lt;0,"; Invalid Discount (Negative)","")&amp;IF(P838&gt;0.5,"; Invalid Discount (Too High)","")&amp;IF(Z838&lt;0,"; Invalid Shipping Record (Ship Before Order)","")&amp;IF(ABS(Q838-W838)&gt;1,"; Sales Mismatch","")&amp;IF(ABS(S838-X838)&gt;1,"; Profit Mismatch","")&amp;IF(COUNTIF($A$2:$A$913,A838)&gt;1,"; Duplicate Order ID Conflict",""))</f>
        <v/>
      </c>
      <c r="AE838" s="10" t="str">
        <f aca="false">IF(OR(ISNUMBER(SEARCH("Invalid Discount",AD838)),ISNUMBER(SEARCH("Invalid Shipping Record",AD838)),ISNUMBER(SEARCH("Sales Mismatch",AD838)),ISNUMBER(SEARCH("Profit Mismatch",AD838)),ISNUMBER(SEARCH("Duplicate Order ID Conflict",AD838)),ISNUMBER(SEARCH("Missing Order Date",AD838)),ISNUMBER(SEARCH("Missing Ship Date",AD838))),"Invalid",IF(AD838&lt;&gt;"","Warning","Clean"))</f>
        <v>Clean</v>
      </c>
    </row>
    <row r="839" customFormat="false" ht="15" hidden="false" customHeight="true" outlineLevel="0" collapsed="false">
      <c r="A839" s="3" t="s">
        <v>2506</v>
      </c>
      <c r="B839" s="4" t="n">
        <v>45927</v>
      </c>
      <c r="C839" s="4" t="n">
        <v>45928</v>
      </c>
      <c r="D839" s="3" t="s">
        <v>2507</v>
      </c>
      <c r="E839" s="3" t="str">
        <f aca="false">PROPER(TRIM(SUBSTITUTE(Raw_Text_Fields!B840,CHAR(160)," ")))</f>
        <v>Karan Malhotra</v>
      </c>
      <c r="F839" s="3" t="str">
        <f aca="false">PROPER(TRIM(SUBSTITUTE(Raw_Text_Fields!C840,CHAR(160)," ")))</f>
        <v>Home Office</v>
      </c>
      <c r="G839" s="3" t="str">
        <f aca="false">PROPER(TRIM(SUBSTITUTE(Raw_Text_Fields!D840,CHAR(160)," ")))</f>
        <v>West</v>
      </c>
      <c r="H839" s="3" t="str">
        <f aca="false">PROPER(TRIM(SUBSTITUTE(Raw_Text_Fields!E840,CHAR(160)," ")))</f>
        <v>Maharashtra</v>
      </c>
      <c r="I839" s="3" t="str">
        <f aca="false">PROPER(TRIM(SUBSTITUTE(Raw_Text_Fields!F840,CHAR(160)," ")))</f>
        <v>Mumbai</v>
      </c>
      <c r="J839" s="3" t="str">
        <f aca="false">PROPER(TRIM(SUBSTITUTE(Raw_Text_Fields!G840,CHAR(160)," ")))</f>
        <v>Office Supplies</v>
      </c>
      <c r="K839" s="3" t="str">
        <f aca="false">PROPER(TRIM(SUBSTITUTE(Raw_Text_Fields!H840,CHAR(160)," ")))</f>
        <v>Paper</v>
      </c>
      <c r="L839" s="3" t="s">
        <v>2508</v>
      </c>
      <c r="M839" s="3" t="str">
        <f aca="false">PROPER(TRIM(SUBSTITUTE(Raw_Text_Fields!I840,CHAR(160)," ")))</f>
        <v>First Class</v>
      </c>
      <c r="N839" s="3" t="n">
        <v>3</v>
      </c>
      <c r="O839" s="5" t="n">
        <v>4177.63</v>
      </c>
      <c r="P839" s="6" t="n">
        <v>0.25</v>
      </c>
      <c r="Q839" s="5" t="n">
        <v>9399.67</v>
      </c>
      <c r="R839" s="5" t="n">
        <v>6540.37</v>
      </c>
      <c r="S839" s="5" t="n">
        <v>2859.3</v>
      </c>
      <c r="T839" s="3" t="str">
        <f aca="false">PROPER(TRIM(SUBSTITUTE(Raw_Text_Fields!J840,CHAR(160)," ")))</f>
        <v>Paid</v>
      </c>
      <c r="U839" s="3" t="str">
        <f aca="false">PROPER(TRIM(SUBSTITUTE(Raw_Text_Fields!K840,CHAR(160)," ")))</f>
        <v>Completed</v>
      </c>
      <c r="V839" s="7" t="n">
        <f aca="false">IF(OR(P839&lt;0,P839&gt;0.5),0,P839)</f>
        <v>0.25</v>
      </c>
      <c r="W839" s="8" t="n">
        <f aca="false">N839*O839*(1-V839)</f>
        <v>9399.6675</v>
      </c>
      <c r="X839" s="8" t="n">
        <f aca="false">W839-R839</f>
        <v>2859.2975</v>
      </c>
      <c r="Y839" s="7" t="n">
        <f aca="false">IFERROR(X839/W839,0)</f>
        <v>0.304191345066195</v>
      </c>
      <c r="Z839" s="9" t="n">
        <f aca="false">C839-B839</f>
        <v>1</v>
      </c>
      <c r="AA839" s="1" t="str">
        <f aca="false">IF(B839="","",TEXT(B839,"mmm"))</f>
        <v>Sep</v>
      </c>
      <c r="AB839" s="9" t="n">
        <f aca="false">IF(B839="","",YEAR(B839))</f>
        <v>2025</v>
      </c>
      <c r="AC839" s="3"/>
      <c r="AD839" s="3" t="str">
        <f aca="false">IF(LEFT(AC839&amp;IF(B839="","; Missing Order Date","")&amp;IF(C839="","; Missing Ship Date","")&amp;IF(P839&lt;0,"; Invalid Discount (Negative)","")&amp;IF(P839&gt;0.5,"; Invalid Discount (Too High)","")&amp;IF(Z839&lt;0,"; Invalid Shipping Record (Ship Before Order)","")&amp;IF(ABS(Q839-W839)&gt;1,"; Sales Mismatch","")&amp;IF(ABS(S839-X839)&gt;1,"; Profit Mismatch","")&amp;IF(COUNTIF($A$2:$A$913,A839)&gt;1,"; Duplicate Order ID Conflict",""),2)="; ",MID(AC839&amp;IF(B839="","; Missing Order Date","")&amp;IF(C839="","; Missing Ship Date","")&amp;IF(P839&lt;0,"; Invalid Discount (Negative)","")&amp;IF(P839&gt;0.5,"; Invalid Discount (Too High)","")&amp;IF(Z839&lt;0,"; Invalid Shipping Record (Ship Before Order)","")&amp;IF(ABS(Q839-W839)&gt;1,"; Sales Mismatch","")&amp;IF(ABS(S839-X839)&gt;1,"; Profit Mismatch","")&amp;IF(COUNTIF($A$2:$A$913,A839)&gt;1,"; Duplicate Order ID Conflict",""),3,500),AC839&amp;IF(B839="","; Missing Order Date","")&amp;IF(C839="","; Missing Ship Date","")&amp;IF(P839&lt;0,"; Invalid Discount (Negative)","")&amp;IF(P839&gt;0.5,"; Invalid Discount (Too High)","")&amp;IF(Z839&lt;0,"; Invalid Shipping Record (Ship Before Order)","")&amp;IF(ABS(Q839-W839)&gt;1,"; Sales Mismatch","")&amp;IF(ABS(S839-X839)&gt;1,"; Profit Mismatch","")&amp;IF(COUNTIF($A$2:$A$913,A839)&gt;1,"; Duplicate Order ID Conflict",""))</f>
        <v/>
      </c>
      <c r="AE839" s="10" t="str">
        <f aca="false">IF(OR(ISNUMBER(SEARCH("Invalid Discount",AD839)),ISNUMBER(SEARCH("Invalid Shipping Record",AD839)),ISNUMBER(SEARCH("Sales Mismatch",AD839)),ISNUMBER(SEARCH("Profit Mismatch",AD839)),ISNUMBER(SEARCH("Duplicate Order ID Conflict",AD839)),ISNUMBER(SEARCH("Missing Order Date",AD839)),ISNUMBER(SEARCH("Missing Ship Date",AD839))),"Invalid",IF(AD839&lt;&gt;"","Warning","Clean"))</f>
        <v>Clean</v>
      </c>
    </row>
    <row r="840" customFormat="false" ht="15" hidden="false" customHeight="true" outlineLevel="0" collapsed="false">
      <c r="A840" s="3" t="s">
        <v>2509</v>
      </c>
      <c r="B840" s="4" t="n">
        <v>45750</v>
      </c>
      <c r="C840" s="4" t="n">
        <v>45754</v>
      </c>
      <c r="D840" s="3" t="s">
        <v>2510</v>
      </c>
      <c r="E840" s="3" t="str">
        <f aca="false">PROPER(TRIM(SUBSTITUTE(Raw_Text_Fields!B841,CHAR(160)," ")))</f>
        <v>Ananya Rao</v>
      </c>
      <c r="F840" s="3" t="str">
        <f aca="false">PROPER(TRIM(SUBSTITUTE(Raw_Text_Fields!C841,CHAR(160)," ")))</f>
        <v>Small Business</v>
      </c>
      <c r="G840" s="3" t="str">
        <f aca="false">PROPER(TRIM(SUBSTITUTE(Raw_Text_Fields!D841,CHAR(160)," ")))</f>
        <v>West</v>
      </c>
      <c r="H840" s="3" t="str">
        <f aca="false">PROPER(TRIM(SUBSTITUTE(Raw_Text_Fields!E841,CHAR(160)," ")))</f>
        <v>Goa</v>
      </c>
      <c r="I840" s="3" t="str">
        <f aca="false">PROPER(TRIM(SUBSTITUTE(Raw_Text_Fields!F841,CHAR(160)," ")))</f>
        <v>Panaji</v>
      </c>
      <c r="J840" s="3" t="str">
        <f aca="false">PROPER(TRIM(SUBSTITUTE(Raw_Text_Fields!G841,CHAR(160)," ")))</f>
        <v>Office Supplies</v>
      </c>
      <c r="K840" s="3" t="str">
        <f aca="false">PROPER(TRIM(SUBSTITUTE(Raw_Text_Fields!H841,CHAR(160)," ")))</f>
        <v>Paper</v>
      </c>
      <c r="L840" s="3" t="s">
        <v>2511</v>
      </c>
      <c r="M840" s="3" t="str">
        <f aca="false">PROPER(TRIM(SUBSTITUTE(Raw_Text_Fields!I841,CHAR(160)," ")))</f>
        <v>Same Day</v>
      </c>
      <c r="N840" s="3" t="n">
        <v>1</v>
      </c>
      <c r="O840" s="5" t="n">
        <v>1470.57</v>
      </c>
      <c r="P840" s="6" t="n">
        <v>0</v>
      </c>
      <c r="Q840" s="5" t="n">
        <v>1470.57</v>
      </c>
      <c r="R840" s="5" t="n">
        <v>834.02</v>
      </c>
      <c r="S840" s="5" t="n">
        <v>636.55</v>
      </c>
      <c r="T840" s="3" t="str">
        <f aca="false">PROPER(TRIM(SUBSTITUTE(Raw_Text_Fields!J841,CHAR(160)," ")))</f>
        <v>Paid</v>
      </c>
      <c r="U840" s="3" t="str">
        <f aca="false">PROPER(TRIM(SUBSTITUTE(Raw_Text_Fields!K841,CHAR(160)," ")))</f>
        <v>Returned</v>
      </c>
      <c r="V840" s="7" t="n">
        <f aca="false">IF(OR(P840&lt;0,P840&gt;0.5),0,P840)</f>
        <v>0</v>
      </c>
      <c r="W840" s="8" t="n">
        <f aca="false">N840*O840*(1-V840)</f>
        <v>1470.57</v>
      </c>
      <c r="X840" s="8" t="n">
        <f aca="false">W840-R840</f>
        <v>636.55</v>
      </c>
      <c r="Y840" s="7" t="n">
        <f aca="false">IFERROR(X840/W840,0)</f>
        <v>0.432859367456156</v>
      </c>
      <c r="Z840" s="9" t="n">
        <f aca="false">C840-B840</f>
        <v>4</v>
      </c>
      <c r="AA840" s="1" t="str">
        <f aca="false">IF(B840="","",TEXT(B840,"mmm"))</f>
        <v>Apr</v>
      </c>
      <c r="AB840" s="9" t="n">
        <f aca="false">IF(B840="","",YEAR(B840))</f>
        <v>2025</v>
      </c>
      <c r="AC840" s="3"/>
      <c r="AD840" s="3" t="str">
        <f aca="false">IF(LEFT(AC840&amp;IF(B840="","; Missing Order Date","")&amp;IF(C840="","; Missing Ship Date","")&amp;IF(P840&lt;0,"; Invalid Discount (Negative)","")&amp;IF(P840&gt;0.5,"; Invalid Discount (Too High)","")&amp;IF(Z840&lt;0,"; Invalid Shipping Record (Ship Before Order)","")&amp;IF(ABS(Q840-W840)&gt;1,"; Sales Mismatch","")&amp;IF(ABS(S840-X840)&gt;1,"; Profit Mismatch","")&amp;IF(COUNTIF($A$2:$A$913,A840)&gt;1,"; Duplicate Order ID Conflict",""),2)="; ",MID(AC840&amp;IF(B840="","; Missing Order Date","")&amp;IF(C840="","; Missing Ship Date","")&amp;IF(P840&lt;0,"; Invalid Discount (Negative)","")&amp;IF(P840&gt;0.5,"; Invalid Discount (Too High)","")&amp;IF(Z840&lt;0,"; Invalid Shipping Record (Ship Before Order)","")&amp;IF(ABS(Q840-W840)&gt;1,"; Sales Mismatch","")&amp;IF(ABS(S840-X840)&gt;1,"; Profit Mismatch","")&amp;IF(COUNTIF($A$2:$A$913,A840)&gt;1,"; Duplicate Order ID Conflict",""),3,500),AC840&amp;IF(B840="","; Missing Order Date","")&amp;IF(C840="","; Missing Ship Date","")&amp;IF(P840&lt;0,"; Invalid Discount (Negative)","")&amp;IF(P840&gt;0.5,"; Invalid Discount (Too High)","")&amp;IF(Z840&lt;0,"; Invalid Shipping Record (Ship Before Order)","")&amp;IF(ABS(Q840-W840)&gt;1,"; Sales Mismatch","")&amp;IF(ABS(S840-X840)&gt;1,"; Profit Mismatch","")&amp;IF(COUNTIF($A$2:$A$913,A840)&gt;1,"; Duplicate Order ID Conflict",""))</f>
        <v/>
      </c>
      <c r="AE840" s="10" t="str">
        <f aca="false">IF(OR(ISNUMBER(SEARCH("Invalid Discount",AD840)),ISNUMBER(SEARCH("Invalid Shipping Record",AD840)),ISNUMBER(SEARCH("Sales Mismatch",AD840)),ISNUMBER(SEARCH("Profit Mismatch",AD840)),ISNUMBER(SEARCH("Duplicate Order ID Conflict",AD840)),ISNUMBER(SEARCH("Missing Order Date",AD840)),ISNUMBER(SEARCH("Missing Ship Date",AD840))),"Invalid",IF(AD840&lt;&gt;"","Warning","Clean"))</f>
        <v>Clean</v>
      </c>
    </row>
    <row r="841" customFormat="false" ht="15" hidden="false" customHeight="true" outlineLevel="0" collapsed="false">
      <c r="A841" s="3" t="s">
        <v>2512</v>
      </c>
      <c r="B841" s="4" t="n">
        <v>45555</v>
      </c>
      <c r="C841" s="4" t="n">
        <v>45557</v>
      </c>
      <c r="D841" s="3" t="s">
        <v>2513</v>
      </c>
      <c r="E841" s="3" t="str">
        <f aca="false">PROPER(TRIM(SUBSTITUTE(Raw_Text_Fields!B842,CHAR(160)," ")))</f>
        <v>Rohan Mehta</v>
      </c>
      <c r="F841" s="3" t="str">
        <f aca="false">PROPER(TRIM(SUBSTITUTE(Raw_Text_Fields!C842,CHAR(160)," ")))</f>
        <v>Home Office</v>
      </c>
      <c r="G841" s="3" t="str">
        <f aca="false">PROPER(TRIM(SUBSTITUTE(Raw_Text_Fields!D842,CHAR(160)," ")))</f>
        <v>East</v>
      </c>
      <c r="H841" s="3" t="str">
        <f aca="false">PROPER(TRIM(SUBSTITUTE(Raw_Text_Fields!E842,CHAR(160)," ")))</f>
        <v>Odisha</v>
      </c>
      <c r="I841" s="3" t="str">
        <f aca="false">PROPER(TRIM(SUBSTITUTE(Raw_Text_Fields!F842,CHAR(160)," ")))</f>
        <v>Bhubaneswar</v>
      </c>
      <c r="J841" s="3" t="str">
        <f aca="false">PROPER(TRIM(SUBSTITUTE(Raw_Text_Fields!G842,CHAR(160)," ")))</f>
        <v>Technology</v>
      </c>
      <c r="K841" s="3" t="str">
        <f aca="false">PROPER(TRIM(SUBSTITUTE(Raw_Text_Fields!H842,CHAR(160)," ")))</f>
        <v>Phones</v>
      </c>
      <c r="L841" s="3" t="s">
        <v>2514</v>
      </c>
      <c r="M841" s="3" t="str">
        <f aca="false">PROPER(TRIM(SUBSTITUTE(Raw_Text_Fields!I842,CHAR(160)," ")))</f>
        <v>Standard Class</v>
      </c>
      <c r="N841" s="3" t="n">
        <v>8</v>
      </c>
      <c r="O841" s="5" t="n">
        <v>531.43</v>
      </c>
      <c r="P841" s="6" t="n">
        <v>0.1</v>
      </c>
      <c r="Q841" s="5" t="n">
        <v>3826.3</v>
      </c>
      <c r="R841" s="5" t="n">
        <v>2194.12</v>
      </c>
      <c r="S841" s="5" t="n">
        <v>1632.18</v>
      </c>
      <c r="T841" s="3" t="str">
        <f aca="false">PROPER(TRIM(SUBSTITUTE(Raw_Text_Fields!J842,CHAR(160)," ")))</f>
        <v>Paid</v>
      </c>
      <c r="U841" s="3" t="str">
        <f aca="false">PROPER(TRIM(SUBSTITUTE(Raw_Text_Fields!K842,CHAR(160)," ")))</f>
        <v>Completed</v>
      </c>
      <c r="V841" s="7" t="n">
        <f aca="false">IF(OR(P841&lt;0,P841&gt;0.5),0,P841)</f>
        <v>0.1</v>
      </c>
      <c r="W841" s="8" t="n">
        <f aca="false">N841*O841*(1-V841)</f>
        <v>3826.296</v>
      </c>
      <c r="X841" s="8" t="n">
        <f aca="false">W841-R841</f>
        <v>1632.176</v>
      </c>
      <c r="Y841" s="7" t="n">
        <f aca="false">IFERROR(X841/W841,0)</f>
        <v>0.426568148412982</v>
      </c>
      <c r="Z841" s="9" t="n">
        <f aca="false">C841-B841</f>
        <v>2</v>
      </c>
      <c r="AA841" s="1" t="str">
        <f aca="false">IF(B841="","",TEXT(B841,"mmm"))</f>
        <v>Sep</v>
      </c>
      <c r="AB841" s="9" t="n">
        <f aca="false">IF(B841="","",YEAR(B841))</f>
        <v>2024</v>
      </c>
      <c r="AC841" s="3"/>
      <c r="AD841" s="3" t="str">
        <f aca="false">IF(LEFT(AC841&amp;IF(B841="","; Missing Order Date","")&amp;IF(C841="","; Missing Ship Date","")&amp;IF(P841&lt;0,"; Invalid Discount (Negative)","")&amp;IF(P841&gt;0.5,"; Invalid Discount (Too High)","")&amp;IF(Z841&lt;0,"; Invalid Shipping Record (Ship Before Order)","")&amp;IF(ABS(Q841-W841)&gt;1,"; Sales Mismatch","")&amp;IF(ABS(S841-X841)&gt;1,"; Profit Mismatch","")&amp;IF(COUNTIF($A$2:$A$913,A841)&gt;1,"; Duplicate Order ID Conflict",""),2)="; ",MID(AC841&amp;IF(B841="","; Missing Order Date","")&amp;IF(C841="","; Missing Ship Date","")&amp;IF(P841&lt;0,"; Invalid Discount (Negative)","")&amp;IF(P841&gt;0.5,"; Invalid Discount (Too High)","")&amp;IF(Z841&lt;0,"; Invalid Shipping Record (Ship Before Order)","")&amp;IF(ABS(Q841-W841)&gt;1,"; Sales Mismatch","")&amp;IF(ABS(S841-X841)&gt;1,"; Profit Mismatch","")&amp;IF(COUNTIF($A$2:$A$913,A841)&gt;1,"; Duplicate Order ID Conflict",""),3,500),AC841&amp;IF(B841="","; Missing Order Date","")&amp;IF(C841="","; Missing Ship Date","")&amp;IF(P841&lt;0,"; Invalid Discount (Negative)","")&amp;IF(P841&gt;0.5,"; Invalid Discount (Too High)","")&amp;IF(Z841&lt;0,"; Invalid Shipping Record (Ship Before Order)","")&amp;IF(ABS(Q841-W841)&gt;1,"; Sales Mismatch","")&amp;IF(ABS(S841-X841)&gt;1,"; Profit Mismatch","")&amp;IF(COUNTIF($A$2:$A$913,A841)&gt;1,"; Duplicate Order ID Conflict",""))</f>
        <v/>
      </c>
      <c r="AE841" s="10" t="str">
        <f aca="false">IF(OR(ISNUMBER(SEARCH("Invalid Discount",AD841)),ISNUMBER(SEARCH("Invalid Shipping Record",AD841)),ISNUMBER(SEARCH("Sales Mismatch",AD841)),ISNUMBER(SEARCH("Profit Mismatch",AD841)),ISNUMBER(SEARCH("Duplicate Order ID Conflict",AD841)),ISNUMBER(SEARCH("Missing Order Date",AD841)),ISNUMBER(SEARCH("Missing Ship Date",AD841))),"Invalid",IF(AD841&lt;&gt;"","Warning","Clean"))</f>
        <v>Clean</v>
      </c>
    </row>
    <row r="842" customFormat="false" ht="15" hidden="false" customHeight="true" outlineLevel="0" collapsed="false">
      <c r="A842" s="3" t="s">
        <v>2515</v>
      </c>
      <c r="B842" s="4" t="n">
        <v>45919</v>
      </c>
      <c r="C842" s="4" t="n">
        <v>45919</v>
      </c>
      <c r="D842" s="3" t="s">
        <v>2516</v>
      </c>
      <c r="E842" s="3" t="str">
        <f aca="false">PROPER(TRIM(SUBSTITUTE(Raw_Text_Fields!B843,CHAR(160)," ")))</f>
        <v>Neha Gupta</v>
      </c>
      <c r="F842" s="3" t="str">
        <f aca="false">PROPER(TRIM(SUBSTITUTE(Raw_Text_Fields!C843,CHAR(160)," ")))</f>
        <v>Home Office</v>
      </c>
      <c r="G842" s="3" t="str">
        <f aca="false">PROPER(TRIM(SUBSTITUTE(Raw_Text_Fields!D843,CHAR(160)," ")))</f>
        <v>North</v>
      </c>
      <c r="H842" s="3" t="str">
        <f aca="false">PROPER(TRIM(SUBSTITUTE(Raw_Text_Fields!E843,CHAR(160)," ")))</f>
        <v>Delhi</v>
      </c>
      <c r="I842" s="3" t="str">
        <f aca="false">PROPER(TRIM(SUBSTITUTE(Raw_Text_Fields!F843,CHAR(160)," ")))</f>
        <v>New Delhi</v>
      </c>
      <c r="J842" s="3" t="str">
        <f aca="false">PROPER(TRIM(SUBSTITUTE(Raw_Text_Fields!G843,CHAR(160)," ")))</f>
        <v>Furniture</v>
      </c>
      <c r="K842" s="3" t="str">
        <f aca="false">PROPER(TRIM(SUBSTITUTE(Raw_Text_Fields!H843,CHAR(160)," ")))</f>
        <v>Chairs</v>
      </c>
      <c r="L842" s="3" t="s">
        <v>2517</v>
      </c>
      <c r="M842" s="3" t="str">
        <f aca="false">PROPER(TRIM(SUBSTITUTE(Raw_Text_Fields!I843,CHAR(160)," ")))</f>
        <v>Same Day</v>
      </c>
      <c r="N842" s="3" t="n">
        <v>4</v>
      </c>
      <c r="O842" s="5" t="n">
        <v>1584.11</v>
      </c>
      <c r="P842" s="6" t="n">
        <v>0</v>
      </c>
      <c r="Q842" s="5" t="n">
        <v>6336.44</v>
      </c>
      <c r="R842" s="5" t="n">
        <v>4680.68</v>
      </c>
      <c r="S842" s="5" t="n">
        <v>1655.76</v>
      </c>
      <c r="T842" s="3" t="str">
        <f aca="false">PROPER(TRIM(SUBSTITUTE(Raw_Text_Fields!J843,CHAR(160)," ")))</f>
        <v>Paid</v>
      </c>
      <c r="U842" s="3" t="str">
        <f aca="false">PROPER(TRIM(SUBSTITUTE(Raw_Text_Fields!K843,CHAR(160)," ")))</f>
        <v>Completed</v>
      </c>
      <c r="V842" s="7" t="n">
        <f aca="false">IF(OR(P842&lt;0,P842&gt;0.5),0,P842)</f>
        <v>0</v>
      </c>
      <c r="W842" s="8" t="n">
        <f aca="false">N842*O842*(1-V842)</f>
        <v>6336.44</v>
      </c>
      <c r="X842" s="8" t="n">
        <f aca="false">W842-R842</f>
        <v>1655.76</v>
      </c>
      <c r="Y842" s="7" t="n">
        <f aca="false">IFERROR(X842/W842,0)</f>
        <v>0.261307611213868</v>
      </c>
      <c r="Z842" s="9" t="n">
        <f aca="false">C842-B842</f>
        <v>0</v>
      </c>
      <c r="AA842" s="1" t="str">
        <f aca="false">IF(B842="","",TEXT(B842,"mmm"))</f>
        <v>Sep</v>
      </c>
      <c r="AB842" s="9" t="n">
        <f aca="false">IF(B842="","",YEAR(B842))</f>
        <v>2025</v>
      </c>
      <c r="AC842" s="3"/>
      <c r="AD842" s="3" t="str">
        <f aca="false">IF(LEFT(AC842&amp;IF(B842="","; Missing Order Date","")&amp;IF(C842="","; Missing Ship Date","")&amp;IF(P842&lt;0,"; Invalid Discount (Negative)","")&amp;IF(P842&gt;0.5,"; Invalid Discount (Too High)","")&amp;IF(Z842&lt;0,"; Invalid Shipping Record (Ship Before Order)","")&amp;IF(ABS(Q842-W842)&gt;1,"; Sales Mismatch","")&amp;IF(ABS(S842-X842)&gt;1,"; Profit Mismatch","")&amp;IF(COUNTIF($A$2:$A$913,A842)&gt;1,"; Duplicate Order ID Conflict",""),2)="; ",MID(AC842&amp;IF(B842="","; Missing Order Date","")&amp;IF(C842="","; Missing Ship Date","")&amp;IF(P842&lt;0,"; Invalid Discount (Negative)","")&amp;IF(P842&gt;0.5,"; Invalid Discount (Too High)","")&amp;IF(Z842&lt;0,"; Invalid Shipping Record (Ship Before Order)","")&amp;IF(ABS(Q842-W842)&gt;1,"; Sales Mismatch","")&amp;IF(ABS(S842-X842)&gt;1,"; Profit Mismatch","")&amp;IF(COUNTIF($A$2:$A$913,A842)&gt;1,"; Duplicate Order ID Conflict",""),3,500),AC842&amp;IF(B842="","; Missing Order Date","")&amp;IF(C842="","; Missing Ship Date","")&amp;IF(P842&lt;0,"; Invalid Discount (Negative)","")&amp;IF(P842&gt;0.5,"; Invalid Discount (Too High)","")&amp;IF(Z842&lt;0,"; Invalid Shipping Record (Ship Before Order)","")&amp;IF(ABS(Q842-W842)&gt;1,"; Sales Mismatch","")&amp;IF(ABS(S842-X842)&gt;1,"; Profit Mismatch","")&amp;IF(COUNTIF($A$2:$A$913,A842)&gt;1,"; Duplicate Order ID Conflict",""))</f>
        <v/>
      </c>
      <c r="AE842" s="10" t="str">
        <f aca="false">IF(OR(ISNUMBER(SEARCH("Invalid Discount",AD842)),ISNUMBER(SEARCH("Invalid Shipping Record",AD842)),ISNUMBER(SEARCH("Sales Mismatch",AD842)),ISNUMBER(SEARCH("Profit Mismatch",AD842)),ISNUMBER(SEARCH("Duplicate Order ID Conflict",AD842)),ISNUMBER(SEARCH("Missing Order Date",AD842)),ISNUMBER(SEARCH("Missing Ship Date",AD842))),"Invalid",IF(AD842&lt;&gt;"","Warning","Clean"))</f>
        <v>Clean</v>
      </c>
    </row>
    <row r="843" customFormat="false" ht="15" hidden="false" customHeight="true" outlineLevel="0" collapsed="false">
      <c r="A843" s="3" t="s">
        <v>2518</v>
      </c>
      <c r="B843" s="4" t="n">
        <v>45694</v>
      </c>
      <c r="C843" s="4" t="n">
        <v>45700</v>
      </c>
      <c r="D843" s="3" t="s">
        <v>2519</v>
      </c>
      <c r="E843" s="3" t="str">
        <f aca="false">PROPER(TRIM(SUBSTITUTE(Raw_Text_Fields!B844,CHAR(160)," ")))</f>
        <v>Ananya Rao</v>
      </c>
      <c r="F843" s="3" t="str">
        <f aca="false">PROPER(TRIM(SUBSTITUTE(Raw_Text_Fields!C844,CHAR(160)," ")))</f>
        <v>Small Business</v>
      </c>
      <c r="G843" s="3" t="str">
        <f aca="false">PROPER(TRIM(SUBSTITUTE(Raw_Text_Fields!D844,CHAR(160)," ")))</f>
        <v>East</v>
      </c>
      <c r="H843" s="3" t="str">
        <f aca="false">PROPER(TRIM(SUBSTITUTE(Raw_Text_Fields!E844,CHAR(160)," ")))</f>
        <v>Bihar</v>
      </c>
      <c r="I843" s="3" t="str">
        <f aca="false">PROPER(TRIM(SUBSTITUTE(Raw_Text_Fields!F844,CHAR(160)," ")))</f>
        <v>Patna</v>
      </c>
      <c r="J843" s="3" t="str">
        <f aca="false">PROPER(TRIM(SUBSTITUTE(Raw_Text_Fields!G844,CHAR(160)," ")))</f>
        <v>Office Supplies</v>
      </c>
      <c r="K843" s="3" t="str">
        <f aca="false">PROPER(TRIM(SUBSTITUTE(Raw_Text_Fields!H844,CHAR(160)," ")))</f>
        <v>Art</v>
      </c>
      <c r="L843" s="3" t="s">
        <v>2520</v>
      </c>
      <c r="M843" s="3" t="str">
        <f aca="false">PROPER(TRIM(SUBSTITUTE(Raw_Text_Fields!I844,CHAR(160)," ")))</f>
        <v>Standard Class</v>
      </c>
      <c r="N843" s="3" t="n">
        <v>9</v>
      </c>
      <c r="O843" s="5" t="n">
        <v>3237.16</v>
      </c>
      <c r="P843" s="6" t="n">
        <v>0.25</v>
      </c>
      <c r="Q843" s="5" t="n">
        <v>21850.83</v>
      </c>
      <c r="R843" s="5" t="n">
        <v>16600.13</v>
      </c>
      <c r="S843" s="5" t="n">
        <v>5250.7</v>
      </c>
      <c r="T843" s="3" t="str">
        <f aca="false">PROPER(TRIM(SUBSTITUTE(Raw_Text_Fields!J844,CHAR(160)," ")))</f>
        <v>Paid</v>
      </c>
      <c r="U843" s="3" t="str">
        <f aca="false">PROPER(TRIM(SUBSTITUTE(Raw_Text_Fields!K844,CHAR(160)," ")))</f>
        <v>Completed</v>
      </c>
      <c r="V843" s="7" t="n">
        <f aca="false">IF(OR(P843&lt;0,P843&gt;0.5),0,P843)</f>
        <v>0.25</v>
      </c>
      <c r="W843" s="8" t="n">
        <f aca="false">N843*O843*(1-V843)</f>
        <v>21850.83</v>
      </c>
      <c r="X843" s="8" t="n">
        <f aca="false">W843-R843</f>
        <v>5250.7</v>
      </c>
      <c r="Y843" s="7" t="n">
        <f aca="false">IFERROR(X843/W843,0)</f>
        <v>0.240297508149576</v>
      </c>
      <c r="Z843" s="9" t="n">
        <f aca="false">C843-B843</f>
        <v>6</v>
      </c>
      <c r="AA843" s="1" t="str">
        <f aca="false">IF(B843="","",TEXT(B843,"mmm"))</f>
        <v>Feb</v>
      </c>
      <c r="AB843" s="9" t="n">
        <f aca="false">IF(B843="","",YEAR(B843))</f>
        <v>2025</v>
      </c>
      <c r="AC843" s="3"/>
      <c r="AD843" s="3" t="str">
        <f aca="false">IF(LEFT(AC843&amp;IF(B843="","; Missing Order Date","")&amp;IF(C843="","; Missing Ship Date","")&amp;IF(P843&lt;0,"; Invalid Discount (Negative)","")&amp;IF(P843&gt;0.5,"; Invalid Discount (Too High)","")&amp;IF(Z843&lt;0,"; Invalid Shipping Record (Ship Before Order)","")&amp;IF(ABS(Q843-W843)&gt;1,"; Sales Mismatch","")&amp;IF(ABS(S843-X843)&gt;1,"; Profit Mismatch","")&amp;IF(COUNTIF($A$2:$A$913,A843)&gt;1,"; Duplicate Order ID Conflict",""),2)="; ",MID(AC843&amp;IF(B843="","; Missing Order Date","")&amp;IF(C843="","; Missing Ship Date","")&amp;IF(P843&lt;0,"; Invalid Discount (Negative)","")&amp;IF(P843&gt;0.5,"; Invalid Discount (Too High)","")&amp;IF(Z843&lt;0,"; Invalid Shipping Record (Ship Before Order)","")&amp;IF(ABS(Q843-W843)&gt;1,"; Sales Mismatch","")&amp;IF(ABS(S843-X843)&gt;1,"; Profit Mismatch","")&amp;IF(COUNTIF($A$2:$A$913,A843)&gt;1,"; Duplicate Order ID Conflict",""),3,500),AC843&amp;IF(B843="","; Missing Order Date","")&amp;IF(C843="","; Missing Ship Date","")&amp;IF(P843&lt;0,"; Invalid Discount (Negative)","")&amp;IF(P843&gt;0.5,"; Invalid Discount (Too High)","")&amp;IF(Z843&lt;0,"; Invalid Shipping Record (Ship Before Order)","")&amp;IF(ABS(Q843-W843)&gt;1,"; Sales Mismatch","")&amp;IF(ABS(S843-X843)&gt;1,"; Profit Mismatch","")&amp;IF(COUNTIF($A$2:$A$913,A843)&gt;1,"; Duplicate Order ID Conflict",""))</f>
        <v/>
      </c>
      <c r="AE843" s="10" t="str">
        <f aca="false">IF(OR(ISNUMBER(SEARCH("Invalid Discount",AD843)),ISNUMBER(SEARCH("Invalid Shipping Record",AD843)),ISNUMBER(SEARCH("Sales Mismatch",AD843)),ISNUMBER(SEARCH("Profit Mismatch",AD843)),ISNUMBER(SEARCH("Duplicate Order ID Conflict",AD843)),ISNUMBER(SEARCH("Missing Order Date",AD843)),ISNUMBER(SEARCH("Missing Ship Date",AD843))),"Invalid",IF(AD843&lt;&gt;"","Warning","Clean"))</f>
        <v>Clean</v>
      </c>
    </row>
    <row r="844" customFormat="false" ht="15" hidden="false" customHeight="true" outlineLevel="0" collapsed="false">
      <c r="A844" s="3" t="s">
        <v>2521</v>
      </c>
      <c r="B844" s="4" t="n">
        <v>45382</v>
      </c>
      <c r="C844" s="4" t="n">
        <v>45381</v>
      </c>
      <c r="D844" s="3" t="s">
        <v>2522</v>
      </c>
      <c r="E844" s="3" t="str">
        <f aca="false">PROPER(TRIM(SUBSTITUTE(Raw_Text_Fields!B845,CHAR(160)," ")))</f>
        <v>Kabir Singh</v>
      </c>
      <c r="F844" s="3" t="str">
        <f aca="false">PROPER(TRIM(SUBSTITUTE(Raw_Text_Fields!C845,CHAR(160)," ")))</f>
        <v>Consumer</v>
      </c>
      <c r="G844" s="3" t="str">
        <f aca="false">PROPER(TRIM(SUBSTITUTE(Raw_Text_Fields!D845,CHAR(160)," ")))</f>
        <v>North</v>
      </c>
      <c r="H844" s="3" t="str">
        <f aca="false">PROPER(TRIM(SUBSTITUTE(Raw_Text_Fields!E845,CHAR(160)," ")))</f>
        <v>Haryana</v>
      </c>
      <c r="I844" s="3" t="str">
        <f aca="false">PROPER(TRIM(SUBSTITUTE(Raw_Text_Fields!F845,CHAR(160)," ")))</f>
        <v>Gurugram</v>
      </c>
      <c r="J844" s="3" t="str">
        <f aca="false">PROPER(TRIM(SUBSTITUTE(Raw_Text_Fields!G845,CHAR(160)," ")))</f>
        <v>Technology</v>
      </c>
      <c r="K844" s="3" t="str">
        <f aca="false">PROPER(TRIM(SUBSTITUTE(Raw_Text_Fields!H845,CHAR(160)," ")))</f>
        <v>Machines</v>
      </c>
      <c r="L844" s="3" t="s">
        <v>2523</v>
      </c>
      <c r="M844" s="3" t="str">
        <f aca="false">PROPER(TRIM(SUBSTITUTE(Raw_Text_Fields!I845,CHAR(160)," ")))</f>
        <v>First Class</v>
      </c>
      <c r="N844" s="3" t="n">
        <v>4</v>
      </c>
      <c r="O844" s="5" t="n">
        <v>2192.08</v>
      </c>
      <c r="P844" s="6" t="n">
        <v>0.15</v>
      </c>
      <c r="Q844" s="5" t="n">
        <v>7453.07</v>
      </c>
      <c r="R844" s="5" t="n">
        <v>5133.78</v>
      </c>
      <c r="S844" s="5" t="n">
        <v>2319.29</v>
      </c>
      <c r="T844" s="3" t="str">
        <f aca="false">PROPER(TRIM(SUBSTITUTE(Raw_Text_Fields!J845,CHAR(160)," ")))</f>
        <v>Paid</v>
      </c>
      <c r="U844" s="3" t="str">
        <f aca="false">PROPER(TRIM(SUBSTITUTE(Raw_Text_Fields!K845,CHAR(160)," ")))</f>
        <v>Returned</v>
      </c>
      <c r="V844" s="7" t="n">
        <f aca="false">IF(OR(P844&lt;0,P844&gt;0.5),0,P844)</f>
        <v>0.15</v>
      </c>
      <c r="W844" s="8" t="n">
        <f aca="false">N844*O844*(1-V844)</f>
        <v>7453.072</v>
      </c>
      <c r="X844" s="8" t="n">
        <f aca="false">W844-R844</f>
        <v>2319.292</v>
      </c>
      <c r="Y844" s="7" t="n">
        <f aca="false">IFERROR(X844/W844,0)</f>
        <v>0.311186045163659</v>
      </c>
      <c r="Z844" s="9" t="n">
        <f aca="false">C844-B844</f>
        <v>-1</v>
      </c>
      <c r="AA844" s="1" t="str">
        <f aca="false">IF(B844="","",TEXT(B844,"mmm"))</f>
        <v>Mar</v>
      </c>
      <c r="AB844" s="9" t="n">
        <f aca="false">IF(B844="","",YEAR(B844))</f>
        <v>2024</v>
      </c>
      <c r="AC844" s="3"/>
      <c r="AD844" s="3" t="str">
        <f aca="false">IF(LEFT(AC844&amp;IF(B844="","; Missing Order Date","")&amp;IF(C844="","; Missing Ship Date","")&amp;IF(P844&lt;0,"; Invalid Discount (Negative)","")&amp;IF(P844&gt;0.5,"; Invalid Discount (Too High)","")&amp;IF(Z844&lt;0,"; Invalid Shipping Record (Ship Before Order)","")&amp;IF(ABS(Q844-W844)&gt;1,"; Sales Mismatch","")&amp;IF(ABS(S844-X844)&gt;1,"; Profit Mismatch","")&amp;IF(COUNTIF($A$2:$A$913,A844)&gt;1,"; Duplicate Order ID Conflict",""),2)="; ",MID(AC844&amp;IF(B844="","; Missing Order Date","")&amp;IF(C844="","; Missing Ship Date","")&amp;IF(P844&lt;0,"; Invalid Discount (Negative)","")&amp;IF(P844&gt;0.5,"; Invalid Discount (Too High)","")&amp;IF(Z844&lt;0,"; Invalid Shipping Record (Ship Before Order)","")&amp;IF(ABS(Q844-W844)&gt;1,"; Sales Mismatch","")&amp;IF(ABS(S844-X844)&gt;1,"; Profit Mismatch","")&amp;IF(COUNTIF($A$2:$A$913,A844)&gt;1,"; Duplicate Order ID Conflict",""),3,500),AC844&amp;IF(B844="","; Missing Order Date","")&amp;IF(C844="","; Missing Ship Date","")&amp;IF(P844&lt;0,"; Invalid Discount (Negative)","")&amp;IF(P844&gt;0.5,"; Invalid Discount (Too High)","")&amp;IF(Z844&lt;0,"; Invalid Shipping Record (Ship Before Order)","")&amp;IF(ABS(Q844-W844)&gt;1,"; Sales Mismatch","")&amp;IF(ABS(S844-X844)&gt;1,"; Profit Mismatch","")&amp;IF(COUNTIF($A$2:$A$913,A844)&gt;1,"; Duplicate Order ID Conflict",""))</f>
        <v>Invalid Shipping Record (Ship Before Order)</v>
      </c>
      <c r="AE844" s="10" t="str">
        <f aca="false">IF(OR(ISNUMBER(SEARCH("Invalid Discount",AD844)),ISNUMBER(SEARCH("Invalid Shipping Record",AD844)),ISNUMBER(SEARCH("Sales Mismatch",AD844)),ISNUMBER(SEARCH("Profit Mismatch",AD844)),ISNUMBER(SEARCH("Duplicate Order ID Conflict",AD844)),ISNUMBER(SEARCH("Missing Order Date",AD844)),ISNUMBER(SEARCH("Missing Ship Date",AD844))),"Invalid",IF(AD844&lt;&gt;"","Warning","Clean"))</f>
        <v>Invalid</v>
      </c>
    </row>
    <row r="845" customFormat="false" ht="15" hidden="false" customHeight="true" outlineLevel="0" collapsed="false">
      <c r="A845" s="3" t="s">
        <v>2524</v>
      </c>
      <c r="B845" s="4" t="n">
        <v>45856</v>
      </c>
      <c r="C845" s="4" t="n">
        <v>45863</v>
      </c>
      <c r="D845" s="3" t="s">
        <v>2525</v>
      </c>
      <c r="E845" s="3" t="str">
        <f aca="false">PROPER(TRIM(SUBSTITUTE(Raw_Text_Fields!B846,CHAR(160)," ")))</f>
        <v>Priya Menon</v>
      </c>
      <c r="F845" s="3" t="str">
        <f aca="false">PROPER(TRIM(SUBSTITUTE(Raw_Text_Fields!C846,CHAR(160)," ")))</f>
        <v>Small Business</v>
      </c>
      <c r="G845" s="3" t="str">
        <f aca="false">PROPER(TRIM(SUBSTITUTE(Raw_Text_Fields!D846,CHAR(160)," ")))</f>
        <v>North</v>
      </c>
      <c r="H845" s="3" t="str">
        <f aca="false">PROPER(TRIM(SUBSTITUTE(Raw_Text_Fields!E846,CHAR(160)," ")))</f>
        <v>Uttar Pradesh</v>
      </c>
      <c r="I845" s="3" t="str">
        <f aca="false">PROPER(TRIM(SUBSTITUTE(Raw_Text_Fields!F846,CHAR(160)," ")))</f>
        <v>Noida</v>
      </c>
      <c r="J845" s="3" t="str">
        <f aca="false">PROPER(TRIM(SUBSTITUTE(Raw_Text_Fields!G846,CHAR(160)," ")))</f>
        <v>Technology</v>
      </c>
      <c r="K845" s="3" t="str">
        <f aca="false">PROPER(TRIM(SUBSTITUTE(Raw_Text_Fields!H846,CHAR(160)," ")))</f>
        <v>Phones</v>
      </c>
      <c r="L845" s="3" t="s">
        <v>2526</v>
      </c>
      <c r="M845" s="3" t="str">
        <f aca="false">PROPER(TRIM(SUBSTITUTE(Raw_Text_Fields!I846,CHAR(160)," ")))</f>
        <v>First Class</v>
      </c>
      <c r="N845" s="3" t="n">
        <v>9</v>
      </c>
      <c r="O845" s="5" t="n">
        <v>3989.52</v>
      </c>
      <c r="P845" s="6" t="n">
        <v>-0.02</v>
      </c>
      <c r="Q845" s="5" t="n">
        <v>35905.68</v>
      </c>
      <c r="R845" s="5" t="n">
        <v>23916.1</v>
      </c>
      <c r="S845" s="5" t="n">
        <v>11989.58</v>
      </c>
      <c r="T845" s="3" t="str">
        <f aca="false">PROPER(TRIM(SUBSTITUTE(Raw_Text_Fields!J846,CHAR(160)," ")))</f>
        <v>Paid</v>
      </c>
      <c r="U845" s="3" t="str">
        <f aca="false">PROPER(TRIM(SUBSTITUTE(Raw_Text_Fields!K846,CHAR(160)," ")))</f>
        <v>Completed</v>
      </c>
      <c r="V845" s="7" t="n">
        <f aca="false">IF(OR(P845&lt;0,P845&gt;0.5),0,P845)</f>
        <v>0</v>
      </c>
      <c r="W845" s="8" t="n">
        <f aca="false">N845*O845*(1-V845)</f>
        <v>35905.68</v>
      </c>
      <c r="X845" s="8" t="n">
        <f aca="false">W845-R845</f>
        <v>11989.58</v>
      </c>
      <c r="Y845" s="7" t="n">
        <f aca="false">IFERROR(X845/W845,0)</f>
        <v>0.333918756029687</v>
      </c>
      <c r="Z845" s="9" t="n">
        <f aca="false">C845-B845</f>
        <v>7</v>
      </c>
      <c r="AA845" s="1" t="str">
        <f aca="false">IF(B845="","",TEXT(B845,"mmm"))</f>
        <v>Jul</v>
      </c>
      <c r="AB845" s="9" t="n">
        <f aca="false">IF(B845="","",YEAR(B845))</f>
        <v>2025</v>
      </c>
      <c r="AC845" s="3"/>
      <c r="AD845" s="3" t="str">
        <f aca="false">IF(LEFT(AC845&amp;IF(B845="","; Missing Order Date","")&amp;IF(C845="","; Missing Ship Date","")&amp;IF(P845&lt;0,"; Invalid Discount (Negative)","")&amp;IF(P845&gt;0.5,"; Invalid Discount (Too High)","")&amp;IF(Z845&lt;0,"; Invalid Shipping Record (Ship Before Order)","")&amp;IF(ABS(Q845-W845)&gt;1,"; Sales Mismatch","")&amp;IF(ABS(S845-X845)&gt;1,"; Profit Mismatch","")&amp;IF(COUNTIF($A$2:$A$913,A845)&gt;1,"; Duplicate Order ID Conflict",""),2)="; ",MID(AC845&amp;IF(B845="","; Missing Order Date","")&amp;IF(C845="","; Missing Ship Date","")&amp;IF(P845&lt;0,"; Invalid Discount (Negative)","")&amp;IF(P845&gt;0.5,"; Invalid Discount (Too High)","")&amp;IF(Z845&lt;0,"; Invalid Shipping Record (Ship Before Order)","")&amp;IF(ABS(Q845-W845)&gt;1,"; Sales Mismatch","")&amp;IF(ABS(S845-X845)&gt;1,"; Profit Mismatch","")&amp;IF(COUNTIF($A$2:$A$913,A845)&gt;1,"; Duplicate Order ID Conflict",""),3,500),AC845&amp;IF(B845="","; Missing Order Date","")&amp;IF(C845="","; Missing Ship Date","")&amp;IF(P845&lt;0,"; Invalid Discount (Negative)","")&amp;IF(P845&gt;0.5,"; Invalid Discount (Too High)","")&amp;IF(Z845&lt;0,"; Invalid Shipping Record (Ship Before Order)","")&amp;IF(ABS(Q845-W845)&gt;1,"; Sales Mismatch","")&amp;IF(ABS(S845-X845)&gt;1,"; Profit Mismatch","")&amp;IF(COUNTIF($A$2:$A$913,A845)&gt;1,"; Duplicate Order ID Conflict",""))</f>
        <v>Invalid Discount (Negative)</v>
      </c>
      <c r="AE845" s="10" t="str">
        <f aca="false">IF(OR(ISNUMBER(SEARCH("Invalid Discount",AD845)),ISNUMBER(SEARCH("Invalid Shipping Record",AD845)),ISNUMBER(SEARCH("Sales Mismatch",AD845)),ISNUMBER(SEARCH("Profit Mismatch",AD845)),ISNUMBER(SEARCH("Duplicate Order ID Conflict",AD845)),ISNUMBER(SEARCH("Missing Order Date",AD845)),ISNUMBER(SEARCH("Missing Ship Date",AD845))),"Invalid",IF(AD845&lt;&gt;"","Warning","Clean"))</f>
        <v>Invalid</v>
      </c>
    </row>
    <row r="846" customFormat="false" ht="15" hidden="false" customHeight="true" outlineLevel="0" collapsed="false">
      <c r="A846" s="3" t="s">
        <v>2527</v>
      </c>
      <c r="B846" s="4" t="n">
        <v>45677</v>
      </c>
      <c r="C846" s="4" t="n">
        <v>45682</v>
      </c>
      <c r="D846" s="3" t="s">
        <v>2528</v>
      </c>
      <c r="E846" s="3" t="str">
        <f aca="false">PROPER(TRIM(SUBSTITUTE(Raw_Text_Fields!B847,CHAR(160)," ")))</f>
        <v>Aditi Sen</v>
      </c>
      <c r="F846" s="3" t="str">
        <f aca="false">PROPER(TRIM(SUBSTITUTE(Raw_Text_Fields!C847,CHAR(160)," ")))</f>
        <v>Home Office</v>
      </c>
      <c r="G846" s="3" t="str">
        <f aca="false">PROPER(TRIM(SUBSTITUTE(Raw_Text_Fields!D847,CHAR(160)," ")))</f>
        <v>West</v>
      </c>
      <c r="H846" s="3" t="str">
        <f aca="false">PROPER(TRIM(SUBSTITUTE(Raw_Text_Fields!E847,CHAR(160)," ")))</f>
        <v>Goa</v>
      </c>
      <c r="I846" s="3" t="str">
        <f aca="false">PROPER(TRIM(SUBSTITUTE(Raw_Text_Fields!F847,CHAR(160)," ")))</f>
        <v>Panaji</v>
      </c>
      <c r="J846" s="3" t="str">
        <f aca="false">PROPER(TRIM(SUBSTITUTE(Raw_Text_Fields!G847,CHAR(160)," ")))</f>
        <v>Office Supplies</v>
      </c>
      <c r="K846" s="3" t="str">
        <f aca="false">PROPER(TRIM(SUBSTITUTE(Raw_Text_Fields!H847,CHAR(160)," ")))</f>
        <v>Art</v>
      </c>
      <c r="L846" s="3" t="s">
        <v>2529</v>
      </c>
      <c r="M846" s="3" t="str">
        <f aca="false">PROPER(TRIM(SUBSTITUTE(Raw_Text_Fields!I847,CHAR(160)," ")))</f>
        <v>First Class</v>
      </c>
      <c r="N846" s="3" t="n">
        <v>1</v>
      </c>
      <c r="O846" s="5" t="n">
        <v>3515.15</v>
      </c>
      <c r="P846" s="6" t="n">
        <v>0</v>
      </c>
      <c r="Q846" s="5" t="n">
        <v>3515.15</v>
      </c>
      <c r="R846" s="5" t="n">
        <v>2216.34</v>
      </c>
      <c r="S846" s="5" t="n">
        <v>1298.81</v>
      </c>
      <c r="T846" s="3" t="str">
        <f aca="false">PROPER(TRIM(SUBSTITUTE(Raw_Text_Fields!J847,CHAR(160)," ")))</f>
        <v>Paid</v>
      </c>
      <c r="U846" s="3" t="str">
        <f aca="false">PROPER(TRIM(SUBSTITUTE(Raw_Text_Fields!K847,CHAR(160)," ")))</f>
        <v>Completed</v>
      </c>
      <c r="V846" s="7" t="n">
        <f aca="false">IF(OR(P846&lt;0,P846&gt;0.5),0,P846)</f>
        <v>0</v>
      </c>
      <c r="W846" s="8" t="n">
        <f aca="false">N846*O846*(1-V846)</f>
        <v>3515.15</v>
      </c>
      <c r="X846" s="8" t="n">
        <f aca="false">W846-R846</f>
        <v>1298.81</v>
      </c>
      <c r="Y846" s="7" t="n">
        <f aca="false">IFERROR(X846/W846,0)</f>
        <v>0.369489210986729</v>
      </c>
      <c r="Z846" s="9" t="n">
        <f aca="false">C846-B846</f>
        <v>5</v>
      </c>
      <c r="AA846" s="1" t="str">
        <f aca="false">IF(B846="","",TEXT(B846,"mmm"))</f>
        <v>Jan</v>
      </c>
      <c r="AB846" s="9" t="n">
        <f aca="false">IF(B846="","",YEAR(B846))</f>
        <v>2025</v>
      </c>
      <c r="AC846" s="3"/>
      <c r="AD846" s="3" t="str">
        <f aca="false">IF(LEFT(AC846&amp;IF(B846="","; Missing Order Date","")&amp;IF(C846="","; Missing Ship Date","")&amp;IF(P846&lt;0,"; Invalid Discount (Negative)","")&amp;IF(P846&gt;0.5,"; Invalid Discount (Too High)","")&amp;IF(Z846&lt;0,"; Invalid Shipping Record (Ship Before Order)","")&amp;IF(ABS(Q846-W846)&gt;1,"; Sales Mismatch","")&amp;IF(ABS(S846-X846)&gt;1,"; Profit Mismatch","")&amp;IF(COUNTIF($A$2:$A$913,A846)&gt;1,"; Duplicate Order ID Conflict",""),2)="; ",MID(AC846&amp;IF(B846="","; Missing Order Date","")&amp;IF(C846="","; Missing Ship Date","")&amp;IF(P846&lt;0,"; Invalid Discount (Negative)","")&amp;IF(P846&gt;0.5,"; Invalid Discount (Too High)","")&amp;IF(Z846&lt;0,"; Invalid Shipping Record (Ship Before Order)","")&amp;IF(ABS(Q846-W846)&gt;1,"; Sales Mismatch","")&amp;IF(ABS(S846-X846)&gt;1,"; Profit Mismatch","")&amp;IF(COUNTIF($A$2:$A$913,A846)&gt;1,"; Duplicate Order ID Conflict",""),3,500),AC846&amp;IF(B846="","; Missing Order Date","")&amp;IF(C846="","; Missing Ship Date","")&amp;IF(P846&lt;0,"; Invalid Discount (Negative)","")&amp;IF(P846&gt;0.5,"; Invalid Discount (Too High)","")&amp;IF(Z846&lt;0,"; Invalid Shipping Record (Ship Before Order)","")&amp;IF(ABS(Q846-W846)&gt;1,"; Sales Mismatch","")&amp;IF(ABS(S846-X846)&gt;1,"; Profit Mismatch","")&amp;IF(COUNTIF($A$2:$A$913,A846)&gt;1,"; Duplicate Order ID Conflict",""))</f>
        <v/>
      </c>
      <c r="AE846" s="10" t="str">
        <f aca="false">IF(OR(ISNUMBER(SEARCH("Invalid Discount",AD846)),ISNUMBER(SEARCH("Invalid Shipping Record",AD846)),ISNUMBER(SEARCH("Sales Mismatch",AD846)),ISNUMBER(SEARCH("Profit Mismatch",AD846)),ISNUMBER(SEARCH("Duplicate Order ID Conflict",AD846)),ISNUMBER(SEARCH("Missing Order Date",AD846)),ISNUMBER(SEARCH("Missing Ship Date",AD846))),"Invalid",IF(AD846&lt;&gt;"","Warning","Clean"))</f>
        <v>Clean</v>
      </c>
    </row>
    <row r="847" customFormat="false" ht="15" hidden="false" customHeight="true" outlineLevel="0" collapsed="false">
      <c r="A847" s="3" t="s">
        <v>2530</v>
      </c>
      <c r="B847" s="4" t="n">
        <v>45345</v>
      </c>
      <c r="C847" s="4" t="n">
        <v>45349</v>
      </c>
      <c r="D847" s="3" t="s">
        <v>516</v>
      </c>
      <c r="E847" s="3" t="str">
        <f aca="false">PROPER(TRIM(SUBSTITUTE(Raw_Text_Fields!B848,CHAR(160)," ")))</f>
        <v>Karan Malhotra</v>
      </c>
      <c r="F847" s="3" t="str">
        <f aca="false">PROPER(TRIM(SUBSTITUTE(Raw_Text_Fields!C848,CHAR(160)," ")))</f>
        <v>Consumer</v>
      </c>
      <c r="G847" s="3" t="str">
        <f aca="false">PROPER(TRIM(SUBSTITUTE(Raw_Text_Fields!D848,CHAR(160)," ")))</f>
        <v>East</v>
      </c>
      <c r="H847" s="3" t="str">
        <f aca="false">PROPER(TRIM(SUBSTITUTE(Raw_Text_Fields!E848,CHAR(160)," ")))</f>
        <v>Odisha</v>
      </c>
      <c r="I847" s="3" t="str">
        <f aca="false">PROPER(TRIM(SUBSTITUTE(Raw_Text_Fields!F848,CHAR(160)," ")))</f>
        <v>Bhubaneswar</v>
      </c>
      <c r="J847" s="3" t="str">
        <f aca="false">PROPER(TRIM(SUBSTITUTE(Raw_Text_Fields!G848,CHAR(160)," ")))</f>
        <v>Furniture</v>
      </c>
      <c r="K847" s="3" t="str">
        <f aca="false">PROPER(TRIM(SUBSTITUTE(Raw_Text_Fields!H848,CHAR(160)," ")))</f>
        <v>Tables</v>
      </c>
      <c r="L847" s="3" t="s">
        <v>2531</v>
      </c>
      <c r="M847" s="3" t="str">
        <f aca="false">PROPER(TRIM(SUBSTITUTE(Raw_Text_Fields!I848,CHAR(160)," ")))</f>
        <v>First Class</v>
      </c>
      <c r="N847" s="3" t="n">
        <v>9</v>
      </c>
      <c r="O847" s="5" t="n">
        <v>3616.23</v>
      </c>
      <c r="P847" s="6" t="n">
        <v>0.25</v>
      </c>
      <c r="Q847" s="5" t="n">
        <v>24409.55</v>
      </c>
      <c r="R847" s="5" t="n">
        <v>17157.58</v>
      </c>
      <c r="S847" s="5" t="n">
        <v>7251.97</v>
      </c>
      <c r="T847" s="3" t="str">
        <f aca="false">PROPER(TRIM(SUBSTITUTE(Raw_Text_Fields!J848,CHAR(160)," ")))</f>
        <v>Pending</v>
      </c>
      <c r="U847" s="3" t="str">
        <f aca="false">PROPER(TRIM(SUBSTITUTE(Raw_Text_Fields!K848,CHAR(160)," ")))</f>
        <v>Returned</v>
      </c>
      <c r="V847" s="7" t="n">
        <f aca="false">IF(OR(P847&lt;0,P847&gt;0.5),0,P847)</f>
        <v>0.25</v>
      </c>
      <c r="W847" s="8" t="n">
        <f aca="false">N847*O847*(1-V847)</f>
        <v>24409.5525</v>
      </c>
      <c r="X847" s="8" t="n">
        <f aca="false">W847-R847</f>
        <v>7251.9725</v>
      </c>
      <c r="Y847" s="7" t="n">
        <f aca="false">IFERROR(X847/W847,0)</f>
        <v>0.297095675965383</v>
      </c>
      <c r="Z847" s="9" t="n">
        <f aca="false">C847-B847</f>
        <v>4</v>
      </c>
      <c r="AA847" s="1" t="str">
        <f aca="false">IF(B847="","",TEXT(B847,"mmm"))</f>
        <v>Feb</v>
      </c>
      <c r="AB847" s="9" t="n">
        <f aca="false">IF(B847="","",YEAR(B847))</f>
        <v>2024</v>
      </c>
      <c r="AC847" s="3"/>
      <c r="AD847" s="3" t="str">
        <f aca="false">IF(LEFT(AC847&amp;IF(B847="","; Missing Order Date","")&amp;IF(C847="","; Missing Ship Date","")&amp;IF(P847&lt;0,"; Invalid Discount (Negative)","")&amp;IF(P847&gt;0.5,"; Invalid Discount (Too High)","")&amp;IF(Z847&lt;0,"; Invalid Shipping Record (Ship Before Order)","")&amp;IF(ABS(Q847-W847)&gt;1,"; Sales Mismatch","")&amp;IF(ABS(S847-X847)&gt;1,"; Profit Mismatch","")&amp;IF(COUNTIF($A$2:$A$913,A847)&gt;1,"; Duplicate Order ID Conflict",""),2)="; ",MID(AC847&amp;IF(B847="","; Missing Order Date","")&amp;IF(C847="","; Missing Ship Date","")&amp;IF(P847&lt;0,"; Invalid Discount (Negative)","")&amp;IF(P847&gt;0.5,"; Invalid Discount (Too High)","")&amp;IF(Z847&lt;0,"; Invalid Shipping Record (Ship Before Order)","")&amp;IF(ABS(Q847-W847)&gt;1,"; Sales Mismatch","")&amp;IF(ABS(S847-X847)&gt;1,"; Profit Mismatch","")&amp;IF(COUNTIF($A$2:$A$913,A847)&gt;1,"; Duplicate Order ID Conflict",""),3,500),AC847&amp;IF(B847="","; Missing Order Date","")&amp;IF(C847="","; Missing Ship Date","")&amp;IF(P847&lt;0,"; Invalid Discount (Negative)","")&amp;IF(P847&gt;0.5,"; Invalid Discount (Too High)","")&amp;IF(Z847&lt;0,"; Invalid Shipping Record (Ship Before Order)","")&amp;IF(ABS(Q847-W847)&gt;1,"; Sales Mismatch","")&amp;IF(ABS(S847-X847)&gt;1,"; Profit Mismatch","")&amp;IF(COUNTIF($A$2:$A$913,A847)&gt;1,"; Duplicate Order ID Conflict",""))</f>
        <v/>
      </c>
      <c r="AE847" s="10" t="str">
        <f aca="false">IF(OR(ISNUMBER(SEARCH("Invalid Discount",AD847)),ISNUMBER(SEARCH("Invalid Shipping Record",AD847)),ISNUMBER(SEARCH("Sales Mismatch",AD847)),ISNUMBER(SEARCH("Profit Mismatch",AD847)),ISNUMBER(SEARCH("Duplicate Order ID Conflict",AD847)),ISNUMBER(SEARCH("Missing Order Date",AD847)),ISNUMBER(SEARCH("Missing Ship Date",AD847))),"Invalid",IF(AD847&lt;&gt;"","Warning","Clean"))</f>
        <v>Clean</v>
      </c>
    </row>
    <row r="848" customFormat="false" ht="15" hidden="false" customHeight="true" outlineLevel="0" collapsed="false">
      <c r="A848" s="3" t="s">
        <v>2532</v>
      </c>
      <c r="B848" s="4" t="n">
        <v>45396</v>
      </c>
      <c r="C848" s="4" t="n">
        <v>45404</v>
      </c>
      <c r="D848" s="3" t="s">
        <v>2533</v>
      </c>
      <c r="E848" s="3" t="str">
        <f aca="false">PROPER(TRIM(SUBSTITUTE(Raw_Text_Fields!B849,CHAR(160)," ")))</f>
        <v>Priya Menon</v>
      </c>
      <c r="F848" s="3" t="str">
        <f aca="false">PROPER(TRIM(SUBSTITUTE(Raw_Text_Fields!C849,CHAR(160)," ")))</f>
        <v>Small Business</v>
      </c>
      <c r="G848" s="3" t="str">
        <f aca="false">PROPER(TRIM(SUBSTITUTE(Raw_Text_Fields!D849,CHAR(160)," ")))</f>
        <v>West</v>
      </c>
      <c r="H848" s="3" t="str">
        <f aca="false">PROPER(TRIM(SUBSTITUTE(Raw_Text_Fields!E849,CHAR(160)," ")))</f>
        <v>Gujarat</v>
      </c>
      <c r="I848" s="3" t="str">
        <f aca="false">PROPER(TRIM(SUBSTITUTE(Raw_Text_Fields!F849,CHAR(160)," ")))</f>
        <v>Ahmedabad</v>
      </c>
      <c r="J848" s="3" t="str">
        <f aca="false">PROPER(TRIM(SUBSTITUTE(Raw_Text_Fields!G849,CHAR(160)," ")))</f>
        <v>Furniture</v>
      </c>
      <c r="K848" s="3" t="str">
        <f aca="false">PROPER(TRIM(SUBSTITUTE(Raw_Text_Fields!H849,CHAR(160)," ")))</f>
        <v>Bookcases</v>
      </c>
      <c r="L848" s="3" t="s">
        <v>2534</v>
      </c>
      <c r="M848" s="3" t="str">
        <f aca="false">PROPER(TRIM(SUBSTITUTE(Raw_Text_Fields!I849,CHAR(160)," ")))</f>
        <v>Standard Class</v>
      </c>
      <c r="N848" s="3" t="n">
        <v>2</v>
      </c>
      <c r="O848" s="5" t="n">
        <v>3977.52</v>
      </c>
      <c r="P848" s="6" t="n">
        <v>0</v>
      </c>
      <c r="Q848" s="5" t="n">
        <v>7955.04</v>
      </c>
      <c r="R848" s="5" t="n">
        <v>5580.68</v>
      </c>
      <c r="S848" s="5" t="n">
        <v>2374.36</v>
      </c>
      <c r="T848" s="3" t="str">
        <f aca="false">PROPER(TRIM(SUBSTITUTE(Raw_Text_Fields!J849,CHAR(160)," ")))</f>
        <v>Pending</v>
      </c>
      <c r="U848" s="3" t="str">
        <f aca="false">PROPER(TRIM(SUBSTITUTE(Raw_Text_Fields!K849,CHAR(160)," ")))</f>
        <v>Returned</v>
      </c>
      <c r="V848" s="7" t="n">
        <f aca="false">IF(OR(P848&lt;0,P848&gt;0.5),0,P848)</f>
        <v>0</v>
      </c>
      <c r="W848" s="8" t="n">
        <f aca="false">N848*O848*(1-V848)</f>
        <v>7955.04</v>
      </c>
      <c r="X848" s="8" t="n">
        <f aca="false">W848-R848</f>
        <v>2374.36</v>
      </c>
      <c r="Y848" s="7" t="n">
        <f aca="false">IFERROR(X848/W848,0)</f>
        <v>0.298472414972143</v>
      </c>
      <c r="Z848" s="9" t="n">
        <f aca="false">C848-B848</f>
        <v>8</v>
      </c>
      <c r="AA848" s="1" t="str">
        <f aca="false">IF(B848="","",TEXT(B848,"mmm"))</f>
        <v>Apr</v>
      </c>
      <c r="AB848" s="9" t="n">
        <f aca="false">IF(B848="","",YEAR(B848))</f>
        <v>2024</v>
      </c>
      <c r="AC848" s="3"/>
      <c r="AD848" s="3" t="str">
        <f aca="false">IF(LEFT(AC848&amp;IF(B848="","; Missing Order Date","")&amp;IF(C848="","; Missing Ship Date","")&amp;IF(P848&lt;0,"; Invalid Discount (Negative)","")&amp;IF(P848&gt;0.5,"; Invalid Discount (Too High)","")&amp;IF(Z848&lt;0,"; Invalid Shipping Record (Ship Before Order)","")&amp;IF(ABS(Q848-W848)&gt;1,"; Sales Mismatch","")&amp;IF(ABS(S848-X848)&gt;1,"; Profit Mismatch","")&amp;IF(COUNTIF($A$2:$A$913,A848)&gt;1,"; Duplicate Order ID Conflict",""),2)="; ",MID(AC848&amp;IF(B848="","; Missing Order Date","")&amp;IF(C848="","; Missing Ship Date","")&amp;IF(P848&lt;0,"; Invalid Discount (Negative)","")&amp;IF(P848&gt;0.5,"; Invalid Discount (Too High)","")&amp;IF(Z848&lt;0,"; Invalid Shipping Record (Ship Before Order)","")&amp;IF(ABS(Q848-W848)&gt;1,"; Sales Mismatch","")&amp;IF(ABS(S848-X848)&gt;1,"; Profit Mismatch","")&amp;IF(COUNTIF($A$2:$A$913,A848)&gt;1,"; Duplicate Order ID Conflict",""),3,500),AC848&amp;IF(B848="","; Missing Order Date","")&amp;IF(C848="","; Missing Ship Date","")&amp;IF(P848&lt;0,"; Invalid Discount (Negative)","")&amp;IF(P848&gt;0.5,"; Invalid Discount (Too High)","")&amp;IF(Z848&lt;0,"; Invalid Shipping Record (Ship Before Order)","")&amp;IF(ABS(Q848-W848)&gt;1,"; Sales Mismatch","")&amp;IF(ABS(S848-X848)&gt;1,"; Profit Mismatch","")&amp;IF(COUNTIF($A$2:$A$913,A848)&gt;1,"; Duplicate Order ID Conflict",""))</f>
        <v/>
      </c>
      <c r="AE848" s="10" t="str">
        <f aca="false">IF(OR(ISNUMBER(SEARCH("Invalid Discount",AD848)),ISNUMBER(SEARCH("Invalid Shipping Record",AD848)),ISNUMBER(SEARCH("Sales Mismatch",AD848)),ISNUMBER(SEARCH("Profit Mismatch",AD848)),ISNUMBER(SEARCH("Duplicate Order ID Conflict",AD848)),ISNUMBER(SEARCH("Missing Order Date",AD848)),ISNUMBER(SEARCH("Missing Ship Date",AD848))),"Invalid",IF(AD848&lt;&gt;"","Warning","Clean"))</f>
        <v>Clean</v>
      </c>
    </row>
    <row r="849" customFormat="false" ht="15" hidden="false" customHeight="true" outlineLevel="0" collapsed="false">
      <c r="A849" s="3" t="s">
        <v>2535</v>
      </c>
      <c r="B849" s="4" t="n">
        <v>45797</v>
      </c>
      <c r="C849" s="4" t="n">
        <v>45799</v>
      </c>
      <c r="D849" s="3" t="s">
        <v>2536</v>
      </c>
      <c r="E849" s="3" t="str">
        <f aca="false">PROPER(TRIM(SUBSTITUTE(Raw_Text_Fields!B850,CHAR(160)," ")))</f>
        <v>Diya Patel</v>
      </c>
      <c r="F849" s="3" t="str">
        <f aca="false">PROPER(TRIM(SUBSTITUTE(Raw_Text_Fields!C850,CHAR(160)," ")))</f>
        <v>Home Office</v>
      </c>
      <c r="G849" s="3" t="str">
        <f aca="false">PROPER(TRIM(SUBSTITUTE(Raw_Text_Fields!D850,CHAR(160)," ")))</f>
        <v>East</v>
      </c>
      <c r="H849" s="3" t="str">
        <f aca="false">PROPER(TRIM(SUBSTITUTE(Raw_Text_Fields!E850,CHAR(160)," ")))</f>
        <v>Odisha</v>
      </c>
      <c r="I849" s="3" t="str">
        <f aca="false">PROPER(TRIM(SUBSTITUTE(Raw_Text_Fields!F850,CHAR(160)," ")))</f>
        <v>Bhubaneswar</v>
      </c>
      <c r="J849" s="3" t="str">
        <f aca="false">PROPER(TRIM(SUBSTITUTE(Raw_Text_Fields!G850,CHAR(160)," ")))</f>
        <v>Furniture</v>
      </c>
      <c r="K849" s="3" t="str">
        <f aca="false">PROPER(TRIM(SUBSTITUTE(Raw_Text_Fields!H850,CHAR(160)," ")))</f>
        <v>Tables</v>
      </c>
      <c r="L849" s="3" t="s">
        <v>2537</v>
      </c>
      <c r="M849" s="3" t="str">
        <f aca="false">PROPER(TRIM(SUBSTITUTE(Raw_Text_Fields!I850,CHAR(160)," ")))</f>
        <v>Second Class</v>
      </c>
      <c r="N849" s="3" t="n">
        <v>2</v>
      </c>
      <c r="O849" s="5" t="n">
        <v>210.08</v>
      </c>
      <c r="P849" s="6" t="n">
        <v>0.2</v>
      </c>
      <c r="Q849" s="5" t="n">
        <v>336.13</v>
      </c>
      <c r="R849" s="5" t="n">
        <v>242.19</v>
      </c>
      <c r="S849" s="5" t="n">
        <v>93.94</v>
      </c>
      <c r="T849" s="3" t="str">
        <f aca="false">PROPER(TRIM(SUBSTITUTE(Raw_Text_Fields!J850,CHAR(160)," ")))</f>
        <v>Paid</v>
      </c>
      <c r="U849" s="3" t="str">
        <f aca="false">PROPER(TRIM(SUBSTITUTE(Raw_Text_Fields!K850,CHAR(160)," ")))</f>
        <v>Completed</v>
      </c>
      <c r="V849" s="7" t="n">
        <f aca="false">IF(OR(P849&lt;0,P849&gt;0.5),0,P849)</f>
        <v>0.2</v>
      </c>
      <c r="W849" s="8" t="n">
        <f aca="false">N849*O849*(1-V849)</f>
        <v>336.128</v>
      </c>
      <c r="X849" s="8" t="n">
        <f aca="false">W849-R849</f>
        <v>93.9380000000001</v>
      </c>
      <c r="Y849" s="7" t="n">
        <f aca="false">IFERROR(X849/W849,0)</f>
        <v>0.279470915841584</v>
      </c>
      <c r="Z849" s="9" t="n">
        <f aca="false">C849-B849</f>
        <v>2</v>
      </c>
      <c r="AA849" s="1" t="str">
        <f aca="false">IF(B849="","",TEXT(B849,"mmm"))</f>
        <v>May</v>
      </c>
      <c r="AB849" s="9" t="n">
        <f aca="false">IF(B849="","",YEAR(B849))</f>
        <v>2025</v>
      </c>
      <c r="AC849" s="3"/>
      <c r="AD849" s="3" t="str">
        <f aca="false">IF(LEFT(AC849&amp;IF(B849="","; Missing Order Date","")&amp;IF(C849="","; Missing Ship Date","")&amp;IF(P849&lt;0,"; Invalid Discount (Negative)","")&amp;IF(P849&gt;0.5,"; Invalid Discount (Too High)","")&amp;IF(Z849&lt;0,"; Invalid Shipping Record (Ship Before Order)","")&amp;IF(ABS(Q849-W849)&gt;1,"; Sales Mismatch","")&amp;IF(ABS(S849-X849)&gt;1,"; Profit Mismatch","")&amp;IF(COUNTIF($A$2:$A$913,A849)&gt;1,"; Duplicate Order ID Conflict",""),2)="; ",MID(AC849&amp;IF(B849="","; Missing Order Date","")&amp;IF(C849="","; Missing Ship Date","")&amp;IF(P849&lt;0,"; Invalid Discount (Negative)","")&amp;IF(P849&gt;0.5,"; Invalid Discount (Too High)","")&amp;IF(Z849&lt;0,"; Invalid Shipping Record (Ship Before Order)","")&amp;IF(ABS(Q849-W849)&gt;1,"; Sales Mismatch","")&amp;IF(ABS(S849-X849)&gt;1,"; Profit Mismatch","")&amp;IF(COUNTIF($A$2:$A$913,A849)&gt;1,"; Duplicate Order ID Conflict",""),3,500),AC849&amp;IF(B849="","; Missing Order Date","")&amp;IF(C849="","; Missing Ship Date","")&amp;IF(P849&lt;0,"; Invalid Discount (Negative)","")&amp;IF(P849&gt;0.5,"; Invalid Discount (Too High)","")&amp;IF(Z849&lt;0,"; Invalid Shipping Record (Ship Before Order)","")&amp;IF(ABS(Q849-W849)&gt;1,"; Sales Mismatch","")&amp;IF(ABS(S849-X849)&gt;1,"; Profit Mismatch","")&amp;IF(COUNTIF($A$2:$A$913,A849)&gt;1,"; Duplicate Order ID Conflict",""))</f>
        <v/>
      </c>
      <c r="AE849" s="10" t="str">
        <f aca="false">IF(OR(ISNUMBER(SEARCH("Invalid Discount",AD849)),ISNUMBER(SEARCH("Invalid Shipping Record",AD849)),ISNUMBER(SEARCH("Sales Mismatch",AD849)),ISNUMBER(SEARCH("Profit Mismatch",AD849)),ISNUMBER(SEARCH("Duplicate Order ID Conflict",AD849)),ISNUMBER(SEARCH("Missing Order Date",AD849)),ISNUMBER(SEARCH("Missing Ship Date",AD849))),"Invalid",IF(AD849&lt;&gt;"","Warning","Clean"))</f>
        <v>Clean</v>
      </c>
    </row>
    <row r="850" customFormat="false" ht="15" hidden="false" customHeight="true" outlineLevel="0" collapsed="false">
      <c r="A850" s="3" t="s">
        <v>2538</v>
      </c>
      <c r="B850" s="4" t="n">
        <v>45804</v>
      </c>
      <c r="C850" s="4" t="n">
        <v>45806</v>
      </c>
      <c r="D850" s="3" t="s">
        <v>2539</v>
      </c>
      <c r="E850" s="3" t="str">
        <f aca="false">PROPER(TRIM(SUBSTITUTE(Raw_Text_Fields!B851,CHAR(160)," ")))</f>
        <v>Rahul Verma</v>
      </c>
      <c r="F850" s="3" t="str">
        <f aca="false">PROPER(TRIM(SUBSTITUTE(Raw_Text_Fields!C851,CHAR(160)," ")))</f>
        <v>Home Office</v>
      </c>
      <c r="G850" s="3" t="str">
        <f aca="false">PROPER(TRIM(SUBSTITUTE(Raw_Text_Fields!D851,CHAR(160)," ")))</f>
        <v>South</v>
      </c>
      <c r="H850" s="3" t="str">
        <f aca="false">PROPER(TRIM(SUBSTITUTE(Raw_Text_Fields!E851,CHAR(160)," ")))</f>
        <v>Tamil Nadu</v>
      </c>
      <c r="I850" s="3" t="str">
        <f aca="false">PROPER(TRIM(SUBSTITUTE(Raw_Text_Fields!F851,CHAR(160)," ")))</f>
        <v>Chennai</v>
      </c>
      <c r="J850" s="3" t="str">
        <f aca="false">PROPER(TRIM(SUBSTITUTE(Raw_Text_Fields!G851,CHAR(160)," ")))</f>
        <v>Furniture</v>
      </c>
      <c r="K850" s="3" t="str">
        <f aca="false">PROPER(TRIM(SUBSTITUTE(Raw_Text_Fields!H851,CHAR(160)," ")))</f>
        <v>Furnishings</v>
      </c>
      <c r="L850" s="3" t="s">
        <v>2540</v>
      </c>
      <c r="M850" s="3" t="str">
        <f aca="false">PROPER(TRIM(SUBSTITUTE(Raw_Text_Fields!I851,CHAR(160)," ")))</f>
        <v>Second Class</v>
      </c>
      <c r="N850" s="3" t="n">
        <v>1</v>
      </c>
      <c r="O850" s="5" t="n">
        <v>1744.35</v>
      </c>
      <c r="P850" s="6" t="n">
        <v>0.25</v>
      </c>
      <c r="Q850" s="5" t="n">
        <v>1308.26</v>
      </c>
      <c r="R850" s="5" t="n">
        <v>1083.56</v>
      </c>
      <c r="S850" s="5" t="n">
        <v>224.7</v>
      </c>
      <c r="T850" s="3" t="str">
        <f aca="false">PROPER(TRIM(SUBSTITUTE(Raw_Text_Fields!J851,CHAR(160)," ")))</f>
        <v>Paid</v>
      </c>
      <c r="U850" s="3" t="str">
        <f aca="false">PROPER(TRIM(SUBSTITUTE(Raw_Text_Fields!K851,CHAR(160)," ")))</f>
        <v>Completed</v>
      </c>
      <c r="V850" s="7" t="n">
        <f aca="false">IF(OR(P850&lt;0,P850&gt;0.5),0,P850)</f>
        <v>0.25</v>
      </c>
      <c r="W850" s="8" t="n">
        <f aca="false">N850*O850*(1-V850)</f>
        <v>1308.2625</v>
      </c>
      <c r="X850" s="8" t="n">
        <f aca="false">W850-R850</f>
        <v>224.7025</v>
      </c>
      <c r="Y850" s="7" t="n">
        <f aca="false">IFERROR(X850/W850,0)</f>
        <v>0.171756432673106</v>
      </c>
      <c r="Z850" s="9" t="n">
        <f aca="false">C850-B850</f>
        <v>2</v>
      </c>
      <c r="AA850" s="1" t="str">
        <f aca="false">IF(B850="","",TEXT(B850,"mmm"))</f>
        <v>May</v>
      </c>
      <c r="AB850" s="9" t="n">
        <f aca="false">IF(B850="","",YEAR(B850))</f>
        <v>2025</v>
      </c>
      <c r="AC850" s="3"/>
      <c r="AD850" s="3" t="str">
        <f aca="false">IF(LEFT(AC850&amp;IF(B850="","; Missing Order Date","")&amp;IF(C850="","; Missing Ship Date","")&amp;IF(P850&lt;0,"; Invalid Discount (Negative)","")&amp;IF(P850&gt;0.5,"; Invalid Discount (Too High)","")&amp;IF(Z850&lt;0,"; Invalid Shipping Record (Ship Before Order)","")&amp;IF(ABS(Q850-W850)&gt;1,"; Sales Mismatch","")&amp;IF(ABS(S850-X850)&gt;1,"; Profit Mismatch","")&amp;IF(COUNTIF($A$2:$A$913,A850)&gt;1,"; Duplicate Order ID Conflict",""),2)="; ",MID(AC850&amp;IF(B850="","; Missing Order Date","")&amp;IF(C850="","; Missing Ship Date","")&amp;IF(P850&lt;0,"; Invalid Discount (Negative)","")&amp;IF(P850&gt;0.5,"; Invalid Discount (Too High)","")&amp;IF(Z850&lt;0,"; Invalid Shipping Record (Ship Before Order)","")&amp;IF(ABS(Q850-W850)&gt;1,"; Sales Mismatch","")&amp;IF(ABS(S850-X850)&gt;1,"; Profit Mismatch","")&amp;IF(COUNTIF($A$2:$A$913,A850)&gt;1,"; Duplicate Order ID Conflict",""),3,500),AC850&amp;IF(B850="","; Missing Order Date","")&amp;IF(C850="","; Missing Ship Date","")&amp;IF(P850&lt;0,"; Invalid Discount (Negative)","")&amp;IF(P850&gt;0.5,"; Invalid Discount (Too High)","")&amp;IF(Z850&lt;0,"; Invalid Shipping Record (Ship Before Order)","")&amp;IF(ABS(Q850-W850)&gt;1,"; Sales Mismatch","")&amp;IF(ABS(S850-X850)&gt;1,"; Profit Mismatch","")&amp;IF(COUNTIF($A$2:$A$913,A850)&gt;1,"; Duplicate Order ID Conflict",""))</f>
        <v/>
      </c>
      <c r="AE850" s="10" t="str">
        <f aca="false">IF(OR(ISNUMBER(SEARCH("Invalid Discount",AD850)),ISNUMBER(SEARCH("Invalid Shipping Record",AD850)),ISNUMBER(SEARCH("Sales Mismatch",AD850)),ISNUMBER(SEARCH("Profit Mismatch",AD850)),ISNUMBER(SEARCH("Duplicate Order ID Conflict",AD850)),ISNUMBER(SEARCH("Missing Order Date",AD850)),ISNUMBER(SEARCH("Missing Ship Date",AD850))),"Invalid",IF(AD850&lt;&gt;"","Warning","Clean"))</f>
        <v>Clean</v>
      </c>
    </row>
    <row r="851" customFormat="false" ht="15" hidden="false" customHeight="true" outlineLevel="0" collapsed="false">
      <c r="A851" s="3" t="s">
        <v>2541</v>
      </c>
      <c r="B851" s="4" t="n">
        <v>45357</v>
      </c>
      <c r="C851" s="4" t="n">
        <v>45363</v>
      </c>
      <c r="D851" s="3" t="s">
        <v>2542</v>
      </c>
      <c r="E851" s="3" t="str">
        <f aca="false">PROPER(TRIM(SUBSTITUTE(Raw_Text_Fields!B852,CHAR(160)," ")))</f>
        <v>Isha Nair</v>
      </c>
      <c r="F851" s="3" t="str">
        <f aca="false">PROPER(TRIM(SUBSTITUTE(Raw_Text_Fields!C852,CHAR(160)," ")))</f>
        <v>Home Office</v>
      </c>
      <c r="G851" s="3" t="str">
        <f aca="false">PROPER(TRIM(SUBSTITUTE(Raw_Text_Fields!D852,CHAR(160)," ")))</f>
        <v>West</v>
      </c>
      <c r="H851" s="3" t="str">
        <f aca="false">PROPER(TRIM(SUBSTITUTE(Raw_Text_Fields!E852,CHAR(160)," ")))</f>
        <v>Gujarat</v>
      </c>
      <c r="I851" s="3" t="str">
        <f aca="false">PROPER(TRIM(SUBSTITUTE(Raw_Text_Fields!F852,CHAR(160)," ")))</f>
        <v>Ahmedabad</v>
      </c>
      <c r="J851" s="3" t="str">
        <f aca="false">PROPER(TRIM(SUBSTITUTE(Raw_Text_Fields!G852,CHAR(160)," ")))</f>
        <v>Furniture</v>
      </c>
      <c r="K851" s="3" t="str">
        <f aca="false">PROPER(TRIM(SUBSTITUTE(Raw_Text_Fields!H852,CHAR(160)," ")))</f>
        <v>Bookcases</v>
      </c>
      <c r="L851" s="3" t="s">
        <v>2543</v>
      </c>
      <c r="M851" s="3" t="str">
        <f aca="false">PROPER(TRIM(SUBSTITUTE(Raw_Text_Fields!I852,CHAR(160)," ")))</f>
        <v>Standard Class</v>
      </c>
      <c r="N851" s="3" t="n">
        <v>3</v>
      </c>
      <c r="O851" s="5" t="n">
        <v>679.63</v>
      </c>
      <c r="P851" s="6" t="n">
        <v>0.2</v>
      </c>
      <c r="Q851" s="5" t="n">
        <v>1631.11</v>
      </c>
      <c r="R851" s="5" t="n">
        <v>898.73</v>
      </c>
      <c r="S851" s="5" t="n">
        <v>396.58</v>
      </c>
      <c r="T851" s="3" t="str">
        <f aca="false">PROPER(TRIM(SUBSTITUTE(Raw_Text_Fields!J852,CHAR(160)," ")))</f>
        <v>Paid</v>
      </c>
      <c r="U851" s="3" t="str">
        <f aca="false">PROPER(TRIM(SUBSTITUTE(Raw_Text_Fields!K852,CHAR(160)," ")))</f>
        <v>Completed</v>
      </c>
      <c r="V851" s="7" t="n">
        <f aca="false">IF(OR(P851&lt;0,P851&gt;0.5),0,P851)</f>
        <v>0.2</v>
      </c>
      <c r="W851" s="8" t="n">
        <f aca="false">N851*O851*(1-V851)</f>
        <v>1631.112</v>
      </c>
      <c r="X851" s="8" t="n">
        <f aca="false">W851-R851</f>
        <v>732.382</v>
      </c>
      <c r="Y851" s="7" t="n">
        <f aca="false">IFERROR(X851/W851,0)</f>
        <v>0.449007793456243</v>
      </c>
      <c r="Z851" s="9" t="n">
        <f aca="false">C851-B851</f>
        <v>6</v>
      </c>
      <c r="AA851" s="1" t="str">
        <f aca="false">IF(B851="","",TEXT(B851,"mmm"))</f>
        <v>Mar</v>
      </c>
      <c r="AB851" s="9" t="n">
        <f aca="false">IF(B851="","",YEAR(B851))</f>
        <v>2024</v>
      </c>
      <c r="AC851" s="3"/>
      <c r="AD851" s="3" t="str">
        <f aca="false">IF(LEFT(AC851&amp;IF(B851="","; Missing Order Date","")&amp;IF(C851="","; Missing Ship Date","")&amp;IF(P851&lt;0,"; Invalid Discount (Negative)","")&amp;IF(P851&gt;0.5,"; Invalid Discount (Too High)","")&amp;IF(Z851&lt;0,"; Invalid Shipping Record (Ship Before Order)","")&amp;IF(ABS(Q851-W851)&gt;1,"; Sales Mismatch","")&amp;IF(ABS(S851-X851)&gt;1,"; Profit Mismatch","")&amp;IF(COUNTIF($A$2:$A$913,A851)&gt;1,"; Duplicate Order ID Conflict",""),2)="; ",MID(AC851&amp;IF(B851="","; Missing Order Date","")&amp;IF(C851="","; Missing Ship Date","")&amp;IF(P851&lt;0,"; Invalid Discount (Negative)","")&amp;IF(P851&gt;0.5,"; Invalid Discount (Too High)","")&amp;IF(Z851&lt;0,"; Invalid Shipping Record (Ship Before Order)","")&amp;IF(ABS(Q851-W851)&gt;1,"; Sales Mismatch","")&amp;IF(ABS(S851-X851)&gt;1,"; Profit Mismatch","")&amp;IF(COUNTIF($A$2:$A$913,A851)&gt;1,"; Duplicate Order ID Conflict",""),3,500),AC851&amp;IF(B851="","; Missing Order Date","")&amp;IF(C851="","; Missing Ship Date","")&amp;IF(P851&lt;0,"; Invalid Discount (Negative)","")&amp;IF(P851&gt;0.5,"; Invalid Discount (Too High)","")&amp;IF(Z851&lt;0,"; Invalid Shipping Record (Ship Before Order)","")&amp;IF(ABS(Q851-W851)&gt;1,"; Sales Mismatch","")&amp;IF(ABS(S851-X851)&gt;1,"; Profit Mismatch","")&amp;IF(COUNTIF($A$2:$A$913,A851)&gt;1,"; Duplicate Order ID Conflict",""))</f>
        <v>Profit Mismatch</v>
      </c>
      <c r="AE851" s="10" t="str">
        <f aca="false">IF(OR(ISNUMBER(SEARCH("Invalid Discount",AD851)),ISNUMBER(SEARCH("Invalid Shipping Record",AD851)),ISNUMBER(SEARCH("Sales Mismatch",AD851)),ISNUMBER(SEARCH("Profit Mismatch",AD851)),ISNUMBER(SEARCH("Duplicate Order ID Conflict",AD851)),ISNUMBER(SEARCH("Missing Order Date",AD851)),ISNUMBER(SEARCH("Missing Ship Date",AD851))),"Invalid",IF(AD851&lt;&gt;"","Warning","Clean"))</f>
        <v>Invalid</v>
      </c>
    </row>
    <row r="852" customFormat="false" ht="15" hidden="false" customHeight="true" outlineLevel="0" collapsed="false">
      <c r="A852" s="3" t="s">
        <v>2544</v>
      </c>
      <c r="B852" s="4" t="n">
        <v>45473</v>
      </c>
      <c r="C852" s="4" t="n">
        <v>45476</v>
      </c>
      <c r="D852" s="3" t="s">
        <v>2545</v>
      </c>
      <c r="E852" s="3" t="str">
        <f aca="false">PROPER(TRIM(SUBSTITUTE(Raw_Text_Fields!B853,CHAR(160)," ")))</f>
        <v>Priya Menon</v>
      </c>
      <c r="F852" s="3" t="str">
        <f aca="false">PROPER(TRIM(SUBSTITUTE(Raw_Text_Fields!C853,CHAR(160)," ")))</f>
        <v>Home Office</v>
      </c>
      <c r="G852" s="3" t="str">
        <f aca="false">PROPER(TRIM(SUBSTITUTE(Raw_Text_Fields!D853,CHAR(160)," ")))</f>
        <v>East</v>
      </c>
      <c r="H852" s="3" t="str">
        <f aca="false">PROPER(TRIM(SUBSTITUTE(Raw_Text_Fields!E853,CHAR(160)," ")))</f>
        <v>West Bengal</v>
      </c>
      <c r="I852" s="3" t="str">
        <f aca="false">PROPER(TRIM(SUBSTITUTE(Raw_Text_Fields!F853,CHAR(160)," ")))</f>
        <v>Kolkata</v>
      </c>
      <c r="J852" s="3" t="str">
        <f aca="false">PROPER(TRIM(SUBSTITUTE(Raw_Text_Fields!G853,CHAR(160)," ")))</f>
        <v>Office Supplies</v>
      </c>
      <c r="K852" s="3" t="str">
        <f aca="false">PROPER(TRIM(SUBSTITUTE(Raw_Text_Fields!H853,CHAR(160)," ")))</f>
        <v>Paper</v>
      </c>
      <c r="L852" s="3" t="s">
        <v>2546</v>
      </c>
      <c r="M852" s="3" t="str">
        <f aca="false">PROPER(TRIM(SUBSTITUTE(Raw_Text_Fields!I853,CHAR(160)," ")))</f>
        <v>First Class</v>
      </c>
      <c r="N852" s="3" t="n">
        <v>6</v>
      </c>
      <c r="O852" s="5" t="n">
        <v>1211.01</v>
      </c>
      <c r="P852" s="6" t="n">
        <v>0</v>
      </c>
      <c r="Q852" s="5" t="n">
        <v>7266.06</v>
      </c>
      <c r="R852" s="5" t="n">
        <v>6216.89</v>
      </c>
      <c r="S852" s="5" t="n">
        <v>1049.17</v>
      </c>
      <c r="T852" s="3" t="str">
        <f aca="false">PROPER(TRIM(SUBSTITUTE(Raw_Text_Fields!J853,CHAR(160)," ")))</f>
        <v>Paid</v>
      </c>
      <c r="U852" s="3" t="str">
        <f aca="false">PROPER(TRIM(SUBSTITUTE(Raw_Text_Fields!K853,CHAR(160)," ")))</f>
        <v>Completed</v>
      </c>
      <c r="V852" s="7" t="n">
        <f aca="false">IF(OR(P852&lt;0,P852&gt;0.5),0,P852)</f>
        <v>0</v>
      </c>
      <c r="W852" s="8" t="n">
        <f aca="false">N852*O852*(1-V852)</f>
        <v>7266.06</v>
      </c>
      <c r="X852" s="8" t="n">
        <f aca="false">W852-R852</f>
        <v>1049.17</v>
      </c>
      <c r="Y852" s="7" t="n">
        <f aca="false">IFERROR(X852/W852,0)</f>
        <v>0.144393247509654</v>
      </c>
      <c r="Z852" s="9" t="n">
        <f aca="false">C852-B852</f>
        <v>3</v>
      </c>
      <c r="AA852" s="1" t="str">
        <f aca="false">IF(B852="","",TEXT(B852,"mmm"))</f>
        <v>Jun</v>
      </c>
      <c r="AB852" s="9" t="n">
        <f aca="false">IF(B852="","",YEAR(B852))</f>
        <v>2024</v>
      </c>
      <c r="AC852" s="3"/>
      <c r="AD852" s="3" t="str">
        <f aca="false">IF(LEFT(AC852&amp;IF(B852="","; Missing Order Date","")&amp;IF(C852="","; Missing Ship Date","")&amp;IF(P852&lt;0,"; Invalid Discount (Negative)","")&amp;IF(P852&gt;0.5,"; Invalid Discount (Too High)","")&amp;IF(Z852&lt;0,"; Invalid Shipping Record (Ship Before Order)","")&amp;IF(ABS(Q852-W852)&gt;1,"; Sales Mismatch","")&amp;IF(ABS(S852-X852)&gt;1,"; Profit Mismatch","")&amp;IF(COUNTIF($A$2:$A$913,A852)&gt;1,"; Duplicate Order ID Conflict",""),2)="; ",MID(AC852&amp;IF(B852="","; Missing Order Date","")&amp;IF(C852="","; Missing Ship Date","")&amp;IF(P852&lt;0,"; Invalid Discount (Negative)","")&amp;IF(P852&gt;0.5,"; Invalid Discount (Too High)","")&amp;IF(Z852&lt;0,"; Invalid Shipping Record (Ship Before Order)","")&amp;IF(ABS(Q852-W852)&gt;1,"; Sales Mismatch","")&amp;IF(ABS(S852-X852)&gt;1,"; Profit Mismatch","")&amp;IF(COUNTIF($A$2:$A$913,A852)&gt;1,"; Duplicate Order ID Conflict",""),3,500),AC852&amp;IF(B852="","; Missing Order Date","")&amp;IF(C852="","; Missing Ship Date","")&amp;IF(P852&lt;0,"; Invalid Discount (Negative)","")&amp;IF(P852&gt;0.5,"; Invalid Discount (Too High)","")&amp;IF(Z852&lt;0,"; Invalid Shipping Record (Ship Before Order)","")&amp;IF(ABS(Q852-W852)&gt;1,"; Sales Mismatch","")&amp;IF(ABS(S852-X852)&gt;1,"; Profit Mismatch","")&amp;IF(COUNTIF($A$2:$A$913,A852)&gt;1,"; Duplicate Order ID Conflict",""))</f>
        <v/>
      </c>
      <c r="AE852" s="10" t="str">
        <f aca="false">IF(OR(ISNUMBER(SEARCH("Invalid Discount",AD852)),ISNUMBER(SEARCH("Invalid Shipping Record",AD852)),ISNUMBER(SEARCH("Sales Mismatch",AD852)),ISNUMBER(SEARCH("Profit Mismatch",AD852)),ISNUMBER(SEARCH("Duplicate Order ID Conflict",AD852)),ISNUMBER(SEARCH("Missing Order Date",AD852)),ISNUMBER(SEARCH("Missing Ship Date",AD852))),"Invalid",IF(AD852&lt;&gt;"","Warning","Clean"))</f>
        <v>Clean</v>
      </c>
    </row>
    <row r="853" customFormat="false" ht="15" hidden="false" customHeight="true" outlineLevel="0" collapsed="false">
      <c r="A853" s="3" t="s">
        <v>2547</v>
      </c>
      <c r="B853" s="4" t="n">
        <v>45377</v>
      </c>
      <c r="C853" s="4" t="n">
        <v>45383</v>
      </c>
      <c r="D853" s="3" t="s">
        <v>2548</v>
      </c>
      <c r="E853" s="3" t="str">
        <f aca="false">PROPER(TRIM(SUBSTITUTE(Raw_Text_Fields!B854,CHAR(160)," ")))</f>
        <v>Karan Malhotra</v>
      </c>
      <c r="F853" s="3" t="str">
        <f aca="false">PROPER(TRIM(SUBSTITUTE(Raw_Text_Fields!C854,CHAR(160)," ")))</f>
        <v>Small Business</v>
      </c>
      <c r="G853" s="3" t="str">
        <f aca="false">PROPER(TRIM(SUBSTITUTE(Raw_Text_Fields!D854,CHAR(160)," ")))</f>
        <v>West</v>
      </c>
      <c r="H853" s="3" t="str">
        <f aca="false">PROPER(TRIM(SUBSTITUTE(Raw_Text_Fields!E854,CHAR(160)," ")))</f>
        <v>Gujarat</v>
      </c>
      <c r="I853" s="3" t="str">
        <f aca="false">PROPER(TRIM(SUBSTITUTE(Raw_Text_Fields!F854,CHAR(160)," ")))</f>
        <v>Ahmedabad</v>
      </c>
      <c r="J853" s="3" t="str">
        <f aca="false">PROPER(TRIM(SUBSTITUTE(Raw_Text_Fields!G854,CHAR(160)," ")))</f>
        <v>Technology</v>
      </c>
      <c r="K853" s="3" t="str">
        <f aca="false">PROPER(TRIM(SUBSTITUTE(Raw_Text_Fields!H854,CHAR(160)," ")))</f>
        <v>Accessories</v>
      </c>
      <c r="L853" s="3" t="s">
        <v>2549</v>
      </c>
      <c r="M853" s="3" t="str">
        <f aca="false">PROPER(TRIM(SUBSTITUTE(Raw_Text_Fields!I854,CHAR(160)," ")))</f>
        <v>First Class</v>
      </c>
      <c r="N853" s="3" t="n">
        <v>2</v>
      </c>
      <c r="O853" s="5" t="n">
        <v>1161.3</v>
      </c>
      <c r="P853" s="6" t="n">
        <v>0.2</v>
      </c>
      <c r="Q853" s="5" t="n">
        <v>1858.08</v>
      </c>
      <c r="R853" s="5" t="n">
        <v>1590.75</v>
      </c>
      <c r="S853" s="5" t="n">
        <v>267.33</v>
      </c>
      <c r="T853" s="3" t="str">
        <f aca="false">PROPER(TRIM(SUBSTITUTE(Raw_Text_Fields!J854,CHAR(160)," ")))</f>
        <v>Paid</v>
      </c>
      <c r="U853" s="3" t="str">
        <f aca="false">PROPER(TRIM(SUBSTITUTE(Raw_Text_Fields!K854,CHAR(160)," ")))</f>
        <v>Completed</v>
      </c>
      <c r="V853" s="7" t="n">
        <f aca="false">IF(OR(P853&lt;0,P853&gt;0.5),0,P853)</f>
        <v>0.2</v>
      </c>
      <c r="W853" s="8" t="n">
        <f aca="false">N853*O853*(1-V853)</f>
        <v>1858.08</v>
      </c>
      <c r="X853" s="8" t="n">
        <f aca="false">W853-R853</f>
        <v>267.33</v>
      </c>
      <c r="Y853" s="7" t="n">
        <f aca="false">IFERROR(X853/W853,0)</f>
        <v>0.143874321880651</v>
      </c>
      <c r="Z853" s="9" t="n">
        <f aca="false">C853-B853</f>
        <v>6</v>
      </c>
      <c r="AA853" s="1" t="str">
        <f aca="false">IF(B853="","",TEXT(B853,"mmm"))</f>
        <v>Mar</v>
      </c>
      <c r="AB853" s="9" t="n">
        <f aca="false">IF(B853="","",YEAR(B853))</f>
        <v>2024</v>
      </c>
      <c r="AC853" s="3"/>
      <c r="AD853" s="3" t="str">
        <f aca="false">IF(LEFT(AC853&amp;IF(B853="","; Missing Order Date","")&amp;IF(C853="","; Missing Ship Date","")&amp;IF(P853&lt;0,"; Invalid Discount (Negative)","")&amp;IF(P853&gt;0.5,"; Invalid Discount (Too High)","")&amp;IF(Z853&lt;0,"; Invalid Shipping Record (Ship Before Order)","")&amp;IF(ABS(Q853-W853)&gt;1,"; Sales Mismatch","")&amp;IF(ABS(S853-X853)&gt;1,"; Profit Mismatch","")&amp;IF(COUNTIF($A$2:$A$913,A853)&gt;1,"; Duplicate Order ID Conflict",""),2)="; ",MID(AC853&amp;IF(B853="","; Missing Order Date","")&amp;IF(C853="","; Missing Ship Date","")&amp;IF(P853&lt;0,"; Invalid Discount (Negative)","")&amp;IF(P853&gt;0.5,"; Invalid Discount (Too High)","")&amp;IF(Z853&lt;0,"; Invalid Shipping Record (Ship Before Order)","")&amp;IF(ABS(Q853-W853)&gt;1,"; Sales Mismatch","")&amp;IF(ABS(S853-X853)&gt;1,"; Profit Mismatch","")&amp;IF(COUNTIF($A$2:$A$913,A853)&gt;1,"; Duplicate Order ID Conflict",""),3,500),AC853&amp;IF(B853="","; Missing Order Date","")&amp;IF(C853="","; Missing Ship Date","")&amp;IF(P853&lt;0,"; Invalid Discount (Negative)","")&amp;IF(P853&gt;0.5,"; Invalid Discount (Too High)","")&amp;IF(Z853&lt;0,"; Invalid Shipping Record (Ship Before Order)","")&amp;IF(ABS(Q853-W853)&gt;1,"; Sales Mismatch","")&amp;IF(ABS(S853-X853)&gt;1,"; Profit Mismatch","")&amp;IF(COUNTIF($A$2:$A$913,A853)&gt;1,"; Duplicate Order ID Conflict",""))</f>
        <v/>
      </c>
      <c r="AE853" s="10" t="str">
        <f aca="false">IF(OR(ISNUMBER(SEARCH("Invalid Discount",AD853)),ISNUMBER(SEARCH("Invalid Shipping Record",AD853)),ISNUMBER(SEARCH("Sales Mismatch",AD853)),ISNUMBER(SEARCH("Profit Mismatch",AD853)),ISNUMBER(SEARCH("Duplicate Order ID Conflict",AD853)),ISNUMBER(SEARCH("Missing Order Date",AD853)),ISNUMBER(SEARCH("Missing Ship Date",AD853))),"Invalid",IF(AD853&lt;&gt;"","Warning","Clean"))</f>
        <v>Clean</v>
      </c>
    </row>
    <row r="854" customFormat="false" ht="15" hidden="false" customHeight="true" outlineLevel="0" collapsed="false">
      <c r="A854" s="3" t="s">
        <v>2550</v>
      </c>
      <c r="B854" s="4" t="n">
        <v>45383</v>
      </c>
      <c r="C854" s="4" t="n">
        <v>45390</v>
      </c>
      <c r="D854" s="3" t="s">
        <v>2551</v>
      </c>
      <c r="E854" s="3" t="str">
        <f aca="false">PROPER(TRIM(SUBSTITUTE(Raw_Text_Fields!B855,CHAR(160)," ")))</f>
        <v>Ananya Rao</v>
      </c>
      <c r="F854" s="3" t="str">
        <f aca="false">PROPER(TRIM(SUBSTITUTE(Raw_Text_Fields!C855,CHAR(160)," ")))</f>
        <v>Consumer</v>
      </c>
      <c r="G854" s="3" t="str">
        <f aca="false">PROPER(TRIM(SUBSTITUTE(Raw_Text_Fields!D855,CHAR(160)," ")))</f>
        <v>East</v>
      </c>
      <c r="H854" s="3" t="str">
        <f aca="false">PROPER(TRIM(SUBSTITUTE(Raw_Text_Fields!E855,CHAR(160)," ")))</f>
        <v>Assam</v>
      </c>
      <c r="I854" s="3" t="str">
        <f aca="false">PROPER(TRIM(SUBSTITUTE(Raw_Text_Fields!F855,CHAR(160)," ")))</f>
        <v>Guwahati</v>
      </c>
      <c r="J854" s="3" t="str">
        <f aca="false">PROPER(TRIM(SUBSTITUTE(Raw_Text_Fields!G855,CHAR(160)," ")))</f>
        <v>Furniture</v>
      </c>
      <c r="K854" s="3" t="str">
        <f aca="false">PROPER(TRIM(SUBSTITUTE(Raw_Text_Fields!H855,CHAR(160)," ")))</f>
        <v>Tables</v>
      </c>
      <c r="L854" s="3" t="s">
        <v>2552</v>
      </c>
      <c r="M854" s="3" t="str">
        <f aca="false">PROPER(TRIM(SUBSTITUTE(Raw_Text_Fields!I855,CHAR(160)," ")))</f>
        <v>Second Class</v>
      </c>
      <c r="N854" s="3" t="n">
        <v>7</v>
      </c>
      <c r="O854" s="5" t="n">
        <v>4205.35</v>
      </c>
      <c r="P854" s="6" t="n">
        <v>0.15</v>
      </c>
      <c r="Q854" s="5" t="n">
        <v>25021.83</v>
      </c>
      <c r="R854" s="5" t="n">
        <v>15544.44</v>
      </c>
      <c r="S854" s="5" t="n">
        <v>9477.39</v>
      </c>
      <c r="T854" s="3" t="str">
        <f aca="false">PROPER(TRIM(SUBSTITUTE(Raw_Text_Fields!J855,CHAR(160)," ")))</f>
        <v>Pending</v>
      </c>
      <c r="U854" s="3" t="str">
        <f aca="false">PROPER(TRIM(SUBSTITUTE(Raw_Text_Fields!K855,CHAR(160)," ")))</f>
        <v>Cancelled</v>
      </c>
      <c r="V854" s="7" t="n">
        <f aca="false">IF(OR(P854&lt;0,P854&gt;0.5),0,P854)</f>
        <v>0.15</v>
      </c>
      <c r="W854" s="8" t="n">
        <f aca="false">N854*O854*(1-V854)</f>
        <v>25021.8325</v>
      </c>
      <c r="X854" s="8" t="n">
        <f aca="false">W854-R854</f>
        <v>9477.3925</v>
      </c>
      <c r="Y854" s="7" t="n">
        <f aca="false">IFERROR(X854/W854,0)</f>
        <v>0.378764924591354</v>
      </c>
      <c r="Z854" s="9" t="n">
        <f aca="false">C854-B854</f>
        <v>7</v>
      </c>
      <c r="AA854" s="1" t="str">
        <f aca="false">IF(B854="","",TEXT(B854,"mmm"))</f>
        <v>Apr</v>
      </c>
      <c r="AB854" s="9" t="n">
        <f aca="false">IF(B854="","",YEAR(B854))</f>
        <v>2024</v>
      </c>
      <c r="AC854" s="3"/>
      <c r="AD854" s="3" t="str">
        <f aca="false">IF(LEFT(AC854&amp;IF(B854="","; Missing Order Date","")&amp;IF(C854="","; Missing Ship Date","")&amp;IF(P854&lt;0,"; Invalid Discount (Negative)","")&amp;IF(P854&gt;0.5,"; Invalid Discount (Too High)","")&amp;IF(Z854&lt;0,"; Invalid Shipping Record (Ship Before Order)","")&amp;IF(ABS(Q854-W854)&gt;1,"; Sales Mismatch","")&amp;IF(ABS(S854-X854)&gt;1,"; Profit Mismatch","")&amp;IF(COUNTIF($A$2:$A$913,A854)&gt;1,"; Duplicate Order ID Conflict",""),2)="; ",MID(AC854&amp;IF(B854="","; Missing Order Date","")&amp;IF(C854="","; Missing Ship Date","")&amp;IF(P854&lt;0,"; Invalid Discount (Negative)","")&amp;IF(P854&gt;0.5,"; Invalid Discount (Too High)","")&amp;IF(Z854&lt;0,"; Invalid Shipping Record (Ship Before Order)","")&amp;IF(ABS(Q854-W854)&gt;1,"; Sales Mismatch","")&amp;IF(ABS(S854-X854)&gt;1,"; Profit Mismatch","")&amp;IF(COUNTIF($A$2:$A$913,A854)&gt;1,"; Duplicate Order ID Conflict",""),3,500),AC854&amp;IF(B854="","; Missing Order Date","")&amp;IF(C854="","; Missing Ship Date","")&amp;IF(P854&lt;0,"; Invalid Discount (Negative)","")&amp;IF(P854&gt;0.5,"; Invalid Discount (Too High)","")&amp;IF(Z854&lt;0,"; Invalid Shipping Record (Ship Before Order)","")&amp;IF(ABS(Q854-W854)&gt;1,"; Sales Mismatch","")&amp;IF(ABS(S854-X854)&gt;1,"; Profit Mismatch","")&amp;IF(COUNTIF($A$2:$A$913,A854)&gt;1,"; Duplicate Order ID Conflict",""))</f>
        <v/>
      </c>
      <c r="AE854" s="10" t="str">
        <f aca="false">IF(OR(ISNUMBER(SEARCH("Invalid Discount",AD854)),ISNUMBER(SEARCH("Invalid Shipping Record",AD854)),ISNUMBER(SEARCH("Sales Mismatch",AD854)),ISNUMBER(SEARCH("Profit Mismatch",AD854)),ISNUMBER(SEARCH("Duplicate Order ID Conflict",AD854)),ISNUMBER(SEARCH("Missing Order Date",AD854)),ISNUMBER(SEARCH("Missing Ship Date",AD854))),"Invalid",IF(AD854&lt;&gt;"","Warning","Clean"))</f>
        <v>Clean</v>
      </c>
    </row>
    <row r="855" customFormat="false" ht="15" hidden="false" customHeight="true" outlineLevel="0" collapsed="false">
      <c r="A855" s="3" t="s">
        <v>2553</v>
      </c>
      <c r="B855" s="4" t="n">
        <v>45793</v>
      </c>
      <c r="C855" s="4" t="n">
        <v>45799</v>
      </c>
      <c r="D855" s="3" t="s">
        <v>2554</v>
      </c>
      <c r="E855" s="3" t="str">
        <f aca="false">PROPER(TRIM(SUBSTITUTE(Raw_Text_Fields!B856,CHAR(160)," ")))</f>
        <v>Arjun Bose</v>
      </c>
      <c r="F855" s="3" t="str">
        <f aca="false">PROPER(TRIM(SUBSTITUTE(Raw_Text_Fields!C856,CHAR(160)," ")))</f>
        <v>Corporate</v>
      </c>
      <c r="G855" s="3" t="str">
        <f aca="false">PROPER(TRIM(SUBSTITUTE(Raw_Text_Fields!D856,CHAR(160)," ")))</f>
        <v>South</v>
      </c>
      <c r="H855" s="3" t="str">
        <f aca="false">PROPER(TRIM(SUBSTITUTE(Raw_Text_Fields!E856,CHAR(160)," ")))</f>
        <v>Tamil Nadu</v>
      </c>
      <c r="I855" s="3" t="str">
        <f aca="false">PROPER(TRIM(SUBSTITUTE(Raw_Text_Fields!F856,CHAR(160)," ")))</f>
        <v>Chennai</v>
      </c>
      <c r="J855" s="3" t="str">
        <f aca="false">PROPER(TRIM(SUBSTITUTE(Raw_Text_Fields!G856,CHAR(160)," ")))</f>
        <v>Technology</v>
      </c>
      <c r="K855" s="3" t="str">
        <f aca="false">PROPER(TRIM(SUBSTITUTE(Raw_Text_Fields!H856,CHAR(160)," ")))</f>
        <v>Accessories</v>
      </c>
      <c r="L855" s="3" t="s">
        <v>2555</v>
      </c>
      <c r="M855" s="3" t="str">
        <f aca="false">PROPER(TRIM(SUBSTITUTE(Raw_Text_Fields!I856,CHAR(160)," ")))</f>
        <v>Same Day</v>
      </c>
      <c r="N855" s="3" t="n">
        <v>8</v>
      </c>
      <c r="O855" s="5" t="n">
        <v>579.8</v>
      </c>
      <c r="P855" s="6" t="n">
        <v>0.2</v>
      </c>
      <c r="Q855" s="5" t="n">
        <v>3710.72</v>
      </c>
      <c r="R855" s="5" t="n">
        <v>3115.29</v>
      </c>
      <c r="S855" s="5" t="n">
        <v>595.43</v>
      </c>
      <c r="T855" s="3" t="str">
        <f aca="false">PROPER(TRIM(SUBSTITUTE(Raw_Text_Fields!J856,CHAR(160)," ")))</f>
        <v>Paid</v>
      </c>
      <c r="U855" s="3" t="str">
        <f aca="false">PROPER(TRIM(SUBSTITUTE(Raw_Text_Fields!K856,CHAR(160)," ")))</f>
        <v>Completed</v>
      </c>
      <c r="V855" s="7" t="n">
        <f aca="false">IF(OR(P855&lt;0,P855&gt;0.5),0,P855)</f>
        <v>0.2</v>
      </c>
      <c r="W855" s="8" t="n">
        <f aca="false">N855*O855*(1-V855)</f>
        <v>3710.72</v>
      </c>
      <c r="X855" s="8" t="n">
        <f aca="false">W855-R855</f>
        <v>595.43</v>
      </c>
      <c r="Y855" s="7" t="n">
        <f aca="false">IFERROR(X855/W855,0)</f>
        <v>0.160462120558813</v>
      </c>
      <c r="Z855" s="9" t="n">
        <f aca="false">C855-B855</f>
        <v>6</v>
      </c>
      <c r="AA855" s="1" t="str">
        <f aca="false">IF(B855="","",TEXT(B855,"mmm"))</f>
        <v>May</v>
      </c>
      <c r="AB855" s="9" t="n">
        <f aca="false">IF(B855="","",YEAR(B855))</f>
        <v>2025</v>
      </c>
      <c r="AC855" s="3"/>
      <c r="AD855" s="3" t="str">
        <f aca="false">IF(LEFT(AC855&amp;IF(B855="","; Missing Order Date","")&amp;IF(C855="","; Missing Ship Date","")&amp;IF(P855&lt;0,"; Invalid Discount (Negative)","")&amp;IF(P855&gt;0.5,"; Invalid Discount (Too High)","")&amp;IF(Z855&lt;0,"; Invalid Shipping Record (Ship Before Order)","")&amp;IF(ABS(Q855-W855)&gt;1,"; Sales Mismatch","")&amp;IF(ABS(S855-X855)&gt;1,"; Profit Mismatch","")&amp;IF(COUNTIF($A$2:$A$913,A855)&gt;1,"; Duplicate Order ID Conflict",""),2)="; ",MID(AC855&amp;IF(B855="","; Missing Order Date","")&amp;IF(C855="","; Missing Ship Date","")&amp;IF(P855&lt;0,"; Invalid Discount (Negative)","")&amp;IF(P855&gt;0.5,"; Invalid Discount (Too High)","")&amp;IF(Z855&lt;0,"; Invalid Shipping Record (Ship Before Order)","")&amp;IF(ABS(Q855-W855)&gt;1,"; Sales Mismatch","")&amp;IF(ABS(S855-X855)&gt;1,"; Profit Mismatch","")&amp;IF(COUNTIF($A$2:$A$913,A855)&gt;1,"; Duplicate Order ID Conflict",""),3,500),AC855&amp;IF(B855="","; Missing Order Date","")&amp;IF(C855="","; Missing Ship Date","")&amp;IF(P855&lt;0,"; Invalid Discount (Negative)","")&amp;IF(P855&gt;0.5,"; Invalid Discount (Too High)","")&amp;IF(Z855&lt;0,"; Invalid Shipping Record (Ship Before Order)","")&amp;IF(ABS(Q855-W855)&gt;1,"; Sales Mismatch","")&amp;IF(ABS(S855-X855)&gt;1,"; Profit Mismatch","")&amp;IF(COUNTIF($A$2:$A$913,A855)&gt;1,"; Duplicate Order ID Conflict",""))</f>
        <v/>
      </c>
      <c r="AE855" s="10" t="str">
        <f aca="false">IF(OR(ISNUMBER(SEARCH("Invalid Discount",AD855)),ISNUMBER(SEARCH("Invalid Shipping Record",AD855)),ISNUMBER(SEARCH("Sales Mismatch",AD855)),ISNUMBER(SEARCH("Profit Mismatch",AD855)),ISNUMBER(SEARCH("Duplicate Order ID Conflict",AD855)),ISNUMBER(SEARCH("Missing Order Date",AD855)),ISNUMBER(SEARCH("Missing Ship Date",AD855))),"Invalid",IF(AD855&lt;&gt;"","Warning","Clean"))</f>
        <v>Clean</v>
      </c>
    </row>
    <row r="856" customFormat="false" ht="15" hidden="false" customHeight="true" outlineLevel="0" collapsed="false">
      <c r="A856" s="3" t="s">
        <v>2556</v>
      </c>
      <c r="B856" s="4" t="n">
        <v>45741</v>
      </c>
      <c r="C856" s="4" t="n">
        <v>45749</v>
      </c>
      <c r="D856" s="3" t="s">
        <v>2557</v>
      </c>
      <c r="E856" s="3" t="str">
        <f aca="false">PROPER(TRIM(SUBSTITUTE(Raw_Text_Fields!B857,CHAR(160)," ")))</f>
        <v>Priya Menon</v>
      </c>
      <c r="F856" s="3" t="str">
        <f aca="false">PROPER(TRIM(SUBSTITUTE(Raw_Text_Fields!C857,CHAR(160)," ")))</f>
        <v>Consumer</v>
      </c>
      <c r="G856" s="3" t="str">
        <f aca="false">PROPER(TRIM(SUBSTITUTE(Raw_Text_Fields!D857,CHAR(160)," ")))</f>
        <v>South</v>
      </c>
      <c r="H856" s="3" t="str">
        <f aca="false">PROPER(TRIM(SUBSTITUTE(Raw_Text_Fields!E857,CHAR(160)," ")))</f>
        <v>Karnataka</v>
      </c>
      <c r="I856" s="3" t="str">
        <f aca="false">PROPER(TRIM(SUBSTITUTE(Raw_Text_Fields!F857,CHAR(160)," ")))</f>
        <v>Bengaluru</v>
      </c>
      <c r="J856" s="3" t="str">
        <f aca="false">PROPER(TRIM(SUBSTITUTE(Raw_Text_Fields!G857,CHAR(160)," ")))</f>
        <v>Furniture</v>
      </c>
      <c r="K856" s="3" t="str">
        <f aca="false">PROPER(TRIM(SUBSTITUTE(Raw_Text_Fields!H857,CHAR(160)," ")))</f>
        <v>Bookcases</v>
      </c>
      <c r="L856" s="3" t="s">
        <v>2558</v>
      </c>
      <c r="M856" s="3" t="str">
        <f aca="false">PROPER(TRIM(SUBSTITUTE(Raw_Text_Fields!I857,CHAR(160)," ")))</f>
        <v>Second Class</v>
      </c>
      <c r="N856" s="3" t="n">
        <v>4</v>
      </c>
      <c r="O856" s="5" t="n">
        <v>2233.64</v>
      </c>
      <c r="P856" s="6" t="n">
        <v>0.05</v>
      </c>
      <c r="Q856" s="5" t="n">
        <v>8487.83</v>
      </c>
      <c r="R856" s="5" t="n">
        <v>5245.72</v>
      </c>
      <c r="S856" s="5" t="n">
        <v>3242.11</v>
      </c>
      <c r="T856" s="3" t="str">
        <f aca="false">PROPER(TRIM(SUBSTITUTE(Raw_Text_Fields!J857,CHAR(160)," ")))</f>
        <v>Paid</v>
      </c>
      <c r="U856" s="3" t="str">
        <f aca="false">PROPER(TRIM(SUBSTITUTE(Raw_Text_Fields!K857,CHAR(160)," ")))</f>
        <v>Completed</v>
      </c>
      <c r="V856" s="7" t="n">
        <f aca="false">IF(OR(P856&lt;0,P856&gt;0.5),0,P856)</f>
        <v>0.05</v>
      </c>
      <c r="W856" s="8" t="n">
        <f aca="false">N856*O856*(1-V856)</f>
        <v>8487.832</v>
      </c>
      <c r="X856" s="8" t="n">
        <f aca="false">W856-R856</f>
        <v>3242.112</v>
      </c>
      <c r="Y856" s="7" t="n">
        <f aca="false">IFERROR(X856/W856,0)</f>
        <v>0.381971744963849</v>
      </c>
      <c r="Z856" s="9" t="n">
        <f aca="false">C856-B856</f>
        <v>8</v>
      </c>
      <c r="AA856" s="1" t="str">
        <f aca="false">IF(B856="","",TEXT(B856,"mmm"))</f>
        <v>Mar</v>
      </c>
      <c r="AB856" s="9" t="n">
        <f aca="false">IF(B856="","",YEAR(B856))</f>
        <v>2025</v>
      </c>
      <c r="AC856" s="3"/>
      <c r="AD856" s="3" t="str">
        <f aca="false">IF(LEFT(AC856&amp;IF(B856="","; Missing Order Date","")&amp;IF(C856="","; Missing Ship Date","")&amp;IF(P856&lt;0,"; Invalid Discount (Negative)","")&amp;IF(P856&gt;0.5,"; Invalid Discount (Too High)","")&amp;IF(Z856&lt;0,"; Invalid Shipping Record (Ship Before Order)","")&amp;IF(ABS(Q856-W856)&gt;1,"; Sales Mismatch","")&amp;IF(ABS(S856-X856)&gt;1,"; Profit Mismatch","")&amp;IF(COUNTIF($A$2:$A$913,A856)&gt;1,"; Duplicate Order ID Conflict",""),2)="; ",MID(AC856&amp;IF(B856="","; Missing Order Date","")&amp;IF(C856="","; Missing Ship Date","")&amp;IF(P856&lt;0,"; Invalid Discount (Negative)","")&amp;IF(P856&gt;0.5,"; Invalid Discount (Too High)","")&amp;IF(Z856&lt;0,"; Invalid Shipping Record (Ship Before Order)","")&amp;IF(ABS(Q856-W856)&gt;1,"; Sales Mismatch","")&amp;IF(ABS(S856-X856)&gt;1,"; Profit Mismatch","")&amp;IF(COUNTIF($A$2:$A$913,A856)&gt;1,"; Duplicate Order ID Conflict",""),3,500),AC856&amp;IF(B856="","; Missing Order Date","")&amp;IF(C856="","; Missing Ship Date","")&amp;IF(P856&lt;0,"; Invalid Discount (Negative)","")&amp;IF(P856&gt;0.5,"; Invalid Discount (Too High)","")&amp;IF(Z856&lt;0,"; Invalid Shipping Record (Ship Before Order)","")&amp;IF(ABS(Q856-W856)&gt;1,"; Sales Mismatch","")&amp;IF(ABS(S856-X856)&gt;1,"; Profit Mismatch","")&amp;IF(COUNTIF($A$2:$A$913,A856)&gt;1,"; Duplicate Order ID Conflict",""))</f>
        <v/>
      </c>
      <c r="AE856" s="10" t="str">
        <f aca="false">IF(OR(ISNUMBER(SEARCH("Invalid Discount",AD856)),ISNUMBER(SEARCH("Invalid Shipping Record",AD856)),ISNUMBER(SEARCH("Sales Mismatch",AD856)),ISNUMBER(SEARCH("Profit Mismatch",AD856)),ISNUMBER(SEARCH("Duplicate Order ID Conflict",AD856)),ISNUMBER(SEARCH("Missing Order Date",AD856)),ISNUMBER(SEARCH("Missing Ship Date",AD856))),"Invalid",IF(AD856&lt;&gt;"","Warning","Clean"))</f>
        <v>Clean</v>
      </c>
    </row>
    <row r="857" customFormat="false" ht="15" hidden="false" customHeight="true" outlineLevel="0" collapsed="false">
      <c r="A857" s="3" t="s">
        <v>2559</v>
      </c>
      <c r="B857" s="4" t="n">
        <v>45498</v>
      </c>
      <c r="C857" s="4" t="n">
        <v>45506</v>
      </c>
      <c r="D857" s="3" t="s">
        <v>1044</v>
      </c>
      <c r="E857" s="3" t="str">
        <f aca="false">PROPER(TRIM(SUBSTITUTE(Raw_Text_Fields!B858,CHAR(160)," ")))</f>
        <v>Rahul Verma</v>
      </c>
      <c r="F857" s="3" t="str">
        <f aca="false">PROPER(TRIM(SUBSTITUTE(Raw_Text_Fields!C858,CHAR(160)," ")))</f>
        <v>Consumer</v>
      </c>
      <c r="G857" s="3" t="str">
        <f aca="false">PROPER(TRIM(SUBSTITUTE(Raw_Text_Fields!D858,CHAR(160)," ")))</f>
        <v>North</v>
      </c>
      <c r="H857" s="3" t="str">
        <f aca="false">PROPER(TRIM(SUBSTITUTE(Raw_Text_Fields!E858,CHAR(160)," ")))</f>
        <v>Rajasthan</v>
      </c>
      <c r="I857" s="3" t="str">
        <f aca="false">PROPER(TRIM(SUBSTITUTE(Raw_Text_Fields!F858,CHAR(160)," ")))</f>
        <v>Jaipur</v>
      </c>
      <c r="J857" s="3" t="str">
        <f aca="false">PROPER(TRIM(SUBSTITUTE(Raw_Text_Fields!G858,CHAR(160)," ")))</f>
        <v>Office Supplies</v>
      </c>
      <c r="K857" s="3" t="str">
        <f aca="false">PROPER(TRIM(SUBSTITUTE(Raw_Text_Fields!H858,CHAR(160)," ")))</f>
        <v>Labels</v>
      </c>
      <c r="L857" s="3" t="s">
        <v>2560</v>
      </c>
      <c r="M857" s="3" t="str">
        <f aca="false">PROPER(TRIM(SUBSTITUTE(Raw_Text_Fields!I858,CHAR(160)," ")))</f>
        <v>Second Class</v>
      </c>
      <c r="N857" s="3" t="n">
        <v>2</v>
      </c>
      <c r="O857" s="5" t="n">
        <v>2073.53</v>
      </c>
      <c r="P857" s="6" t="n">
        <v>0.25</v>
      </c>
      <c r="Q857" s="5" t="n">
        <v>3110.3</v>
      </c>
      <c r="R857" s="5" t="n">
        <v>2101.03</v>
      </c>
      <c r="S857" s="5" t="n">
        <v>1009.27</v>
      </c>
      <c r="T857" s="3" t="str">
        <f aca="false">PROPER(TRIM(SUBSTITUTE(Raw_Text_Fields!J858,CHAR(160)," ")))</f>
        <v>Paid</v>
      </c>
      <c r="U857" s="3" t="str">
        <f aca="false">PROPER(TRIM(SUBSTITUTE(Raw_Text_Fields!K858,CHAR(160)," ")))</f>
        <v>Completed</v>
      </c>
      <c r="V857" s="7" t="n">
        <f aca="false">IF(OR(P857&lt;0,P857&gt;0.5),0,P857)</f>
        <v>0.25</v>
      </c>
      <c r="W857" s="8" t="n">
        <f aca="false">N857*O857*(1-V857)</f>
        <v>3110.295</v>
      </c>
      <c r="X857" s="8" t="n">
        <f aca="false">W857-R857</f>
        <v>1009.265</v>
      </c>
      <c r="Y857" s="7" t="n">
        <f aca="false">IFERROR(X857/W857,0)</f>
        <v>0.324491728276578</v>
      </c>
      <c r="Z857" s="9" t="n">
        <f aca="false">C857-B857</f>
        <v>8</v>
      </c>
      <c r="AA857" s="1" t="str">
        <f aca="false">IF(B857="","",TEXT(B857,"mmm"))</f>
        <v>Jul</v>
      </c>
      <c r="AB857" s="9" t="n">
        <f aca="false">IF(B857="","",YEAR(B857))</f>
        <v>2024</v>
      </c>
      <c r="AC857" s="3"/>
      <c r="AD857" s="3" t="str">
        <f aca="false">IF(LEFT(AC857&amp;IF(B857="","; Missing Order Date","")&amp;IF(C857="","; Missing Ship Date","")&amp;IF(P857&lt;0,"; Invalid Discount (Negative)","")&amp;IF(P857&gt;0.5,"; Invalid Discount (Too High)","")&amp;IF(Z857&lt;0,"; Invalid Shipping Record (Ship Before Order)","")&amp;IF(ABS(Q857-W857)&gt;1,"; Sales Mismatch","")&amp;IF(ABS(S857-X857)&gt;1,"; Profit Mismatch","")&amp;IF(COUNTIF($A$2:$A$913,A857)&gt;1,"; Duplicate Order ID Conflict",""),2)="; ",MID(AC857&amp;IF(B857="","; Missing Order Date","")&amp;IF(C857="","; Missing Ship Date","")&amp;IF(P857&lt;0,"; Invalid Discount (Negative)","")&amp;IF(P857&gt;0.5,"; Invalid Discount (Too High)","")&amp;IF(Z857&lt;0,"; Invalid Shipping Record (Ship Before Order)","")&amp;IF(ABS(Q857-W857)&gt;1,"; Sales Mismatch","")&amp;IF(ABS(S857-X857)&gt;1,"; Profit Mismatch","")&amp;IF(COUNTIF($A$2:$A$913,A857)&gt;1,"; Duplicate Order ID Conflict",""),3,500),AC857&amp;IF(B857="","; Missing Order Date","")&amp;IF(C857="","; Missing Ship Date","")&amp;IF(P857&lt;0,"; Invalid Discount (Negative)","")&amp;IF(P857&gt;0.5,"; Invalid Discount (Too High)","")&amp;IF(Z857&lt;0,"; Invalid Shipping Record (Ship Before Order)","")&amp;IF(ABS(Q857-W857)&gt;1,"; Sales Mismatch","")&amp;IF(ABS(S857-X857)&gt;1,"; Profit Mismatch","")&amp;IF(COUNTIF($A$2:$A$913,A857)&gt;1,"; Duplicate Order ID Conflict",""))</f>
        <v/>
      </c>
      <c r="AE857" s="10" t="str">
        <f aca="false">IF(OR(ISNUMBER(SEARCH("Invalid Discount",AD857)),ISNUMBER(SEARCH("Invalid Shipping Record",AD857)),ISNUMBER(SEARCH("Sales Mismatch",AD857)),ISNUMBER(SEARCH("Profit Mismatch",AD857)),ISNUMBER(SEARCH("Duplicate Order ID Conflict",AD857)),ISNUMBER(SEARCH("Missing Order Date",AD857)),ISNUMBER(SEARCH("Missing Ship Date",AD857))),"Invalid",IF(AD857&lt;&gt;"","Warning","Clean"))</f>
        <v>Clean</v>
      </c>
    </row>
    <row r="858" customFormat="false" ht="15" hidden="false" customHeight="true" outlineLevel="0" collapsed="false">
      <c r="A858" s="3" t="s">
        <v>2561</v>
      </c>
      <c r="B858" s="4" t="n">
        <v>45455</v>
      </c>
      <c r="C858" s="4" t="n">
        <v>45462</v>
      </c>
      <c r="D858" s="3" t="s">
        <v>1222</v>
      </c>
      <c r="E858" s="3" t="str">
        <f aca="false">PROPER(TRIM(SUBSTITUTE(Raw_Text_Fields!B859,CHAR(160)," ")))</f>
        <v>Rohan Mehta</v>
      </c>
      <c r="F858" s="3" t="str">
        <f aca="false">PROPER(TRIM(SUBSTITUTE(Raw_Text_Fields!C859,CHAR(160)," ")))</f>
        <v>Home Office</v>
      </c>
      <c r="G858" s="3" t="str">
        <f aca="false">PROPER(TRIM(SUBSTITUTE(Raw_Text_Fields!D859,CHAR(160)," ")))</f>
        <v>South</v>
      </c>
      <c r="H858" s="3" t="str">
        <f aca="false">PROPER(TRIM(SUBSTITUTE(Raw_Text_Fields!E859,CHAR(160)," ")))</f>
        <v>Tamil Nadu</v>
      </c>
      <c r="I858" s="3" t="str">
        <f aca="false">PROPER(TRIM(SUBSTITUTE(Raw_Text_Fields!F859,CHAR(160)," ")))</f>
        <v>Chennai</v>
      </c>
      <c r="J858" s="3" t="str">
        <f aca="false">PROPER(TRIM(SUBSTITUTE(Raw_Text_Fields!G859,CHAR(160)," ")))</f>
        <v>Office Supplies</v>
      </c>
      <c r="K858" s="3" t="str">
        <f aca="false">PROPER(TRIM(SUBSTITUTE(Raw_Text_Fields!H859,CHAR(160)," ")))</f>
        <v>Storage</v>
      </c>
      <c r="L858" s="3" t="s">
        <v>2562</v>
      </c>
      <c r="M858" s="3" t="str">
        <f aca="false">PROPER(TRIM(SUBSTITUTE(Raw_Text_Fields!I859,CHAR(160)," ")))</f>
        <v>Standard Class</v>
      </c>
      <c r="N858" s="3" t="n">
        <v>4</v>
      </c>
      <c r="O858" s="5" t="n">
        <v>395.1</v>
      </c>
      <c r="P858" s="6" t="n">
        <v>-0.16</v>
      </c>
      <c r="Q858" s="5" t="n">
        <v>1185.3</v>
      </c>
      <c r="R858" s="5" t="n">
        <v>966.55</v>
      </c>
      <c r="S858" s="5" t="n">
        <v>218.75</v>
      </c>
      <c r="T858" s="3" t="str">
        <f aca="false">PROPER(TRIM(SUBSTITUTE(Raw_Text_Fields!J859,CHAR(160)," ")))</f>
        <v>Failed</v>
      </c>
      <c r="U858" s="3" t="str">
        <f aca="false">PROPER(TRIM(SUBSTITUTE(Raw_Text_Fields!K859,CHAR(160)," ")))</f>
        <v>Cancelled</v>
      </c>
      <c r="V858" s="7" t="n">
        <f aca="false">IF(OR(P858&lt;0,P858&gt;0.5),0,P858)</f>
        <v>0</v>
      </c>
      <c r="W858" s="8" t="n">
        <f aca="false">N858*O858*(1-V858)</f>
        <v>1580.4</v>
      </c>
      <c r="X858" s="8" t="n">
        <f aca="false">W858-R858</f>
        <v>613.85</v>
      </c>
      <c r="Y858" s="7" t="n">
        <f aca="false">IFERROR(X858/W858,0)</f>
        <v>0.388414325487219</v>
      </c>
      <c r="Z858" s="9" t="n">
        <f aca="false">C858-B858</f>
        <v>7</v>
      </c>
      <c r="AA858" s="1" t="str">
        <f aca="false">IF(B858="","",TEXT(B858,"mmm"))</f>
        <v>Jun</v>
      </c>
      <c r="AB858" s="9" t="n">
        <f aca="false">IF(B858="","",YEAR(B858))</f>
        <v>2024</v>
      </c>
      <c r="AC858" s="3"/>
      <c r="AD858" s="3" t="str">
        <f aca="false">IF(LEFT(AC858&amp;IF(B858="","; Missing Order Date","")&amp;IF(C858="","; Missing Ship Date","")&amp;IF(P858&lt;0,"; Invalid Discount (Negative)","")&amp;IF(P858&gt;0.5,"; Invalid Discount (Too High)","")&amp;IF(Z858&lt;0,"; Invalid Shipping Record (Ship Before Order)","")&amp;IF(ABS(Q858-W858)&gt;1,"; Sales Mismatch","")&amp;IF(ABS(S858-X858)&gt;1,"; Profit Mismatch","")&amp;IF(COUNTIF($A$2:$A$913,A858)&gt;1,"; Duplicate Order ID Conflict",""),2)="; ",MID(AC858&amp;IF(B858="","; Missing Order Date","")&amp;IF(C858="","; Missing Ship Date","")&amp;IF(P858&lt;0,"; Invalid Discount (Negative)","")&amp;IF(P858&gt;0.5,"; Invalid Discount (Too High)","")&amp;IF(Z858&lt;0,"; Invalid Shipping Record (Ship Before Order)","")&amp;IF(ABS(Q858-W858)&gt;1,"; Sales Mismatch","")&amp;IF(ABS(S858-X858)&gt;1,"; Profit Mismatch","")&amp;IF(COUNTIF($A$2:$A$913,A858)&gt;1,"; Duplicate Order ID Conflict",""),3,500),AC858&amp;IF(B858="","; Missing Order Date","")&amp;IF(C858="","; Missing Ship Date","")&amp;IF(P858&lt;0,"; Invalid Discount (Negative)","")&amp;IF(P858&gt;0.5,"; Invalid Discount (Too High)","")&amp;IF(Z858&lt;0,"; Invalid Shipping Record (Ship Before Order)","")&amp;IF(ABS(Q858-W858)&gt;1,"; Sales Mismatch","")&amp;IF(ABS(S858-X858)&gt;1,"; Profit Mismatch","")&amp;IF(COUNTIF($A$2:$A$913,A858)&gt;1,"; Duplicate Order ID Conflict",""))</f>
        <v>Invalid Discount (Negative); Sales Mismatch; Profit Mismatch</v>
      </c>
      <c r="AE858" s="10" t="str">
        <f aca="false">IF(OR(ISNUMBER(SEARCH("Invalid Discount",AD858)),ISNUMBER(SEARCH("Invalid Shipping Record",AD858)),ISNUMBER(SEARCH("Sales Mismatch",AD858)),ISNUMBER(SEARCH("Profit Mismatch",AD858)),ISNUMBER(SEARCH("Duplicate Order ID Conflict",AD858)),ISNUMBER(SEARCH("Missing Order Date",AD858)),ISNUMBER(SEARCH("Missing Ship Date",AD858))),"Invalid",IF(AD858&lt;&gt;"","Warning","Clean"))</f>
        <v>Invalid</v>
      </c>
    </row>
    <row r="859" customFormat="false" ht="15" hidden="false" customHeight="true" outlineLevel="0" collapsed="false">
      <c r="A859" s="3" t="s">
        <v>2563</v>
      </c>
      <c r="B859" s="4" t="n">
        <v>45447</v>
      </c>
      <c r="C859" s="4" t="n">
        <v>45447</v>
      </c>
      <c r="D859" s="3" t="s">
        <v>2069</v>
      </c>
      <c r="E859" s="3" t="str">
        <f aca="false">PROPER(TRIM(SUBSTITUTE(Raw_Text_Fields!B860,CHAR(160)," ")))</f>
        <v>Sneha Kapoor</v>
      </c>
      <c r="F859" s="3" t="str">
        <f aca="false">PROPER(TRIM(SUBSTITUTE(Raw_Text_Fields!C860,CHAR(160)," ")))</f>
        <v>Home Office</v>
      </c>
      <c r="G859" s="3" t="str">
        <f aca="false">PROPER(TRIM(SUBSTITUTE(Raw_Text_Fields!D860,CHAR(160)," ")))</f>
        <v>South</v>
      </c>
      <c r="H859" s="3" t="str">
        <f aca="false">PROPER(TRIM(SUBSTITUTE(Raw_Text_Fields!E860,CHAR(160)," ")))</f>
        <v>Kerala</v>
      </c>
      <c r="I859" s="3" t="str">
        <f aca="false">PROPER(TRIM(SUBSTITUTE(Raw_Text_Fields!F860,CHAR(160)," ")))</f>
        <v>Kochi</v>
      </c>
      <c r="J859" s="3" t="str">
        <f aca="false">PROPER(TRIM(SUBSTITUTE(Raw_Text_Fields!G860,CHAR(160)," ")))</f>
        <v>Office Supplies</v>
      </c>
      <c r="K859" s="3" t="str">
        <f aca="false">PROPER(TRIM(SUBSTITUTE(Raw_Text_Fields!H860,CHAR(160)," ")))</f>
        <v>Storage</v>
      </c>
      <c r="L859" s="3" t="s">
        <v>2564</v>
      </c>
      <c r="M859" s="3" t="str">
        <f aca="false">PROPER(TRIM(SUBSTITUTE(Raw_Text_Fields!I860,CHAR(160)," ")))</f>
        <v>First Class</v>
      </c>
      <c r="N859" s="3" t="n">
        <v>6</v>
      </c>
      <c r="O859" s="5" t="n">
        <v>2708.97</v>
      </c>
      <c r="P859" s="6" t="n">
        <v>0.25</v>
      </c>
      <c r="Q859" s="5" t="n">
        <v>12190.36</v>
      </c>
      <c r="R859" s="5" t="n">
        <v>10176.99</v>
      </c>
      <c r="S859" s="5" t="n">
        <v>2013.37</v>
      </c>
      <c r="T859" s="3" t="str">
        <f aca="false">PROPER(TRIM(SUBSTITUTE(Raw_Text_Fields!J860,CHAR(160)," ")))</f>
        <v>Paid</v>
      </c>
      <c r="U859" s="3" t="str">
        <f aca="false">PROPER(TRIM(SUBSTITUTE(Raw_Text_Fields!K860,CHAR(160)," ")))</f>
        <v>Completed</v>
      </c>
      <c r="V859" s="7" t="n">
        <f aca="false">IF(OR(P859&lt;0,P859&gt;0.5),0,P859)</f>
        <v>0.25</v>
      </c>
      <c r="W859" s="8" t="n">
        <f aca="false">N859*O859*(1-V859)</f>
        <v>12190.365</v>
      </c>
      <c r="X859" s="8" t="n">
        <f aca="false">W859-R859</f>
        <v>2013.375</v>
      </c>
      <c r="Y859" s="7" t="n">
        <f aca="false">IFERROR(X859/W859,0)</f>
        <v>0.165161174419306</v>
      </c>
      <c r="Z859" s="9" t="n">
        <f aca="false">C859-B859</f>
        <v>0</v>
      </c>
      <c r="AA859" s="1" t="str">
        <f aca="false">IF(B859="","",TEXT(B859,"mmm"))</f>
        <v>Jun</v>
      </c>
      <c r="AB859" s="9" t="n">
        <f aca="false">IF(B859="","",YEAR(B859))</f>
        <v>2024</v>
      </c>
      <c r="AC859" s="3"/>
      <c r="AD859" s="3" t="str">
        <f aca="false">IF(LEFT(AC859&amp;IF(B859="","; Missing Order Date","")&amp;IF(C859="","; Missing Ship Date","")&amp;IF(P859&lt;0,"; Invalid Discount (Negative)","")&amp;IF(P859&gt;0.5,"; Invalid Discount (Too High)","")&amp;IF(Z859&lt;0,"; Invalid Shipping Record (Ship Before Order)","")&amp;IF(ABS(Q859-W859)&gt;1,"; Sales Mismatch","")&amp;IF(ABS(S859-X859)&gt;1,"; Profit Mismatch","")&amp;IF(COUNTIF($A$2:$A$913,A859)&gt;1,"; Duplicate Order ID Conflict",""),2)="; ",MID(AC859&amp;IF(B859="","; Missing Order Date","")&amp;IF(C859="","; Missing Ship Date","")&amp;IF(P859&lt;0,"; Invalid Discount (Negative)","")&amp;IF(P859&gt;0.5,"; Invalid Discount (Too High)","")&amp;IF(Z859&lt;0,"; Invalid Shipping Record (Ship Before Order)","")&amp;IF(ABS(Q859-W859)&gt;1,"; Sales Mismatch","")&amp;IF(ABS(S859-X859)&gt;1,"; Profit Mismatch","")&amp;IF(COUNTIF($A$2:$A$913,A859)&gt;1,"; Duplicate Order ID Conflict",""),3,500),AC859&amp;IF(B859="","; Missing Order Date","")&amp;IF(C859="","; Missing Ship Date","")&amp;IF(P859&lt;0,"; Invalid Discount (Negative)","")&amp;IF(P859&gt;0.5,"; Invalid Discount (Too High)","")&amp;IF(Z859&lt;0,"; Invalid Shipping Record (Ship Before Order)","")&amp;IF(ABS(Q859-W859)&gt;1,"; Sales Mismatch","")&amp;IF(ABS(S859-X859)&gt;1,"; Profit Mismatch","")&amp;IF(COUNTIF($A$2:$A$913,A859)&gt;1,"; Duplicate Order ID Conflict",""))</f>
        <v/>
      </c>
      <c r="AE859" s="10" t="str">
        <f aca="false">IF(OR(ISNUMBER(SEARCH("Invalid Discount",AD859)),ISNUMBER(SEARCH("Invalid Shipping Record",AD859)),ISNUMBER(SEARCH("Sales Mismatch",AD859)),ISNUMBER(SEARCH("Profit Mismatch",AD859)),ISNUMBER(SEARCH("Duplicate Order ID Conflict",AD859)),ISNUMBER(SEARCH("Missing Order Date",AD859)),ISNUMBER(SEARCH("Missing Ship Date",AD859))),"Invalid",IF(AD859&lt;&gt;"","Warning","Clean"))</f>
        <v>Clean</v>
      </c>
    </row>
    <row r="860" customFormat="false" ht="15" hidden="false" customHeight="true" outlineLevel="0" collapsed="false">
      <c r="A860" s="3" t="s">
        <v>2565</v>
      </c>
      <c r="B860" s="4" t="n">
        <v>45414</v>
      </c>
      <c r="C860" s="4" t="n">
        <v>45421</v>
      </c>
      <c r="D860" s="3" t="s">
        <v>2566</v>
      </c>
      <c r="E860" s="3" t="str">
        <f aca="false">PROPER(TRIM(SUBSTITUTE(Raw_Text_Fields!B861,CHAR(160)," ")))</f>
        <v>Arjun Bose</v>
      </c>
      <c r="F860" s="3" t="str">
        <f aca="false">PROPER(TRIM(SUBSTITUTE(Raw_Text_Fields!C861,CHAR(160)," ")))</f>
        <v>Consumer</v>
      </c>
      <c r="G860" s="3" t="str">
        <f aca="false">PROPER(TRIM(SUBSTITUTE(Raw_Text_Fields!D861,CHAR(160)," ")))</f>
        <v>East</v>
      </c>
      <c r="H860" s="3" t="str">
        <f aca="false">PROPER(TRIM(SUBSTITUTE(Raw_Text_Fields!E861,CHAR(160)," ")))</f>
        <v>Odisha</v>
      </c>
      <c r="I860" s="3" t="str">
        <f aca="false">PROPER(TRIM(SUBSTITUTE(Raw_Text_Fields!F861,CHAR(160)," ")))</f>
        <v>Bhubaneswar</v>
      </c>
      <c r="J860" s="3" t="str">
        <f aca="false">PROPER(TRIM(SUBSTITUTE(Raw_Text_Fields!G861,CHAR(160)," ")))</f>
        <v>Technology</v>
      </c>
      <c r="K860" s="3" t="str">
        <f aca="false">PROPER(TRIM(SUBSTITUTE(Raw_Text_Fields!H861,CHAR(160)," ")))</f>
        <v>Accessories</v>
      </c>
      <c r="L860" s="3" t="s">
        <v>2567</v>
      </c>
      <c r="M860" s="3" t="str">
        <f aca="false">PROPER(TRIM(SUBSTITUTE(Raw_Text_Fields!I861,CHAR(160)," ")))</f>
        <v>Second Class</v>
      </c>
      <c r="N860" s="3" t="n">
        <v>4</v>
      </c>
      <c r="O860" s="5" t="n">
        <v>2904.86</v>
      </c>
      <c r="P860" s="6" t="n">
        <v>0</v>
      </c>
      <c r="Q860" s="5" t="n">
        <v>11619.44</v>
      </c>
      <c r="R860" s="5" t="n">
        <v>7184.32</v>
      </c>
      <c r="S860" s="5" t="n">
        <v>4494.64</v>
      </c>
      <c r="T860" s="3" t="str">
        <f aca="false">PROPER(TRIM(SUBSTITUTE(Raw_Text_Fields!J861,CHAR(160)," ")))</f>
        <v>Paid</v>
      </c>
      <c r="U860" s="3" t="str">
        <f aca="false">PROPER(TRIM(SUBSTITUTE(Raw_Text_Fields!K861,CHAR(160)," ")))</f>
        <v>Completed</v>
      </c>
      <c r="V860" s="7" t="n">
        <f aca="false">IF(OR(P860&lt;0,P860&gt;0.5),0,P860)</f>
        <v>0</v>
      </c>
      <c r="W860" s="8" t="n">
        <f aca="false">N860*O860*(1-V860)</f>
        <v>11619.44</v>
      </c>
      <c r="X860" s="8" t="n">
        <f aca="false">W860-R860</f>
        <v>4435.12</v>
      </c>
      <c r="Y860" s="7" t="n">
        <f aca="false">IFERROR(X860/W860,0)</f>
        <v>0.381698257403111</v>
      </c>
      <c r="Z860" s="9" t="n">
        <f aca="false">C860-B860</f>
        <v>7</v>
      </c>
      <c r="AA860" s="1" t="str">
        <f aca="false">IF(B860="","",TEXT(B860,"mmm"))</f>
        <v>May</v>
      </c>
      <c r="AB860" s="9" t="n">
        <f aca="false">IF(B860="","",YEAR(B860))</f>
        <v>2024</v>
      </c>
      <c r="AC860" s="3"/>
      <c r="AD860" s="3" t="str">
        <f aca="false">IF(LEFT(AC860&amp;IF(B860="","; Missing Order Date","")&amp;IF(C860="","; Missing Ship Date","")&amp;IF(P860&lt;0,"; Invalid Discount (Negative)","")&amp;IF(P860&gt;0.5,"; Invalid Discount (Too High)","")&amp;IF(Z860&lt;0,"; Invalid Shipping Record (Ship Before Order)","")&amp;IF(ABS(Q860-W860)&gt;1,"; Sales Mismatch","")&amp;IF(ABS(S860-X860)&gt;1,"; Profit Mismatch","")&amp;IF(COUNTIF($A$2:$A$913,A860)&gt;1,"; Duplicate Order ID Conflict",""),2)="; ",MID(AC860&amp;IF(B860="","; Missing Order Date","")&amp;IF(C860="","; Missing Ship Date","")&amp;IF(P860&lt;0,"; Invalid Discount (Negative)","")&amp;IF(P860&gt;0.5,"; Invalid Discount (Too High)","")&amp;IF(Z860&lt;0,"; Invalid Shipping Record (Ship Before Order)","")&amp;IF(ABS(Q860-W860)&gt;1,"; Sales Mismatch","")&amp;IF(ABS(S860-X860)&gt;1,"; Profit Mismatch","")&amp;IF(COUNTIF($A$2:$A$913,A860)&gt;1,"; Duplicate Order ID Conflict",""),3,500),AC860&amp;IF(B860="","; Missing Order Date","")&amp;IF(C860="","; Missing Ship Date","")&amp;IF(P860&lt;0,"; Invalid Discount (Negative)","")&amp;IF(P860&gt;0.5,"; Invalid Discount (Too High)","")&amp;IF(Z860&lt;0,"; Invalid Shipping Record (Ship Before Order)","")&amp;IF(ABS(Q860-W860)&gt;1,"; Sales Mismatch","")&amp;IF(ABS(S860-X860)&gt;1,"; Profit Mismatch","")&amp;IF(COUNTIF($A$2:$A$913,A860)&gt;1,"; Duplicate Order ID Conflict",""))</f>
        <v>Profit Mismatch</v>
      </c>
      <c r="AE860" s="10" t="str">
        <f aca="false">IF(OR(ISNUMBER(SEARCH("Invalid Discount",AD860)),ISNUMBER(SEARCH("Invalid Shipping Record",AD860)),ISNUMBER(SEARCH("Sales Mismatch",AD860)),ISNUMBER(SEARCH("Profit Mismatch",AD860)),ISNUMBER(SEARCH("Duplicate Order ID Conflict",AD860)),ISNUMBER(SEARCH("Missing Order Date",AD860)),ISNUMBER(SEARCH("Missing Ship Date",AD860))),"Invalid",IF(AD860&lt;&gt;"","Warning","Clean"))</f>
        <v>Invalid</v>
      </c>
    </row>
    <row r="861" customFormat="false" ht="15" hidden="false" customHeight="true" outlineLevel="0" collapsed="false">
      <c r="A861" s="3" t="s">
        <v>2568</v>
      </c>
      <c r="B861" s="4" t="n">
        <v>45592</v>
      </c>
      <c r="C861" s="4" t="n">
        <v>45597</v>
      </c>
      <c r="D861" s="3" t="s">
        <v>2569</v>
      </c>
      <c r="E861" s="3" t="str">
        <f aca="false">PROPER(TRIM(SUBSTITUTE(Raw_Text_Fields!B862,CHAR(160)," ")))</f>
        <v>Aditi Sen</v>
      </c>
      <c r="F861" s="3" t="str">
        <f aca="false">PROPER(TRIM(SUBSTITUTE(Raw_Text_Fields!C862,CHAR(160)," ")))</f>
        <v>Corporate</v>
      </c>
      <c r="G861" s="3" t="str">
        <f aca="false">PROPER(TRIM(SUBSTITUTE(Raw_Text_Fields!D862,CHAR(160)," ")))</f>
        <v>South</v>
      </c>
      <c r="H861" s="3" t="str">
        <f aca="false">PROPER(TRIM(SUBSTITUTE(Raw_Text_Fields!E862,CHAR(160)," ")))</f>
        <v>Tamil Nadu</v>
      </c>
      <c r="I861" s="3" t="str">
        <f aca="false">PROPER(TRIM(SUBSTITUTE(Raw_Text_Fields!F862,CHAR(160)," ")))</f>
        <v>Chennai</v>
      </c>
      <c r="J861" s="3" t="str">
        <f aca="false">PROPER(TRIM(SUBSTITUTE(Raw_Text_Fields!G862,CHAR(160)," ")))</f>
        <v>Technology</v>
      </c>
      <c r="K861" s="3" t="str">
        <f aca="false">PROPER(TRIM(SUBSTITUTE(Raw_Text_Fields!H862,CHAR(160)," ")))</f>
        <v>Phones</v>
      </c>
      <c r="L861" s="3" t="s">
        <v>2570</v>
      </c>
      <c r="M861" s="3" t="str">
        <f aca="false">PROPER(TRIM(SUBSTITUTE(Raw_Text_Fields!I862,CHAR(160)," ")))</f>
        <v>Standard Class</v>
      </c>
      <c r="N861" s="3" t="n">
        <v>6</v>
      </c>
      <c r="O861" s="5" t="n">
        <v>4399.2</v>
      </c>
      <c r="P861" s="6" t="n">
        <v>0.05</v>
      </c>
      <c r="Q861" s="5" t="n">
        <v>25075.44</v>
      </c>
      <c r="R861" s="5" t="n">
        <v>16282.74</v>
      </c>
      <c r="S861" s="5" t="n">
        <v>8792.7</v>
      </c>
      <c r="T861" s="3" t="str">
        <f aca="false">PROPER(TRIM(SUBSTITUTE(Raw_Text_Fields!J862,CHAR(160)," ")))</f>
        <v>Paid</v>
      </c>
      <c r="U861" s="3" t="str">
        <f aca="false">PROPER(TRIM(SUBSTITUTE(Raw_Text_Fields!K862,CHAR(160)," ")))</f>
        <v>Completed</v>
      </c>
      <c r="V861" s="7" t="n">
        <f aca="false">IF(OR(P861&lt;0,P861&gt;0.5),0,P861)</f>
        <v>0.05</v>
      </c>
      <c r="W861" s="8" t="n">
        <f aca="false">N861*O861*(1-V861)</f>
        <v>25075.44</v>
      </c>
      <c r="X861" s="8" t="n">
        <f aca="false">W861-R861</f>
        <v>8792.7</v>
      </c>
      <c r="Y861" s="7" t="n">
        <f aca="false">IFERROR(X861/W861,0)</f>
        <v>0.350649878925355</v>
      </c>
      <c r="Z861" s="9" t="n">
        <f aca="false">C861-B861</f>
        <v>5</v>
      </c>
      <c r="AA861" s="1" t="str">
        <f aca="false">IF(B861="","",TEXT(B861,"mmm"))</f>
        <v>Oct</v>
      </c>
      <c r="AB861" s="9" t="n">
        <f aca="false">IF(B861="","",YEAR(B861))</f>
        <v>2024</v>
      </c>
      <c r="AC861" s="3"/>
      <c r="AD861" s="3" t="str">
        <f aca="false">IF(LEFT(AC861&amp;IF(B861="","; Missing Order Date","")&amp;IF(C861="","; Missing Ship Date","")&amp;IF(P861&lt;0,"; Invalid Discount (Negative)","")&amp;IF(P861&gt;0.5,"; Invalid Discount (Too High)","")&amp;IF(Z861&lt;0,"; Invalid Shipping Record (Ship Before Order)","")&amp;IF(ABS(Q861-W861)&gt;1,"; Sales Mismatch","")&amp;IF(ABS(S861-X861)&gt;1,"; Profit Mismatch","")&amp;IF(COUNTIF($A$2:$A$913,A861)&gt;1,"; Duplicate Order ID Conflict",""),2)="; ",MID(AC861&amp;IF(B861="","; Missing Order Date","")&amp;IF(C861="","; Missing Ship Date","")&amp;IF(P861&lt;0,"; Invalid Discount (Negative)","")&amp;IF(P861&gt;0.5,"; Invalid Discount (Too High)","")&amp;IF(Z861&lt;0,"; Invalid Shipping Record (Ship Before Order)","")&amp;IF(ABS(Q861-W861)&gt;1,"; Sales Mismatch","")&amp;IF(ABS(S861-X861)&gt;1,"; Profit Mismatch","")&amp;IF(COUNTIF($A$2:$A$913,A861)&gt;1,"; Duplicate Order ID Conflict",""),3,500),AC861&amp;IF(B861="","; Missing Order Date","")&amp;IF(C861="","; Missing Ship Date","")&amp;IF(P861&lt;0,"; Invalid Discount (Negative)","")&amp;IF(P861&gt;0.5,"; Invalid Discount (Too High)","")&amp;IF(Z861&lt;0,"; Invalid Shipping Record (Ship Before Order)","")&amp;IF(ABS(Q861-W861)&gt;1,"; Sales Mismatch","")&amp;IF(ABS(S861-X861)&gt;1,"; Profit Mismatch","")&amp;IF(COUNTIF($A$2:$A$913,A861)&gt;1,"; Duplicate Order ID Conflict",""))</f>
        <v/>
      </c>
      <c r="AE861" s="10" t="str">
        <f aca="false">IF(OR(ISNUMBER(SEARCH("Invalid Discount",AD861)),ISNUMBER(SEARCH("Invalid Shipping Record",AD861)),ISNUMBER(SEARCH("Sales Mismatch",AD861)),ISNUMBER(SEARCH("Profit Mismatch",AD861)),ISNUMBER(SEARCH("Duplicate Order ID Conflict",AD861)),ISNUMBER(SEARCH("Missing Order Date",AD861)),ISNUMBER(SEARCH("Missing Ship Date",AD861))),"Invalid",IF(AD861&lt;&gt;"","Warning","Clean"))</f>
        <v>Clean</v>
      </c>
    </row>
    <row r="862" customFormat="false" ht="15" hidden="false" customHeight="true" outlineLevel="0" collapsed="false">
      <c r="A862" s="3" t="s">
        <v>2571</v>
      </c>
      <c r="B862" s="4" t="n">
        <v>45324</v>
      </c>
      <c r="C862" s="4" t="n">
        <v>45326</v>
      </c>
      <c r="D862" s="3" t="s">
        <v>2572</v>
      </c>
      <c r="E862" s="3" t="str">
        <f aca="false">PROPER(TRIM(SUBSTITUTE(Raw_Text_Fields!B863,CHAR(160)," ")))</f>
        <v>Vikram Iyer</v>
      </c>
      <c r="F862" s="3" t="str">
        <f aca="false">PROPER(TRIM(SUBSTITUTE(Raw_Text_Fields!C863,CHAR(160)," ")))</f>
        <v>Home Office</v>
      </c>
      <c r="G862" s="3" t="str">
        <f aca="false">PROPER(TRIM(SUBSTITUTE(Raw_Text_Fields!D863,CHAR(160)," ")))</f>
        <v>North</v>
      </c>
      <c r="H862" s="3" t="str">
        <f aca="false">PROPER(TRIM(SUBSTITUTE(Raw_Text_Fields!E863,CHAR(160)," ")))</f>
        <v>Uttar Pradesh</v>
      </c>
      <c r="I862" s="3" t="str">
        <f aca="false">PROPER(TRIM(SUBSTITUTE(Raw_Text_Fields!F863,CHAR(160)," ")))</f>
        <v>Noida</v>
      </c>
      <c r="J862" s="3" t="str">
        <f aca="false">PROPER(TRIM(SUBSTITUTE(Raw_Text_Fields!G863,CHAR(160)," ")))</f>
        <v>Office Supplies</v>
      </c>
      <c r="K862" s="3" t="str">
        <f aca="false">PROPER(TRIM(SUBSTITUTE(Raw_Text_Fields!H863,CHAR(160)," ")))</f>
        <v>Storage</v>
      </c>
      <c r="L862" s="3" t="s">
        <v>2573</v>
      </c>
      <c r="M862" s="3" t="str">
        <f aca="false">PROPER(TRIM(SUBSTITUTE(Raw_Text_Fields!I863,CHAR(160)," ")))</f>
        <v>Second Class</v>
      </c>
      <c r="N862" s="3" t="n">
        <v>1</v>
      </c>
      <c r="O862" s="5" t="n">
        <v>4397.32</v>
      </c>
      <c r="P862" s="6" t="n">
        <v>0.05</v>
      </c>
      <c r="Q862" s="5" t="n">
        <v>4177.45</v>
      </c>
      <c r="R862" s="5" t="n">
        <v>2299.5</v>
      </c>
      <c r="S862" s="5" t="n">
        <v>1877.95</v>
      </c>
      <c r="T862" s="3" t="str">
        <f aca="false">PROPER(TRIM(SUBSTITUTE(Raw_Text_Fields!J863,CHAR(160)," ")))</f>
        <v>Paid</v>
      </c>
      <c r="U862" s="3" t="str">
        <f aca="false">PROPER(TRIM(SUBSTITUTE(Raw_Text_Fields!K863,CHAR(160)," ")))</f>
        <v>Completed</v>
      </c>
      <c r="V862" s="7" t="n">
        <f aca="false">IF(OR(P862&lt;0,P862&gt;0.5),0,P862)</f>
        <v>0.05</v>
      </c>
      <c r="W862" s="8" t="n">
        <f aca="false">N862*O862*(1-V862)</f>
        <v>4177.454</v>
      </c>
      <c r="X862" s="8" t="n">
        <f aca="false">W862-R862</f>
        <v>1877.954</v>
      </c>
      <c r="Y862" s="7" t="n">
        <f aca="false">IFERROR(X862/W862,0)</f>
        <v>0.449545105703139</v>
      </c>
      <c r="Z862" s="9" t="n">
        <f aca="false">C862-B862</f>
        <v>2</v>
      </c>
      <c r="AA862" s="1" t="str">
        <f aca="false">IF(B862="","",TEXT(B862,"mmm"))</f>
        <v>Feb</v>
      </c>
      <c r="AB862" s="9" t="n">
        <f aca="false">IF(B862="","",YEAR(B862))</f>
        <v>2024</v>
      </c>
      <c r="AC862" s="3"/>
      <c r="AD862" s="3" t="str">
        <f aca="false">IF(LEFT(AC862&amp;IF(B862="","; Missing Order Date","")&amp;IF(C862="","; Missing Ship Date","")&amp;IF(P862&lt;0,"; Invalid Discount (Negative)","")&amp;IF(P862&gt;0.5,"; Invalid Discount (Too High)","")&amp;IF(Z862&lt;0,"; Invalid Shipping Record (Ship Before Order)","")&amp;IF(ABS(Q862-W862)&gt;1,"; Sales Mismatch","")&amp;IF(ABS(S862-X862)&gt;1,"; Profit Mismatch","")&amp;IF(COUNTIF($A$2:$A$913,A862)&gt;1,"; Duplicate Order ID Conflict",""),2)="; ",MID(AC862&amp;IF(B862="","; Missing Order Date","")&amp;IF(C862="","; Missing Ship Date","")&amp;IF(P862&lt;0,"; Invalid Discount (Negative)","")&amp;IF(P862&gt;0.5,"; Invalid Discount (Too High)","")&amp;IF(Z862&lt;0,"; Invalid Shipping Record (Ship Before Order)","")&amp;IF(ABS(Q862-W862)&gt;1,"; Sales Mismatch","")&amp;IF(ABS(S862-X862)&gt;1,"; Profit Mismatch","")&amp;IF(COUNTIF($A$2:$A$913,A862)&gt;1,"; Duplicate Order ID Conflict",""),3,500),AC862&amp;IF(B862="","; Missing Order Date","")&amp;IF(C862="","; Missing Ship Date","")&amp;IF(P862&lt;0,"; Invalid Discount (Negative)","")&amp;IF(P862&gt;0.5,"; Invalid Discount (Too High)","")&amp;IF(Z862&lt;0,"; Invalid Shipping Record (Ship Before Order)","")&amp;IF(ABS(Q862-W862)&gt;1,"; Sales Mismatch","")&amp;IF(ABS(S862-X862)&gt;1,"; Profit Mismatch","")&amp;IF(COUNTIF($A$2:$A$913,A862)&gt;1,"; Duplicate Order ID Conflict",""))</f>
        <v/>
      </c>
      <c r="AE862" s="10" t="str">
        <f aca="false">IF(OR(ISNUMBER(SEARCH("Invalid Discount",AD862)),ISNUMBER(SEARCH("Invalid Shipping Record",AD862)),ISNUMBER(SEARCH("Sales Mismatch",AD862)),ISNUMBER(SEARCH("Profit Mismatch",AD862)),ISNUMBER(SEARCH("Duplicate Order ID Conflict",AD862)),ISNUMBER(SEARCH("Missing Order Date",AD862)),ISNUMBER(SEARCH("Missing Ship Date",AD862))),"Invalid",IF(AD862&lt;&gt;"","Warning","Clean"))</f>
        <v>Clean</v>
      </c>
    </row>
    <row r="863" customFormat="false" ht="15" hidden="false" customHeight="true" outlineLevel="0" collapsed="false">
      <c r="A863" s="3" t="s">
        <v>2574</v>
      </c>
      <c r="B863" s="4" t="n">
        <v>45724</v>
      </c>
      <c r="C863" s="4" t="n">
        <v>45725</v>
      </c>
      <c r="D863" s="3" t="s">
        <v>2575</v>
      </c>
      <c r="E863" s="3" t="str">
        <f aca="false">PROPER(TRIM(SUBSTITUTE(Raw_Text_Fields!B864,CHAR(160)," ")))</f>
        <v>Priya Menon</v>
      </c>
      <c r="F863" s="3" t="str">
        <f aca="false">PROPER(TRIM(SUBSTITUTE(Raw_Text_Fields!C864,CHAR(160)," ")))</f>
        <v>Home Office</v>
      </c>
      <c r="G863" s="3" t="str">
        <f aca="false">PROPER(TRIM(SUBSTITUTE(Raw_Text_Fields!D864,CHAR(160)," ")))</f>
        <v>North</v>
      </c>
      <c r="H863" s="3" t="str">
        <f aca="false">PROPER(TRIM(SUBSTITUTE(Raw_Text_Fields!E864,CHAR(160)," ")))</f>
        <v>Delhi</v>
      </c>
      <c r="I863" s="3" t="str">
        <f aca="false">PROPER(TRIM(SUBSTITUTE(Raw_Text_Fields!F864,CHAR(160)," ")))</f>
        <v>New Delhi</v>
      </c>
      <c r="J863" s="3" t="str">
        <f aca="false">PROPER(TRIM(SUBSTITUTE(Raw_Text_Fields!G864,CHAR(160)," ")))</f>
        <v>Furniture</v>
      </c>
      <c r="K863" s="3" t="str">
        <f aca="false">PROPER(TRIM(SUBSTITUTE(Raw_Text_Fields!H864,CHAR(160)," ")))</f>
        <v>Furnishings</v>
      </c>
      <c r="L863" s="3" t="s">
        <v>2576</v>
      </c>
      <c r="M863" s="3" t="str">
        <f aca="false">PROPER(TRIM(SUBSTITUTE(Raw_Text_Fields!I864,CHAR(160)," ")))</f>
        <v>Same Day</v>
      </c>
      <c r="N863" s="3" t="n">
        <v>4</v>
      </c>
      <c r="O863" s="5" t="n">
        <v>3405.68</v>
      </c>
      <c r="P863" s="6" t="n">
        <v>0.2</v>
      </c>
      <c r="Q863" s="5" t="n">
        <v>10898.18</v>
      </c>
      <c r="R863" s="5" t="n">
        <v>6231.41</v>
      </c>
      <c r="S863" s="5" t="n">
        <v>4666.77</v>
      </c>
      <c r="T863" s="3" t="str">
        <f aca="false">PROPER(TRIM(SUBSTITUTE(Raw_Text_Fields!J864,CHAR(160)," ")))</f>
        <v>Paid</v>
      </c>
      <c r="U863" s="3" t="str">
        <f aca="false">PROPER(TRIM(SUBSTITUTE(Raw_Text_Fields!K864,CHAR(160)," ")))</f>
        <v>Completed</v>
      </c>
      <c r="V863" s="7" t="n">
        <f aca="false">IF(OR(P863&lt;0,P863&gt;0.5),0,P863)</f>
        <v>0.2</v>
      </c>
      <c r="W863" s="8" t="n">
        <f aca="false">N863*O863*(1-V863)</f>
        <v>10898.176</v>
      </c>
      <c r="X863" s="8" t="n">
        <f aca="false">W863-R863</f>
        <v>4666.766</v>
      </c>
      <c r="Y863" s="7" t="n">
        <f aca="false">IFERROR(X863/W863,0)</f>
        <v>0.428215327041883</v>
      </c>
      <c r="Z863" s="9" t="n">
        <f aca="false">C863-B863</f>
        <v>1</v>
      </c>
      <c r="AA863" s="1" t="str">
        <f aca="false">IF(B863="","",TEXT(B863,"mmm"))</f>
        <v>Mar</v>
      </c>
      <c r="AB863" s="9" t="n">
        <f aca="false">IF(B863="","",YEAR(B863))</f>
        <v>2025</v>
      </c>
      <c r="AC863" s="3"/>
      <c r="AD863" s="3" t="str">
        <f aca="false">IF(LEFT(AC863&amp;IF(B863="","; Missing Order Date","")&amp;IF(C863="","; Missing Ship Date","")&amp;IF(P863&lt;0,"; Invalid Discount (Negative)","")&amp;IF(P863&gt;0.5,"; Invalid Discount (Too High)","")&amp;IF(Z863&lt;0,"; Invalid Shipping Record (Ship Before Order)","")&amp;IF(ABS(Q863-W863)&gt;1,"; Sales Mismatch","")&amp;IF(ABS(S863-X863)&gt;1,"; Profit Mismatch","")&amp;IF(COUNTIF($A$2:$A$913,A863)&gt;1,"; Duplicate Order ID Conflict",""),2)="; ",MID(AC863&amp;IF(B863="","; Missing Order Date","")&amp;IF(C863="","; Missing Ship Date","")&amp;IF(P863&lt;0,"; Invalid Discount (Negative)","")&amp;IF(P863&gt;0.5,"; Invalid Discount (Too High)","")&amp;IF(Z863&lt;0,"; Invalid Shipping Record (Ship Before Order)","")&amp;IF(ABS(Q863-W863)&gt;1,"; Sales Mismatch","")&amp;IF(ABS(S863-X863)&gt;1,"; Profit Mismatch","")&amp;IF(COUNTIF($A$2:$A$913,A863)&gt;1,"; Duplicate Order ID Conflict",""),3,500),AC863&amp;IF(B863="","; Missing Order Date","")&amp;IF(C863="","; Missing Ship Date","")&amp;IF(P863&lt;0,"; Invalid Discount (Negative)","")&amp;IF(P863&gt;0.5,"; Invalid Discount (Too High)","")&amp;IF(Z863&lt;0,"; Invalid Shipping Record (Ship Before Order)","")&amp;IF(ABS(Q863-W863)&gt;1,"; Sales Mismatch","")&amp;IF(ABS(S863-X863)&gt;1,"; Profit Mismatch","")&amp;IF(COUNTIF($A$2:$A$913,A863)&gt;1,"; Duplicate Order ID Conflict",""))</f>
        <v/>
      </c>
      <c r="AE863" s="10" t="str">
        <f aca="false">IF(OR(ISNUMBER(SEARCH("Invalid Discount",AD863)),ISNUMBER(SEARCH("Invalid Shipping Record",AD863)),ISNUMBER(SEARCH("Sales Mismatch",AD863)),ISNUMBER(SEARCH("Profit Mismatch",AD863)),ISNUMBER(SEARCH("Duplicate Order ID Conflict",AD863)),ISNUMBER(SEARCH("Missing Order Date",AD863)),ISNUMBER(SEARCH("Missing Ship Date",AD863))),"Invalid",IF(AD863&lt;&gt;"","Warning","Clean"))</f>
        <v>Clean</v>
      </c>
    </row>
    <row r="864" customFormat="false" ht="15" hidden="false" customHeight="true" outlineLevel="0" collapsed="false">
      <c r="A864" s="3" t="s">
        <v>2577</v>
      </c>
      <c r="B864" s="4" t="n">
        <v>45742</v>
      </c>
      <c r="C864" s="4" t="n">
        <v>45747</v>
      </c>
      <c r="D864" s="3" t="s">
        <v>2578</v>
      </c>
      <c r="E864" s="3" t="str">
        <f aca="false">PROPER(TRIM(SUBSTITUTE(Raw_Text_Fields!B865,CHAR(160)," ")))</f>
        <v>Priya Menon</v>
      </c>
      <c r="F864" s="3" t="str">
        <f aca="false">PROPER(TRIM(SUBSTITUTE(Raw_Text_Fields!C865,CHAR(160)," ")))</f>
        <v>Small Business</v>
      </c>
      <c r="G864" s="3" t="str">
        <f aca="false">PROPER(TRIM(SUBSTITUTE(Raw_Text_Fields!D865,CHAR(160)," ")))</f>
        <v>East</v>
      </c>
      <c r="H864" s="3" t="str">
        <f aca="false">PROPER(TRIM(SUBSTITUTE(Raw_Text_Fields!E865,CHAR(160)," ")))</f>
        <v>Jharkhand</v>
      </c>
      <c r="I864" s="3" t="str">
        <f aca="false">PROPER(TRIM(SUBSTITUTE(Raw_Text_Fields!F865,CHAR(160)," ")))</f>
        <v>Ranchi</v>
      </c>
      <c r="J864" s="3" t="str">
        <f aca="false">PROPER(TRIM(SUBSTITUTE(Raw_Text_Fields!G865,CHAR(160)," ")))</f>
        <v>Office Supplies</v>
      </c>
      <c r="K864" s="3" t="str">
        <f aca="false">PROPER(TRIM(SUBSTITUTE(Raw_Text_Fields!H865,CHAR(160)," ")))</f>
        <v>Binders</v>
      </c>
      <c r="L864" s="3" t="s">
        <v>2579</v>
      </c>
      <c r="M864" s="3" t="str">
        <f aca="false">PROPER(TRIM(SUBSTITUTE(Raw_Text_Fields!I865,CHAR(160)," ")))</f>
        <v>First Class</v>
      </c>
      <c r="N864" s="3" t="n">
        <v>5</v>
      </c>
      <c r="O864" s="5" t="n">
        <v>1395.14</v>
      </c>
      <c r="P864" s="6" t="n">
        <v>0</v>
      </c>
      <c r="Q864" s="5" t="n">
        <v>6975.7</v>
      </c>
      <c r="R864" s="5" t="n">
        <v>4797.88</v>
      </c>
      <c r="S864" s="5" t="n">
        <v>2177.82</v>
      </c>
      <c r="T864" s="3" t="str">
        <f aca="false">PROPER(TRIM(SUBSTITUTE(Raw_Text_Fields!J865,CHAR(160)," ")))</f>
        <v>Paid</v>
      </c>
      <c r="U864" s="3" t="str">
        <f aca="false">PROPER(TRIM(SUBSTITUTE(Raw_Text_Fields!K865,CHAR(160)," ")))</f>
        <v>Cancelled</v>
      </c>
      <c r="V864" s="7" t="n">
        <f aca="false">IF(OR(P864&lt;0,P864&gt;0.5),0,P864)</f>
        <v>0</v>
      </c>
      <c r="W864" s="8" t="n">
        <f aca="false">N864*O864*(1-V864)</f>
        <v>6975.7</v>
      </c>
      <c r="X864" s="8" t="n">
        <f aca="false">W864-R864</f>
        <v>2177.82</v>
      </c>
      <c r="Y864" s="7" t="n">
        <f aca="false">IFERROR(X864/W864,0)</f>
        <v>0.312200926071936</v>
      </c>
      <c r="Z864" s="9" t="n">
        <f aca="false">C864-B864</f>
        <v>5</v>
      </c>
      <c r="AA864" s="1" t="str">
        <f aca="false">IF(B864="","",TEXT(B864,"mmm"))</f>
        <v>Mar</v>
      </c>
      <c r="AB864" s="9" t="n">
        <f aca="false">IF(B864="","",YEAR(B864))</f>
        <v>2025</v>
      </c>
      <c r="AC864" s="3"/>
      <c r="AD864" s="3" t="str">
        <f aca="false">IF(LEFT(AC864&amp;IF(B864="","; Missing Order Date","")&amp;IF(C864="","; Missing Ship Date","")&amp;IF(P864&lt;0,"; Invalid Discount (Negative)","")&amp;IF(P864&gt;0.5,"; Invalid Discount (Too High)","")&amp;IF(Z864&lt;0,"; Invalid Shipping Record (Ship Before Order)","")&amp;IF(ABS(Q864-W864)&gt;1,"; Sales Mismatch","")&amp;IF(ABS(S864-X864)&gt;1,"; Profit Mismatch","")&amp;IF(COUNTIF($A$2:$A$913,A864)&gt;1,"; Duplicate Order ID Conflict",""),2)="; ",MID(AC864&amp;IF(B864="","; Missing Order Date","")&amp;IF(C864="","; Missing Ship Date","")&amp;IF(P864&lt;0,"; Invalid Discount (Negative)","")&amp;IF(P864&gt;0.5,"; Invalid Discount (Too High)","")&amp;IF(Z864&lt;0,"; Invalid Shipping Record (Ship Before Order)","")&amp;IF(ABS(Q864-W864)&gt;1,"; Sales Mismatch","")&amp;IF(ABS(S864-X864)&gt;1,"; Profit Mismatch","")&amp;IF(COUNTIF($A$2:$A$913,A864)&gt;1,"; Duplicate Order ID Conflict",""),3,500),AC864&amp;IF(B864="","; Missing Order Date","")&amp;IF(C864="","; Missing Ship Date","")&amp;IF(P864&lt;0,"; Invalid Discount (Negative)","")&amp;IF(P864&gt;0.5,"; Invalid Discount (Too High)","")&amp;IF(Z864&lt;0,"; Invalid Shipping Record (Ship Before Order)","")&amp;IF(ABS(Q864-W864)&gt;1,"; Sales Mismatch","")&amp;IF(ABS(S864-X864)&gt;1,"; Profit Mismatch","")&amp;IF(COUNTIF($A$2:$A$913,A864)&gt;1,"; Duplicate Order ID Conflict",""))</f>
        <v/>
      </c>
      <c r="AE864" s="10" t="str">
        <f aca="false">IF(OR(ISNUMBER(SEARCH("Invalid Discount",AD864)),ISNUMBER(SEARCH("Invalid Shipping Record",AD864)),ISNUMBER(SEARCH("Sales Mismatch",AD864)),ISNUMBER(SEARCH("Profit Mismatch",AD864)),ISNUMBER(SEARCH("Duplicate Order ID Conflict",AD864)),ISNUMBER(SEARCH("Missing Order Date",AD864)),ISNUMBER(SEARCH("Missing Ship Date",AD864))),"Invalid",IF(AD864&lt;&gt;"","Warning","Clean"))</f>
        <v>Clean</v>
      </c>
    </row>
    <row r="865" customFormat="false" ht="15" hidden="false" customHeight="true" outlineLevel="0" collapsed="false">
      <c r="A865" s="3" t="s">
        <v>2580</v>
      </c>
      <c r="B865" s="4" t="n">
        <v>45906</v>
      </c>
      <c r="C865" s="4" t="n">
        <v>45908</v>
      </c>
      <c r="D865" s="3" t="s">
        <v>2581</v>
      </c>
      <c r="E865" s="3" t="str">
        <f aca="false">PROPER(TRIM(SUBSTITUTE(Raw_Text_Fields!B866,CHAR(160)," ")))</f>
        <v>Aarav Sharma</v>
      </c>
      <c r="F865" s="3" t="str">
        <f aca="false">PROPER(TRIM(SUBSTITUTE(Raw_Text_Fields!C866,CHAR(160)," ")))</f>
        <v>Home Office</v>
      </c>
      <c r="G865" s="3" t="str">
        <f aca="false">PROPER(TRIM(SUBSTITUTE(Raw_Text_Fields!D866,CHAR(160)," ")))</f>
        <v>West</v>
      </c>
      <c r="H865" s="3" t="str">
        <f aca="false">PROPER(TRIM(SUBSTITUTE(Raw_Text_Fields!E866,CHAR(160)," ")))</f>
        <v>Madhya Pradesh</v>
      </c>
      <c r="I865" s="3" t="str">
        <f aca="false">PROPER(TRIM(SUBSTITUTE(Raw_Text_Fields!F866,CHAR(160)," ")))</f>
        <v>Indore</v>
      </c>
      <c r="J865" s="3" t="str">
        <f aca="false">PROPER(TRIM(SUBSTITUTE(Raw_Text_Fields!G866,CHAR(160)," ")))</f>
        <v>Furniture</v>
      </c>
      <c r="K865" s="3" t="str">
        <f aca="false">PROPER(TRIM(SUBSTITUTE(Raw_Text_Fields!H866,CHAR(160)," ")))</f>
        <v>Furnishings</v>
      </c>
      <c r="L865" s="3" t="s">
        <v>2582</v>
      </c>
      <c r="M865" s="3" t="str">
        <f aca="false">PROPER(TRIM(SUBSTITUTE(Raw_Text_Fields!I866,CHAR(160)," ")))</f>
        <v>Same Day</v>
      </c>
      <c r="N865" s="3" t="n">
        <v>3</v>
      </c>
      <c r="O865" s="5" t="n">
        <v>2937.23</v>
      </c>
      <c r="P865" s="6" t="n">
        <v>0</v>
      </c>
      <c r="Q865" s="5" t="n">
        <v>8811.69</v>
      </c>
      <c r="R865" s="5" t="n">
        <v>6765.91</v>
      </c>
      <c r="S865" s="5" t="n">
        <v>2045.78</v>
      </c>
      <c r="T865" s="3" t="str">
        <f aca="false">PROPER(TRIM(SUBSTITUTE(Raw_Text_Fields!J866,CHAR(160)," ")))</f>
        <v>Paid</v>
      </c>
      <c r="U865" s="3" t="str">
        <f aca="false">PROPER(TRIM(SUBSTITUTE(Raw_Text_Fields!K866,CHAR(160)," ")))</f>
        <v>Completed</v>
      </c>
      <c r="V865" s="7" t="n">
        <f aca="false">IF(OR(P865&lt;0,P865&gt;0.5),0,P865)</f>
        <v>0</v>
      </c>
      <c r="W865" s="8" t="n">
        <f aca="false">N865*O865*(1-V865)</f>
        <v>8811.69</v>
      </c>
      <c r="X865" s="8" t="n">
        <f aca="false">W865-R865</f>
        <v>2045.78</v>
      </c>
      <c r="Y865" s="7" t="n">
        <f aca="false">IFERROR(X865/W865,0)</f>
        <v>0.232166587794169</v>
      </c>
      <c r="Z865" s="9" t="n">
        <f aca="false">C865-B865</f>
        <v>2</v>
      </c>
      <c r="AA865" s="1" t="str">
        <f aca="false">IF(B865="","",TEXT(B865,"mmm"))</f>
        <v>Sep</v>
      </c>
      <c r="AB865" s="9" t="n">
        <f aca="false">IF(B865="","",YEAR(B865))</f>
        <v>2025</v>
      </c>
      <c r="AC865" s="3"/>
      <c r="AD865" s="3" t="str">
        <f aca="false">IF(LEFT(AC865&amp;IF(B865="","; Missing Order Date","")&amp;IF(C865="","; Missing Ship Date","")&amp;IF(P865&lt;0,"; Invalid Discount (Negative)","")&amp;IF(P865&gt;0.5,"; Invalid Discount (Too High)","")&amp;IF(Z865&lt;0,"; Invalid Shipping Record (Ship Before Order)","")&amp;IF(ABS(Q865-W865)&gt;1,"; Sales Mismatch","")&amp;IF(ABS(S865-X865)&gt;1,"; Profit Mismatch","")&amp;IF(COUNTIF($A$2:$A$913,A865)&gt;1,"; Duplicate Order ID Conflict",""),2)="; ",MID(AC865&amp;IF(B865="","; Missing Order Date","")&amp;IF(C865="","; Missing Ship Date","")&amp;IF(P865&lt;0,"; Invalid Discount (Negative)","")&amp;IF(P865&gt;0.5,"; Invalid Discount (Too High)","")&amp;IF(Z865&lt;0,"; Invalid Shipping Record (Ship Before Order)","")&amp;IF(ABS(Q865-W865)&gt;1,"; Sales Mismatch","")&amp;IF(ABS(S865-X865)&gt;1,"; Profit Mismatch","")&amp;IF(COUNTIF($A$2:$A$913,A865)&gt;1,"; Duplicate Order ID Conflict",""),3,500),AC865&amp;IF(B865="","; Missing Order Date","")&amp;IF(C865="","; Missing Ship Date","")&amp;IF(P865&lt;0,"; Invalid Discount (Negative)","")&amp;IF(P865&gt;0.5,"; Invalid Discount (Too High)","")&amp;IF(Z865&lt;0,"; Invalid Shipping Record (Ship Before Order)","")&amp;IF(ABS(Q865-W865)&gt;1,"; Sales Mismatch","")&amp;IF(ABS(S865-X865)&gt;1,"; Profit Mismatch","")&amp;IF(COUNTIF($A$2:$A$913,A865)&gt;1,"; Duplicate Order ID Conflict",""))</f>
        <v/>
      </c>
      <c r="AE865" s="10" t="str">
        <f aca="false">IF(OR(ISNUMBER(SEARCH("Invalid Discount",AD865)),ISNUMBER(SEARCH("Invalid Shipping Record",AD865)),ISNUMBER(SEARCH("Sales Mismatch",AD865)),ISNUMBER(SEARCH("Profit Mismatch",AD865)),ISNUMBER(SEARCH("Duplicate Order ID Conflict",AD865)),ISNUMBER(SEARCH("Missing Order Date",AD865)),ISNUMBER(SEARCH("Missing Ship Date",AD865))),"Invalid",IF(AD865&lt;&gt;"","Warning","Clean"))</f>
        <v>Clean</v>
      </c>
    </row>
    <row r="866" customFormat="false" ht="15" hidden="false" customHeight="true" outlineLevel="0" collapsed="false">
      <c r="A866" s="3" t="s">
        <v>2583</v>
      </c>
      <c r="B866" s="4" t="n">
        <v>45902</v>
      </c>
      <c r="C866" s="4" t="n">
        <v>45905</v>
      </c>
      <c r="D866" s="3" t="s">
        <v>2584</v>
      </c>
      <c r="E866" s="3" t="str">
        <f aca="false">PROPER(TRIM(SUBSTITUTE(Raw_Text_Fields!B867,CHAR(160)," ")))</f>
        <v>Vikram Iyer</v>
      </c>
      <c r="F866" s="3" t="str">
        <f aca="false">PROPER(TRIM(SUBSTITUTE(Raw_Text_Fields!C867,CHAR(160)," ")))</f>
        <v>Consumer</v>
      </c>
      <c r="G866" s="3" t="str">
        <f aca="false">PROPER(TRIM(SUBSTITUTE(Raw_Text_Fields!D867,CHAR(160)," ")))</f>
        <v>South</v>
      </c>
      <c r="H866" s="3" t="str">
        <f aca="false">PROPER(TRIM(SUBSTITUTE(Raw_Text_Fields!E867,CHAR(160)," ")))</f>
        <v>Tamil Nadu</v>
      </c>
      <c r="I866" s="3" t="str">
        <f aca="false">PROPER(TRIM(SUBSTITUTE(Raw_Text_Fields!F867,CHAR(160)," ")))</f>
        <v>Chennai</v>
      </c>
      <c r="J866" s="3" t="str">
        <f aca="false">PROPER(TRIM(SUBSTITUTE(Raw_Text_Fields!G867,CHAR(160)," ")))</f>
        <v>Technology</v>
      </c>
      <c r="K866" s="3" t="str">
        <f aca="false">PROPER(TRIM(SUBSTITUTE(Raw_Text_Fields!H867,CHAR(160)," ")))</f>
        <v>Phones</v>
      </c>
      <c r="L866" s="3" t="s">
        <v>2585</v>
      </c>
      <c r="M866" s="3" t="str">
        <f aca="false">PROPER(TRIM(SUBSTITUTE(Raw_Text_Fields!I867,CHAR(160)," ")))</f>
        <v>First Class</v>
      </c>
      <c r="N866" s="3" t="n">
        <v>5</v>
      </c>
      <c r="O866" s="5" t="n">
        <v>3406.87</v>
      </c>
      <c r="P866" s="6" t="n">
        <v>0</v>
      </c>
      <c r="Q866" s="5" t="n">
        <v>17034.35</v>
      </c>
      <c r="R866" s="5" t="n">
        <v>14631.36</v>
      </c>
      <c r="S866" s="5" t="n">
        <v>2402.99</v>
      </c>
      <c r="T866" s="3" t="str">
        <f aca="false">PROPER(TRIM(SUBSTITUTE(Raw_Text_Fields!J867,CHAR(160)," ")))</f>
        <v>Paid</v>
      </c>
      <c r="U866" s="3" t="str">
        <f aca="false">PROPER(TRIM(SUBSTITUTE(Raw_Text_Fields!K867,CHAR(160)," ")))</f>
        <v>Completed</v>
      </c>
      <c r="V866" s="7" t="n">
        <f aca="false">IF(OR(P866&lt;0,P866&gt;0.5),0,P866)</f>
        <v>0</v>
      </c>
      <c r="W866" s="8" t="n">
        <f aca="false">N866*O866*(1-V866)</f>
        <v>17034.35</v>
      </c>
      <c r="X866" s="8" t="n">
        <f aca="false">W866-R866</f>
        <v>2402.99</v>
      </c>
      <c r="Y866" s="7" t="n">
        <f aca="false">IFERROR(X866/W866,0)</f>
        <v>0.141067313986151</v>
      </c>
      <c r="Z866" s="9" t="n">
        <f aca="false">C866-B866</f>
        <v>3</v>
      </c>
      <c r="AA866" s="1" t="str">
        <f aca="false">IF(B866="","",TEXT(B866,"mmm"))</f>
        <v>Sep</v>
      </c>
      <c r="AB866" s="9" t="n">
        <f aca="false">IF(B866="","",YEAR(B866))</f>
        <v>2025</v>
      </c>
      <c r="AC866" s="3"/>
      <c r="AD866" s="3" t="str">
        <f aca="false">IF(LEFT(AC866&amp;IF(B866="","; Missing Order Date","")&amp;IF(C866="","; Missing Ship Date","")&amp;IF(P866&lt;0,"; Invalid Discount (Negative)","")&amp;IF(P866&gt;0.5,"; Invalid Discount (Too High)","")&amp;IF(Z866&lt;0,"; Invalid Shipping Record (Ship Before Order)","")&amp;IF(ABS(Q866-W866)&gt;1,"; Sales Mismatch","")&amp;IF(ABS(S866-X866)&gt;1,"; Profit Mismatch","")&amp;IF(COUNTIF($A$2:$A$913,A866)&gt;1,"; Duplicate Order ID Conflict",""),2)="; ",MID(AC866&amp;IF(B866="","; Missing Order Date","")&amp;IF(C866="","; Missing Ship Date","")&amp;IF(P866&lt;0,"; Invalid Discount (Negative)","")&amp;IF(P866&gt;0.5,"; Invalid Discount (Too High)","")&amp;IF(Z866&lt;0,"; Invalid Shipping Record (Ship Before Order)","")&amp;IF(ABS(Q866-W866)&gt;1,"; Sales Mismatch","")&amp;IF(ABS(S866-X866)&gt;1,"; Profit Mismatch","")&amp;IF(COUNTIF($A$2:$A$913,A866)&gt;1,"; Duplicate Order ID Conflict",""),3,500),AC866&amp;IF(B866="","; Missing Order Date","")&amp;IF(C866="","; Missing Ship Date","")&amp;IF(P866&lt;0,"; Invalid Discount (Negative)","")&amp;IF(P866&gt;0.5,"; Invalid Discount (Too High)","")&amp;IF(Z866&lt;0,"; Invalid Shipping Record (Ship Before Order)","")&amp;IF(ABS(Q866-W866)&gt;1,"; Sales Mismatch","")&amp;IF(ABS(S866-X866)&gt;1,"; Profit Mismatch","")&amp;IF(COUNTIF($A$2:$A$913,A866)&gt;1,"; Duplicate Order ID Conflict",""))</f>
        <v/>
      </c>
      <c r="AE866" s="10" t="str">
        <f aca="false">IF(OR(ISNUMBER(SEARCH("Invalid Discount",AD866)),ISNUMBER(SEARCH("Invalid Shipping Record",AD866)),ISNUMBER(SEARCH("Sales Mismatch",AD866)),ISNUMBER(SEARCH("Profit Mismatch",AD866)),ISNUMBER(SEARCH("Duplicate Order ID Conflict",AD866)),ISNUMBER(SEARCH("Missing Order Date",AD866)),ISNUMBER(SEARCH("Missing Ship Date",AD866))),"Invalid",IF(AD866&lt;&gt;"","Warning","Clean"))</f>
        <v>Clean</v>
      </c>
    </row>
    <row r="867" customFormat="false" ht="15" hidden="false" customHeight="true" outlineLevel="0" collapsed="false">
      <c r="A867" s="3" t="s">
        <v>2586</v>
      </c>
      <c r="B867" s="4" t="n">
        <v>45694</v>
      </c>
      <c r="C867" s="4" t="n">
        <v>45702</v>
      </c>
      <c r="D867" s="3" t="s">
        <v>2587</v>
      </c>
      <c r="E867" s="3" t="str">
        <f aca="false">PROPER(TRIM(SUBSTITUTE(Raw_Text_Fields!B868,CHAR(160)," ")))</f>
        <v>Kabir Singh</v>
      </c>
      <c r="F867" s="3" t="str">
        <f aca="false">PROPER(TRIM(SUBSTITUTE(Raw_Text_Fields!C868,CHAR(160)," ")))</f>
        <v>Consumer</v>
      </c>
      <c r="G867" s="3" t="str">
        <f aca="false">PROPER(TRIM(SUBSTITUTE(Raw_Text_Fields!D868,CHAR(160)," ")))</f>
        <v>West</v>
      </c>
      <c r="H867" s="3" t="str">
        <f aca="false">PROPER(TRIM(SUBSTITUTE(Raw_Text_Fields!E868,CHAR(160)," ")))</f>
        <v>Maharashtra</v>
      </c>
      <c r="I867" s="3" t="str">
        <f aca="false">PROPER(TRIM(SUBSTITUTE(Raw_Text_Fields!F868,CHAR(160)," ")))</f>
        <v>Mumbai</v>
      </c>
      <c r="J867" s="3" t="str">
        <f aca="false">PROPER(TRIM(SUBSTITUTE(Raw_Text_Fields!G868,CHAR(160)," ")))</f>
        <v>Office Supplies</v>
      </c>
      <c r="K867" s="3" t="str">
        <f aca="false">PROPER(TRIM(SUBSTITUTE(Raw_Text_Fields!H868,CHAR(160)," ")))</f>
        <v>Labels</v>
      </c>
      <c r="L867" s="3" t="s">
        <v>2588</v>
      </c>
      <c r="M867" s="3" t="str">
        <f aca="false">PROPER(TRIM(SUBSTITUTE(Raw_Text_Fields!I868,CHAR(160)," ")))</f>
        <v>Second Class</v>
      </c>
      <c r="N867" s="3" t="n">
        <v>2</v>
      </c>
      <c r="O867" s="5" t="n">
        <v>3992.04</v>
      </c>
      <c r="P867" s="6" t="n">
        <v>0</v>
      </c>
      <c r="Q867" s="5" t="n">
        <v>7984.08</v>
      </c>
      <c r="R867" s="5" t="n">
        <v>5658.05</v>
      </c>
      <c r="S867" s="5" t="n">
        <v>2326.03</v>
      </c>
      <c r="T867" s="3" t="str">
        <f aca="false">PROPER(TRIM(SUBSTITUTE(Raw_Text_Fields!J868,CHAR(160)," ")))</f>
        <v>Paid</v>
      </c>
      <c r="U867" s="3" t="str">
        <f aca="false">PROPER(TRIM(SUBSTITUTE(Raw_Text_Fields!K868,CHAR(160)," ")))</f>
        <v>Completed</v>
      </c>
      <c r="V867" s="7" t="n">
        <f aca="false">IF(OR(P867&lt;0,P867&gt;0.5),0,P867)</f>
        <v>0</v>
      </c>
      <c r="W867" s="8" t="n">
        <f aca="false">N867*O867*(1-V867)</f>
        <v>7984.08</v>
      </c>
      <c r="X867" s="8" t="n">
        <f aca="false">W867-R867</f>
        <v>2326.03</v>
      </c>
      <c r="Y867" s="7" t="n">
        <f aca="false">IFERROR(X867/W867,0)</f>
        <v>0.291333503672308</v>
      </c>
      <c r="Z867" s="9" t="n">
        <f aca="false">C867-B867</f>
        <v>8</v>
      </c>
      <c r="AA867" s="1" t="str">
        <f aca="false">IF(B867="","",TEXT(B867,"mmm"))</f>
        <v>Feb</v>
      </c>
      <c r="AB867" s="9" t="n">
        <f aca="false">IF(B867="","",YEAR(B867))</f>
        <v>2025</v>
      </c>
      <c r="AC867" s="3"/>
      <c r="AD867" s="3" t="str">
        <f aca="false">IF(LEFT(AC867&amp;IF(B867="","; Missing Order Date","")&amp;IF(C867="","; Missing Ship Date","")&amp;IF(P867&lt;0,"; Invalid Discount (Negative)","")&amp;IF(P867&gt;0.5,"; Invalid Discount (Too High)","")&amp;IF(Z867&lt;0,"; Invalid Shipping Record (Ship Before Order)","")&amp;IF(ABS(Q867-W867)&gt;1,"; Sales Mismatch","")&amp;IF(ABS(S867-X867)&gt;1,"; Profit Mismatch","")&amp;IF(COUNTIF($A$2:$A$913,A867)&gt;1,"; Duplicate Order ID Conflict",""),2)="; ",MID(AC867&amp;IF(B867="","; Missing Order Date","")&amp;IF(C867="","; Missing Ship Date","")&amp;IF(P867&lt;0,"; Invalid Discount (Negative)","")&amp;IF(P867&gt;0.5,"; Invalid Discount (Too High)","")&amp;IF(Z867&lt;0,"; Invalid Shipping Record (Ship Before Order)","")&amp;IF(ABS(Q867-W867)&gt;1,"; Sales Mismatch","")&amp;IF(ABS(S867-X867)&gt;1,"; Profit Mismatch","")&amp;IF(COUNTIF($A$2:$A$913,A867)&gt;1,"; Duplicate Order ID Conflict",""),3,500),AC867&amp;IF(B867="","; Missing Order Date","")&amp;IF(C867="","; Missing Ship Date","")&amp;IF(P867&lt;0,"; Invalid Discount (Negative)","")&amp;IF(P867&gt;0.5,"; Invalid Discount (Too High)","")&amp;IF(Z867&lt;0,"; Invalid Shipping Record (Ship Before Order)","")&amp;IF(ABS(Q867-W867)&gt;1,"; Sales Mismatch","")&amp;IF(ABS(S867-X867)&gt;1,"; Profit Mismatch","")&amp;IF(COUNTIF($A$2:$A$913,A867)&gt;1,"; Duplicate Order ID Conflict",""))</f>
        <v/>
      </c>
      <c r="AE867" s="10" t="str">
        <f aca="false">IF(OR(ISNUMBER(SEARCH("Invalid Discount",AD867)),ISNUMBER(SEARCH("Invalid Shipping Record",AD867)),ISNUMBER(SEARCH("Sales Mismatch",AD867)),ISNUMBER(SEARCH("Profit Mismatch",AD867)),ISNUMBER(SEARCH("Duplicate Order ID Conflict",AD867)),ISNUMBER(SEARCH("Missing Order Date",AD867)),ISNUMBER(SEARCH("Missing Ship Date",AD867))),"Invalid",IF(AD867&lt;&gt;"","Warning","Clean"))</f>
        <v>Clean</v>
      </c>
    </row>
    <row r="868" customFormat="false" ht="15" hidden="false" customHeight="true" outlineLevel="0" collapsed="false">
      <c r="A868" s="3" t="s">
        <v>2589</v>
      </c>
      <c r="B868" s="4" t="n">
        <v>45714</v>
      </c>
      <c r="C868" s="4" t="n">
        <v>45722</v>
      </c>
      <c r="D868" s="3" t="s">
        <v>2590</v>
      </c>
      <c r="E868" s="3" t="str">
        <f aca="false">PROPER(TRIM(SUBSTITUTE(Raw_Text_Fields!B869,CHAR(160)," ")))</f>
        <v>Priya Menon</v>
      </c>
      <c r="F868" s="3" t="str">
        <f aca="false">PROPER(TRIM(SUBSTITUTE(Raw_Text_Fields!C869,CHAR(160)," ")))</f>
        <v>Consumer</v>
      </c>
      <c r="G868" s="3" t="str">
        <f aca="false">PROPER(TRIM(SUBSTITUTE(Raw_Text_Fields!D869,CHAR(160)," ")))</f>
        <v>East</v>
      </c>
      <c r="H868" s="3" t="str">
        <f aca="false">PROPER(TRIM(SUBSTITUTE(Raw_Text_Fields!E869,CHAR(160)," ")))</f>
        <v>Bihar</v>
      </c>
      <c r="I868" s="3" t="str">
        <f aca="false">PROPER(TRIM(SUBSTITUTE(Raw_Text_Fields!F869,CHAR(160)," ")))</f>
        <v>Patna</v>
      </c>
      <c r="J868" s="3" t="str">
        <f aca="false">PROPER(TRIM(SUBSTITUTE(Raw_Text_Fields!G869,CHAR(160)," ")))</f>
        <v>Furniture</v>
      </c>
      <c r="K868" s="3" t="str">
        <f aca="false">PROPER(TRIM(SUBSTITUTE(Raw_Text_Fields!H869,CHAR(160)," ")))</f>
        <v>Bookcases</v>
      </c>
      <c r="L868" s="3" t="s">
        <v>2591</v>
      </c>
      <c r="M868" s="3" t="str">
        <f aca="false">PROPER(TRIM(SUBSTITUTE(Raw_Text_Fields!I869,CHAR(160)," ")))</f>
        <v>First Class</v>
      </c>
      <c r="N868" s="3" t="n">
        <v>9</v>
      </c>
      <c r="O868" s="5" t="n">
        <v>3043.37</v>
      </c>
      <c r="P868" s="6" t="n">
        <v>0.2</v>
      </c>
      <c r="Q868" s="5" t="n">
        <v>21912.26</v>
      </c>
      <c r="R868" s="5" t="n">
        <v>16367.78</v>
      </c>
      <c r="S868" s="5" t="n">
        <v>5544.48</v>
      </c>
      <c r="T868" s="3" t="str">
        <f aca="false">PROPER(TRIM(SUBSTITUTE(Raw_Text_Fields!J869,CHAR(160)," ")))</f>
        <v>Pending</v>
      </c>
      <c r="U868" s="3" t="str">
        <f aca="false">PROPER(TRIM(SUBSTITUTE(Raw_Text_Fields!K869,CHAR(160)," ")))</f>
        <v>Cancelled</v>
      </c>
      <c r="V868" s="7" t="n">
        <f aca="false">IF(OR(P868&lt;0,P868&gt;0.5),0,P868)</f>
        <v>0.2</v>
      </c>
      <c r="W868" s="8" t="n">
        <f aca="false">N868*O868*(1-V868)</f>
        <v>21912.264</v>
      </c>
      <c r="X868" s="8" t="n">
        <f aca="false">W868-R868</f>
        <v>5544.484</v>
      </c>
      <c r="Y868" s="7" t="n">
        <f aca="false">IFERROR(X868/W868,0)</f>
        <v>0.25303108797886</v>
      </c>
      <c r="Z868" s="9" t="n">
        <f aca="false">C868-B868</f>
        <v>8</v>
      </c>
      <c r="AA868" s="1" t="str">
        <f aca="false">IF(B868="","",TEXT(B868,"mmm"))</f>
        <v>Feb</v>
      </c>
      <c r="AB868" s="9" t="n">
        <f aca="false">IF(B868="","",YEAR(B868))</f>
        <v>2025</v>
      </c>
      <c r="AC868" s="3"/>
      <c r="AD868" s="3" t="str">
        <f aca="false">IF(LEFT(AC868&amp;IF(B868="","; Missing Order Date","")&amp;IF(C868="","; Missing Ship Date","")&amp;IF(P868&lt;0,"; Invalid Discount (Negative)","")&amp;IF(P868&gt;0.5,"; Invalid Discount (Too High)","")&amp;IF(Z868&lt;0,"; Invalid Shipping Record (Ship Before Order)","")&amp;IF(ABS(Q868-W868)&gt;1,"; Sales Mismatch","")&amp;IF(ABS(S868-X868)&gt;1,"; Profit Mismatch","")&amp;IF(COUNTIF($A$2:$A$913,A868)&gt;1,"; Duplicate Order ID Conflict",""),2)="; ",MID(AC868&amp;IF(B868="","; Missing Order Date","")&amp;IF(C868="","; Missing Ship Date","")&amp;IF(P868&lt;0,"; Invalid Discount (Negative)","")&amp;IF(P868&gt;0.5,"; Invalid Discount (Too High)","")&amp;IF(Z868&lt;0,"; Invalid Shipping Record (Ship Before Order)","")&amp;IF(ABS(Q868-W868)&gt;1,"; Sales Mismatch","")&amp;IF(ABS(S868-X868)&gt;1,"; Profit Mismatch","")&amp;IF(COUNTIF($A$2:$A$913,A868)&gt;1,"; Duplicate Order ID Conflict",""),3,500),AC868&amp;IF(B868="","; Missing Order Date","")&amp;IF(C868="","; Missing Ship Date","")&amp;IF(P868&lt;0,"; Invalid Discount (Negative)","")&amp;IF(P868&gt;0.5,"; Invalid Discount (Too High)","")&amp;IF(Z868&lt;0,"; Invalid Shipping Record (Ship Before Order)","")&amp;IF(ABS(Q868-W868)&gt;1,"; Sales Mismatch","")&amp;IF(ABS(S868-X868)&gt;1,"; Profit Mismatch","")&amp;IF(COUNTIF($A$2:$A$913,A868)&gt;1,"; Duplicate Order ID Conflict",""))</f>
        <v/>
      </c>
      <c r="AE868" s="10" t="str">
        <f aca="false">IF(OR(ISNUMBER(SEARCH("Invalid Discount",AD868)),ISNUMBER(SEARCH("Invalid Shipping Record",AD868)),ISNUMBER(SEARCH("Sales Mismatch",AD868)),ISNUMBER(SEARCH("Profit Mismatch",AD868)),ISNUMBER(SEARCH("Duplicate Order ID Conflict",AD868)),ISNUMBER(SEARCH("Missing Order Date",AD868)),ISNUMBER(SEARCH("Missing Ship Date",AD868))),"Invalid",IF(AD868&lt;&gt;"","Warning","Clean"))</f>
        <v>Clean</v>
      </c>
    </row>
    <row r="869" customFormat="false" ht="15" hidden="false" customHeight="true" outlineLevel="0" collapsed="false">
      <c r="A869" s="3" t="s">
        <v>2592</v>
      </c>
      <c r="B869" s="4" t="n">
        <v>45617</v>
      </c>
      <c r="C869" s="4" t="n">
        <v>45618</v>
      </c>
      <c r="D869" s="3" t="s">
        <v>2593</v>
      </c>
      <c r="E869" s="3" t="str">
        <f aca="false">PROPER(TRIM(SUBSTITUTE(Raw_Text_Fields!B870,CHAR(160)," ")))</f>
        <v>Rahul Verma</v>
      </c>
      <c r="F869" s="3" t="str">
        <f aca="false">PROPER(TRIM(SUBSTITUTE(Raw_Text_Fields!C870,CHAR(160)," ")))</f>
        <v>Home Office</v>
      </c>
      <c r="G869" s="3" t="str">
        <f aca="false">PROPER(TRIM(SUBSTITUTE(Raw_Text_Fields!D870,CHAR(160)," ")))</f>
        <v>South</v>
      </c>
      <c r="H869" s="3" t="str">
        <f aca="false">PROPER(TRIM(SUBSTITUTE(Raw_Text_Fields!E870,CHAR(160)," ")))</f>
        <v>Andhra Pradesh</v>
      </c>
      <c r="I869" s="3" t="str">
        <f aca="false">PROPER(TRIM(SUBSTITUTE(Raw_Text_Fields!F870,CHAR(160)," ")))</f>
        <v>Vijayawada</v>
      </c>
      <c r="J869" s="3" t="str">
        <f aca="false">PROPER(TRIM(SUBSTITUTE(Raw_Text_Fields!G870,CHAR(160)," ")))</f>
        <v>Technology</v>
      </c>
      <c r="K869" s="3" t="str">
        <f aca="false">PROPER(TRIM(SUBSTITUTE(Raw_Text_Fields!H870,CHAR(160)," ")))</f>
        <v>Accessories</v>
      </c>
      <c r="L869" s="3" t="s">
        <v>2594</v>
      </c>
      <c r="M869" s="3" t="str">
        <f aca="false">PROPER(TRIM(SUBSTITUTE(Raw_Text_Fields!I870,CHAR(160)," ")))</f>
        <v>Same Day</v>
      </c>
      <c r="N869" s="3" t="n">
        <v>6</v>
      </c>
      <c r="O869" s="5" t="n">
        <v>1043.49</v>
      </c>
      <c r="P869" s="6" t="n">
        <v>0.25</v>
      </c>
      <c r="Q869" s="5" t="n">
        <v>4695.7</v>
      </c>
      <c r="R869" s="5" t="n">
        <v>3871.69</v>
      </c>
      <c r="S869" s="5" t="n">
        <v>824.01</v>
      </c>
      <c r="T869" s="3" t="str">
        <f aca="false">PROPER(TRIM(SUBSTITUTE(Raw_Text_Fields!J870,CHAR(160)," ")))</f>
        <v>Failed</v>
      </c>
      <c r="U869" s="3" t="str">
        <f aca="false">PROPER(TRIM(SUBSTITUTE(Raw_Text_Fields!K870,CHAR(160)," ")))</f>
        <v>Cancelled</v>
      </c>
      <c r="V869" s="7" t="n">
        <f aca="false">IF(OR(P869&lt;0,P869&gt;0.5),0,P869)</f>
        <v>0.25</v>
      </c>
      <c r="W869" s="8" t="n">
        <f aca="false">N869*O869*(1-V869)</f>
        <v>4695.705</v>
      </c>
      <c r="X869" s="8" t="n">
        <f aca="false">W869-R869</f>
        <v>824.015</v>
      </c>
      <c r="Y869" s="7" t="n">
        <f aca="false">IFERROR(X869/W869,0)</f>
        <v>0.175482701745531</v>
      </c>
      <c r="Z869" s="9" t="n">
        <f aca="false">C869-B869</f>
        <v>1</v>
      </c>
      <c r="AA869" s="1" t="str">
        <f aca="false">IF(B869="","",TEXT(B869,"mmm"))</f>
        <v>Nov</v>
      </c>
      <c r="AB869" s="9" t="n">
        <f aca="false">IF(B869="","",YEAR(B869))</f>
        <v>2024</v>
      </c>
      <c r="AC869" s="3"/>
      <c r="AD869" s="3" t="str">
        <f aca="false">IF(LEFT(AC869&amp;IF(B869="","; Missing Order Date","")&amp;IF(C869="","; Missing Ship Date","")&amp;IF(P869&lt;0,"; Invalid Discount (Negative)","")&amp;IF(P869&gt;0.5,"; Invalid Discount (Too High)","")&amp;IF(Z869&lt;0,"; Invalid Shipping Record (Ship Before Order)","")&amp;IF(ABS(Q869-W869)&gt;1,"; Sales Mismatch","")&amp;IF(ABS(S869-X869)&gt;1,"; Profit Mismatch","")&amp;IF(COUNTIF($A$2:$A$913,A869)&gt;1,"; Duplicate Order ID Conflict",""),2)="; ",MID(AC869&amp;IF(B869="","; Missing Order Date","")&amp;IF(C869="","; Missing Ship Date","")&amp;IF(P869&lt;0,"; Invalid Discount (Negative)","")&amp;IF(P869&gt;0.5,"; Invalid Discount (Too High)","")&amp;IF(Z869&lt;0,"; Invalid Shipping Record (Ship Before Order)","")&amp;IF(ABS(Q869-W869)&gt;1,"; Sales Mismatch","")&amp;IF(ABS(S869-X869)&gt;1,"; Profit Mismatch","")&amp;IF(COUNTIF($A$2:$A$913,A869)&gt;1,"; Duplicate Order ID Conflict",""),3,500),AC869&amp;IF(B869="","; Missing Order Date","")&amp;IF(C869="","; Missing Ship Date","")&amp;IF(P869&lt;0,"; Invalid Discount (Negative)","")&amp;IF(P869&gt;0.5,"; Invalid Discount (Too High)","")&amp;IF(Z869&lt;0,"; Invalid Shipping Record (Ship Before Order)","")&amp;IF(ABS(Q869-W869)&gt;1,"; Sales Mismatch","")&amp;IF(ABS(S869-X869)&gt;1,"; Profit Mismatch","")&amp;IF(COUNTIF($A$2:$A$913,A869)&gt;1,"; Duplicate Order ID Conflict",""))</f>
        <v/>
      </c>
      <c r="AE869" s="10" t="str">
        <f aca="false">IF(OR(ISNUMBER(SEARCH("Invalid Discount",AD869)),ISNUMBER(SEARCH("Invalid Shipping Record",AD869)),ISNUMBER(SEARCH("Sales Mismatch",AD869)),ISNUMBER(SEARCH("Profit Mismatch",AD869)),ISNUMBER(SEARCH("Duplicate Order ID Conflict",AD869)),ISNUMBER(SEARCH("Missing Order Date",AD869)),ISNUMBER(SEARCH("Missing Ship Date",AD869))),"Invalid",IF(AD869&lt;&gt;"","Warning","Clean"))</f>
        <v>Clean</v>
      </c>
    </row>
    <row r="870" customFormat="false" ht="15" hidden="false" customHeight="true" outlineLevel="0" collapsed="false">
      <c r="A870" s="3" t="s">
        <v>2595</v>
      </c>
      <c r="B870" s="4" t="n">
        <v>45758</v>
      </c>
      <c r="C870" s="4" t="n">
        <v>45762</v>
      </c>
      <c r="D870" s="3" t="s">
        <v>2596</v>
      </c>
      <c r="E870" s="3" t="str">
        <f aca="false">PROPER(TRIM(SUBSTITUTE(Raw_Text_Fields!B871,CHAR(160)," ")))</f>
        <v>Vikram Iyer</v>
      </c>
      <c r="F870" s="3" t="str">
        <f aca="false">PROPER(TRIM(SUBSTITUTE(Raw_Text_Fields!C871,CHAR(160)," ")))</f>
        <v>Home Office</v>
      </c>
      <c r="G870" s="3" t="str">
        <f aca="false">PROPER(TRIM(SUBSTITUTE(Raw_Text_Fields!D871,CHAR(160)," ")))</f>
        <v>South</v>
      </c>
      <c r="H870" s="3" t="str">
        <f aca="false">PROPER(TRIM(SUBSTITUTE(Raw_Text_Fields!E871,CHAR(160)," ")))</f>
        <v>Karnataka</v>
      </c>
      <c r="I870" s="3" t="str">
        <f aca="false">PROPER(TRIM(SUBSTITUTE(Raw_Text_Fields!F871,CHAR(160)," ")))</f>
        <v>Bengaluru</v>
      </c>
      <c r="J870" s="3" t="str">
        <f aca="false">PROPER(TRIM(SUBSTITUTE(Raw_Text_Fields!G871,CHAR(160)," ")))</f>
        <v>Office Supplies</v>
      </c>
      <c r="K870" s="3" t="str">
        <f aca="false">PROPER(TRIM(SUBSTITUTE(Raw_Text_Fields!H871,CHAR(160)," ")))</f>
        <v>Storage</v>
      </c>
      <c r="L870" s="3" t="s">
        <v>2597</v>
      </c>
      <c r="M870" s="3" t="str">
        <f aca="false">PROPER(TRIM(SUBSTITUTE(Raw_Text_Fields!I871,CHAR(160)," ")))</f>
        <v>Same Day</v>
      </c>
      <c r="N870" s="3" t="n">
        <v>9</v>
      </c>
      <c r="O870" s="5" t="n">
        <v>224.94</v>
      </c>
      <c r="P870" s="6" t="n">
        <v>0.05</v>
      </c>
      <c r="Q870" s="5" t="n">
        <v>1923.24</v>
      </c>
      <c r="R870" s="5" t="n">
        <v>1093.66</v>
      </c>
      <c r="S870" s="5" t="n">
        <v>829.58</v>
      </c>
      <c r="T870" s="3" t="str">
        <f aca="false">PROPER(TRIM(SUBSTITUTE(Raw_Text_Fields!J871,CHAR(160)," ")))</f>
        <v>Paid</v>
      </c>
      <c r="U870" s="3" t="str">
        <f aca="false">PROPER(TRIM(SUBSTITUTE(Raw_Text_Fields!K871,CHAR(160)," ")))</f>
        <v>Completed</v>
      </c>
      <c r="V870" s="7" t="n">
        <f aca="false">IF(OR(P870&lt;0,P870&gt;0.5),0,P870)</f>
        <v>0.05</v>
      </c>
      <c r="W870" s="8" t="n">
        <f aca="false">N870*O870*(1-V870)</f>
        <v>1923.237</v>
      </c>
      <c r="X870" s="8" t="n">
        <f aca="false">W870-R870</f>
        <v>829.577</v>
      </c>
      <c r="Y870" s="7" t="n">
        <f aca="false">IFERROR(X870/W870,0)</f>
        <v>0.43134413491421</v>
      </c>
      <c r="Z870" s="9" t="n">
        <f aca="false">C870-B870</f>
        <v>4</v>
      </c>
      <c r="AA870" s="1" t="str">
        <f aca="false">IF(B870="","",TEXT(B870,"mmm"))</f>
        <v>Apr</v>
      </c>
      <c r="AB870" s="9" t="n">
        <f aca="false">IF(B870="","",YEAR(B870))</f>
        <v>2025</v>
      </c>
      <c r="AC870" s="3"/>
      <c r="AD870" s="3" t="str">
        <f aca="false">IF(LEFT(AC870&amp;IF(B870="","; Missing Order Date","")&amp;IF(C870="","; Missing Ship Date","")&amp;IF(P870&lt;0,"; Invalid Discount (Negative)","")&amp;IF(P870&gt;0.5,"; Invalid Discount (Too High)","")&amp;IF(Z870&lt;0,"; Invalid Shipping Record (Ship Before Order)","")&amp;IF(ABS(Q870-W870)&gt;1,"; Sales Mismatch","")&amp;IF(ABS(S870-X870)&gt;1,"; Profit Mismatch","")&amp;IF(COUNTIF($A$2:$A$913,A870)&gt;1,"; Duplicate Order ID Conflict",""),2)="; ",MID(AC870&amp;IF(B870="","; Missing Order Date","")&amp;IF(C870="","; Missing Ship Date","")&amp;IF(P870&lt;0,"; Invalid Discount (Negative)","")&amp;IF(P870&gt;0.5,"; Invalid Discount (Too High)","")&amp;IF(Z870&lt;0,"; Invalid Shipping Record (Ship Before Order)","")&amp;IF(ABS(Q870-W870)&gt;1,"; Sales Mismatch","")&amp;IF(ABS(S870-X870)&gt;1,"; Profit Mismatch","")&amp;IF(COUNTIF($A$2:$A$913,A870)&gt;1,"; Duplicate Order ID Conflict",""),3,500),AC870&amp;IF(B870="","; Missing Order Date","")&amp;IF(C870="","; Missing Ship Date","")&amp;IF(P870&lt;0,"; Invalid Discount (Negative)","")&amp;IF(P870&gt;0.5,"; Invalid Discount (Too High)","")&amp;IF(Z870&lt;0,"; Invalid Shipping Record (Ship Before Order)","")&amp;IF(ABS(Q870-W870)&gt;1,"; Sales Mismatch","")&amp;IF(ABS(S870-X870)&gt;1,"; Profit Mismatch","")&amp;IF(COUNTIF($A$2:$A$913,A870)&gt;1,"; Duplicate Order ID Conflict",""))</f>
        <v/>
      </c>
      <c r="AE870" s="10" t="str">
        <f aca="false">IF(OR(ISNUMBER(SEARCH("Invalid Discount",AD870)),ISNUMBER(SEARCH("Invalid Shipping Record",AD870)),ISNUMBER(SEARCH("Sales Mismatch",AD870)),ISNUMBER(SEARCH("Profit Mismatch",AD870)),ISNUMBER(SEARCH("Duplicate Order ID Conflict",AD870)),ISNUMBER(SEARCH("Missing Order Date",AD870)),ISNUMBER(SEARCH("Missing Ship Date",AD870))),"Invalid",IF(AD870&lt;&gt;"","Warning","Clean"))</f>
        <v>Clean</v>
      </c>
    </row>
    <row r="871" customFormat="false" ht="15" hidden="false" customHeight="true" outlineLevel="0" collapsed="false">
      <c r="A871" s="3" t="s">
        <v>2598</v>
      </c>
      <c r="B871" s="4" t="n">
        <v>45722</v>
      </c>
      <c r="C871" s="4" t="n">
        <v>45723</v>
      </c>
      <c r="D871" s="3" t="s">
        <v>2599</v>
      </c>
      <c r="E871" s="3" t="str">
        <f aca="false">PROPER(TRIM(SUBSTITUTE(Raw_Text_Fields!B872,CHAR(160)," ")))</f>
        <v>Rohan Mehta</v>
      </c>
      <c r="F871" s="3" t="str">
        <f aca="false">PROPER(TRIM(SUBSTITUTE(Raw_Text_Fields!C872,CHAR(160)," ")))</f>
        <v>Home Office</v>
      </c>
      <c r="G871" s="3" t="str">
        <f aca="false">PROPER(TRIM(SUBSTITUTE(Raw_Text_Fields!D872,CHAR(160)," ")))</f>
        <v>Unknown</v>
      </c>
      <c r="H871" s="3" t="str">
        <f aca="false">PROPER(TRIM(SUBSTITUTE(Raw_Text_Fields!E872,CHAR(160)," ")))</f>
        <v>Delhi</v>
      </c>
      <c r="I871" s="3" t="str">
        <f aca="false">PROPER(TRIM(SUBSTITUTE(Raw_Text_Fields!F872,CHAR(160)," ")))</f>
        <v>New Delhi</v>
      </c>
      <c r="J871" s="3" t="str">
        <f aca="false">PROPER(TRIM(SUBSTITUTE(Raw_Text_Fields!G872,CHAR(160)," ")))</f>
        <v>Furniture</v>
      </c>
      <c r="K871" s="3" t="str">
        <f aca="false">PROPER(TRIM(SUBSTITUTE(Raw_Text_Fields!H872,CHAR(160)," ")))</f>
        <v>Chairs</v>
      </c>
      <c r="L871" s="3" t="s">
        <v>1069</v>
      </c>
      <c r="M871" s="3" t="str">
        <f aca="false">PROPER(TRIM(SUBSTITUTE(Raw_Text_Fields!I872,CHAR(160)," ")))</f>
        <v>Same Day</v>
      </c>
      <c r="N871" s="3" t="n">
        <v>6</v>
      </c>
      <c r="O871" s="5" t="n">
        <v>796.65</v>
      </c>
      <c r="P871" s="6" t="n">
        <v>0.1</v>
      </c>
      <c r="Q871" s="5" t="n">
        <v>4301.91</v>
      </c>
      <c r="R871" s="5" t="n">
        <v>2374.4</v>
      </c>
      <c r="S871" s="5" t="n">
        <v>1927.51</v>
      </c>
      <c r="T871" s="3" t="str">
        <f aca="false">PROPER(TRIM(SUBSTITUTE(Raw_Text_Fields!J872,CHAR(160)," ")))</f>
        <v>Paid</v>
      </c>
      <c r="U871" s="3" t="str">
        <f aca="false">PROPER(TRIM(SUBSTITUTE(Raw_Text_Fields!K872,CHAR(160)," ")))</f>
        <v>Completed</v>
      </c>
      <c r="V871" s="7" t="n">
        <f aca="false">IF(OR(P871&lt;0,P871&gt;0.5),0,P871)</f>
        <v>0.1</v>
      </c>
      <c r="W871" s="8" t="n">
        <f aca="false">N871*O871*(1-V871)</f>
        <v>4301.91</v>
      </c>
      <c r="X871" s="8" t="n">
        <f aca="false">W871-R871</f>
        <v>1927.51</v>
      </c>
      <c r="Y871" s="7" t="n">
        <f aca="false">IFERROR(X871/W871,0)</f>
        <v>0.448059117926688</v>
      </c>
      <c r="Z871" s="9" t="n">
        <f aca="false">C871-B871</f>
        <v>1</v>
      </c>
      <c r="AA871" s="1" t="str">
        <f aca="false">IF(B871="","",TEXT(B871,"mmm"))</f>
        <v>Mar</v>
      </c>
      <c r="AB871" s="9" t="n">
        <f aca="false">IF(B871="","",YEAR(B871))</f>
        <v>2025</v>
      </c>
      <c r="AC871" s="3" t="s">
        <v>372</v>
      </c>
      <c r="AD871" s="3" t="str">
        <f aca="false">IF(LEFT(AC871&amp;IF(B871="","; Missing Order Date","")&amp;IF(C871="","; Missing Ship Date","")&amp;IF(P871&lt;0,"; Invalid Discount (Negative)","")&amp;IF(P871&gt;0.5,"; Invalid Discount (Too High)","")&amp;IF(Z871&lt;0,"; Invalid Shipping Record (Ship Before Order)","")&amp;IF(ABS(Q871-W871)&gt;1,"; Sales Mismatch","")&amp;IF(ABS(S871-X871)&gt;1,"; Profit Mismatch","")&amp;IF(COUNTIF($A$2:$A$913,A871)&gt;1,"; Duplicate Order ID Conflict",""),2)="; ",MID(AC871&amp;IF(B871="","; Missing Order Date","")&amp;IF(C871="","; Missing Ship Date","")&amp;IF(P871&lt;0,"; Invalid Discount (Negative)","")&amp;IF(P871&gt;0.5,"; Invalid Discount (Too High)","")&amp;IF(Z871&lt;0,"; Invalid Shipping Record (Ship Before Order)","")&amp;IF(ABS(Q871-W871)&gt;1,"; Sales Mismatch","")&amp;IF(ABS(S871-X871)&gt;1,"; Profit Mismatch","")&amp;IF(COUNTIF($A$2:$A$913,A871)&gt;1,"; Duplicate Order ID Conflict",""),3,500),AC871&amp;IF(B871="","; Missing Order Date","")&amp;IF(C871="","; Missing Ship Date","")&amp;IF(P871&lt;0,"; Invalid Discount (Negative)","")&amp;IF(P871&gt;0.5,"; Invalid Discount (Too High)","")&amp;IF(Z871&lt;0,"; Invalid Shipping Record (Ship Before Order)","")&amp;IF(ABS(Q871-W871)&gt;1,"; Sales Mismatch","")&amp;IF(ABS(S871-X871)&gt;1,"; Profit Mismatch","")&amp;IF(COUNTIF($A$2:$A$913,A871)&gt;1,"; Duplicate Order ID Conflict",""))</f>
        <v>Missing Region (filled Unknown)</v>
      </c>
      <c r="AE871" s="10" t="str">
        <f aca="false">IF(OR(ISNUMBER(SEARCH("Invalid Discount",AD871)),ISNUMBER(SEARCH("Invalid Shipping Record",AD871)),ISNUMBER(SEARCH("Sales Mismatch",AD871)),ISNUMBER(SEARCH("Profit Mismatch",AD871)),ISNUMBER(SEARCH("Duplicate Order ID Conflict",AD871)),ISNUMBER(SEARCH("Missing Order Date",AD871)),ISNUMBER(SEARCH("Missing Ship Date",AD871))),"Invalid",IF(AD871&lt;&gt;"","Warning","Clean"))</f>
        <v>Warning</v>
      </c>
    </row>
    <row r="872" customFormat="false" ht="15" hidden="false" customHeight="true" outlineLevel="0" collapsed="false">
      <c r="A872" s="3" t="s">
        <v>2600</v>
      </c>
      <c r="B872" s="4" t="n">
        <v>45814</v>
      </c>
      <c r="C872" s="4" t="n">
        <v>45815</v>
      </c>
      <c r="D872" s="3" t="s">
        <v>2601</v>
      </c>
      <c r="E872" s="3" t="str">
        <f aca="false">PROPER(TRIM(SUBSTITUTE(Raw_Text_Fields!B873,CHAR(160)," ")))</f>
        <v>Vikram Iyer</v>
      </c>
      <c r="F872" s="3" t="str">
        <f aca="false">PROPER(TRIM(SUBSTITUTE(Raw_Text_Fields!C873,CHAR(160)," ")))</f>
        <v>Corporate</v>
      </c>
      <c r="G872" s="3" t="str">
        <f aca="false">PROPER(TRIM(SUBSTITUTE(Raw_Text_Fields!D873,CHAR(160)," ")))</f>
        <v>West</v>
      </c>
      <c r="H872" s="3" t="str">
        <f aca="false">PROPER(TRIM(SUBSTITUTE(Raw_Text_Fields!E873,CHAR(160)," ")))</f>
        <v>Goa</v>
      </c>
      <c r="I872" s="3" t="str">
        <f aca="false">PROPER(TRIM(SUBSTITUTE(Raw_Text_Fields!F873,CHAR(160)," ")))</f>
        <v>Panaji</v>
      </c>
      <c r="J872" s="3" t="str">
        <f aca="false">PROPER(TRIM(SUBSTITUTE(Raw_Text_Fields!G873,CHAR(160)," ")))</f>
        <v>Furniture</v>
      </c>
      <c r="K872" s="3" t="str">
        <f aca="false">PROPER(TRIM(SUBSTITUTE(Raw_Text_Fields!H873,CHAR(160)," ")))</f>
        <v>Tables</v>
      </c>
      <c r="L872" s="3" t="s">
        <v>2602</v>
      </c>
      <c r="M872" s="3" t="str">
        <f aca="false">PROPER(TRIM(SUBSTITUTE(Raw_Text_Fields!I873,CHAR(160)," ")))</f>
        <v>Standard Class</v>
      </c>
      <c r="N872" s="3" t="n">
        <v>9</v>
      </c>
      <c r="O872" s="5" t="n">
        <v>2932.92</v>
      </c>
      <c r="P872" s="6" t="n">
        <v>0.15</v>
      </c>
      <c r="Q872" s="5" t="n">
        <v>22436.84</v>
      </c>
      <c r="R872" s="5" t="n">
        <v>17454.67</v>
      </c>
      <c r="S872" s="5" t="n">
        <v>4982.17</v>
      </c>
      <c r="T872" s="3" t="str">
        <f aca="false">PROPER(TRIM(SUBSTITUTE(Raw_Text_Fields!J873,CHAR(160)," ")))</f>
        <v>Paid</v>
      </c>
      <c r="U872" s="3" t="str">
        <f aca="false">PROPER(TRIM(SUBSTITUTE(Raw_Text_Fields!K873,CHAR(160)," ")))</f>
        <v>Cancelled</v>
      </c>
      <c r="V872" s="7" t="n">
        <f aca="false">IF(OR(P872&lt;0,P872&gt;0.5),0,P872)</f>
        <v>0.15</v>
      </c>
      <c r="W872" s="8" t="n">
        <f aca="false">N872*O872*(1-V872)</f>
        <v>22436.838</v>
      </c>
      <c r="X872" s="8" t="n">
        <f aca="false">W872-R872</f>
        <v>4982.168</v>
      </c>
      <c r="Y872" s="7" t="n">
        <f aca="false">IFERROR(X872/W872,0)</f>
        <v>0.222053036172031</v>
      </c>
      <c r="Z872" s="9" t="n">
        <f aca="false">C872-B872</f>
        <v>1</v>
      </c>
      <c r="AA872" s="1" t="str">
        <f aca="false">IF(B872="","",TEXT(B872,"mmm"))</f>
        <v>Jun</v>
      </c>
      <c r="AB872" s="9" t="n">
        <f aca="false">IF(B872="","",YEAR(B872))</f>
        <v>2025</v>
      </c>
      <c r="AC872" s="3"/>
      <c r="AD872" s="3" t="str">
        <f aca="false">IF(LEFT(AC872&amp;IF(B872="","; Missing Order Date","")&amp;IF(C872="","; Missing Ship Date","")&amp;IF(P872&lt;0,"; Invalid Discount (Negative)","")&amp;IF(P872&gt;0.5,"; Invalid Discount (Too High)","")&amp;IF(Z872&lt;0,"; Invalid Shipping Record (Ship Before Order)","")&amp;IF(ABS(Q872-W872)&gt;1,"; Sales Mismatch","")&amp;IF(ABS(S872-X872)&gt;1,"; Profit Mismatch","")&amp;IF(COUNTIF($A$2:$A$913,A872)&gt;1,"; Duplicate Order ID Conflict",""),2)="; ",MID(AC872&amp;IF(B872="","; Missing Order Date","")&amp;IF(C872="","; Missing Ship Date","")&amp;IF(P872&lt;0,"; Invalid Discount (Negative)","")&amp;IF(P872&gt;0.5,"; Invalid Discount (Too High)","")&amp;IF(Z872&lt;0,"; Invalid Shipping Record (Ship Before Order)","")&amp;IF(ABS(Q872-W872)&gt;1,"; Sales Mismatch","")&amp;IF(ABS(S872-X872)&gt;1,"; Profit Mismatch","")&amp;IF(COUNTIF($A$2:$A$913,A872)&gt;1,"; Duplicate Order ID Conflict",""),3,500),AC872&amp;IF(B872="","; Missing Order Date","")&amp;IF(C872="","; Missing Ship Date","")&amp;IF(P872&lt;0,"; Invalid Discount (Negative)","")&amp;IF(P872&gt;0.5,"; Invalid Discount (Too High)","")&amp;IF(Z872&lt;0,"; Invalid Shipping Record (Ship Before Order)","")&amp;IF(ABS(Q872-W872)&gt;1,"; Sales Mismatch","")&amp;IF(ABS(S872-X872)&gt;1,"; Profit Mismatch","")&amp;IF(COUNTIF($A$2:$A$913,A872)&gt;1,"; Duplicate Order ID Conflict",""))</f>
        <v/>
      </c>
      <c r="AE872" s="10" t="str">
        <f aca="false">IF(OR(ISNUMBER(SEARCH("Invalid Discount",AD872)),ISNUMBER(SEARCH("Invalid Shipping Record",AD872)),ISNUMBER(SEARCH("Sales Mismatch",AD872)),ISNUMBER(SEARCH("Profit Mismatch",AD872)),ISNUMBER(SEARCH("Duplicate Order ID Conflict",AD872)),ISNUMBER(SEARCH("Missing Order Date",AD872)),ISNUMBER(SEARCH("Missing Ship Date",AD872))),"Invalid",IF(AD872&lt;&gt;"","Warning","Clean"))</f>
        <v>Clean</v>
      </c>
    </row>
    <row r="873" customFormat="false" ht="15" hidden="false" customHeight="true" outlineLevel="0" collapsed="false">
      <c r="A873" s="3" t="s">
        <v>2603</v>
      </c>
      <c r="B873" s="4" t="n">
        <v>45342</v>
      </c>
      <c r="C873" s="4" t="n">
        <v>45344</v>
      </c>
      <c r="D873" s="3" t="s">
        <v>2474</v>
      </c>
      <c r="E873" s="3" t="str">
        <f aca="false">PROPER(TRIM(SUBSTITUTE(Raw_Text_Fields!B874,CHAR(160)," ")))</f>
        <v>Neha Gupta</v>
      </c>
      <c r="F873" s="3" t="str">
        <f aca="false">PROPER(TRIM(SUBSTITUTE(Raw_Text_Fields!C874,CHAR(160)," ")))</f>
        <v>Small Business</v>
      </c>
      <c r="G873" s="3" t="str">
        <f aca="false">PROPER(TRIM(SUBSTITUTE(Raw_Text_Fields!D874,CHAR(160)," ")))</f>
        <v>South</v>
      </c>
      <c r="H873" s="3" t="str">
        <f aca="false">PROPER(TRIM(SUBSTITUTE(Raw_Text_Fields!E874,CHAR(160)," ")))</f>
        <v>Telangana</v>
      </c>
      <c r="I873" s="3" t="str">
        <f aca="false">PROPER(TRIM(SUBSTITUTE(Raw_Text_Fields!F874,CHAR(160)," ")))</f>
        <v>Hyderabad</v>
      </c>
      <c r="J873" s="3" t="str">
        <f aca="false">PROPER(TRIM(SUBSTITUTE(Raw_Text_Fields!G874,CHAR(160)," ")))</f>
        <v>Technology</v>
      </c>
      <c r="K873" s="3" t="str">
        <f aca="false">PROPER(TRIM(SUBSTITUTE(Raw_Text_Fields!H874,CHAR(160)," ")))</f>
        <v>Accessories</v>
      </c>
      <c r="L873" s="3" t="s">
        <v>2604</v>
      </c>
      <c r="M873" s="3" t="str">
        <f aca="false">PROPER(TRIM(SUBSTITUTE(Raw_Text_Fields!I874,CHAR(160)," ")))</f>
        <v>First Class</v>
      </c>
      <c r="N873" s="3" t="n">
        <v>9</v>
      </c>
      <c r="O873" s="5" t="n">
        <v>2186.23</v>
      </c>
      <c r="P873" s="6" t="n">
        <v>0</v>
      </c>
      <c r="Q873" s="5" t="n">
        <v>19676.07</v>
      </c>
      <c r="R873" s="5" t="n">
        <v>12458.62</v>
      </c>
      <c r="S873" s="5" t="n">
        <v>7217.45</v>
      </c>
      <c r="T873" s="3" t="str">
        <f aca="false">PROPER(TRIM(SUBSTITUTE(Raw_Text_Fields!J874,CHAR(160)," ")))</f>
        <v>Refunded</v>
      </c>
      <c r="U873" s="3" t="str">
        <f aca="false">PROPER(TRIM(SUBSTITUTE(Raw_Text_Fields!K874,CHAR(160)," ")))</f>
        <v>Cancelled</v>
      </c>
      <c r="V873" s="7" t="n">
        <f aca="false">IF(OR(P873&lt;0,P873&gt;0.5),0,P873)</f>
        <v>0</v>
      </c>
      <c r="W873" s="8" t="n">
        <f aca="false">N873*O873*(1-V873)</f>
        <v>19676.07</v>
      </c>
      <c r="X873" s="8" t="n">
        <f aca="false">W873-R873</f>
        <v>7217.45</v>
      </c>
      <c r="Y873" s="7" t="n">
        <f aca="false">IFERROR(X873/W873,0)</f>
        <v>0.366813596414325</v>
      </c>
      <c r="Z873" s="9" t="n">
        <f aca="false">C873-B873</f>
        <v>2</v>
      </c>
      <c r="AA873" s="1" t="str">
        <f aca="false">IF(B873="","",TEXT(B873,"mmm"))</f>
        <v>Feb</v>
      </c>
      <c r="AB873" s="9" t="n">
        <f aca="false">IF(B873="","",YEAR(B873))</f>
        <v>2024</v>
      </c>
      <c r="AC873" s="3"/>
      <c r="AD873" s="3" t="str">
        <f aca="false">IF(LEFT(AC873&amp;IF(B873="","; Missing Order Date","")&amp;IF(C873="","; Missing Ship Date","")&amp;IF(P873&lt;0,"; Invalid Discount (Negative)","")&amp;IF(P873&gt;0.5,"; Invalid Discount (Too High)","")&amp;IF(Z873&lt;0,"; Invalid Shipping Record (Ship Before Order)","")&amp;IF(ABS(Q873-W873)&gt;1,"; Sales Mismatch","")&amp;IF(ABS(S873-X873)&gt;1,"; Profit Mismatch","")&amp;IF(COUNTIF($A$2:$A$913,A873)&gt;1,"; Duplicate Order ID Conflict",""),2)="; ",MID(AC873&amp;IF(B873="","; Missing Order Date","")&amp;IF(C873="","; Missing Ship Date","")&amp;IF(P873&lt;0,"; Invalid Discount (Negative)","")&amp;IF(P873&gt;0.5,"; Invalid Discount (Too High)","")&amp;IF(Z873&lt;0,"; Invalid Shipping Record (Ship Before Order)","")&amp;IF(ABS(Q873-W873)&gt;1,"; Sales Mismatch","")&amp;IF(ABS(S873-X873)&gt;1,"; Profit Mismatch","")&amp;IF(COUNTIF($A$2:$A$913,A873)&gt;1,"; Duplicate Order ID Conflict",""),3,500),AC873&amp;IF(B873="","; Missing Order Date","")&amp;IF(C873="","; Missing Ship Date","")&amp;IF(P873&lt;0,"; Invalid Discount (Negative)","")&amp;IF(P873&gt;0.5,"; Invalid Discount (Too High)","")&amp;IF(Z873&lt;0,"; Invalid Shipping Record (Ship Before Order)","")&amp;IF(ABS(Q873-W873)&gt;1,"; Sales Mismatch","")&amp;IF(ABS(S873-X873)&gt;1,"; Profit Mismatch","")&amp;IF(COUNTIF($A$2:$A$913,A873)&gt;1,"; Duplicate Order ID Conflict",""))</f>
        <v/>
      </c>
      <c r="AE873" s="10" t="str">
        <f aca="false">IF(OR(ISNUMBER(SEARCH("Invalid Discount",AD873)),ISNUMBER(SEARCH("Invalid Shipping Record",AD873)),ISNUMBER(SEARCH("Sales Mismatch",AD873)),ISNUMBER(SEARCH("Profit Mismatch",AD873)),ISNUMBER(SEARCH("Duplicate Order ID Conflict",AD873)),ISNUMBER(SEARCH("Missing Order Date",AD873)),ISNUMBER(SEARCH("Missing Ship Date",AD873))),"Invalid",IF(AD873&lt;&gt;"","Warning","Clean"))</f>
        <v>Clean</v>
      </c>
    </row>
    <row r="874" customFormat="false" ht="15" hidden="false" customHeight="true" outlineLevel="0" collapsed="false">
      <c r="A874" s="3" t="s">
        <v>2605</v>
      </c>
      <c r="B874" s="4" t="n">
        <v>45597</v>
      </c>
      <c r="C874" s="4" t="n">
        <v>45598</v>
      </c>
      <c r="D874" s="3" t="s">
        <v>1882</v>
      </c>
      <c r="E874" s="3" t="str">
        <f aca="false">PROPER(TRIM(SUBSTITUTE(Raw_Text_Fields!B875,CHAR(160)," ")))</f>
        <v>Karan Malhotra</v>
      </c>
      <c r="F874" s="3" t="str">
        <f aca="false">PROPER(TRIM(SUBSTITUTE(Raw_Text_Fields!C875,CHAR(160)," ")))</f>
        <v>Corporate</v>
      </c>
      <c r="G874" s="3" t="str">
        <f aca="false">PROPER(TRIM(SUBSTITUTE(Raw_Text_Fields!D875,CHAR(160)," ")))</f>
        <v>East</v>
      </c>
      <c r="H874" s="3" t="str">
        <f aca="false">PROPER(TRIM(SUBSTITUTE(Raw_Text_Fields!E875,CHAR(160)," ")))</f>
        <v>West Bengal</v>
      </c>
      <c r="I874" s="3" t="str">
        <f aca="false">PROPER(TRIM(SUBSTITUTE(Raw_Text_Fields!F875,CHAR(160)," ")))</f>
        <v>Kolkata</v>
      </c>
      <c r="J874" s="3" t="str">
        <f aca="false">PROPER(TRIM(SUBSTITUTE(Raw_Text_Fields!G875,CHAR(160)," ")))</f>
        <v>Furniture</v>
      </c>
      <c r="K874" s="3" t="str">
        <f aca="false">PROPER(TRIM(SUBSTITUTE(Raw_Text_Fields!H875,CHAR(160)," ")))</f>
        <v>Furnishings</v>
      </c>
      <c r="L874" s="3" t="s">
        <v>2606</v>
      </c>
      <c r="M874" s="3" t="str">
        <f aca="false">PROPER(TRIM(SUBSTITUTE(Raw_Text_Fields!I875,CHAR(160)," ")))</f>
        <v>Standard Class</v>
      </c>
      <c r="N874" s="3" t="n">
        <v>5</v>
      </c>
      <c r="O874" s="5" t="n">
        <v>2212.02</v>
      </c>
      <c r="P874" s="6" t="n">
        <v>0.2</v>
      </c>
      <c r="Q874" s="5" t="n">
        <v>8848.08</v>
      </c>
      <c r="R874" s="5" t="n">
        <v>5691.56</v>
      </c>
      <c r="S874" s="5" t="n">
        <v>3156.52</v>
      </c>
      <c r="T874" s="3" t="str">
        <f aca="false">PROPER(TRIM(SUBSTITUTE(Raw_Text_Fields!J875,CHAR(160)," ")))</f>
        <v>Paid</v>
      </c>
      <c r="U874" s="3" t="str">
        <f aca="false">PROPER(TRIM(SUBSTITUTE(Raw_Text_Fields!K875,CHAR(160)," ")))</f>
        <v>Completed</v>
      </c>
      <c r="V874" s="7" t="n">
        <f aca="false">IF(OR(P874&lt;0,P874&gt;0.5),0,P874)</f>
        <v>0.2</v>
      </c>
      <c r="W874" s="8" t="n">
        <f aca="false">N874*O874*(1-V874)</f>
        <v>8848.08</v>
      </c>
      <c r="X874" s="8" t="n">
        <f aca="false">W874-R874</f>
        <v>3156.52</v>
      </c>
      <c r="Y874" s="7" t="n">
        <f aca="false">IFERROR(X874/W874,0)</f>
        <v>0.356746322365982</v>
      </c>
      <c r="Z874" s="9" t="n">
        <f aca="false">C874-B874</f>
        <v>1</v>
      </c>
      <c r="AA874" s="1" t="str">
        <f aca="false">IF(B874="","",TEXT(B874,"mmm"))</f>
        <v>Nov</v>
      </c>
      <c r="AB874" s="9" t="n">
        <f aca="false">IF(B874="","",YEAR(B874))</f>
        <v>2024</v>
      </c>
      <c r="AC874" s="3"/>
      <c r="AD874" s="3" t="str">
        <f aca="false">IF(LEFT(AC874&amp;IF(B874="","; Missing Order Date","")&amp;IF(C874="","; Missing Ship Date","")&amp;IF(P874&lt;0,"; Invalid Discount (Negative)","")&amp;IF(P874&gt;0.5,"; Invalid Discount (Too High)","")&amp;IF(Z874&lt;0,"; Invalid Shipping Record (Ship Before Order)","")&amp;IF(ABS(Q874-W874)&gt;1,"; Sales Mismatch","")&amp;IF(ABS(S874-X874)&gt;1,"; Profit Mismatch","")&amp;IF(COUNTIF($A$2:$A$913,A874)&gt;1,"; Duplicate Order ID Conflict",""),2)="; ",MID(AC874&amp;IF(B874="","; Missing Order Date","")&amp;IF(C874="","; Missing Ship Date","")&amp;IF(P874&lt;0,"; Invalid Discount (Negative)","")&amp;IF(P874&gt;0.5,"; Invalid Discount (Too High)","")&amp;IF(Z874&lt;0,"; Invalid Shipping Record (Ship Before Order)","")&amp;IF(ABS(Q874-W874)&gt;1,"; Sales Mismatch","")&amp;IF(ABS(S874-X874)&gt;1,"; Profit Mismatch","")&amp;IF(COUNTIF($A$2:$A$913,A874)&gt;1,"; Duplicate Order ID Conflict",""),3,500),AC874&amp;IF(B874="","; Missing Order Date","")&amp;IF(C874="","; Missing Ship Date","")&amp;IF(P874&lt;0,"; Invalid Discount (Negative)","")&amp;IF(P874&gt;0.5,"; Invalid Discount (Too High)","")&amp;IF(Z874&lt;0,"; Invalid Shipping Record (Ship Before Order)","")&amp;IF(ABS(Q874-W874)&gt;1,"; Sales Mismatch","")&amp;IF(ABS(S874-X874)&gt;1,"; Profit Mismatch","")&amp;IF(COUNTIF($A$2:$A$913,A874)&gt;1,"; Duplicate Order ID Conflict",""))</f>
        <v/>
      </c>
      <c r="AE874" s="10" t="str">
        <f aca="false">IF(OR(ISNUMBER(SEARCH("Invalid Discount",AD874)),ISNUMBER(SEARCH("Invalid Shipping Record",AD874)),ISNUMBER(SEARCH("Sales Mismatch",AD874)),ISNUMBER(SEARCH("Profit Mismatch",AD874)),ISNUMBER(SEARCH("Duplicate Order ID Conflict",AD874)),ISNUMBER(SEARCH("Missing Order Date",AD874)),ISNUMBER(SEARCH("Missing Ship Date",AD874))),"Invalid",IF(AD874&lt;&gt;"","Warning","Clean"))</f>
        <v>Clean</v>
      </c>
    </row>
    <row r="875" customFormat="false" ht="15" hidden="false" customHeight="true" outlineLevel="0" collapsed="false">
      <c r="A875" s="3" t="s">
        <v>2607</v>
      </c>
      <c r="B875" s="4" t="n">
        <v>45689</v>
      </c>
      <c r="C875" s="4" t="n">
        <v>45696</v>
      </c>
      <c r="D875" s="3" t="s">
        <v>2608</v>
      </c>
      <c r="E875" s="3" t="str">
        <f aca="false">PROPER(TRIM(SUBSTITUTE(Raw_Text_Fields!B876,CHAR(160)," ")))</f>
        <v>Aditi Sen</v>
      </c>
      <c r="F875" s="3" t="str">
        <f aca="false">PROPER(TRIM(SUBSTITUTE(Raw_Text_Fields!C876,CHAR(160)," ")))</f>
        <v>Home Office</v>
      </c>
      <c r="G875" s="3" t="str">
        <f aca="false">PROPER(TRIM(SUBSTITUTE(Raw_Text_Fields!D876,CHAR(160)," ")))</f>
        <v>West</v>
      </c>
      <c r="H875" s="3" t="str">
        <f aca="false">PROPER(TRIM(SUBSTITUTE(Raw_Text_Fields!E876,CHAR(160)," ")))</f>
        <v>Gujarat</v>
      </c>
      <c r="I875" s="3" t="str">
        <f aca="false">PROPER(TRIM(SUBSTITUTE(Raw_Text_Fields!F876,CHAR(160)," ")))</f>
        <v>Ahmedabad</v>
      </c>
      <c r="J875" s="3" t="str">
        <f aca="false">PROPER(TRIM(SUBSTITUTE(Raw_Text_Fields!G876,CHAR(160)," ")))</f>
        <v>Office Supplies</v>
      </c>
      <c r="K875" s="3" t="str">
        <f aca="false">PROPER(TRIM(SUBSTITUTE(Raw_Text_Fields!H876,CHAR(160)," ")))</f>
        <v>Storage</v>
      </c>
      <c r="L875" s="3" t="s">
        <v>2609</v>
      </c>
      <c r="M875" s="3" t="str">
        <f aca="false">PROPER(TRIM(SUBSTITUTE(Raw_Text_Fields!I876,CHAR(160)," ")))</f>
        <v>Second Class</v>
      </c>
      <c r="N875" s="3" t="n">
        <v>8</v>
      </c>
      <c r="O875" s="5" t="n">
        <v>623.31</v>
      </c>
      <c r="P875" s="6" t="n">
        <v>0.1</v>
      </c>
      <c r="Q875" s="5" t="n">
        <v>4487.83</v>
      </c>
      <c r="R875" s="5" t="n">
        <v>2633.78</v>
      </c>
      <c r="S875" s="5" t="n">
        <v>1854.05</v>
      </c>
      <c r="T875" s="3" t="str">
        <f aca="false">PROPER(TRIM(SUBSTITUTE(Raw_Text_Fields!J876,CHAR(160)," ")))</f>
        <v>Paid</v>
      </c>
      <c r="U875" s="3" t="str">
        <f aca="false">PROPER(TRIM(SUBSTITUTE(Raw_Text_Fields!K876,CHAR(160)," ")))</f>
        <v>Completed</v>
      </c>
      <c r="V875" s="7" t="n">
        <f aca="false">IF(OR(P875&lt;0,P875&gt;0.5),0,P875)</f>
        <v>0.1</v>
      </c>
      <c r="W875" s="8" t="n">
        <f aca="false">N875*O875*(1-V875)</f>
        <v>4487.832</v>
      </c>
      <c r="X875" s="8" t="n">
        <f aca="false">W875-R875</f>
        <v>1854.052</v>
      </c>
      <c r="Y875" s="7" t="n">
        <f aca="false">IFERROR(X875/W875,0)</f>
        <v>0.413128655439865</v>
      </c>
      <c r="Z875" s="9" t="n">
        <f aca="false">C875-B875</f>
        <v>7</v>
      </c>
      <c r="AA875" s="1" t="str">
        <f aca="false">IF(B875="","",TEXT(B875,"mmm"))</f>
        <v>Feb</v>
      </c>
      <c r="AB875" s="9" t="n">
        <f aca="false">IF(B875="","",YEAR(B875))</f>
        <v>2025</v>
      </c>
      <c r="AC875" s="3"/>
      <c r="AD875" s="3" t="str">
        <f aca="false">IF(LEFT(AC875&amp;IF(B875="","; Missing Order Date","")&amp;IF(C875="","; Missing Ship Date","")&amp;IF(P875&lt;0,"; Invalid Discount (Negative)","")&amp;IF(P875&gt;0.5,"; Invalid Discount (Too High)","")&amp;IF(Z875&lt;0,"; Invalid Shipping Record (Ship Before Order)","")&amp;IF(ABS(Q875-W875)&gt;1,"; Sales Mismatch","")&amp;IF(ABS(S875-X875)&gt;1,"; Profit Mismatch","")&amp;IF(COUNTIF($A$2:$A$913,A875)&gt;1,"; Duplicate Order ID Conflict",""),2)="; ",MID(AC875&amp;IF(B875="","; Missing Order Date","")&amp;IF(C875="","; Missing Ship Date","")&amp;IF(P875&lt;0,"; Invalid Discount (Negative)","")&amp;IF(P875&gt;0.5,"; Invalid Discount (Too High)","")&amp;IF(Z875&lt;0,"; Invalid Shipping Record (Ship Before Order)","")&amp;IF(ABS(Q875-W875)&gt;1,"; Sales Mismatch","")&amp;IF(ABS(S875-X875)&gt;1,"; Profit Mismatch","")&amp;IF(COUNTIF($A$2:$A$913,A875)&gt;1,"; Duplicate Order ID Conflict",""),3,500),AC875&amp;IF(B875="","; Missing Order Date","")&amp;IF(C875="","; Missing Ship Date","")&amp;IF(P875&lt;0,"; Invalid Discount (Negative)","")&amp;IF(P875&gt;0.5,"; Invalid Discount (Too High)","")&amp;IF(Z875&lt;0,"; Invalid Shipping Record (Ship Before Order)","")&amp;IF(ABS(Q875-W875)&gt;1,"; Sales Mismatch","")&amp;IF(ABS(S875-X875)&gt;1,"; Profit Mismatch","")&amp;IF(COUNTIF($A$2:$A$913,A875)&gt;1,"; Duplicate Order ID Conflict",""))</f>
        <v/>
      </c>
      <c r="AE875" s="10" t="str">
        <f aca="false">IF(OR(ISNUMBER(SEARCH("Invalid Discount",AD875)),ISNUMBER(SEARCH("Invalid Shipping Record",AD875)),ISNUMBER(SEARCH("Sales Mismatch",AD875)),ISNUMBER(SEARCH("Profit Mismatch",AD875)),ISNUMBER(SEARCH("Duplicate Order ID Conflict",AD875)),ISNUMBER(SEARCH("Missing Order Date",AD875)),ISNUMBER(SEARCH("Missing Ship Date",AD875))),"Invalid",IF(AD875&lt;&gt;"","Warning","Clean"))</f>
        <v>Clean</v>
      </c>
    </row>
    <row r="876" customFormat="false" ht="15" hidden="false" customHeight="true" outlineLevel="0" collapsed="false">
      <c r="A876" s="3" t="s">
        <v>2610</v>
      </c>
      <c r="B876" s="4" t="n">
        <v>45853</v>
      </c>
      <c r="C876" s="4" t="n">
        <v>45854</v>
      </c>
      <c r="D876" s="3" t="s">
        <v>2611</v>
      </c>
      <c r="E876" s="3" t="str">
        <f aca="false">PROPER(TRIM(SUBSTITUTE(Raw_Text_Fields!B877,CHAR(160)," ")))</f>
        <v>Vikram Iyer</v>
      </c>
      <c r="F876" s="3" t="str">
        <f aca="false">PROPER(TRIM(SUBSTITUTE(Raw_Text_Fields!C877,CHAR(160)," ")))</f>
        <v>Small Business</v>
      </c>
      <c r="G876" s="3" t="str">
        <f aca="false">PROPER(TRIM(SUBSTITUTE(Raw_Text_Fields!D877,CHAR(160)," ")))</f>
        <v>West</v>
      </c>
      <c r="H876" s="3" t="str">
        <f aca="false">PROPER(TRIM(SUBSTITUTE(Raw_Text_Fields!E877,CHAR(160)," ")))</f>
        <v>Maharashtra</v>
      </c>
      <c r="I876" s="3" t="str">
        <f aca="false">PROPER(TRIM(SUBSTITUTE(Raw_Text_Fields!F877,CHAR(160)," ")))</f>
        <v>Mumbai</v>
      </c>
      <c r="J876" s="3" t="str">
        <f aca="false">PROPER(TRIM(SUBSTITUTE(Raw_Text_Fields!G877,CHAR(160)," ")))</f>
        <v>Office Supplies</v>
      </c>
      <c r="K876" s="3" t="str">
        <f aca="false">PROPER(TRIM(SUBSTITUTE(Raw_Text_Fields!H877,CHAR(160)," ")))</f>
        <v>Paper</v>
      </c>
      <c r="L876" s="3" t="s">
        <v>2612</v>
      </c>
      <c r="M876" s="3" t="str">
        <f aca="false">PROPER(TRIM(SUBSTITUTE(Raw_Text_Fields!I877,CHAR(160)," ")))</f>
        <v>Standard Class</v>
      </c>
      <c r="N876" s="3" t="n">
        <v>8</v>
      </c>
      <c r="O876" s="5" t="n">
        <v>3924.88</v>
      </c>
      <c r="P876" s="6" t="n">
        <v>0.05</v>
      </c>
      <c r="Q876" s="5" t="n">
        <v>29829.09</v>
      </c>
      <c r="R876" s="5" t="n">
        <v>20710.18</v>
      </c>
      <c r="S876" s="5" t="n">
        <v>9118.91</v>
      </c>
      <c r="T876" s="3" t="str">
        <f aca="false">PROPER(TRIM(SUBSTITUTE(Raw_Text_Fields!J877,CHAR(160)," ")))</f>
        <v>Paid</v>
      </c>
      <c r="U876" s="3" t="str">
        <f aca="false">PROPER(TRIM(SUBSTITUTE(Raw_Text_Fields!K877,CHAR(160)," ")))</f>
        <v>Completed</v>
      </c>
      <c r="V876" s="7" t="n">
        <f aca="false">IF(OR(P876&lt;0,P876&gt;0.5),0,P876)</f>
        <v>0.05</v>
      </c>
      <c r="W876" s="8" t="n">
        <f aca="false">N876*O876*(1-V876)</f>
        <v>29829.088</v>
      </c>
      <c r="X876" s="8" t="n">
        <f aca="false">W876-R876</f>
        <v>9118.908</v>
      </c>
      <c r="Y876" s="7" t="n">
        <f aca="false">IFERROR(X876/W876,0)</f>
        <v>0.305705223035984</v>
      </c>
      <c r="Z876" s="9" t="n">
        <f aca="false">C876-B876</f>
        <v>1</v>
      </c>
      <c r="AA876" s="1" t="str">
        <f aca="false">IF(B876="","",TEXT(B876,"mmm"))</f>
        <v>Jul</v>
      </c>
      <c r="AB876" s="9" t="n">
        <f aca="false">IF(B876="","",YEAR(B876))</f>
        <v>2025</v>
      </c>
      <c r="AC876" s="3"/>
      <c r="AD876" s="3" t="str">
        <f aca="false">IF(LEFT(AC876&amp;IF(B876="","; Missing Order Date","")&amp;IF(C876="","; Missing Ship Date","")&amp;IF(P876&lt;0,"; Invalid Discount (Negative)","")&amp;IF(P876&gt;0.5,"; Invalid Discount (Too High)","")&amp;IF(Z876&lt;0,"; Invalid Shipping Record (Ship Before Order)","")&amp;IF(ABS(Q876-W876)&gt;1,"; Sales Mismatch","")&amp;IF(ABS(S876-X876)&gt;1,"; Profit Mismatch","")&amp;IF(COUNTIF($A$2:$A$913,A876)&gt;1,"; Duplicate Order ID Conflict",""),2)="; ",MID(AC876&amp;IF(B876="","; Missing Order Date","")&amp;IF(C876="","; Missing Ship Date","")&amp;IF(P876&lt;0,"; Invalid Discount (Negative)","")&amp;IF(P876&gt;0.5,"; Invalid Discount (Too High)","")&amp;IF(Z876&lt;0,"; Invalid Shipping Record (Ship Before Order)","")&amp;IF(ABS(Q876-W876)&gt;1,"; Sales Mismatch","")&amp;IF(ABS(S876-X876)&gt;1,"; Profit Mismatch","")&amp;IF(COUNTIF($A$2:$A$913,A876)&gt;1,"; Duplicate Order ID Conflict",""),3,500),AC876&amp;IF(B876="","; Missing Order Date","")&amp;IF(C876="","; Missing Ship Date","")&amp;IF(P876&lt;0,"; Invalid Discount (Negative)","")&amp;IF(P876&gt;0.5,"; Invalid Discount (Too High)","")&amp;IF(Z876&lt;0,"; Invalid Shipping Record (Ship Before Order)","")&amp;IF(ABS(Q876-W876)&gt;1,"; Sales Mismatch","")&amp;IF(ABS(S876-X876)&gt;1,"; Profit Mismatch","")&amp;IF(COUNTIF($A$2:$A$913,A876)&gt;1,"; Duplicate Order ID Conflict",""))</f>
        <v/>
      </c>
      <c r="AE876" s="10" t="str">
        <f aca="false">IF(OR(ISNUMBER(SEARCH("Invalid Discount",AD876)),ISNUMBER(SEARCH("Invalid Shipping Record",AD876)),ISNUMBER(SEARCH("Sales Mismatch",AD876)),ISNUMBER(SEARCH("Profit Mismatch",AD876)),ISNUMBER(SEARCH("Duplicate Order ID Conflict",AD876)),ISNUMBER(SEARCH("Missing Order Date",AD876)),ISNUMBER(SEARCH("Missing Ship Date",AD876))),"Invalid",IF(AD876&lt;&gt;"","Warning","Clean"))</f>
        <v>Clean</v>
      </c>
    </row>
    <row r="877" customFormat="false" ht="15" hidden="false" customHeight="true" outlineLevel="0" collapsed="false">
      <c r="A877" s="3" t="s">
        <v>2613</v>
      </c>
      <c r="B877" s="4" t="n">
        <v>45514</v>
      </c>
      <c r="C877" s="4" t="n">
        <v>45515</v>
      </c>
      <c r="D877" s="3" t="s">
        <v>2614</v>
      </c>
      <c r="E877" s="3" t="str">
        <f aca="false">PROPER(TRIM(SUBSTITUTE(Raw_Text_Fields!B878,CHAR(160)," ")))</f>
        <v>Mira Das</v>
      </c>
      <c r="F877" s="3" t="str">
        <f aca="false">PROPER(TRIM(SUBSTITUTE(Raw_Text_Fields!C878,CHAR(160)," ")))</f>
        <v>Corporate</v>
      </c>
      <c r="G877" s="3" t="str">
        <f aca="false">PROPER(TRIM(SUBSTITUTE(Raw_Text_Fields!D878,CHAR(160)," ")))</f>
        <v>West</v>
      </c>
      <c r="H877" s="3" t="str">
        <f aca="false">PROPER(TRIM(SUBSTITUTE(Raw_Text_Fields!E878,CHAR(160)," ")))</f>
        <v>Maharashtra</v>
      </c>
      <c r="I877" s="3" t="str">
        <f aca="false">PROPER(TRIM(SUBSTITUTE(Raw_Text_Fields!F878,CHAR(160)," ")))</f>
        <v>Mumbai</v>
      </c>
      <c r="J877" s="3" t="str">
        <f aca="false">PROPER(TRIM(SUBSTITUTE(Raw_Text_Fields!G878,CHAR(160)," ")))</f>
        <v>Technology</v>
      </c>
      <c r="K877" s="3" t="str">
        <f aca="false">PROPER(TRIM(SUBSTITUTE(Raw_Text_Fields!H878,CHAR(160)," ")))</f>
        <v>Copiers</v>
      </c>
      <c r="L877" s="3" t="s">
        <v>2615</v>
      </c>
      <c r="M877" s="3" t="str">
        <f aca="false">PROPER(TRIM(SUBSTITUTE(Raw_Text_Fields!I878,CHAR(160)," ")))</f>
        <v>First Class</v>
      </c>
      <c r="N877" s="3" t="n">
        <v>7</v>
      </c>
      <c r="O877" s="5" t="n">
        <v>3852.62</v>
      </c>
      <c r="P877" s="6" t="n">
        <v>0.2</v>
      </c>
      <c r="Q877" s="5" t="n">
        <v>21574.67</v>
      </c>
      <c r="R877" s="5" t="n">
        <v>14672.83</v>
      </c>
      <c r="S877" s="5" t="n">
        <v>6901.84</v>
      </c>
      <c r="T877" s="3" t="str">
        <f aca="false">PROPER(TRIM(SUBSTITUTE(Raw_Text_Fields!J878,CHAR(160)," ")))</f>
        <v>Paid</v>
      </c>
      <c r="U877" s="3" t="str">
        <f aca="false">PROPER(TRIM(SUBSTITUTE(Raw_Text_Fields!K878,CHAR(160)," ")))</f>
        <v>Completed</v>
      </c>
      <c r="V877" s="7" t="n">
        <f aca="false">IF(OR(P877&lt;0,P877&gt;0.5),0,P877)</f>
        <v>0.2</v>
      </c>
      <c r="W877" s="8" t="n">
        <f aca="false">N877*O877*(1-V877)</f>
        <v>21574.672</v>
      </c>
      <c r="X877" s="8" t="n">
        <f aca="false">W877-R877</f>
        <v>6901.842</v>
      </c>
      <c r="Y877" s="7" t="n">
        <f aca="false">IFERROR(X877/W877,0)</f>
        <v>0.319904840268255</v>
      </c>
      <c r="Z877" s="9" t="n">
        <f aca="false">C877-B877</f>
        <v>1</v>
      </c>
      <c r="AA877" s="1" t="str">
        <f aca="false">IF(B877="","",TEXT(B877,"mmm"))</f>
        <v>Aug</v>
      </c>
      <c r="AB877" s="9" t="n">
        <f aca="false">IF(B877="","",YEAR(B877))</f>
        <v>2024</v>
      </c>
      <c r="AC877" s="3"/>
      <c r="AD877" s="3" t="str">
        <f aca="false">IF(LEFT(AC877&amp;IF(B877="","; Missing Order Date","")&amp;IF(C877="","; Missing Ship Date","")&amp;IF(P877&lt;0,"; Invalid Discount (Negative)","")&amp;IF(P877&gt;0.5,"; Invalid Discount (Too High)","")&amp;IF(Z877&lt;0,"; Invalid Shipping Record (Ship Before Order)","")&amp;IF(ABS(Q877-W877)&gt;1,"; Sales Mismatch","")&amp;IF(ABS(S877-X877)&gt;1,"; Profit Mismatch","")&amp;IF(COUNTIF($A$2:$A$913,A877)&gt;1,"; Duplicate Order ID Conflict",""),2)="; ",MID(AC877&amp;IF(B877="","; Missing Order Date","")&amp;IF(C877="","; Missing Ship Date","")&amp;IF(P877&lt;0,"; Invalid Discount (Negative)","")&amp;IF(P877&gt;0.5,"; Invalid Discount (Too High)","")&amp;IF(Z877&lt;0,"; Invalid Shipping Record (Ship Before Order)","")&amp;IF(ABS(Q877-W877)&gt;1,"; Sales Mismatch","")&amp;IF(ABS(S877-X877)&gt;1,"; Profit Mismatch","")&amp;IF(COUNTIF($A$2:$A$913,A877)&gt;1,"; Duplicate Order ID Conflict",""),3,500),AC877&amp;IF(B877="","; Missing Order Date","")&amp;IF(C877="","; Missing Ship Date","")&amp;IF(P877&lt;0,"; Invalid Discount (Negative)","")&amp;IF(P877&gt;0.5,"; Invalid Discount (Too High)","")&amp;IF(Z877&lt;0,"; Invalid Shipping Record (Ship Before Order)","")&amp;IF(ABS(Q877-W877)&gt;1,"; Sales Mismatch","")&amp;IF(ABS(S877-X877)&gt;1,"; Profit Mismatch","")&amp;IF(COUNTIF($A$2:$A$913,A877)&gt;1,"; Duplicate Order ID Conflict",""))</f>
        <v/>
      </c>
      <c r="AE877" s="10" t="str">
        <f aca="false">IF(OR(ISNUMBER(SEARCH("Invalid Discount",AD877)),ISNUMBER(SEARCH("Invalid Shipping Record",AD877)),ISNUMBER(SEARCH("Sales Mismatch",AD877)),ISNUMBER(SEARCH("Profit Mismatch",AD877)),ISNUMBER(SEARCH("Duplicate Order ID Conflict",AD877)),ISNUMBER(SEARCH("Missing Order Date",AD877)),ISNUMBER(SEARCH("Missing Ship Date",AD877))),"Invalid",IF(AD877&lt;&gt;"","Warning","Clean"))</f>
        <v>Clean</v>
      </c>
    </row>
    <row r="878" customFormat="false" ht="15" hidden="false" customHeight="true" outlineLevel="0" collapsed="false">
      <c r="A878" s="3" t="s">
        <v>2616</v>
      </c>
      <c r="B878" s="4" t="n">
        <v>45614</v>
      </c>
      <c r="C878" s="4" t="n">
        <v>45616</v>
      </c>
      <c r="D878" s="3" t="s">
        <v>2617</v>
      </c>
      <c r="E878" s="3" t="str">
        <f aca="false">PROPER(TRIM(SUBSTITUTE(Raw_Text_Fields!B879,CHAR(160)," ")))</f>
        <v>Priya Menon</v>
      </c>
      <c r="F878" s="3" t="str">
        <f aca="false">PROPER(TRIM(SUBSTITUTE(Raw_Text_Fields!C879,CHAR(160)," ")))</f>
        <v>Consumer</v>
      </c>
      <c r="G878" s="3" t="str">
        <f aca="false">PROPER(TRIM(SUBSTITUTE(Raw_Text_Fields!D879,CHAR(160)," ")))</f>
        <v>West</v>
      </c>
      <c r="H878" s="3" t="str">
        <f aca="false">PROPER(TRIM(SUBSTITUTE(Raw_Text_Fields!E879,CHAR(160)," ")))</f>
        <v>Rajasthan</v>
      </c>
      <c r="I878" s="3" t="str">
        <f aca="false">PROPER(TRIM(SUBSTITUTE(Raw_Text_Fields!F879,CHAR(160)," ")))</f>
        <v>Udaipur</v>
      </c>
      <c r="J878" s="3" t="str">
        <f aca="false">PROPER(TRIM(SUBSTITUTE(Raw_Text_Fields!G879,CHAR(160)," ")))</f>
        <v>Furniture</v>
      </c>
      <c r="K878" s="3" t="str">
        <f aca="false">PROPER(TRIM(SUBSTITUTE(Raw_Text_Fields!H879,CHAR(160)," ")))</f>
        <v>Chairs</v>
      </c>
      <c r="L878" s="3" t="s">
        <v>767</v>
      </c>
      <c r="M878" s="3" t="str">
        <f aca="false">PROPER(TRIM(SUBSTITUTE(Raw_Text_Fields!I879,CHAR(160)," ")))</f>
        <v>First Class</v>
      </c>
      <c r="N878" s="3" t="n">
        <v>6</v>
      </c>
      <c r="O878" s="5" t="n">
        <v>3790.22</v>
      </c>
      <c r="P878" s="6" t="n">
        <v>0</v>
      </c>
      <c r="Q878" s="5" t="n">
        <v>22741.32</v>
      </c>
      <c r="R878" s="5" t="n">
        <v>16388.57</v>
      </c>
      <c r="S878" s="5" t="n">
        <v>6352.75</v>
      </c>
      <c r="T878" s="3" t="str">
        <f aca="false">PROPER(TRIM(SUBSTITUTE(Raw_Text_Fields!J879,CHAR(160)," ")))</f>
        <v>Paid</v>
      </c>
      <c r="U878" s="3" t="str">
        <f aca="false">PROPER(TRIM(SUBSTITUTE(Raw_Text_Fields!K879,CHAR(160)," ")))</f>
        <v>Completed</v>
      </c>
      <c r="V878" s="7" t="n">
        <f aca="false">IF(OR(P878&lt;0,P878&gt;0.5),0,P878)</f>
        <v>0</v>
      </c>
      <c r="W878" s="8" t="n">
        <f aca="false">N878*O878*(1-V878)</f>
        <v>22741.32</v>
      </c>
      <c r="X878" s="8" t="n">
        <f aca="false">W878-R878</f>
        <v>6352.75</v>
      </c>
      <c r="Y878" s="7" t="n">
        <f aca="false">IFERROR(X878/W878,0)</f>
        <v>0.279348340377779</v>
      </c>
      <c r="Z878" s="9" t="n">
        <f aca="false">C878-B878</f>
        <v>2</v>
      </c>
      <c r="AA878" s="1" t="str">
        <f aca="false">IF(B878="","",TEXT(B878,"mmm"))</f>
        <v>Nov</v>
      </c>
      <c r="AB878" s="9" t="n">
        <f aca="false">IF(B878="","",YEAR(B878))</f>
        <v>2024</v>
      </c>
      <c r="AC878" s="3"/>
      <c r="AD878" s="3" t="str">
        <f aca="false">IF(LEFT(AC878&amp;IF(B878="","; Missing Order Date","")&amp;IF(C878="","; Missing Ship Date","")&amp;IF(P878&lt;0,"; Invalid Discount (Negative)","")&amp;IF(P878&gt;0.5,"; Invalid Discount (Too High)","")&amp;IF(Z878&lt;0,"; Invalid Shipping Record (Ship Before Order)","")&amp;IF(ABS(Q878-W878)&gt;1,"; Sales Mismatch","")&amp;IF(ABS(S878-X878)&gt;1,"; Profit Mismatch","")&amp;IF(COUNTIF($A$2:$A$913,A878)&gt;1,"; Duplicate Order ID Conflict",""),2)="; ",MID(AC878&amp;IF(B878="","; Missing Order Date","")&amp;IF(C878="","; Missing Ship Date","")&amp;IF(P878&lt;0,"; Invalid Discount (Negative)","")&amp;IF(P878&gt;0.5,"; Invalid Discount (Too High)","")&amp;IF(Z878&lt;0,"; Invalid Shipping Record (Ship Before Order)","")&amp;IF(ABS(Q878-W878)&gt;1,"; Sales Mismatch","")&amp;IF(ABS(S878-X878)&gt;1,"; Profit Mismatch","")&amp;IF(COUNTIF($A$2:$A$913,A878)&gt;1,"; Duplicate Order ID Conflict",""),3,500),AC878&amp;IF(B878="","; Missing Order Date","")&amp;IF(C878="","; Missing Ship Date","")&amp;IF(P878&lt;0,"; Invalid Discount (Negative)","")&amp;IF(P878&gt;0.5,"; Invalid Discount (Too High)","")&amp;IF(Z878&lt;0,"; Invalid Shipping Record (Ship Before Order)","")&amp;IF(ABS(Q878-W878)&gt;1,"; Sales Mismatch","")&amp;IF(ABS(S878-X878)&gt;1,"; Profit Mismatch","")&amp;IF(COUNTIF($A$2:$A$913,A878)&gt;1,"; Duplicate Order ID Conflict",""))</f>
        <v/>
      </c>
      <c r="AE878" s="10" t="str">
        <f aca="false">IF(OR(ISNUMBER(SEARCH("Invalid Discount",AD878)),ISNUMBER(SEARCH("Invalid Shipping Record",AD878)),ISNUMBER(SEARCH("Sales Mismatch",AD878)),ISNUMBER(SEARCH("Profit Mismatch",AD878)),ISNUMBER(SEARCH("Duplicate Order ID Conflict",AD878)),ISNUMBER(SEARCH("Missing Order Date",AD878)),ISNUMBER(SEARCH("Missing Ship Date",AD878))),"Invalid",IF(AD878&lt;&gt;"","Warning","Clean"))</f>
        <v>Clean</v>
      </c>
    </row>
    <row r="879" customFormat="false" ht="15" hidden="false" customHeight="true" outlineLevel="0" collapsed="false">
      <c r="A879" s="3" t="s">
        <v>2618</v>
      </c>
      <c r="B879" s="4" t="n">
        <v>45895</v>
      </c>
      <c r="C879" s="4" t="n">
        <v>45903</v>
      </c>
      <c r="D879" s="3" t="s">
        <v>2619</v>
      </c>
      <c r="E879" s="3" t="str">
        <f aca="false">PROPER(TRIM(SUBSTITUTE(Raw_Text_Fields!B880,CHAR(160)," ")))</f>
        <v>Aarav Sharma</v>
      </c>
      <c r="F879" s="3" t="str">
        <f aca="false">PROPER(TRIM(SUBSTITUTE(Raw_Text_Fields!C880,CHAR(160)," ")))</f>
        <v>Consumer</v>
      </c>
      <c r="G879" s="3" t="str">
        <f aca="false">PROPER(TRIM(SUBSTITUTE(Raw_Text_Fields!D880,CHAR(160)," ")))</f>
        <v>West</v>
      </c>
      <c r="H879" s="3" t="str">
        <f aca="false">PROPER(TRIM(SUBSTITUTE(Raw_Text_Fields!E880,CHAR(160)," ")))</f>
        <v>Rajasthan</v>
      </c>
      <c r="I879" s="3" t="str">
        <f aca="false">PROPER(TRIM(SUBSTITUTE(Raw_Text_Fields!F880,CHAR(160)," ")))</f>
        <v>Udaipur</v>
      </c>
      <c r="J879" s="3" t="str">
        <f aca="false">PROPER(TRIM(SUBSTITUTE(Raw_Text_Fields!G880,CHAR(160)," ")))</f>
        <v>Office Supplies</v>
      </c>
      <c r="K879" s="3" t="str">
        <f aca="false">PROPER(TRIM(SUBSTITUTE(Raw_Text_Fields!H880,CHAR(160)," ")))</f>
        <v>Storage</v>
      </c>
      <c r="L879" s="3" t="s">
        <v>2620</v>
      </c>
      <c r="M879" s="3" t="str">
        <f aca="false">PROPER(TRIM(SUBSTITUTE(Raw_Text_Fields!I880,CHAR(160)," ")))</f>
        <v>Second Class</v>
      </c>
      <c r="N879" s="3" t="n">
        <v>6</v>
      </c>
      <c r="O879" s="5" t="n">
        <v>674.36</v>
      </c>
      <c r="P879" s="6" t="n">
        <v>0.1</v>
      </c>
      <c r="Q879" s="5" t="n">
        <v>3641.54</v>
      </c>
      <c r="R879" s="5" t="n">
        <v>2690.37</v>
      </c>
      <c r="S879" s="5" t="n">
        <v>951.17</v>
      </c>
      <c r="T879" s="3" t="str">
        <f aca="false">PROPER(TRIM(SUBSTITUTE(Raw_Text_Fields!J880,CHAR(160)," ")))</f>
        <v>Paid</v>
      </c>
      <c r="U879" s="3" t="str">
        <f aca="false">PROPER(TRIM(SUBSTITUTE(Raw_Text_Fields!K880,CHAR(160)," ")))</f>
        <v>Completed</v>
      </c>
      <c r="V879" s="7" t="n">
        <f aca="false">IF(OR(P879&lt;0,P879&gt;0.5),0,P879)</f>
        <v>0.1</v>
      </c>
      <c r="W879" s="8" t="n">
        <f aca="false">N879*O879*(1-V879)</f>
        <v>3641.544</v>
      </c>
      <c r="X879" s="8" t="n">
        <f aca="false">W879-R879</f>
        <v>951.174</v>
      </c>
      <c r="Y879" s="7" t="n">
        <f aca="false">IFERROR(X879/W879,0)</f>
        <v>0.261200743420923</v>
      </c>
      <c r="Z879" s="9" t="n">
        <f aca="false">C879-B879</f>
        <v>8</v>
      </c>
      <c r="AA879" s="1" t="str">
        <f aca="false">IF(B879="","",TEXT(B879,"mmm"))</f>
        <v>Aug</v>
      </c>
      <c r="AB879" s="9" t="n">
        <f aca="false">IF(B879="","",YEAR(B879))</f>
        <v>2025</v>
      </c>
      <c r="AC879" s="3"/>
      <c r="AD879" s="3" t="str">
        <f aca="false">IF(LEFT(AC879&amp;IF(B879="","; Missing Order Date","")&amp;IF(C879="","; Missing Ship Date","")&amp;IF(P879&lt;0,"; Invalid Discount (Negative)","")&amp;IF(P879&gt;0.5,"; Invalid Discount (Too High)","")&amp;IF(Z879&lt;0,"; Invalid Shipping Record (Ship Before Order)","")&amp;IF(ABS(Q879-W879)&gt;1,"; Sales Mismatch","")&amp;IF(ABS(S879-X879)&gt;1,"; Profit Mismatch","")&amp;IF(COUNTIF($A$2:$A$913,A879)&gt;1,"; Duplicate Order ID Conflict",""),2)="; ",MID(AC879&amp;IF(B879="","; Missing Order Date","")&amp;IF(C879="","; Missing Ship Date","")&amp;IF(P879&lt;0,"; Invalid Discount (Negative)","")&amp;IF(P879&gt;0.5,"; Invalid Discount (Too High)","")&amp;IF(Z879&lt;0,"; Invalid Shipping Record (Ship Before Order)","")&amp;IF(ABS(Q879-W879)&gt;1,"; Sales Mismatch","")&amp;IF(ABS(S879-X879)&gt;1,"; Profit Mismatch","")&amp;IF(COUNTIF($A$2:$A$913,A879)&gt;1,"; Duplicate Order ID Conflict",""),3,500),AC879&amp;IF(B879="","; Missing Order Date","")&amp;IF(C879="","; Missing Ship Date","")&amp;IF(P879&lt;0,"; Invalid Discount (Negative)","")&amp;IF(P879&gt;0.5,"; Invalid Discount (Too High)","")&amp;IF(Z879&lt;0,"; Invalid Shipping Record (Ship Before Order)","")&amp;IF(ABS(Q879-W879)&gt;1,"; Sales Mismatch","")&amp;IF(ABS(S879-X879)&gt;1,"; Profit Mismatch","")&amp;IF(COUNTIF($A$2:$A$913,A879)&gt;1,"; Duplicate Order ID Conflict",""))</f>
        <v/>
      </c>
      <c r="AE879" s="10" t="str">
        <f aca="false">IF(OR(ISNUMBER(SEARCH("Invalid Discount",AD879)),ISNUMBER(SEARCH("Invalid Shipping Record",AD879)),ISNUMBER(SEARCH("Sales Mismatch",AD879)),ISNUMBER(SEARCH("Profit Mismatch",AD879)),ISNUMBER(SEARCH("Duplicate Order ID Conflict",AD879)),ISNUMBER(SEARCH("Missing Order Date",AD879)),ISNUMBER(SEARCH("Missing Ship Date",AD879))),"Invalid",IF(AD879&lt;&gt;"","Warning","Clean"))</f>
        <v>Clean</v>
      </c>
    </row>
    <row r="880" customFormat="false" ht="15" hidden="false" customHeight="true" outlineLevel="0" collapsed="false">
      <c r="A880" s="3" t="s">
        <v>2621</v>
      </c>
      <c r="B880" s="4" t="n">
        <v>45313</v>
      </c>
      <c r="C880" s="4" t="n">
        <v>45313</v>
      </c>
      <c r="D880" s="3" t="s">
        <v>2622</v>
      </c>
      <c r="E880" s="3" t="str">
        <f aca="false">PROPER(TRIM(SUBSTITUTE(Raw_Text_Fields!B881,CHAR(160)," ")))</f>
        <v>Karan Malhotra</v>
      </c>
      <c r="F880" s="3" t="str">
        <f aca="false">PROPER(TRIM(SUBSTITUTE(Raw_Text_Fields!C881,CHAR(160)," ")))</f>
        <v>Corporate</v>
      </c>
      <c r="G880" s="3" t="str">
        <f aca="false">PROPER(TRIM(SUBSTITUTE(Raw_Text_Fields!D881,CHAR(160)," ")))</f>
        <v>East</v>
      </c>
      <c r="H880" s="3" t="str">
        <f aca="false">PROPER(TRIM(SUBSTITUTE(Raw_Text_Fields!E881,CHAR(160)," ")))</f>
        <v>West Bengal</v>
      </c>
      <c r="I880" s="3" t="str">
        <f aca="false">PROPER(TRIM(SUBSTITUTE(Raw_Text_Fields!F881,CHAR(160)," ")))</f>
        <v>Kolkata</v>
      </c>
      <c r="J880" s="3" t="str">
        <f aca="false">PROPER(TRIM(SUBSTITUTE(Raw_Text_Fields!G881,CHAR(160)," ")))</f>
        <v>Office Supplies</v>
      </c>
      <c r="K880" s="3" t="str">
        <f aca="false">PROPER(TRIM(SUBSTITUTE(Raw_Text_Fields!H881,CHAR(160)," ")))</f>
        <v>Paper</v>
      </c>
      <c r="L880" s="3" t="s">
        <v>2623</v>
      </c>
      <c r="M880" s="3" t="str">
        <f aca="false">PROPER(TRIM(SUBSTITUTE(Raw_Text_Fields!I881,CHAR(160)," ")))</f>
        <v>First Class</v>
      </c>
      <c r="N880" s="3" t="n">
        <v>8</v>
      </c>
      <c r="O880" s="5" t="n">
        <v>1557.21</v>
      </c>
      <c r="P880" s="6" t="n">
        <v>0.05</v>
      </c>
      <c r="Q880" s="5" t="n">
        <v>11834.8</v>
      </c>
      <c r="R880" s="5" t="n">
        <v>9322.36</v>
      </c>
      <c r="S880" s="5" t="n">
        <v>2512.44</v>
      </c>
      <c r="T880" s="3" t="str">
        <f aca="false">PROPER(TRIM(SUBSTITUTE(Raw_Text_Fields!J881,CHAR(160)," ")))</f>
        <v>Paid</v>
      </c>
      <c r="U880" s="3" t="str">
        <f aca="false">PROPER(TRIM(SUBSTITUTE(Raw_Text_Fields!K881,CHAR(160)," ")))</f>
        <v>Completed</v>
      </c>
      <c r="V880" s="7" t="n">
        <f aca="false">IF(OR(P880&lt;0,P880&gt;0.5),0,P880)</f>
        <v>0.05</v>
      </c>
      <c r="W880" s="8" t="n">
        <f aca="false">N880*O880*(1-V880)</f>
        <v>11834.796</v>
      </c>
      <c r="X880" s="8" t="n">
        <f aca="false">W880-R880</f>
        <v>2512.436</v>
      </c>
      <c r="Y880" s="7" t="n">
        <f aca="false">IFERROR(X880/W880,0)</f>
        <v>0.212292294687631</v>
      </c>
      <c r="Z880" s="9" t="n">
        <f aca="false">C880-B880</f>
        <v>0</v>
      </c>
      <c r="AA880" s="1" t="str">
        <f aca="false">IF(B880="","",TEXT(B880,"mmm"))</f>
        <v>Jan</v>
      </c>
      <c r="AB880" s="9" t="n">
        <f aca="false">IF(B880="","",YEAR(B880))</f>
        <v>2024</v>
      </c>
      <c r="AC880" s="3"/>
      <c r="AD880" s="3" t="str">
        <f aca="false">IF(LEFT(AC880&amp;IF(B880="","; Missing Order Date","")&amp;IF(C880="","; Missing Ship Date","")&amp;IF(P880&lt;0,"; Invalid Discount (Negative)","")&amp;IF(P880&gt;0.5,"; Invalid Discount (Too High)","")&amp;IF(Z880&lt;0,"; Invalid Shipping Record (Ship Before Order)","")&amp;IF(ABS(Q880-W880)&gt;1,"; Sales Mismatch","")&amp;IF(ABS(S880-X880)&gt;1,"; Profit Mismatch","")&amp;IF(COUNTIF($A$2:$A$913,A880)&gt;1,"; Duplicate Order ID Conflict",""),2)="; ",MID(AC880&amp;IF(B880="","; Missing Order Date","")&amp;IF(C880="","; Missing Ship Date","")&amp;IF(P880&lt;0,"; Invalid Discount (Negative)","")&amp;IF(P880&gt;0.5,"; Invalid Discount (Too High)","")&amp;IF(Z880&lt;0,"; Invalid Shipping Record (Ship Before Order)","")&amp;IF(ABS(Q880-W880)&gt;1,"; Sales Mismatch","")&amp;IF(ABS(S880-X880)&gt;1,"; Profit Mismatch","")&amp;IF(COUNTIF($A$2:$A$913,A880)&gt;1,"; Duplicate Order ID Conflict",""),3,500),AC880&amp;IF(B880="","; Missing Order Date","")&amp;IF(C880="","; Missing Ship Date","")&amp;IF(P880&lt;0,"; Invalid Discount (Negative)","")&amp;IF(P880&gt;0.5,"; Invalid Discount (Too High)","")&amp;IF(Z880&lt;0,"; Invalid Shipping Record (Ship Before Order)","")&amp;IF(ABS(Q880-W880)&gt;1,"; Sales Mismatch","")&amp;IF(ABS(S880-X880)&gt;1,"; Profit Mismatch","")&amp;IF(COUNTIF($A$2:$A$913,A880)&gt;1,"; Duplicate Order ID Conflict",""))</f>
        <v/>
      </c>
      <c r="AE880" s="10" t="str">
        <f aca="false">IF(OR(ISNUMBER(SEARCH("Invalid Discount",AD880)),ISNUMBER(SEARCH("Invalid Shipping Record",AD880)),ISNUMBER(SEARCH("Sales Mismatch",AD880)),ISNUMBER(SEARCH("Profit Mismatch",AD880)),ISNUMBER(SEARCH("Duplicate Order ID Conflict",AD880)),ISNUMBER(SEARCH("Missing Order Date",AD880)),ISNUMBER(SEARCH("Missing Ship Date",AD880))),"Invalid",IF(AD880&lt;&gt;"","Warning","Clean"))</f>
        <v>Clean</v>
      </c>
    </row>
    <row r="881" customFormat="false" ht="15" hidden="false" customHeight="true" outlineLevel="0" collapsed="false">
      <c r="A881" s="3" t="s">
        <v>2624</v>
      </c>
      <c r="B881" s="4" t="n">
        <v>45896</v>
      </c>
      <c r="C881" s="4" t="n">
        <v>45897</v>
      </c>
      <c r="D881" s="3" t="s">
        <v>2625</v>
      </c>
      <c r="E881" s="3" t="str">
        <f aca="false">PROPER(TRIM(SUBSTITUTE(Raw_Text_Fields!B882,CHAR(160)," ")))</f>
        <v>Ananya Rao</v>
      </c>
      <c r="F881" s="3" t="str">
        <f aca="false">PROPER(TRIM(SUBSTITUTE(Raw_Text_Fields!C882,CHAR(160)," ")))</f>
        <v>Home Office</v>
      </c>
      <c r="G881" s="3" t="str">
        <f aca="false">PROPER(TRIM(SUBSTITUTE(Raw_Text_Fields!D882,CHAR(160)," ")))</f>
        <v>North</v>
      </c>
      <c r="H881" s="3" t="str">
        <f aca="false">PROPER(TRIM(SUBSTITUTE(Raw_Text_Fields!E882,CHAR(160)," ")))</f>
        <v>Uttar Pradesh</v>
      </c>
      <c r="I881" s="3" t="str">
        <f aca="false">PROPER(TRIM(SUBSTITUTE(Raw_Text_Fields!F882,CHAR(160)," ")))</f>
        <v>Noida</v>
      </c>
      <c r="J881" s="3" t="str">
        <f aca="false">PROPER(TRIM(SUBSTITUTE(Raw_Text_Fields!G882,CHAR(160)," ")))</f>
        <v>Office Supplies</v>
      </c>
      <c r="K881" s="3" t="str">
        <f aca="false">PROPER(TRIM(SUBSTITUTE(Raw_Text_Fields!H882,CHAR(160)," ")))</f>
        <v>Art</v>
      </c>
      <c r="L881" s="3" t="s">
        <v>2626</v>
      </c>
      <c r="M881" s="3" t="str">
        <f aca="false">PROPER(TRIM(SUBSTITUTE(Raw_Text_Fields!I882,CHAR(160)," ")))</f>
        <v>Standard Class</v>
      </c>
      <c r="N881" s="3" t="n">
        <v>6</v>
      </c>
      <c r="O881" s="5" t="n">
        <v>1182.03</v>
      </c>
      <c r="P881" s="6" t="n">
        <v>0.15</v>
      </c>
      <c r="Q881" s="5" t="n">
        <v>6028.35</v>
      </c>
      <c r="R881" s="5" t="n">
        <v>4433.63</v>
      </c>
      <c r="S881" s="5" t="n">
        <v>1594.72</v>
      </c>
      <c r="T881" s="3" t="str">
        <f aca="false">PROPER(TRIM(SUBSTITUTE(Raw_Text_Fields!J882,CHAR(160)," ")))</f>
        <v>Paid</v>
      </c>
      <c r="U881" s="3" t="str">
        <f aca="false">PROPER(TRIM(SUBSTITUTE(Raw_Text_Fields!K882,CHAR(160)," ")))</f>
        <v>Completed</v>
      </c>
      <c r="V881" s="7" t="n">
        <f aca="false">IF(OR(P881&lt;0,P881&gt;0.5),0,P881)</f>
        <v>0.15</v>
      </c>
      <c r="W881" s="8" t="n">
        <f aca="false">N881*O881*(1-V881)</f>
        <v>6028.353</v>
      </c>
      <c r="X881" s="8" t="n">
        <f aca="false">W881-R881</f>
        <v>1594.723</v>
      </c>
      <c r="Y881" s="7" t="n">
        <f aca="false">IFERROR(X881/W881,0)</f>
        <v>0.264537096616605</v>
      </c>
      <c r="Z881" s="9" t="n">
        <f aca="false">C881-B881</f>
        <v>1</v>
      </c>
      <c r="AA881" s="1" t="str">
        <f aca="false">IF(B881="","",TEXT(B881,"mmm"))</f>
        <v>Aug</v>
      </c>
      <c r="AB881" s="9" t="n">
        <f aca="false">IF(B881="","",YEAR(B881))</f>
        <v>2025</v>
      </c>
      <c r="AC881" s="3"/>
      <c r="AD881" s="3" t="str">
        <f aca="false">IF(LEFT(AC881&amp;IF(B881="","; Missing Order Date","")&amp;IF(C881="","; Missing Ship Date","")&amp;IF(P881&lt;0,"; Invalid Discount (Negative)","")&amp;IF(P881&gt;0.5,"; Invalid Discount (Too High)","")&amp;IF(Z881&lt;0,"; Invalid Shipping Record (Ship Before Order)","")&amp;IF(ABS(Q881-W881)&gt;1,"; Sales Mismatch","")&amp;IF(ABS(S881-X881)&gt;1,"; Profit Mismatch","")&amp;IF(COUNTIF($A$2:$A$913,A881)&gt;1,"; Duplicate Order ID Conflict",""),2)="; ",MID(AC881&amp;IF(B881="","; Missing Order Date","")&amp;IF(C881="","; Missing Ship Date","")&amp;IF(P881&lt;0,"; Invalid Discount (Negative)","")&amp;IF(P881&gt;0.5,"; Invalid Discount (Too High)","")&amp;IF(Z881&lt;0,"; Invalid Shipping Record (Ship Before Order)","")&amp;IF(ABS(Q881-W881)&gt;1,"; Sales Mismatch","")&amp;IF(ABS(S881-X881)&gt;1,"; Profit Mismatch","")&amp;IF(COUNTIF($A$2:$A$913,A881)&gt;1,"; Duplicate Order ID Conflict",""),3,500),AC881&amp;IF(B881="","; Missing Order Date","")&amp;IF(C881="","; Missing Ship Date","")&amp;IF(P881&lt;0,"; Invalid Discount (Negative)","")&amp;IF(P881&gt;0.5,"; Invalid Discount (Too High)","")&amp;IF(Z881&lt;0,"; Invalid Shipping Record (Ship Before Order)","")&amp;IF(ABS(Q881-W881)&gt;1,"; Sales Mismatch","")&amp;IF(ABS(S881-X881)&gt;1,"; Profit Mismatch","")&amp;IF(COUNTIF($A$2:$A$913,A881)&gt;1,"; Duplicate Order ID Conflict",""))</f>
        <v/>
      </c>
      <c r="AE881" s="10" t="str">
        <f aca="false">IF(OR(ISNUMBER(SEARCH("Invalid Discount",AD881)),ISNUMBER(SEARCH("Invalid Shipping Record",AD881)),ISNUMBER(SEARCH("Sales Mismatch",AD881)),ISNUMBER(SEARCH("Profit Mismatch",AD881)),ISNUMBER(SEARCH("Duplicate Order ID Conflict",AD881)),ISNUMBER(SEARCH("Missing Order Date",AD881)),ISNUMBER(SEARCH("Missing Ship Date",AD881))),"Invalid",IF(AD881&lt;&gt;"","Warning","Clean"))</f>
        <v>Clean</v>
      </c>
    </row>
    <row r="882" customFormat="false" ht="15" hidden="false" customHeight="true" outlineLevel="0" collapsed="false">
      <c r="A882" s="3" t="s">
        <v>2627</v>
      </c>
      <c r="B882" s="4" t="n">
        <v>45359</v>
      </c>
      <c r="C882" s="4" t="n">
        <v>45366</v>
      </c>
      <c r="D882" s="3" t="s">
        <v>2628</v>
      </c>
      <c r="E882" s="3" t="str">
        <f aca="false">PROPER(TRIM(SUBSTITUTE(Raw_Text_Fields!B883,CHAR(160)," ")))</f>
        <v>Aarav Sharma</v>
      </c>
      <c r="F882" s="3" t="str">
        <f aca="false">PROPER(TRIM(SUBSTITUTE(Raw_Text_Fields!C883,CHAR(160)," ")))</f>
        <v>Small Business</v>
      </c>
      <c r="G882" s="3" t="str">
        <f aca="false">PROPER(TRIM(SUBSTITUTE(Raw_Text_Fields!D883,CHAR(160)," ")))</f>
        <v>Unknown</v>
      </c>
      <c r="H882" s="3" t="str">
        <f aca="false">PROPER(TRIM(SUBSTITUTE(Raw_Text_Fields!E883,CHAR(160)," ")))</f>
        <v>Punjab</v>
      </c>
      <c r="I882" s="3" t="str">
        <f aca="false">PROPER(TRIM(SUBSTITUTE(Raw_Text_Fields!F883,CHAR(160)," ")))</f>
        <v>Ludhiana</v>
      </c>
      <c r="J882" s="3" t="str">
        <f aca="false">PROPER(TRIM(SUBSTITUTE(Raw_Text_Fields!G883,CHAR(160)," ")))</f>
        <v>Furniture</v>
      </c>
      <c r="K882" s="3" t="str">
        <f aca="false">PROPER(TRIM(SUBSTITUTE(Raw_Text_Fields!H883,CHAR(160)," ")))</f>
        <v>Chairs</v>
      </c>
      <c r="L882" s="3" t="s">
        <v>2629</v>
      </c>
      <c r="M882" s="3" t="str">
        <f aca="false">PROPER(TRIM(SUBSTITUTE(Raw_Text_Fields!I883,CHAR(160)," ")))</f>
        <v>First Class</v>
      </c>
      <c r="N882" s="3" t="n">
        <v>5</v>
      </c>
      <c r="O882" s="5" t="n">
        <v>3234.77</v>
      </c>
      <c r="P882" s="6" t="n">
        <v>0</v>
      </c>
      <c r="Q882" s="5" t="n">
        <v>16173.85</v>
      </c>
      <c r="R882" s="5" t="n">
        <v>13636.34</v>
      </c>
      <c r="S882" s="5" t="n">
        <v>2537.51</v>
      </c>
      <c r="T882" s="3" t="str">
        <f aca="false">PROPER(TRIM(SUBSTITUTE(Raw_Text_Fields!J883,CHAR(160)," ")))</f>
        <v>Paid</v>
      </c>
      <c r="U882" s="3" t="str">
        <f aca="false">PROPER(TRIM(SUBSTITUTE(Raw_Text_Fields!K883,CHAR(160)," ")))</f>
        <v>Completed</v>
      </c>
      <c r="V882" s="7" t="n">
        <f aca="false">IF(OR(P882&lt;0,P882&gt;0.5),0,P882)</f>
        <v>0</v>
      </c>
      <c r="W882" s="8" t="n">
        <f aca="false">N882*O882*(1-V882)</f>
        <v>16173.85</v>
      </c>
      <c r="X882" s="8" t="n">
        <f aca="false">W882-R882</f>
        <v>2537.51</v>
      </c>
      <c r="Y882" s="7" t="n">
        <f aca="false">IFERROR(X882/W882,0)</f>
        <v>0.156889670672103</v>
      </c>
      <c r="Z882" s="9" t="n">
        <f aca="false">C882-B882</f>
        <v>7</v>
      </c>
      <c r="AA882" s="1" t="str">
        <f aca="false">IF(B882="","",TEXT(B882,"mmm"))</f>
        <v>Mar</v>
      </c>
      <c r="AB882" s="9" t="n">
        <f aca="false">IF(B882="","",YEAR(B882))</f>
        <v>2024</v>
      </c>
      <c r="AC882" s="3" t="s">
        <v>372</v>
      </c>
      <c r="AD882" s="3" t="str">
        <f aca="false">IF(LEFT(AC882&amp;IF(B882="","; Missing Order Date","")&amp;IF(C882="","; Missing Ship Date","")&amp;IF(P882&lt;0,"; Invalid Discount (Negative)","")&amp;IF(P882&gt;0.5,"; Invalid Discount (Too High)","")&amp;IF(Z882&lt;0,"; Invalid Shipping Record (Ship Before Order)","")&amp;IF(ABS(Q882-W882)&gt;1,"; Sales Mismatch","")&amp;IF(ABS(S882-X882)&gt;1,"; Profit Mismatch","")&amp;IF(COUNTIF($A$2:$A$913,A882)&gt;1,"; Duplicate Order ID Conflict",""),2)="; ",MID(AC882&amp;IF(B882="","; Missing Order Date","")&amp;IF(C882="","; Missing Ship Date","")&amp;IF(P882&lt;0,"; Invalid Discount (Negative)","")&amp;IF(P882&gt;0.5,"; Invalid Discount (Too High)","")&amp;IF(Z882&lt;0,"; Invalid Shipping Record (Ship Before Order)","")&amp;IF(ABS(Q882-W882)&gt;1,"; Sales Mismatch","")&amp;IF(ABS(S882-X882)&gt;1,"; Profit Mismatch","")&amp;IF(COUNTIF($A$2:$A$913,A882)&gt;1,"; Duplicate Order ID Conflict",""),3,500),AC882&amp;IF(B882="","; Missing Order Date","")&amp;IF(C882="","; Missing Ship Date","")&amp;IF(P882&lt;0,"; Invalid Discount (Negative)","")&amp;IF(P882&gt;0.5,"; Invalid Discount (Too High)","")&amp;IF(Z882&lt;0,"; Invalid Shipping Record (Ship Before Order)","")&amp;IF(ABS(Q882-W882)&gt;1,"; Sales Mismatch","")&amp;IF(ABS(S882-X882)&gt;1,"; Profit Mismatch","")&amp;IF(COUNTIF($A$2:$A$913,A882)&gt;1,"; Duplicate Order ID Conflict",""))</f>
        <v>Missing Region (filled Unknown)</v>
      </c>
      <c r="AE882" s="10" t="str">
        <f aca="false">IF(OR(ISNUMBER(SEARCH("Invalid Discount",AD882)),ISNUMBER(SEARCH("Invalid Shipping Record",AD882)),ISNUMBER(SEARCH("Sales Mismatch",AD882)),ISNUMBER(SEARCH("Profit Mismatch",AD882)),ISNUMBER(SEARCH("Duplicate Order ID Conflict",AD882)),ISNUMBER(SEARCH("Missing Order Date",AD882)),ISNUMBER(SEARCH("Missing Ship Date",AD882))),"Invalid",IF(AD882&lt;&gt;"","Warning","Clean"))</f>
        <v>Warning</v>
      </c>
    </row>
    <row r="883" customFormat="false" ht="15" hidden="false" customHeight="true" outlineLevel="0" collapsed="false">
      <c r="A883" s="3" t="s">
        <v>2630</v>
      </c>
      <c r="B883" s="4" t="n">
        <v>45627</v>
      </c>
      <c r="C883" s="4" t="n">
        <v>45631</v>
      </c>
      <c r="D883" s="3" t="s">
        <v>2631</v>
      </c>
      <c r="E883" s="3" t="str">
        <f aca="false">PROPER(TRIM(SUBSTITUTE(Raw_Text_Fields!B884,CHAR(160)," ")))</f>
        <v>Ananya Rao</v>
      </c>
      <c r="F883" s="3" t="str">
        <f aca="false">PROPER(TRIM(SUBSTITUTE(Raw_Text_Fields!C884,CHAR(160)," ")))</f>
        <v>Small Business</v>
      </c>
      <c r="G883" s="3" t="str">
        <f aca="false">PROPER(TRIM(SUBSTITUTE(Raw_Text_Fields!D884,CHAR(160)," ")))</f>
        <v>South</v>
      </c>
      <c r="H883" s="3" t="str">
        <f aca="false">PROPER(TRIM(SUBSTITUTE(Raw_Text_Fields!E884,CHAR(160)," ")))</f>
        <v>Andhra Pradesh</v>
      </c>
      <c r="I883" s="3" t="str">
        <f aca="false">PROPER(TRIM(SUBSTITUTE(Raw_Text_Fields!F884,CHAR(160)," ")))</f>
        <v>Vijayawada</v>
      </c>
      <c r="J883" s="3" t="str">
        <f aca="false">PROPER(TRIM(SUBSTITUTE(Raw_Text_Fields!G884,CHAR(160)," ")))</f>
        <v>Technology</v>
      </c>
      <c r="K883" s="3" t="str">
        <f aca="false">PROPER(TRIM(SUBSTITUTE(Raw_Text_Fields!H884,CHAR(160)," ")))</f>
        <v>Copiers</v>
      </c>
      <c r="L883" s="3" t="s">
        <v>2632</v>
      </c>
      <c r="M883" s="3" t="str">
        <f aca="false">PROPER(TRIM(SUBSTITUTE(Raw_Text_Fields!I884,CHAR(160)," ")))</f>
        <v>Second Class</v>
      </c>
      <c r="N883" s="3" t="n">
        <v>9</v>
      </c>
      <c r="O883" s="5" t="n">
        <v>3726.75</v>
      </c>
      <c r="P883" s="6" t="n">
        <v>0.25</v>
      </c>
      <c r="Q883" s="5" t="n">
        <v>25155.56</v>
      </c>
      <c r="R883" s="5" t="n">
        <v>17592.69</v>
      </c>
      <c r="S883" s="5" t="n">
        <v>7562.87</v>
      </c>
      <c r="T883" s="3" t="str">
        <f aca="false">PROPER(TRIM(SUBSTITUTE(Raw_Text_Fields!J884,CHAR(160)," ")))</f>
        <v>Paid</v>
      </c>
      <c r="U883" s="3" t="str">
        <f aca="false">PROPER(TRIM(SUBSTITUTE(Raw_Text_Fields!K884,CHAR(160)," ")))</f>
        <v>Completed</v>
      </c>
      <c r="V883" s="7" t="n">
        <f aca="false">IF(OR(P883&lt;0,P883&gt;0.5),0,P883)</f>
        <v>0.25</v>
      </c>
      <c r="W883" s="8" t="n">
        <f aca="false">N883*O883*(1-V883)</f>
        <v>25155.5625</v>
      </c>
      <c r="X883" s="8" t="n">
        <f aca="false">W883-R883</f>
        <v>7562.8725</v>
      </c>
      <c r="Y883" s="7" t="n">
        <f aca="false">IFERROR(X883/W883,0)</f>
        <v>0.300644141827479</v>
      </c>
      <c r="Z883" s="9" t="n">
        <f aca="false">C883-B883</f>
        <v>4</v>
      </c>
      <c r="AA883" s="1" t="str">
        <f aca="false">IF(B883="","",TEXT(B883,"mmm"))</f>
        <v>Dec</v>
      </c>
      <c r="AB883" s="9" t="n">
        <f aca="false">IF(B883="","",YEAR(B883))</f>
        <v>2024</v>
      </c>
      <c r="AC883" s="3"/>
      <c r="AD883" s="3" t="str">
        <f aca="false">IF(LEFT(AC883&amp;IF(B883="","; Missing Order Date","")&amp;IF(C883="","; Missing Ship Date","")&amp;IF(P883&lt;0,"; Invalid Discount (Negative)","")&amp;IF(P883&gt;0.5,"; Invalid Discount (Too High)","")&amp;IF(Z883&lt;0,"; Invalid Shipping Record (Ship Before Order)","")&amp;IF(ABS(Q883-W883)&gt;1,"; Sales Mismatch","")&amp;IF(ABS(S883-X883)&gt;1,"; Profit Mismatch","")&amp;IF(COUNTIF($A$2:$A$913,A883)&gt;1,"; Duplicate Order ID Conflict",""),2)="; ",MID(AC883&amp;IF(B883="","; Missing Order Date","")&amp;IF(C883="","; Missing Ship Date","")&amp;IF(P883&lt;0,"; Invalid Discount (Negative)","")&amp;IF(P883&gt;0.5,"; Invalid Discount (Too High)","")&amp;IF(Z883&lt;0,"; Invalid Shipping Record (Ship Before Order)","")&amp;IF(ABS(Q883-W883)&gt;1,"; Sales Mismatch","")&amp;IF(ABS(S883-X883)&gt;1,"; Profit Mismatch","")&amp;IF(COUNTIF($A$2:$A$913,A883)&gt;1,"; Duplicate Order ID Conflict",""),3,500),AC883&amp;IF(B883="","; Missing Order Date","")&amp;IF(C883="","; Missing Ship Date","")&amp;IF(P883&lt;0,"; Invalid Discount (Negative)","")&amp;IF(P883&gt;0.5,"; Invalid Discount (Too High)","")&amp;IF(Z883&lt;0,"; Invalid Shipping Record (Ship Before Order)","")&amp;IF(ABS(Q883-W883)&gt;1,"; Sales Mismatch","")&amp;IF(ABS(S883-X883)&gt;1,"; Profit Mismatch","")&amp;IF(COUNTIF($A$2:$A$913,A883)&gt;1,"; Duplicate Order ID Conflict",""))</f>
        <v/>
      </c>
      <c r="AE883" s="10" t="str">
        <f aca="false">IF(OR(ISNUMBER(SEARCH("Invalid Discount",AD883)),ISNUMBER(SEARCH("Invalid Shipping Record",AD883)),ISNUMBER(SEARCH("Sales Mismatch",AD883)),ISNUMBER(SEARCH("Profit Mismatch",AD883)),ISNUMBER(SEARCH("Duplicate Order ID Conflict",AD883)),ISNUMBER(SEARCH("Missing Order Date",AD883)),ISNUMBER(SEARCH("Missing Ship Date",AD883))),"Invalid",IF(AD883&lt;&gt;"","Warning","Clean"))</f>
        <v>Clean</v>
      </c>
    </row>
    <row r="884" customFormat="false" ht="15" hidden="false" customHeight="true" outlineLevel="0" collapsed="false">
      <c r="A884" s="3" t="s">
        <v>2633</v>
      </c>
      <c r="B884" s="4" t="n">
        <v>45690</v>
      </c>
      <c r="C884" s="4" t="n">
        <v>45698</v>
      </c>
      <c r="D884" s="3" t="s">
        <v>2634</v>
      </c>
      <c r="E884" s="3" t="str">
        <f aca="false">PROPER(TRIM(SUBSTITUTE(Raw_Text_Fields!B885,CHAR(160)," ")))</f>
        <v>Sneha Kapoor</v>
      </c>
      <c r="F884" s="3" t="str">
        <f aca="false">PROPER(TRIM(SUBSTITUTE(Raw_Text_Fields!C885,CHAR(160)," ")))</f>
        <v>Corporate</v>
      </c>
      <c r="G884" s="3" t="str">
        <f aca="false">PROPER(TRIM(SUBSTITUTE(Raw_Text_Fields!D885,CHAR(160)," ")))</f>
        <v>East</v>
      </c>
      <c r="H884" s="3" t="str">
        <f aca="false">PROPER(TRIM(SUBSTITUTE(Raw_Text_Fields!E885,CHAR(160)," ")))</f>
        <v>Bihar</v>
      </c>
      <c r="I884" s="3" t="str">
        <f aca="false">PROPER(TRIM(SUBSTITUTE(Raw_Text_Fields!F885,CHAR(160)," ")))</f>
        <v>Patna</v>
      </c>
      <c r="J884" s="3" t="str">
        <f aca="false">PROPER(TRIM(SUBSTITUTE(Raw_Text_Fields!G885,CHAR(160)," ")))</f>
        <v>Technology</v>
      </c>
      <c r="K884" s="3" t="str">
        <f aca="false">PROPER(TRIM(SUBSTITUTE(Raw_Text_Fields!H885,CHAR(160)," ")))</f>
        <v>Accessories</v>
      </c>
      <c r="L884" s="3" t="s">
        <v>2635</v>
      </c>
      <c r="M884" s="3" t="str">
        <f aca="false">PROPER(TRIM(SUBSTITUTE(Raw_Text_Fields!I885,CHAR(160)," ")))</f>
        <v>Standard Class</v>
      </c>
      <c r="N884" s="3" t="n">
        <v>4</v>
      </c>
      <c r="O884" s="5" t="n">
        <v>1912.45</v>
      </c>
      <c r="P884" s="6" t="n">
        <v>0</v>
      </c>
      <c r="Q884" s="5" t="n">
        <v>7649.8</v>
      </c>
      <c r="R884" s="5" t="n">
        <v>4894.53</v>
      </c>
      <c r="S884" s="5" t="n">
        <v>2755.27</v>
      </c>
      <c r="T884" s="3" t="str">
        <f aca="false">PROPER(TRIM(SUBSTITUTE(Raw_Text_Fields!J885,CHAR(160)," ")))</f>
        <v>Pending</v>
      </c>
      <c r="U884" s="3" t="str">
        <f aca="false">PROPER(TRIM(SUBSTITUTE(Raw_Text_Fields!K885,CHAR(160)," ")))</f>
        <v>Returned</v>
      </c>
      <c r="V884" s="7" t="n">
        <f aca="false">IF(OR(P884&lt;0,P884&gt;0.5),0,P884)</f>
        <v>0</v>
      </c>
      <c r="W884" s="8" t="n">
        <f aca="false">N884*O884*(1-V884)</f>
        <v>7649.8</v>
      </c>
      <c r="X884" s="8" t="n">
        <f aca="false">W884-R884</f>
        <v>2755.27</v>
      </c>
      <c r="Y884" s="7" t="n">
        <f aca="false">IFERROR(X884/W884,0)</f>
        <v>0.360175429422992</v>
      </c>
      <c r="Z884" s="9" t="n">
        <f aca="false">C884-B884</f>
        <v>8</v>
      </c>
      <c r="AA884" s="1" t="str">
        <f aca="false">IF(B884="","",TEXT(B884,"mmm"))</f>
        <v>Feb</v>
      </c>
      <c r="AB884" s="9" t="n">
        <f aca="false">IF(B884="","",YEAR(B884))</f>
        <v>2025</v>
      </c>
      <c r="AC884" s="3"/>
      <c r="AD884" s="3" t="str">
        <f aca="false">IF(LEFT(AC884&amp;IF(B884="","; Missing Order Date","")&amp;IF(C884="","; Missing Ship Date","")&amp;IF(P884&lt;0,"; Invalid Discount (Negative)","")&amp;IF(P884&gt;0.5,"; Invalid Discount (Too High)","")&amp;IF(Z884&lt;0,"; Invalid Shipping Record (Ship Before Order)","")&amp;IF(ABS(Q884-W884)&gt;1,"; Sales Mismatch","")&amp;IF(ABS(S884-X884)&gt;1,"; Profit Mismatch","")&amp;IF(COUNTIF($A$2:$A$913,A884)&gt;1,"; Duplicate Order ID Conflict",""),2)="; ",MID(AC884&amp;IF(B884="","; Missing Order Date","")&amp;IF(C884="","; Missing Ship Date","")&amp;IF(P884&lt;0,"; Invalid Discount (Negative)","")&amp;IF(P884&gt;0.5,"; Invalid Discount (Too High)","")&amp;IF(Z884&lt;0,"; Invalid Shipping Record (Ship Before Order)","")&amp;IF(ABS(Q884-W884)&gt;1,"; Sales Mismatch","")&amp;IF(ABS(S884-X884)&gt;1,"; Profit Mismatch","")&amp;IF(COUNTIF($A$2:$A$913,A884)&gt;1,"; Duplicate Order ID Conflict",""),3,500),AC884&amp;IF(B884="","; Missing Order Date","")&amp;IF(C884="","; Missing Ship Date","")&amp;IF(P884&lt;0,"; Invalid Discount (Negative)","")&amp;IF(P884&gt;0.5,"; Invalid Discount (Too High)","")&amp;IF(Z884&lt;0,"; Invalid Shipping Record (Ship Before Order)","")&amp;IF(ABS(Q884-W884)&gt;1,"; Sales Mismatch","")&amp;IF(ABS(S884-X884)&gt;1,"; Profit Mismatch","")&amp;IF(COUNTIF($A$2:$A$913,A884)&gt;1,"; Duplicate Order ID Conflict",""))</f>
        <v/>
      </c>
      <c r="AE884" s="10" t="str">
        <f aca="false">IF(OR(ISNUMBER(SEARCH("Invalid Discount",AD884)),ISNUMBER(SEARCH("Invalid Shipping Record",AD884)),ISNUMBER(SEARCH("Sales Mismatch",AD884)),ISNUMBER(SEARCH("Profit Mismatch",AD884)),ISNUMBER(SEARCH("Duplicate Order ID Conflict",AD884)),ISNUMBER(SEARCH("Missing Order Date",AD884)),ISNUMBER(SEARCH("Missing Ship Date",AD884))),"Invalid",IF(AD884&lt;&gt;"","Warning","Clean"))</f>
        <v>Clean</v>
      </c>
    </row>
    <row r="885" customFormat="false" ht="15" hidden="false" customHeight="true" outlineLevel="0" collapsed="false">
      <c r="A885" s="3" t="s">
        <v>2636</v>
      </c>
      <c r="B885" s="4" t="n">
        <v>45775</v>
      </c>
      <c r="C885" s="4" t="n">
        <v>45778</v>
      </c>
      <c r="D885" s="3" t="s">
        <v>2637</v>
      </c>
      <c r="E885" s="3" t="str">
        <f aca="false">PROPER(TRIM(SUBSTITUTE(Raw_Text_Fields!B886,CHAR(160)," ")))</f>
        <v>Aarav Sharma</v>
      </c>
      <c r="F885" s="3" t="str">
        <f aca="false">PROPER(TRIM(SUBSTITUTE(Raw_Text_Fields!C886,CHAR(160)," ")))</f>
        <v>Small Business</v>
      </c>
      <c r="G885" s="3" t="str">
        <f aca="false">PROPER(TRIM(SUBSTITUTE(Raw_Text_Fields!D886,CHAR(160)," ")))</f>
        <v>West</v>
      </c>
      <c r="H885" s="3" t="str">
        <f aca="false">PROPER(TRIM(SUBSTITUTE(Raw_Text_Fields!E886,CHAR(160)," ")))</f>
        <v>Goa</v>
      </c>
      <c r="I885" s="3" t="str">
        <f aca="false">PROPER(TRIM(SUBSTITUTE(Raw_Text_Fields!F886,CHAR(160)," ")))</f>
        <v>Panaji</v>
      </c>
      <c r="J885" s="3" t="str">
        <f aca="false">PROPER(TRIM(SUBSTITUTE(Raw_Text_Fields!G886,CHAR(160)," ")))</f>
        <v>Office Supplies</v>
      </c>
      <c r="K885" s="3" t="str">
        <f aca="false">PROPER(TRIM(SUBSTITUTE(Raw_Text_Fields!H886,CHAR(160)," ")))</f>
        <v>Storage</v>
      </c>
      <c r="L885" s="3" t="s">
        <v>2638</v>
      </c>
      <c r="M885" s="3" t="str">
        <f aca="false">PROPER(TRIM(SUBSTITUTE(Raw_Text_Fields!I886,CHAR(160)," ")))</f>
        <v>Same Day</v>
      </c>
      <c r="N885" s="3" t="n">
        <v>1</v>
      </c>
      <c r="O885" s="5" t="n">
        <v>1620.87</v>
      </c>
      <c r="P885" s="6" t="n">
        <v>0</v>
      </c>
      <c r="Q885" s="5" t="n">
        <v>1620.87</v>
      </c>
      <c r="R885" s="5" t="n">
        <v>1103.61</v>
      </c>
      <c r="S885" s="5" t="n">
        <v>517.26</v>
      </c>
      <c r="T885" s="3" t="str">
        <f aca="false">PROPER(TRIM(SUBSTITUTE(Raw_Text_Fields!J886,CHAR(160)," ")))</f>
        <v>Paid</v>
      </c>
      <c r="U885" s="3" t="str">
        <f aca="false">PROPER(TRIM(SUBSTITUTE(Raw_Text_Fields!K886,CHAR(160)," ")))</f>
        <v>Completed</v>
      </c>
      <c r="V885" s="7" t="n">
        <f aca="false">IF(OR(P885&lt;0,P885&gt;0.5),0,P885)</f>
        <v>0</v>
      </c>
      <c r="W885" s="8" t="n">
        <f aca="false">N885*O885*(1-V885)</f>
        <v>1620.87</v>
      </c>
      <c r="X885" s="8" t="n">
        <f aca="false">W885-R885</f>
        <v>517.26</v>
      </c>
      <c r="Y885" s="7" t="n">
        <f aca="false">IFERROR(X885/W885,0)</f>
        <v>0.319124914397823</v>
      </c>
      <c r="Z885" s="9" t="n">
        <f aca="false">C885-B885</f>
        <v>3</v>
      </c>
      <c r="AA885" s="1" t="str">
        <f aca="false">IF(B885="","",TEXT(B885,"mmm"))</f>
        <v>Apr</v>
      </c>
      <c r="AB885" s="9" t="n">
        <f aca="false">IF(B885="","",YEAR(B885))</f>
        <v>2025</v>
      </c>
      <c r="AC885" s="3"/>
      <c r="AD885" s="3" t="str">
        <f aca="false">IF(LEFT(AC885&amp;IF(B885="","; Missing Order Date","")&amp;IF(C885="","; Missing Ship Date","")&amp;IF(P885&lt;0,"; Invalid Discount (Negative)","")&amp;IF(P885&gt;0.5,"; Invalid Discount (Too High)","")&amp;IF(Z885&lt;0,"; Invalid Shipping Record (Ship Before Order)","")&amp;IF(ABS(Q885-W885)&gt;1,"; Sales Mismatch","")&amp;IF(ABS(S885-X885)&gt;1,"; Profit Mismatch","")&amp;IF(COUNTIF($A$2:$A$913,A885)&gt;1,"; Duplicate Order ID Conflict",""),2)="; ",MID(AC885&amp;IF(B885="","; Missing Order Date","")&amp;IF(C885="","; Missing Ship Date","")&amp;IF(P885&lt;0,"; Invalid Discount (Negative)","")&amp;IF(P885&gt;0.5,"; Invalid Discount (Too High)","")&amp;IF(Z885&lt;0,"; Invalid Shipping Record (Ship Before Order)","")&amp;IF(ABS(Q885-W885)&gt;1,"; Sales Mismatch","")&amp;IF(ABS(S885-X885)&gt;1,"; Profit Mismatch","")&amp;IF(COUNTIF($A$2:$A$913,A885)&gt;1,"; Duplicate Order ID Conflict",""),3,500),AC885&amp;IF(B885="","; Missing Order Date","")&amp;IF(C885="","; Missing Ship Date","")&amp;IF(P885&lt;0,"; Invalid Discount (Negative)","")&amp;IF(P885&gt;0.5,"; Invalid Discount (Too High)","")&amp;IF(Z885&lt;0,"; Invalid Shipping Record (Ship Before Order)","")&amp;IF(ABS(Q885-W885)&gt;1,"; Sales Mismatch","")&amp;IF(ABS(S885-X885)&gt;1,"; Profit Mismatch","")&amp;IF(COUNTIF($A$2:$A$913,A885)&gt;1,"; Duplicate Order ID Conflict",""))</f>
        <v/>
      </c>
      <c r="AE885" s="10" t="str">
        <f aca="false">IF(OR(ISNUMBER(SEARCH("Invalid Discount",AD885)),ISNUMBER(SEARCH("Invalid Shipping Record",AD885)),ISNUMBER(SEARCH("Sales Mismatch",AD885)),ISNUMBER(SEARCH("Profit Mismatch",AD885)),ISNUMBER(SEARCH("Duplicate Order ID Conflict",AD885)),ISNUMBER(SEARCH("Missing Order Date",AD885)),ISNUMBER(SEARCH("Missing Ship Date",AD885))),"Invalid",IF(AD885&lt;&gt;"","Warning","Clean"))</f>
        <v>Clean</v>
      </c>
    </row>
    <row r="886" customFormat="false" ht="15" hidden="false" customHeight="true" outlineLevel="0" collapsed="false">
      <c r="A886" s="3" t="s">
        <v>2639</v>
      </c>
      <c r="B886" s="4" t="n">
        <v>45675</v>
      </c>
      <c r="C886" s="4" t="n">
        <v>45682</v>
      </c>
      <c r="D886" s="3" t="s">
        <v>2640</v>
      </c>
      <c r="E886" s="3" t="str">
        <f aca="false">PROPER(TRIM(SUBSTITUTE(Raw_Text_Fields!B887,CHAR(160)," ")))</f>
        <v>Neha Gupta</v>
      </c>
      <c r="F886" s="3" t="str">
        <f aca="false">PROPER(TRIM(SUBSTITUTE(Raw_Text_Fields!C887,CHAR(160)," ")))</f>
        <v>Home Office</v>
      </c>
      <c r="G886" s="3" t="str">
        <f aca="false">PROPER(TRIM(SUBSTITUTE(Raw_Text_Fields!D887,CHAR(160)," ")))</f>
        <v>South</v>
      </c>
      <c r="H886" s="3" t="str">
        <f aca="false">PROPER(TRIM(SUBSTITUTE(Raw_Text_Fields!E887,CHAR(160)," ")))</f>
        <v>Karnataka</v>
      </c>
      <c r="I886" s="3" t="str">
        <f aca="false">PROPER(TRIM(SUBSTITUTE(Raw_Text_Fields!F887,CHAR(160)," ")))</f>
        <v>Bengaluru</v>
      </c>
      <c r="J886" s="3" t="str">
        <f aca="false">PROPER(TRIM(SUBSTITUTE(Raw_Text_Fields!G887,CHAR(160)," ")))</f>
        <v>Office Supplies</v>
      </c>
      <c r="K886" s="3" t="str">
        <f aca="false">PROPER(TRIM(SUBSTITUTE(Raw_Text_Fields!H887,CHAR(160)," ")))</f>
        <v>Storage</v>
      </c>
      <c r="L886" s="3" t="s">
        <v>2641</v>
      </c>
      <c r="M886" s="3" t="str">
        <f aca="false">PROPER(TRIM(SUBSTITUTE(Raw_Text_Fields!I887,CHAR(160)," ")))</f>
        <v>Same Day</v>
      </c>
      <c r="N886" s="3" t="n">
        <v>2</v>
      </c>
      <c r="O886" s="5" t="n">
        <v>2098.54</v>
      </c>
      <c r="P886" s="6" t="n">
        <v>0.15</v>
      </c>
      <c r="Q886" s="5" t="n">
        <v>3567.52</v>
      </c>
      <c r="R886" s="5" t="n">
        <v>2411.8</v>
      </c>
      <c r="S886" s="5" t="n">
        <v>1155.72</v>
      </c>
      <c r="T886" s="3" t="str">
        <f aca="false">PROPER(TRIM(SUBSTITUTE(Raw_Text_Fields!J887,CHAR(160)," ")))</f>
        <v>Paid</v>
      </c>
      <c r="U886" s="3" t="str">
        <f aca="false">PROPER(TRIM(SUBSTITUTE(Raw_Text_Fields!K887,CHAR(160)," ")))</f>
        <v>Completed</v>
      </c>
      <c r="V886" s="7" t="n">
        <f aca="false">IF(OR(P886&lt;0,P886&gt;0.5),0,P886)</f>
        <v>0.15</v>
      </c>
      <c r="W886" s="8" t="n">
        <f aca="false">N886*O886*(1-V886)</f>
        <v>3567.518</v>
      </c>
      <c r="X886" s="8" t="n">
        <f aca="false">W886-R886</f>
        <v>1155.718</v>
      </c>
      <c r="Y886" s="7" t="n">
        <f aca="false">IFERROR(X886/W886,0)</f>
        <v>0.323955758597434</v>
      </c>
      <c r="Z886" s="9" t="n">
        <f aca="false">C886-B886</f>
        <v>7</v>
      </c>
      <c r="AA886" s="1" t="str">
        <f aca="false">IF(B886="","",TEXT(B886,"mmm"))</f>
        <v>Jan</v>
      </c>
      <c r="AB886" s="9" t="n">
        <f aca="false">IF(B886="","",YEAR(B886))</f>
        <v>2025</v>
      </c>
      <c r="AC886" s="3"/>
      <c r="AD886" s="3" t="str">
        <f aca="false">IF(LEFT(AC886&amp;IF(B886="","; Missing Order Date","")&amp;IF(C886="","; Missing Ship Date","")&amp;IF(P886&lt;0,"; Invalid Discount (Negative)","")&amp;IF(P886&gt;0.5,"; Invalid Discount (Too High)","")&amp;IF(Z886&lt;0,"; Invalid Shipping Record (Ship Before Order)","")&amp;IF(ABS(Q886-W886)&gt;1,"; Sales Mismatch","")&amp;IF(ABS(S886-X886)&gt;1,"; Profit Mismatch","")&amp;IF(COUNTIF($A$2:$A$913,A886)&gt;1,"; Duplicate Order ID Conflict",""),2)="; ",MID(AC886&amp;IF(B886="","; Missing Order Date","")&amp;IF(C886="","; Missing Ship Date","")&amp;IF(P886&lt;0,"; Invalid Discount (Negative)","")&amp;IF(P886&gt;0.5,"; Invalid Discount (Too High)","")&amp;IF(Z886&lt;0,"; Invalid Shipping Record (Ship Before Order)","")&amp;IF(ABS(Q886-W886)&gt;1,"; Sales Mismatch","")&amp;IF(ABS(S886-X886)&gt;1,"; Profit Mismatch","")&amp;IF(COUNTIF($A$2:$A$913,A886)&gt;1,"; Duplicate Order ID Conflict",""),3,500),AC886&amp;IF(B886="","; Missing Order Date","")&amp;IF(C886="","; Missing Ship Date","")&amp;IF(P886&lt;0,"; Invalid Discount (Negative)","")&amp;IF(P886&gt;0.5,"; Invalid Discount (Too High)","")&amp;IF(Z886&lt;0,"; Invalid Shipping Record (Ship Before Order)","")&amp;IF(ABS(Q886-W886)&gt;1,"; Sales Mismatch","")&amp;IF(ABS(S886-X886)&gt;1,"; Profit Mismatch","")&amp;IF(COUNTIF($A$2:$A$913,A886)&gt;1,"; Duplicate Order ID Conflict",""))</f>
        <v/>
      </c>
      <c r="AE886" s="10" t="str">
        <f aca="false">IF(OR(ISNUMBER(SEARCH("Invalid Discount",AD886)),ISNUMBER(SEARCH("Invalid Shipping Record",AD886)),ISNUMBER(SEARCH("Sales Mismatch",AD886)),ISNUMBER(SEARCH("Profit Mismatch",AD886)),ISNUMBER(SEARCH("Duplicate Order ID Conflict",AD886)),ISNUMBER(SEARCH("Missing Order Date",AD886)),ISNUMBER(SEARCH("Missing Ship Date",AD886))),"Invalid",IF(AD886&lt;&gt;"","Warning","Clean"))</f>
        <v>Clean</v>
      </c>
    </row>
    <row r="887" customFormat="false" ht="15" hidden="false" customHeight="true" outlineLevel="0" collapsed="false">
      <c r="A887" s="3" t="s">
        <v>2642</v>
      </c>
      <c r="B887" s="4" t="n">
        <v>45296</v>
      </c>
      <c r="C887" s="4" t="n">
        <v>45296</v>
      </c>
      <c r="D887" s="3" t="s">
        <v>2643</v>
      </c>
      <c r="E887" s="3" t="str">
        <f aca="false">PROPER(TRIM(SUBSTITUTE(Raw_Text_Fields!B888,CHAR(160)," ")))</f>
        <v>Diya Patel</v>
      </c>
      <c r="F887" s="3" t="str">
        <f aca="false">PROPER(TRIM(SUBSTITUTE(Raw_Text_Fields!C888,CHAR(160)," ")))</f>
        <v>Consumer</v>
      </c>
      <c r="G887" s="3" t="str">
        <f aca="false">PROPER(TRIM(SUBSTITUTE(Raw_Text_Fields!D888,CHAR(160)," ")))</f>
        <v>North</v>
      </c>
      <c r="H887" s="3" t="str">
        <f aca="false">PROPER(TRIM(SUBSTITUTE(Raw_Text_Fields!E888,CHAR(160)," ")))</f>
        <v>Rajasthan</v>
      </c>
      <c r="I887" s="3" t="str">
        <f aca="false">PROPER(TRIM(SUBSTITUTE(Raw_Text_Fields!F888,CHAR(160)," ")))</f>
        <v>Jaipur</v>
      </c>
      <c r="J887" s="3" t="str">
        <f aca="false">PROPER(TRIM(SUBSTITUTE(Raw_Text_Fields!G888,CHAR(160)," ")))</f>
        <v>Furniture</v>
      </c>
      <c r="K887" s="3" t="str">
        <f aca="false">PROPER(TRIM(SUBSTITUTE(Raw_Text_Fields!H888,CHAR(160)," ")))</f>
        <v>Tables</v>
      </c>
      <c r="L887" s="3" t="s">
        <v>2644</v>
      </c>
      <c r="M887" s="3" t="str">
        <f aca="false">PROPER(TRIM(SUBSTITUTE(Raw_Text_Fields!I888,CHAR(160)," ")))</f>
        <v>Standard Class</v>
      </c>
      <c r="N887" s="3" t="n">
        <v>1</v>
      </c>
      <c r="O887" s="5" t="n">
        <v>2167.08</v>
      </c>
      <c r="P887" s="6" t="n">
        <v>0.25</v>
      </c>
      <c r="Q887" s="5" t="n">
        <v>1625.31</v>
      </c>
      <c r="R887" s="5" t="n">
        <v>1157.89</v>
      </c>
      <c r="S887" s="5" t="n">
        <v>467.42</v>
      </c>
      <c r="T887" s="3" t="str">
        <f aca="false">PROPER(TRIM(SUBSTITUTE(Raw_Text_Fields!J888,CHAR(160)," ")))</f>
        <v>Paid</v>
      </c>
      <c r="U887" s="3" t="str">
        <f aca="false">PROPER(TRIM(SUBSTITUTE(Raw_Text_Fields!K888,CHAR(160)," ")))</f>
        <v>Completed</v>
      </c>
      <c r="V887" s="7" t="n">
        <f aca="false">IF(OR(P887&lt;0,P887&gt;0.5),0,P887)</f>
        <v>0.25</v>
      </c>
      <c r="W887" s="8" t="n">
        <f aca="false">N887*O887*(1-V887)</f>
        <v>1625.31</v>
      </c>
      <c r="X887" s="8" t="n">
        <f aca="false">W887-R887</f>
        <v>467.42</v>
      </c>
      <c r="Y887" s="7" t="n">
        <f aca="false">IFERROR(X887/W887,0)</f>
        <v>0.287588213940725</v>
      </c>
      <c r="Z887" s="9" t="n">
        <f aca="false">C887-B887</f>
        <v>0</v>
      </c>
      <c r="AA887" s="1" t="str">
        <f aca="false">IF(B887="","",TEXT(B887,"mmm"))</f>
        <v>Jan</v>
      </c>
      <c r="AB887" s="9" t="n">
        <f aca="false">IF(B887="","",YEAR(B887))</f>
        <v>2024</v>
      </c>
      <c r="AC887" s="3"/>
      <c r="AD887" s="3" t="str">
        <f aca="false">IF(LEFT(AC887&amp;IF(B887="","; Missing Order Date","")&amp;IF(C887="","; Missing Ship Date","")&amp;IF(P887&lt;0,"; Invalid Discount (Negative)","")&amp;IF(P887&gt;0.5,"; Invalid Discount (Too High)","")&amp;IF(Z887&lt;0,"; Invalid Shipping Record (Ship Before Order)","")&amp;IF(ABS(Q887-W887)&gt;1,"; Sales Mismatch","")&amp;IF(ABS(S887-X887)&gt;1,"; Profit Mismatch","")&amp;IF(COUNTIF($A$2:$A$913,A887)&gt;1,"; Duplicate Order ID Conflict",""),2)="; ",MID(AC887&amp;IF(B887="","; Missing Order Date","")&amp;IF(C887="","; Missing Ship Date","")&amp;IF(P887&lt;0,"; Invalid Discount (Negative)","")&amp;IF(P887&gt;0.5,"; Invalid Discount (Too High)","")&amp;IF(Z887&lt;0,"; Invalid Shipping Record (Ship Before Order)","")&amp;IF(ABS(Q887-W887)&gt;1,"; Sales Mismatch","")&amp;IF(ABS(S887-X887)&gt;1,"; Profit Mismatch","")&amp;IF(COUNTIF($A$2:$A$913,A887)&gt;1,"; Duplicate Order ID Conflict",""),3,500),AC887&amp;IF(B887="","; Missing Order Date","")&amp;IF(C887="","; Missing Ship Date","")&amp;IF(P887&lt;0,"; Invalid Discount (Negative)","")&amp;IF(P887&gt;0.5,"; Invalid Discount (Too High)","")&amp;IF(Z887&lt;0,"; Invalid Shipping Record (Ship Before Order)","")&amp;IF(ABS(Q887-W887)&gt;1,"; Sales Mismatch","")&amp;IF(ABS(S887-X887)&gt;1,"; Profit Mismatch","")&amp;IF(COUNTIF($A$2:$A$913,A887)&gt;1,"; Duplicate Order ID Conflict",""))</f>
        <v/>
      </c>
      <c r="AE887" s="10" t="str">
        <f aca="false">IF(OR(ISNUMBER(SEARCH("Invalid Discount",AD887)),ISNUMBER(SEARCH("Invalid Shipping Record",AD887)),ISNUMBER(SEARCH("Sales Mismatch",AD887)),ISNUMBER(SEARCH("Profit Mismatch",AD887)),ISNUMBER(SEARCH("Duplicate Order ID Conflict",AD887)),ISNUMBER(SEARCH("Missing Order Date",AD887)),ISNUMBER(SEARCH("Missing Ship Date",AD887))),"Invalid",IF(AD887&lt;&gt;"","Warning","Clean"))</f>
        <v>Clean</v>
      </c>
    </row>
    <row r="888" customFormat="false" ht="15" hidden="false" customHeight="true" outlineLevel="0" collapsed="false">
      <c r="A888" s="3" t="s">
        <v>2645</v>
      </c>
      <c r="B888" s="4" t="n">
        <v>45773</v>
      </c>
      <c r="C888" s="4" t="n">
        <v>45780</v>
      </c>
      <c r="D888" s="3" t="s">
        <v>2646</v>
      </c>
      <c r="E888" s="3" t="str">
        <f aca="false">PROPER(TRIM(SUBSTITUTE(Raw_Text_Fields!B889,CHAR(160)," ")))</f>
        <v>Arjun Bose</v>
      </c>
      <c r="F888" s="3" t="str">
        <f aca="false">PROPER(TRIM(SUBSTITUTE(Raw_Text_Fields!C889,CHAR(160)," ")))</f>
        <v>Home Office</v>
      </c>
      <c r="G888" s="3" t="str">
        <f aca="false">PROPER(TRIM(SUBSTITUTE(Raw_Text_Fields!D889,CHAR(160)," ")))</f>
        <v>South</v>
      </c>
      <c r="H888" s="3" t="str">
        <f aca="false">PROPER(TRIM(SUBSTITUTE(Raw_Text_Fields!E889,CHAR(160)," ")))</f>
        <v>Tamil Nadu</v>
      </c>
      <c r="I888" s="3" t="str">
        <f aca="false">PROPER(TRIM(SUBSTITUTE(Raw_Text_Fields!F889,CHAR(160)," ")))</f>
        <v>Chennai</v>
      </c>
      <c r="J888" s="3" t="str">
        <f aca="false">PROPER(TRIM(SUBSTITUTE(Raw_Text_Fields!G889,CHAR(160)," ")))</f>
        <v>Technology</v>
      </c>
      <c r="K888" s="3" t="str">
        <f aca="false">PROPER(TRIM(SUBSTITUTE(Raw_Text_Fields!H889,CHAR(160)," ")))</f>
        <v>Accessories</v>
      </c>
      <c r="L888" s="3" t="s">
        <v>2647</v>
      </c>
      <c r="M888" s="3" t="str">
        <f aca="false">PROPER(TRIM(SUBSTITUTE(Raw_Text_Fields!I889,CHAR(160)," ")))</f>
        <v>First Class</v>
      </c>
      <c r="N888" s="3" t="n">
        <v>7</v>
      </c>
      <c r="O888" s="5" t="n">
        <v>3989.9</v>
      </c>
      <c r="P888" s="6" t="n">
        <v>0.15</v>
      </c>
      <c r="Q888" s="5" t="n">
        <v>23739.9</v>
      </c>
      <c r="R888" s="5" t="n">
        <v>17716.52</v>
      </c>
      <c r="S888" s="5" t="n">
        <v>6023.38</v>
      </c>
      <c r="T888" s="3" t="str">
        <f aca="false">PROPER(TRIM(SUBSTITUTE(Raw_Text_Fields!J889,CHAR(160)," ")))</f>
        <v>Paid</v>
      </c>
      <c r="U888" s="3" t="str">
        <f aca="false">PROPER(TRIM(SUBSTITUTE(Raw_Text_Fields!K889,CHAR(160)," ")))</f>
        <v>Cancelled</v>
      </c>
      <c r="V888" s="7" t="n">
        <f aca="false">IF(OR(P888&lt;0,P888&gt;0.5),0,P888)</f>
        <v>0.15</v>
      </c>
      <c r="W888" s="8" t="n">
        <f aca="false">N888*O888*(1-V888)</f>
        <v>23739.905</v>
      </c>
      <c r="X888" s="8" t="n">
        <f aca="false">W888-R888</f>
        <v>6023.385</v>
      </c>
      <c r="Y888" s="7" t="n">
        <f aca="false">IFERROR(X888/W888,0)</f>
        <v>0.25372405660427</v>
      </c>
      <c r="Z888" s="9" t="n">
        <f aca="false">C888-B888</f>
        <v>7</v>
      </c>
      <c r="AA888" s="1" t="str">
        <f aca="false">IF(B888="","",TEXT(B888,"mmm"))</f>
        <v>Apr</v>
      </c>
      <c r="AB888" s="9" t="n">
        <f aca="false">IF(B888="","",YEAR(B888))</f>
        <v>2025</v>
      </c>
      <c r="AC888" s="3"/>
      <c r="AD888" s="3" t="str">
        <f aca="false">IF(LEFT(AC888&amp;IF(B888="","; Missing Order Date","")&amp;IF(C888="","; Missing Ship Date","")&amp;IF(P888&lt;0,"; Invalid Discount (Negative)","")&amp;IF(P888&gt;0.5,"; Invalid Discount (Too High)","")&amp;IF(Z888&lt;0,"; Invalid Shipping Record (Ship Before Order)","")&amp;IF(ABS(Q888-W888)&gt;1,"; Sales Mismatch","")&amp;IF(ABS(S888-X888)&gt;1,"; Profit Mismatch","")&amp;IF(COUNTIF($A$2:$A$913,A888)&gt;1,"; Duplicate Order ID Conflict",""),2)="; ",MID(AC888&amp;IF(B888="","; Missing Order Date","")&amp;IF(C888="","; Missing Ship Date","")&amp;IF(P888&lt;0,"; Invalid Discount (Negative)","")&amp;IF(P888&gt;0.5,"; Invalid Discount (Too High)","")&amp;IF(Z888&lt;0,"; Invalid Shipping Record (Ship Before Order)","")&amp;IF(ABS(Q888-W888)&gt;1,"; Sales Mismatch","")&amp;IF(ABS(S888-X888)&gt;1,"; Profit Mismatch","")&amp;IF(COUNTIF($A$2:$A$913,A888)&gt;1,"; Duplicate Order ID Conflict",""),3,500),AC888&amp;IF(B888="","; Missing Order Date","")&amp;IF(C888="","; Missing Ship Date","")&amp;IF(P888&lt;0,"; Invalid Discount (Negative)","")&amp;IF(P888&gt;0.5,"; Invalid Discount (Too High)","")&amp;IF(Z888&lt;0,"; Invalid Shipping Record (Ship Before Order)","")&amp;IF(ABS(Q888-W888)&gt;1,"; Sales Mismatch","")&amp;IF(ABS(S888-X888)&gt;1,"; Profit Mismatch","")&amp;IF(COUNTIF($A$2:$A$913,A888)&gt;1,"; Duplicate Order ID Conflict",""))</f>
        <v/>
      </c>
      <c r="AE888" s="10" t="str">
        <f aca="false">IF(OR(ISNUMBER(SEARCH("Invalid Discount",AD888)),ISNUMBER(SEARCH("Invalid Shipping Record",AD888)),ISNUMBER(SEARCH("Sales Mismatch",AD888)),ISNUMBER(SEARCH("Profit Mismatch",AD888)),ISNUMBER(SEARCH("Duplicate Order ID Conflict",AD888)),ISNUMBER(SEARCH("Missing Order Date",AD888)),ISNUMBER(SEARCH("Missing Ship Date",AD888))),"Invalid",IF(AD888&lt;&gt;"","Warning","Clean"))</f>
        <v>Clean</v>
      </c>
    </row>
    <row r="889" customFormat="false" ht="15" hidden="false" customHeight="true" outlineLevel="0" collapsed="false">
      <c r="A889" s="3" t="s">
        <v>2648</v>
      </c>
      <c r="B889" s="4" t="n">
        <v>45455</v>
      </c>
      <c r="C889" s="4" t="n">
        <v>45461</v>
      </c>
      <c r="D889" s="3" t="s">
        <v>2649</v>
      </c>
      <c r="E889" s="3" t="str">
        <f aca="false">PROPER(TRIM(SUBSTITUTE(Raw_Text_Fields!B890,CHAR(160)," ")))</f>
        <v>Aarav Sharma</v>
      </c>
      <c r="F889" s="3" t="str">
        <f aca="false">PROPER(TRIM(SUBSTITUTE(Raw_Text_Fields!C890,CHAR(160)," ")))</f>
        <v>Small Business</v>
      </c>
      <c r="G889" s="3" t="str">
        <f aca="false">PROPER(TRIM(SUBSTITUTE(Raw_Text_Fields!D890,CHAR(160)," ")))</f>
        <v>South</v>
      </c>
      <c r="H889" s="3" t="str">
        <f aca="false">PROPER(TRIM(SUBSTITUTE(Raw_Text_Fields!E890,CHAR(160)," ")))</f>
        <v>Andhra Pradesh</v>
      </c>
      <c r="I889" s="3" t="str">
        <f aca="false">PROPER(TRIM(SUBSTITUTE(Raw_Text_Fields!F890,CHAR(160)," ")))</f>
        <v>Vijayawada</v>
      </c>
      <c r="J889" s="3" t="str">
        <f aca="false">PROPER(TRIM(SUBSTITUTE(Raw_Text_Fields!G890,CHAR(160)," ")))</f>
        <v>Office Supplies</v>
      </c>
      <c r="K889" s="3" t="str">
        <f aca="false">PROPER(TRIM(SUBSTITUTE(Raw_Text_Fields!H890,CHAR(160)," ")))</f>
        <v>Art</v>
      </c>
      <c r="L889" s="3" t="s">
        <v>2650</v>
      </c>
      <c r="M889" s="3" t="str">
        <f aca="false">PROPER(TRIM(SUBSTITUTE(Raw_Text_Fields!I890,CHAR(160)," ")))</f>
        <v>Standard Class</v>
      </c>
      <c r="N889" s="3" t="n">
        <v>4</v>
      </c>
      <c r="O889" s="5" t="n">
        <v>4176.13</v>
      </c>
      <c r="P889" s="6" t="n">
        <v>0</v>
      </c>
      <c r="Q889" s="5" t="n">
        <v>16704.52</v>
      </c>
      <c r="R889" s="5" t="n">
        <v>10158.28</v>
      </c>
      <c r="S889" s="5" t="n">
        <v>6546.24</v>
      </c>
      <c r="T889" s="3" t="str">
        <f aca="false">PROPER(TRIM(SUBSTITUTE(Raw_Text_Fields!J890,CHAR(160)," ")))</f>
        <v>Paid</v>
      </c>
      <c r="U889" s="3" t="str">
        <f aca="false">PROPER(TRIM(SUBSTITUTE(Raw_Text_Fields!K890,CHAR(160)," ")))</f>
        <v>Completed</v>
      </c>
      <c r="V889" s="7" t="n">
        <f aca="false">IF(OR(P889&lt;0,P889&gt;0.5),0,P889)</f>
        <v>0</v>
      </c>
      <c r="W889" s="8" t="n">
        <f aca="false">N889*O889*(1-V889)</f>
        <v>16704.52</v>
      </c>
      <c r="X889" s="8" t="n">
        <f aca="false">W889-R889</f>
        <v>6546.24</v>
      </c>
      <c r="Y889" s="7" t="n">
        <f aca="false">IFERROR(X889/W889,0)</f>
        <v>0.391884352259149</v>
      </c>
      <c r="Z889" s="9" t="n">
        <f aca="false">C889-B889</f>
        <v>6</v>
      </c>
      <c r="AA889" s="1" t="str">
        <f aca="false">IF(B889="","",TEXT(B889,"mmm"))</f>
        <v>Jun</v>
      </c>
      <c r="AB889" s="9" t="n">
        <f aca="false">IF(B889="","",YEAR(B889))</f>
        <v>2024</v>
      </c>
      <c r="AC889" s="3"/>
      <c r="AD889" s="3" t="str">
        <f aca="false">IF(LEFT(AC889&amp;IF(B889="","; Missing Order Date","")&amp;IF(C889="","; Missing Ship Date","")&amp;IF(P889&lt;0,"; Invalid Discount (Negative)","")&amp;IF(P889&gt;0.5,"; Invalid Discount (Too High)","")&amp;IF(Z889&lt;0,"; Invalid Shipping Record (Ship Before Order)","")&amp;IF(ABS(Q889-W889)&gt;1,"; Sales Mismatch","")&amp;IF(ABS(S889-X889)&gt;1,"; Profit Mismatch","")&amp;IF(COUNTIF($A$2:$A$913,A889)&gt;1,"; Duplicate Order ID Conflict",""),2)="; ",MID(AC889&amp;IF(B889="","; Missing Order Date","")&amp;IF(C889="","; Missing Ship Date","")&amp;IF(P889&lt;0,"; Invalid Discount (Negative)","")&amp;IF(P889&gt;0.5,"; Invalid Discount (Too High)","")&amp;IF(Z889&lt;0,"; Invalid Shipping Record (Ship Before Order)","")&amp;IF(ABS(Q889-W889)&gt;1,"; Sales Mismatch","")&amp;IF(ABS(S889-X889)&gt;1,"; Profit Mismatch","")&amp;IF(COUNTIF($A$2:$A$913,A889)&gt;1,"; Duplicate Order ID Conflict",""),3,500),AC889&amp;IF(B889="","; Missing Order Date","")&amp;IF(C889="","; Missing Ship Date","")&amp;IF(P889&lt;0,"; Invalid Discount (Negative)","")&amp;IF(P889&gt;0.5,"; Invalid Discount (Too High)","")&amp;IF(Z889&lt;0,"; Invalid Shipping Record (Ship Before Order)","")&amp;IF(ABS(Q889-W889)&gt;1,"; Sales Mismatch","")&amp;IF(ABS(S889-X889)&gt;1,"; Profit Mismatch","")&amp;IF(COUNTIF($A$2:$A$913,A889)&gt;1,"; Duplicate Order ID Conflict",""))</f>
        <v/>
      </c>
      <c r="AE889" s="10" t="str">
        <f aca="false">IF(OR(ISNUMBER(SEARCH("Invalid Discount",AD889)),ISNUMBER(SEARCH("Invalid Shipping Record",AD889)),ISNUMBER(SEARCH("Sales Mismatch",AD889)),ISNUMBER(SEARCH("Profit Mismatch",AD889)),ISNUMBER(SEARCH("Duplicate Order ID Conflict",AD889)),ISNUMBER(SEARCH("Missing Order Date",AD889)),ISNUMBER(SEARCH("Missing Ship Date",AD889))),"Invalid",IF(AD889&lt;&gt;"","Warning","Clean"))</f>
        <v>Clean</v>
      </c>
    </row>
    <row r="890" customFormat="false" ht="15" hidden="false" customHeight="true" outlineLevel="0" collapsed="false">
      <c r="A890" s="3" t="s">
        <v>2651</v>
      </c>
      <c r="B890" s="4" t="n">
        <v>45875</v>
      </c>
      <c r="C890" s="4" t="n">
        <v>45876</v>
      </c>
      <c r="D890" s="3" t="s">
        <v>2652</v>
      </c>
      <c r="E890" s="3" t="str">
        <f aca="false">PROPER(TRIM(SUBSTITUTE(Raw_Text_Fields!B891,CHAR(160)," ")))</f>
        <v>Rahul Verma</v>
      </c>
      <c r="F890" s="3" t="str">
        <f aca="false">PROPER(TRIM(SUBSTITUTE(Raw_Text_Fields!C891,CHAR(160)," ")))</f>
        <v>Small Business</v>
      </c>
      <c r="G890" s="3" t="str">
        <f aca="false">PROPER(TRIM(SUBSTITUTE(Raw_Text_Fields!D891,CHAR(160)," ")))</f>
        <v>West</v>
      </c>
      <c r="H890" s="3" t="str">
        <f aca="false">PROPER(TRIM(SUBSTITUTE(Raw_Text_Fields!E891,CHAR(160)," ")))</f>
        <v>Maharashtra</v>
      </c>
      <c r="I890" s="3" t="str">
        <f aca="false">PROPER(TRIM(SUBSTITUTE(Raw_Text_Fields!F891,CHAR(160)," ")))</f>
        <v>Mumbai</v>
      </c>
      <c r="J890" s="3" t="str">
        <f aca="false">PROPER(TRIM(SUBSTITUTE(Raw_Text_Fields!G891,CHAR(160)," ")))</f>
        <v>Office Supplies</v>
      </c>
      <c r="K890" s="3" t="str">
        <f aca="false">PROPER(TRIM(SUBSTITUTE(Raw_Text_Fields!H891,CHAR(160)," ")))</f>
        <v>Art</v>
      </c>
      <c r="L890" s="3" t="s">
        <v>2653</v>
      </c>
      <c r="M890" s="3" t="str">
        <f aca="false">PROPER(TRIM(SUBSTITUTE(Raw_Text_Fields!I891,CHAR(160)," ")))</f>
        <v>Standard Class</v>
      </c>
      <c r="N890" s="3" t="n">
        <v>4</v>
      </c>
      <c r="O890" s="5" t="n">
        <v>3523.64</v>
      </c>
      <c r="P890" s="6" t="n">
        <v>0.1</v>
      </c>
      <c r="Q890" s="5" t="n">
        <v>12685.1</v>
      </c>
      <c r="R890" s="5" t="n">
        <v>10779.56</v>
      </c>
      <c r="S890" s="5" t="n">
        <v>1905.54</v>
      </c>
      <c r="T890" s="3" t="str">
        <f aca="false">PROPER(TRIM(SUBSTITUTE(Raw_Text_Fields!J891,CHAR(160)," ")))</f>
        <v>Refunded</v>
      </c>
      <c r="U890" s="3" t="str">
        <f aca="false">PROPER(TRIM(SUBSTITUTE(Raw_Text_Fields!K891,CHAR(160)," ")))</f>
        <v>Cancelled</v>
      </c>
      <c r="V890" s="7" t="n">
        <f aca="false">IF(OR(P890&lt;0,P890&gt;0.5),0,P890)</f>
        <v>0.1</v>
      </c>
      <c r="W890" s="8" t="n">
        <f aca="false">N890*O890*(1-V890)</f>
        <v>12685.104</v>
      </c>
      <c r="X890" s="8" t="n">
        <f aca="false">W890-R890</f>
        <v>1905.544</v>
      </c>
      <c r="Y890" s="7" t="n">
        <f aca="false">IFERROR(X890/W890,0)</f>
        <v>0.150219028555067</v>
      </c>
      <c r="Z890" s="9" t="n">
        <f aca="false">C890-B890</f>
        <v>1</v>
      </c>
      <c r="AA890" s="1" t="str">
        <f aca="false">IF(B890="","",TEXT(B890,"mmm"))</f>
        <v>Aug</v>
      </c>
      <c r="AB890" s="9" t="n">
        <f aca="false">IF(B890="","",YEAR(B890))</f>
        <v>2025</v>
      </c>
      <c r="AC890" s="3"/>
      <c r="AD890" s="3" t="str">
        <f aca="false">IF(LEFT(AC890&amp;IF(B890="","; Missing Order Date","")&amp;IF(C890="","; Missing Ship Date","")&amp;IF(P890&lt;0,"; Invalid Discount (Negative)","")&amp;IF(P890&gt;0.5,"; Invalid Discount (Too High)","")&amp;IF(Z890&lt;0,"; Invalid Shipping Record (Ship Before Order)","")&amp;IF(ABS(Q890-W890)&gt;1,"; Sales Mismatch","")&amp;IF(ABS(S890-X890)&gt;1,"; Profit Mismatch","")&amp;IF(COUNTIF($A$2:$A$913,A890)&gt;1,"; Duplicate Order ID Conflict",""),2)="; ",MID(AC890&amp;IF(B890="","; Missing Order Date","")&amp;IF(C890="","; Missing Ship Date","")&amp;IF(P890&lt;0,"; Invalid Discount (Negative)","")&amp;IF(P890&gt;0.5,"; Invalid Discount (Too High)","")&amp;IF(Z890&lt;0,"; Invalid Shipping Record (Ship Before Order)","")&amp;IF(ABS(Q890-W890)&gt;1,"; Sales Mismatch","")&amp;IF(ABS(S890-X890)&gt;1,"; Profit Mismatch","")&amp;IF(COUNTIF($A$2:$A$913,A890)&gt;1,"; Duplicate Order ID Conflict",""),3,500),AC890&amp;IF(B890="","; Missing Order Date","")&amp;IF(C890="","; Missing Ship Date","")&amp;IF(P890&lt;0,"; Invalid Discount (Negative)","")&amp;IF(P890&gt;0.5,"; Invalid Discount (Too High)","")&amp;IF(Z890&lt;0,"; Invalid Shipping Record (Ship Before Order)","")&amp;IF(ABS(Q890-W890)&gt;1,"; Sales Mismatch","")&amp;IF(ABS(S890-X890)&gt;1,"; Profit Mismatch","")&amp;IF(COUNTIF($A$2:$A$913,A890)&gt;1,"; Duplicate Order ID Conflict",""))</f>
        <v/>
      </c>
      <c r="AE890" s="10" t="str">
        <f aca="false">IF(OR(ISNUMBER(SEARCH("Invalid Discount",AD890)),ISNUMBER(SEARCH("Invalid Shipping Record",AD890)),ISNUMBER(SEARCH("Sales Mismatch",AD890)),ISNUMBER(SEARCH("Profit Mismatch",AD890)),ISNUMBER(SEARCH("Duplicate Order ID Conflict",AD890)),ISNUMBER(SEARCH("Missing Order Date",AD890)),ISNUMBER(SEARCH("Missing Ship Date",AD890))),"Invalid",IF(AD890&lt;&gt;"","Warning","Clean"))</f>
        <v>Clean</v>
      </c>
    </row>
    <row r="891" customFormat="false" ht="15" hidden="false" customHeight="true" outlineLevel="0" collapsed="false">
      <c r="A891" s="3" t="s">
        <v>2654</v>
      </c>
      <c r="B891" s="4" t="n">
        <v>45726</v>
      </c>
      <c r="C891" s="4" t="n">
        <v>45727</v>
      </c>
      <c r="D891" s="3" t="s">
        <v>805</v>
      </c>
      <c r="E891" s="3" t="str">
        <f aca="false">PROPER(TRIM(SUBSTITUTE(Raw_Text_Fields!B892,CHAR(160)," ")))</f>
        <v>Aditi Sen</v>
      </c>
      <c r="F891" s="3" t="str">
        <f aca="false">PROPER(TRIM(SUBSTITUTE(Raw_Text_Fields!C892,CHAR(160)," ")))</f>
        <v>Home Office</v>
      </c>
      <c r="G891" s="3" t="str">
        <f aca="false">PROPER(TRIM(SUBSTITUTE(Raw_Text_Fields!D892,CHAR(160)," ")))</f>
        <v>West</v>
      </c>
      <c r="H891" s="3" t="str">
        <f aca="false">PROPER(TRIM(SUBSTITUTE(Raw_Text_Fields!E892,CHAR(160)," ")))</f>
        <v>Madhya Pradesh</v>
      </c>
      <c r="I891" s="3" t="str">
        <f aca="false">PROPER(TRIM(SUBSTITUTE(Raw_Text_Fields!F892,CHAR(160)," ")))</f>
        <v>Indore</v>
      </c>
      <c r="J891" s="3" t="str">
        <f aca="false">PROPER(TRIM(SUBSTITUTE(Raw_Text_Fields!G892,CHAR(160)," ")))</f>
        <v>Office Supplies</v>
      </c>
      <c r="K891" s="3" t="str">
        <f aca="false">PROPER(TRIM(SUBSTITUTE(Raw_Text_Fields!H892,CHAR(160)," ")))</f>
        <v>Storage</v>
      </c>
      <c r="L891" s="3" t="s">
        <v>2655</v>
      </c>
      <c r="M891" s="3" t="str">
        <f aca="false">PROPER(TRIM(SUBSTITUTE(Raw_Text_Fields!I892,CHAR(160)," ")))</f>
        <v>First Class</v>
      </c>
      <c r="N891" s="3" t="n">
        <v>2</v>
      </c>
      <c r="O891" s="5" t="n">
        <v>3922.08</v>
      </c>
      <c r="P891" s="6" t="n">
        <v>0.25</v>
      </c>
      <c r="Q891" s="5" t="n">
        <v>5883.12</v>
      </c>
      <c r="R891" s="5" t="n">
        <v>4647.91</v>
      </c>
      <c r="S891" s="5" t="n">
        <v>1235.21</v>
      </c>
      <c r="T891" s="3" t="str">
        <f aca="false">PROPER(TRIM(SUBSTITUTE(Raw_Text_Fields!J892,CHAR(160)," ")))</f>
        <v>Paid</v>
      </c>
      <c r="U891" s="3" t="str">
        <f aca="false">PROPER(TRIM(SUBSTITUTE(Raw_Text_Fields!K892,CHAR(160)," ")))</f>
        <v>Returned</v>
      </c>
      <c r="V891" s="7" t="n">
        <f aca="false">IF(OR(P891&lt;0,P891&gt;0.5),0,P891)</f>
        <v>0.25</v>
      </c>
      <c r="W891" s="8" t="n">
        <f aca="false">N891*O891*(1-V891)</f>
        <v>5883.12</v>
      </c>
      <c r="X891" s="8" t="n">
        <f aca="false">W891-R891</f>
        <v>1235.21</v>
      </c>
      <c r="Y891" s="7" t="n">
        <f aca="false">IFERROR(X891/W891,0)</f>
        <v>0.209958321434885</v>
      </c>
      <c r="Z891" s="9" t="n">
        <f aca="false">C891-B891</f>
        <v>1</v>
      </c>
      <c r="AA891" s="1" t="str">
        <f aca="false">IF(B891="","",TEXT(B891,"mmm"))</f>
        <v>Mar</v>
      </c>
      <c r="AB891" s="9" t="n">
        <f aca="false">IF(B891="","",YEAR(B891))</f>
        <v>2025</v>
      </c>
      <c r="AC891" s="3"/>
      <c r="AD891" s="3" t="str">
        <f aca="false">IF(LEFT(AC891&amp;IF(B891="","; Missing Order Date","")&amp;IF(C891="","; Missing Ship Date","")&amp;IF(P891&lt;0,"; Invalid Discount (Negative)","")&amp;IF(P891&gt;0.5,"; Invalid Discount (Too High)","")&amp;IF(Z891&lt;0,"; Invalid Shipping Record (Ship Before Order)","")&amp;IF(ABS(Q891-W891)&gt;1,"; Sales Mismatch","")&amp;IF(ABS(S891-X891)&gt;1,"; Profit Mismatch","")&amp;IF(COUNTIF($A$2:$A$913,A891)&gt;1,"; Duplicate Order ID Conflict",""),2)="; ",MID(AC891&amp;IF(B891="","; Missing Order Date","")&amp;IF(C891="","; Missing Ship Date","")&amp;IF(P891&lt;0,"; Invalid Discount (Negative)","")&amp;IF(P891&gt;0.5,"; Invalid Discount (Too High)","")&amp;IF(Z891&lt;0,"; Invalid Shipping Record (Ship Before Order)","")&amp;IF(ABS(Q891-W891)&gt;1,"; Sales Mismatch","")&amp;IF(ABS(S891-X891)&gt;1,"; Profit Mismatch","")&amp;IF(COUNTIF($A$2:$A$913,A891)&gt;1,"; Duplicate Order ID Conflict",""),3,500),AC891&amp;IF(B891="","; Missing Order Date","")&amp;IF(C891="","; Missing Ship Date","")&amp;IF(P891&lt;0,"; Invalid Discount (Negative)","")&amp;IF(P891&gt;0.5,"; Invalid Discount (Too High)","")&amp;IF(Z891&lt;0,"; Invalid Shipping Record (Ship Before Order)","")&amp;IF(ABS(Q891-W891)&gt;1,"; Sales Mismatch","")&amp;IF(ABS(S891-X891)&gt;1,"; Profit Mismatch","")&amp;IF(COUNTIF($A$2:$A$913,A891)&gt;1,"; Duplicate Order ID Conflict",""))</f>
        <v/>
      </c>
      <c r="AE891" s="10" t="str">
        <f aca="false">IF(OR(ISNUMBER(SEARCH("Invalid Discount",AD891)),ISNUMBER(SEARCH("Invalid Shipping Record",AD891)),ISNUMBER(SEARCH("Sales Mismatch",AD891)),ISNUMBER(SEARCH("Profit Mismatch",AD891)),ISNUMBER(SEARCH("Duplicate Order ID Conflict",AD891)),ISNUMBER(SEARCH("Missing Order Date",AD891)),ISNUMBER(SEARCH("Missing Ship Date",AD891))),"Invalid",IF(AD891&lt;&gt;"","Warning","Clean"))</f>
        <v>Clean</v>
      </c>
    </row>
    <row r="892" customFormat="false" ht="15" hidden="false" customHeight="true" outlineLevel="0" collapsed="false">
      <c r="A892" s="3" t="s">
        <v>2656</v>
      </c>
      <c r="B892" s="4" t="n">
        <v>45427</v>
      </c>
      <c r="C892" s="4" t="n">
        <v>45433</v>
      </c>
      <c r="D892" s="3" t="s">
        <v>2657</v>
      </c>
      <c r="E892" s="3" t="str">
        <f aca="false">PROPER(TRIM(SUBSTITUTE(Raw_Text_Fields!B893,CHAR(160)," ")))</f>
        <v>Karan Malhotra</v>
      </c>
      <c r="F892" s="3" t="str">
        <f aca="false">PROPER(TRIM(SUBSTITUTE(Raw_Text_Fields!C893,CHAR(160)," ")))</f>
        <v>Consumer</v>
      </c>
      <c r="G892" s="3" t="str">
        <f aca="false">PROPER(TRIM(SUBSTITUTE(Raw_Text_Fields!D893,CHAR(160)," ")))</f>
        <v>West</v>
      </c>
      <c r="H892" s="3" t="str">
        <f aca="false">PROPER(TRIM(SUBSTITUTE(Raw_Text_Fields!E893,CHAR(160)," ")))</f>
        <v>Goa</v>
      </c>
      <c r="I892" s="3" t="str">
        <f aca="false">PROPER(TRIM(SUBSTITUTE(Raw_Text_Fields!F893,CHAR(160)," ")))</f>
        <v>Panaji</v>
      </c>
      <c r="J892" s="3" t="str">
        <f aca="false">PROPER(TRIM(SUBSTITUTE(Raw_Text_Fields!G893,CHAR(160)," ")))</f>
        <v>Office Supplies</v>
      </c>
      <c r="K892" s="3" t="str">
        <f aca="false">PROPER(TRIM(SUBSTITUTE(Raw_Text_Fields!H893,CHAR(160)," ")))</f>
        <v>Storage</v>
      </c>
      <c r="L892" s="3" t="s">
        <v>2658</v>
      </c>
      <c r="M892" s="3" t="str">
        <f aca="false">PROPER(TRIM(SUBSTITUTE(Raw_Text_Fields!I893,CHAR(160)," ")))</f>
        <v>Standard Class</v>
      </c>
      <c r="N892" s="3" t="n">
        <v>6</v>
      </c>
      <c r="O892" s="5" t="n">
        <v>2909.56</v>
      </c>
      <c r="P892" s="6" t="n">
        <v>0.2</v>
      </c>
      <c r="Q892" s="5" t="n">
        <v>13965.89</v>
      </c>
      <c r="R892" s="5" t="n">
        <v>11646.12</v>
      </c>
      <c r="S892" s="5" t="n">
        <v>2319.77</v>
      </c>
      <c r="T892" s="3" t="str">
        <f aca="false">PROPER(TRIM(SUBSTITUTE(Raw_Text_Fields!J893,CHAR(160)," ")))</f>
        <v>Paid</v>
      </c>
      <c r="U892" s="3" t="str">
        <f aca="false">PROPER(TRIM(SUBSTITUTE(Raw_Text_Fields!K893,CHAR(160)," ")))</f>
        <v>Completed</v>
      </c>
      <c r="V892" s="7" t="n">
        <f aca="false">IF(OR(P892&lt;0,P892&gt;0.5),0,P892)</f>
        <v>0.2</v>
      </c>
      <c r="W892" s="8" t="n">
        <f aca="false">N892*O892*(1-V892)</f>
        <v>13965.888</v>
      </c>
      <c r="X892" s="8" t="n">
        <f aca="false">W892-R892</f>
        <v>2319.768</v>
      </c>
      <c r="Y892" s="7" t="n">
        <f aca="false">IFERROR(X892/W892,0)</f>
        <v>0.166102434732399</v>
      </c>
      <c r="Z892" s="9" t="n">
        <f aca="false">C892-B892</f>
        <v>6</v>
      </c>
      <c r="AA892" s="1" t="str">
        <f aca="false">IF(B892="","",TEXT(B892,"mmm"))</f>
        <v>May</v>
      </c>
      <c r="AB892" s="9" t="n">
        <f aca="false">IF(B892="","",YEAR(B892))</f>
        <v>2024</v>
      </c>
      <c r="AC892" s="3"/>
      <c r="AD892" s="3" t="str">
        <f aca="false">IF(LEFT(AC892&amp;IF(B892="","; Missing Order Date","")&amp;IF(C892="","; Missing Ship Date","")&amp;IF(P892&lt;0,"; Invalid Discount (Negative)","")&amp;IF(P892&gt;0.5,"; Invalid Discount (Too High)","")&amp;IF(Z892&lt;0,"; Invalid Shipping Record (Ship Before Order)","")&amp;IF(ABS(Q892-W892)&gt;1,"; Sales Mismatch","")&amp;IF(ABS(S892-X892)&gt;1,"; Profit Mismatch","")&amp;IF(COUNTIF($A$2:$A$913,A892)&gt;1,"; Duplicate Order ID Conflict",""),2)="; ",MID(AC892&amp;IF(B892="","; Missing Order Date","")&amp;IF(C892="","; Missing Ship Date","")&amp;IF(P892&lt;0,"; Invalid Discount (Negative)","")&amp;IF(P892&gt;0.5,"; Invalid Discount (Too High)","")&amp;IF(Z892&lt;0,"; Invalid Shipping Record (Ship Before Order)","")&amp;IF(ABS(Q892-W892)&gt;1,"; Sales Mismatch","")&amp;IF(ABS(S892-X892)&gt;1,"; Profit Mismatch","")&amp;IF(COUNTIF($A$2:$A$913,A892)&gt;1,"; Duplicate Order ID Conflict",""),3,500),AC892&amp;IF(B892="","; Missing Order Date","")&amp;IF(C892="","; Missing Ship Date","")&amp;IF(P892&lt;0,"; Invalid Discount (Negative)","")&amp;IF(P892&gt;0.5,"; Invalid Discount (Too High)","")&amp;IF(Z892&lt;0,"; Invalid Shipping Record (Ship Before Order)","")&amp;IF(ABS(Q892-W892)&gt;1,"; Sales Mismatch","")&amp;IF(ABS(S892-X892)&gt;1,"; Profit Mismatch","")&amp;IF(COUNTIF($A$2:$A$913,A892)&gt;1,"; Duplicate Order ID Conflict",""))</f>
        <v/>
      </c>
      <c r="AE892" s="10" t="str">
        <f aca="false">IF(OR(ISNUMBER(SEARCH("Invalid Discount",AD892)),ISNUMBER(SEARCH("Invalid Shipping Record",AD892)),ISNUMBER(SEARCH("Sales Mismatch",AD892)),ISNUMBER(SEARCH("Profit Mismatch",AD892)),ISNUMBER(SEARCH("Duplicate Order ID Conflict",AD892)),ISNUMBER(SEARCH("Missing Order Date",AD892)),ISNUMBER(SEARCH("Missing Ship Date",AD892))),"Invalid",IF(AD892&lt;&gt;"","Warning","Clean"))</f>
        <v>Clean</v>
      </c>
    </row>
    <row r="893" customFormat="false" ht="15" hidden="false" customHeight="true" outlineLevel="0" collapsed="false">
      <c r="A893" s="3" t="s">
        <v>2659</v>
      </c>
      <c r="B893" s="4" t="n">
        <v>45573</v>
      </c>
      <c r="C893" s="4" t="n">
        <v>45574</v>
      </c>
      <c r="D893" s="3" t="s">
        <v>2660</v>
      </c>
      <c r="E893" s="3" t="str">
        <f aca="false">PROPER(TRIM(SUBSTITUTE(Raw_Text_Fields!B894,CHAR(160)," ")))</f>
        <v>Kabir Singh</v>
      </c>
      <c r="F893" s="3" t="str">
        <f aca="false">PROPER(TRIM(SUBSTITUTE(Raw_Text_Fields!C894,CHAR(160)," ")))</f>
        <v>Corporate</v>
      </c>
      <c r="G893" s="3" t="str">
        <f aca="false">PROPER(TRIM(SUBSTITUTE(Raw_Text_Fields!D894,CHAR(160)," ")))</f>
        <v>South</v>
      </c>
      <c r="H893" s="3" t="str">
        <f aca="false">PROPER(TRIM(SUBSTITUTE(Raw_Text_Fields!E894,CHAR(160)," ")))</f>
        <v>Tamil Nadu</v>
      </c>
      <c r="I893" s="3" t="str">
        <f aca="false">PROPER(TRIM(SUBSTITUTE(Raw_Text_Fields!F894,CHAR(160)," ")))</f>
        <v>Chennai</v>
      </c>
      <c r="J893" s="3" t="str">
        <f aca="false">PROPER(TRIM(SUBSTITUTE(Raw_Text_Fields!G894,CHAR(160)," ")))</f>
        <v>Technology</v>
      </c>
      <c r="K893" s="3" t="str">
        <f aca="false">PROPER(TRIM(SUBSTITUTE(Raw_Text_Fields!H894,CHAR(160)," ")))</f>
        <v>Machines</v>
      </c>
      <c r="L893" s="3" t="s">
        <v>2661</v>
      </c>
      <c r="M893" s="3" t="str">
        <f aca="false">PROPER(TRIM(SUBSTITUTE(Raw_Text_Fields!I894,CHAR(160)," ")))</f>
        <v>Same Day</v>
      </c>
      <c r="N893" s="3" t="n">
        <v>5</v>
      </c>
      <c r="O893" s="5" t="n">
        <v>2407.97</v>
      </c>
      <c r="P893" s="6" t="n">
        <v>0.1</v>
      </c>
      <c r="Q893" s="5" t="n">
        <v>10835.86</v>
      </c>
      <c r="R893" s="5" t="n">
        <v>6419.92</v>
      </c>
      <c r="S893" s="5" t="n">
        <v>4415.94</v>
      </c>
      <c r="T893" s="3" t="str">
        <f aca="false">PROPER(TRIM(SUBSTITUTE(Raw_Text_Fields!J894,CHAR(160)," ")))</f>
        <v>Failed</v>
      </c>
      <c r="U893" s="3" t="str">
        <f aca="false">PROPER(TRIM(SUBSTITUTE(Raw_Text_Fields!K894,CHAR(160)," ")))</f>
        <v>Cancelled</v>
      </c>
      <c r="V893" s="7" t="n">
        <f aca="false">IF(OR(P893&lt;0,P893&gt;0.5),0,P893)</f>
        <v>0.1</v>
      </c>
      <c r="W893" s="8" t="n">
        <f aca="false">N893*O893*(1-V893)</f>
        <v>10835.865</v>
      </c>
      <c r="X893" s="8" t="n">
        <f aca="false">W893-R893</f>
        <v>4415.945</v>
      </c>
      <c r="Y893" s="7" t="n">
        <f aca="false">IFERROR(X893/W893,0)</f>
        <v>0.407530455575074</v>
      </c>
      <c r="Z893" s="9" t="n">
        <f aca="false">C893-B893</f>
        <v>1</v>
      </c>
      <c r="AA893" s="1" t="str">
        <f aca="false">IF(B893="","",TEXT(B893,"mmm"))</f>
        <v>Oct</v>
      </c>
      <c r="AB893" s="9" t="n">
        <f aca="false">IF(B893="","",YEAR(B893))</f>
        <v>2024</v>
      </c>
      <c r="AC893" s="3"/>
      <c r="AD893" s="3" t="str">
        <f aca="false">IF(LEFT(AC893&amp;IF(B893="","; Missing Order Date","")&amp;IF(C893="","; Missing Ship Date","")&amp;IF(P893&lt;0,"; Invalid Discount (Negative)","")&amp;IF(P893&gt;0.5,"; Invalid Discount (Too High)","")&amp;IF(Z893&lt;0,"; Invalid Shipping Record (Ship Before Order)","")&amp;IF(ABS(Q893-W893)&gt;1,"; Sales Mismatch","")&amp;IF(ABS(S893-X893)&gt;1,"; Profit Mismatch","")&amp;IF(COUNTIF($A$2:$A$913,A893)&gt;1,"; Duplicate Order ID Conflict",""),2)="; ",MID(AC893&amp;IF(B893="","; Missing Order Date","")&amp;IF(C893="","; Missing Ship Date","")&amp;IF(P893&lt;0,"; Invalid Discount (Negative)","")&amp;IF(P893&gt;0.5,"; Invalid Discount (Too High)","")&amp;IF(Z893&lt;0,"; Invalid Shipping Record (Ship Before Order)","")&amp;IF(ABS(Q893-W893)&gt;1,"; Sales Mismatch","")&amp;IF(ABS(S893-X893)&gt;1,"; Profit Mismatch","")&amp;IF(COUNTIF($A$2:$A$913,A893)&gt;1,"; Duplicate Order ID Conflict",""),3,500),AC893&amp;IF(B893="","; Missing Order Date","")&amp;IF(C893="","; Missing Ship Date","")&amp;IF(P893&lt;0,"; Invalid Discount (Negative)","")&amp;IF(P893&gt;0.5,"; Invalid Discount (Too High)","")&amp;IF(Z893&lt;0,"; Invalid Shipping Record (Ship Before Order)","")&amp;IF(ABS(Q893-W893)&gt;1,"; Sales Mismatch","")&amp;IF(ABS(S893-X893)&gt;1,"; Profit Mismatch","")&amp;IF(COUNTIF($A$2:$A$913,A893)&gt;1,"; Duplicate Order ID Conflict",""))</f>
        <v/>
      </c>
      <c r="AE893" s="10" t="str">
        <f aca="false">IF(OR(ISNUMBER(SEARCH("Invalid Discount",AD893)),ISNUMBER(SEARCH("Invalid Shipping Record",AD893)),ISNUMBER(SEARCH("Sales Mismatch",AD893)),ISNUMBER(SEARCH("Profit Mismatch",AD893)),ISNUMBER(SEARCH("Duplicate Order ID Conflict",AD893)),ISNUMBER(SEARCH("Missing Order Date",AD893)),ISNUMBER(SEARCH("Missing Ship Date",AD893))),"Invalid",IF(AD893&lt;&gt;"","Warning","Clean"))</f>
        <v>Clean</v>
      </c>
    </row>
    <row r="894" customFormat="false" ht="15" hidden="false" customHeight="true" outlineLevel="0" collapsed="false">
      <c r="A894" s="3" t="s">
        <v>2662</v>
      </c>
      <c r="B894" s="4" t="n">
        <v>45759</v>
      </c>
      <c r="C894" s="4" t="n">
        <v>45765</v>
      </c>
      <c r="D894" s="3" t="s">
        <v>2663</v>
      </c>
      <c r="E894" s="3" t="str">
        <f aca="false">PROPER(TRIM(SUBSTITUTE(Raw_Text_Fields!B895,CHAR(160)," ")))</f>
        <v>Isha Nair</v>
      </c>
      <c r="F894" s="3" t="str">
        <f aca="false">PROPER(TRIM(SUBSTITUTE(Raw_Text_Fields!C895,CHAR(160)," ")))</f>
        <v>Small Business</v>
      </c>
      <c r="G894" s="3" t="str">
        <f aca="false">PROPER(TRIM(SUBSTITUTE(Raw_Text_Fields!D895,CHAR(160)," ")))</f>
        <v>East</v>
      </c>
      <c r="H894" s="3" t="str">
        <f aca="false">PROPER(TRIM(SUBSTITUTE(Raw_Text_Fields!E895,CHAR(160)," ")))</f>
        <v>Jharkhand</v>
      </c>
      <c r="I894" s="3" t="str">
        <f aca="false">PROPER(TRIM(SUBSTITUTE(Raw_Text_Fields!F895,CHAR(160)," ")))</f>
        <v>Ranchi</v>
      </c>
      <c r="J894" s="3" t="str">
        <f aca="false">PROPER(TRIM(SUBSTITUTE(Raw_Text_Fields!G895,CHAR(160)," ")))</f>
        <v>Technology</v>
      </c>
      <c r="K894" s="3" t="str">
        <f aca="false">PROPER(TRIM(SUBSTITUTE(Raw_Text_Fields!H895,CHAR(160)," ")))</f>
        <v>Copiers</v>
      </c>
      <c r="L894" s="3" t="s">
        <v>2664</v>
      </c>
      <c r="M894" s="3" t="str">
        <f aca="false">PROPER(TRIM(SUBSTITUTE(Raw_Text_Fields!I895,CHAR(160)," ")))</f>
        <v>Same Day</v>
      </c>
      <c r="N894" s="3" t="n">
        <v>1</v>
      </c>
      <c r="O894" s="5" t="n">
        <v>726.89</v>
      </c>
      <c r="P894" s="6" t="n">
        <v>0.2</v>
      </c>
      <c r="Q894" s="5" t="n">
        <v>581.51</v>
      </c>
      <c r="R894" s="5" t="n">
        <v>423.86</v>
      </c>
      <c r="S894" s="5" t="n">
        <v>157.65</v>
      </c>
      <c r="T894" s="3" t="str">
        <f aca="false">PROPER(TRIM(SUBSTITUTE(Raw_Text_Fields!J895,CHAR(160)," ")))</f>
        <v>Paid</v>
      </c>
      <c r="U894" s="3" t="str">
        <f aca="false">PROPER(TRIM(SUBSTITUTE(Raw_Text_Fields!K895,CHAR(160)," ")))</f>
        <v>Completed</v>
      </c>
      <c r="V894" s="7" t="n">
        <f aca="false">IF(OR(P894&lt;0,P894&gt;0.5),0,P894)</f>
        <v>0.2</v>
      </c>
      <c r="W894" s="8" t="n">
        <f aca="false">N894*O894*(1-V894)</f>
        <v>581.512</v>
      </c>
      <c r="X894" s="8" t="n">
        <f aca="false">W894-R894</f>
        <v>157.652</v>
      </c>
      <c r="Y894" s="7" t="n">
        <f aca="false">IFERROR(X894/W894,0)</f>
        <v>0.271107045082475</v>
      </c>
      <c r="Z894" s="9" t="n">
        <f aca="false">C894-B894</f>
        <v>6</v>
      </c>
      <c r="AA894" s="1" t="str">
        <f aca="false">IF(B894="","",TEXT(B894,"mmm"))</f>
        <v>Apr</v>
      </c>
      <c r="AB894" s="9" t="n">
        <f aca="false">IF(B894="","",YEAR(B894))</f>
        <v>2025</v>
      </c>
      <c r="AC894" s="3"/>
      <c r="AD894" s="3" t="str">
        <f aca="false">IF(LEFT(AC894&amp;IF(B894="","; Missing Order Date","")&amp;IF(C894="","; Missing Ship Date","")&amp;IF(P894&lt;0,"; Invalid Discount (Negative)","")&amp;IF(P894&gt;0.5,"; Invalid Discount (Too High)","")&amp;IF(Z894&lt;0,"; Invalid Shipping Record (Ship Before Order)","")&amp;IF(ABS(Q894-W894)&gt;1,"; Sales Mismatch","")&amp;IF(ABS(S894-X894)&gt;1,"; Profit Mismatch","")&amp;IF(COUNTIF($A$2:$A$913,A894)&gt;1,"; Duplicate Order ID Conflict",""),2)="; ",MID(AC894&amp;IF(B894="","; Missing Order Date","")&amp;IF(C894="","; Missing Ship Date","")&amp;IF(P894&lt;0,"; Invalid Discount (Negative)","")&amp;IF(P894&gt;0.5,"; Invalid Discount (Too High)","")&amp;IF(Z894&lt;0,"; Invalid Shipping Record (Ship Before Order)","")&amp;IF(ABS(Q894-W894)&gt;1,"; Sales Mismatch","")&amp;IF(ABS(S894-X894)&gt;1,"; Profit Mismatch","")&amp;IF(COUNTIF($A$2:$A$913,A894)&gt;1,"; Duplicate Order ID Conflict",""),3,500),AC894&amp;IF(B894="","; Missing Order Date","")&amp;IF(C894="","; Missing Ship Date","")&amp;IF(P894&lt;0,"; Invalid Discount (Negative)","")&amp;IF(P894&gt;0.5,"; Invalid Discount (Too High)","")&amp;IF(Z894&lt;0,"; Invalid Shipping Record (Ship Before Order)","")&amp;IF(ABS(Q894-W894)&gt;1,"; Sales Mismatch","")&amp;IF(ABS(S894-X894)&gt;1,"; Profit Mismatch","")&amp;IF(COUNTIF($A$2:$A$913,A894)&gt;1,"; Duplicate Order ID Conflict",""))</f>
        <v/>
      </c>
      <c r="AE894" s="10" t="str">
        <f aca="false">IF(OR(ISNUMBER(SEARCH("Invalid Discount",AD894)),ISNUMBER(SEARCH("Invalid Shipping Record",AD894)),ISNUMBER(SEARCH("Sales Mismatch",AD894)),ISNUMBER(SEARCH("Profit Mismatch",AD894)),ISNUMBER(SEARCH("Duplicate Order ID Conflict",AD894)),ISNUMBER(SEARCH("Missing Order Date",AD894)),ISNUMBER(SEARCH("Missing Ship Date",AD894))),"Invalid",IF(AD894&lt;&gt;"","Warning","Clean"))</f>
        <v>Clean</v>
      </c>
    </row>
    <row r="895" customFormat="false" ht="15" hidden="false" customHeight="true" outlineLevel="0" collapsed="false">
      <c r="A895" s="3" t="s">
        <v>2665</v>
      </c>
      <c r="B895" s="4" t="n">
        <v>45449</v>
      </c>
      <c r="C895" s="4" t="n">
        <v>45451</v>
      </c>
      <c r="D895" s="3" t="s">
        <v>2666</v>
      </c>
      <c r="E895" s="3" t="str">
        <f aca="false">PROPER(TRIM(SUBSTITUTE(Raw_Text_Fields!B896,CHAR(160)," ")))</f>
        <v>Aarav Sharma</v>
      </c>
      <c r="F895" s="3" t="str">
        <f aca="false">PROPER(TRIM(SUBSTITUTE(Raw_Text_Fields!C896,CHAR(160)," ")))</f>
        <v>Corporate</v>
      </c>
      <c r="G895" s="3" t="str">
        <f aca="false">PROPER(TRIM(SUBSTITUTE(Raw_Text_Fields!D896,CHAR(160)," ")))</f>
        <v>South</v>
      </c>
      <c r="H895" s="3" t="str">
        <f aca="false">PROPER(TRIM(SUBSTITUTE(Raw_Text_Fields!E896,CHAR(160)," ")))</f>
        <v>Karnataka</v>
      </c>
      <c r="I895" s="3" t="str">
        <f aca="false">PROPER(TRIM(SUBSTITUTE(Raw_Text_Fields!F896,CHAR(160)," ")))</f>
        <v>Bengaluru</v>
      </c>
      <c r="J895" s="3" t="str">
        <f aca="false">PROPER(TRIM(SUBSTITUTE(Raw_Text_Fields!G896,CHAR(160)," ")))</f>
        <v>Furniture</v>
      </c>
      <c r="K895" s="3" t="str">
        <f aca="false">PROPER(TRIM(SUBSTITUTE(Raw_Text_Fields!H896,CHAR(160)," ")))</f>
        <v>Tables</v>
      </c>
      <c r="L895" s="3" t="s">
        <v>2667</v>
      </c>
      <c r="M895" s="3" t="str">
        <f aca="false">PROPER(TRIM(SUBSTITUTE(Raw_Text_Fields!I896,CHAR(160)," ")))</f>
        <v>Second Class</v>
      </c>
      <c r="N895" s="3" t="n">
        <v>3</v>
      </c>
      <c r="O895" s="5" t="n">
        <v>395.49</v>
      </c>
      <c r="P895" s="6" t="n">
        <v>0.05</v>
      </c>
      <c r="Q895" s="5" t="n">
        <v>1127.15</v>
      </c>
      <c r="R895" s="5" t="n">
        <v>845.62</v>
      </c>
      <c r="S895" s="5" t="n">
        <v>281.53</v>
      </c>
      <c r="T895" s="3" t="str">
        <f aca="false">PROPER(TRIM(SUBSTITUTE(Raw_Text_Fields!J896,CHAR(160)," ")))</f>
        <v>Paid</v>
      </c>
      <c r="U895" s="3" t="str">
        <f aca="false">PROPER(TRIM(SUBSTITUTE(Raw_Text_Fields!K896,CHAR(160)," ")))</f>
        <v>Returned</v>
      </c>
      <c r="V895" s="7" t="n">
        <f aca="false">IF(OR(P895&lt;0,P895&gt;0.5),0,P895)</f>
        <v>0.05</v>
      </c>
      <c r="W895" s="8" t="n">
        <f aca="false">N895*O895*(1-V895)</f>
        <v>1127.1465</v>
      </c>
      <c r="X895" s="8" t="n">
        <f aca="false">W895-R895</f>
        <v>281.5265</v>
      </c>
      <c r="Y895" s="7" t="n">
        <f aca="false">IFERROR(X895/W895,0)</f>
        <v>0.249769218109625</v>
      </c>
      <c r="Z895" s="9" t="n">
        <f aca="false">C895-B895</f>
        <v>2</v>
      </c>
      <c r="AA895" s="1" t="str">
        <f aca="false">IF(B895="","",TEXT(B895,"mmm"))</f>
        <v>Jun</v>
      </c>
      <c r="AB895" s="9" t="n">
        <f aca="false">IF(B895="","",YEAR(B895))</f>
        <v>2024</v>
      </c>
      <c r="AC895" s="3"/>
      <c r="AD895" s="3" t="str">
        <f aca="false">IF(LEFT(AC895&amp;IF(B895="","; Missing Order Date","")&amp;IF(C895="","; Missing Ship Date","")&amp;IF(P895&lt;0,"; Invalid Discount (Negative)","")&amp;IF(P895&gt;0.5,"; Invalid Discount (Too High)","")&amp;IF(Z895&lt;0,"; Invalid Shipping Record (Ship Before Order)","")&amp;IF(ABS(Q895-W895)&gt;1,"; Sales Mismatch","")&amp;IF(ABS(S895-X895)&gt;1,"; Profit Mismatch","")&amp;IF(COUNTIF($A$2:$A$913,A895)&gt;1,"; Duplicate Order ID Conflict",""),2)="; ",MID(AC895&amp;IF(B895="","; Missing Order Date","")&amp;IF(C895="","; Missing Ship Date","")&amp;IF(P895&lt;0,"; Invalid Discount (Negative)","")&amp;IF(P895&gt;0.5,"; Invalid Discount (Too High)","")&amp;IF(Z895&lt;0,"; Invalid Shipping Record (Ship Before Order)","")&amp;IF(ABS(Q895-W895)&gt;1,"; Sales Mismatch","")&amp;IF(ABS(S895-X895)&gt;1,"; Profit Mismatch","")&amp;IF(COUNTIF($A$2:$A$913,A895)&gt;1,"; Duplicate Order ID Conflict",""),3,500),AC895&amp;IF(B895="","; Missing Order Date","")&amp;IF(C895="","; Missing Ship Date","")&amp;IF(P895&lt;0,"; Invalid Discount (Negative)","")&amp;IF(P895&gt;0.5,"; Invalid Discount (Too High)","")&amp;IF(Z895&lt;0,"; Invalid Shipping Record (Ship Before Order)","")&amp;IF(ABS(Q895-W895)&gt;1,"; Sales Mismatch","")&amp;IF(ABS(S895-X895)&gt;1,"; Profit Mismatch","")&amp;IF(COUNTIF($A$2:$A$913,A895)&gt;1,"; Duplicate Order ID Conflict",""))</f>
        <v/>
      </c>
      <c r="AE895" s="10" t="str">
        <f aca="false">IF(OR(ISNUMBER(SEARCH("Invalid Discount",AD895)),ISNUMBER(SEARCH("Invalid Shipping Record",AD895)),ISNUMBER(SEARCH("Sales Mismatch",AD895)),ISNUMBER(SEARCH("Profit Mismatch",AD895)),ISNUMBER(SEARCH("Duplicate Order ID Conflict",AD895)),ISNUMBER(SEARCH("Missing Order Date",AD895)),ISNUMBER(SEARCH("Missing Ship Date",AD895))),"Invalid",IF(AD895&lt;&gt;"","Warning","Clean"))</f>
        <v>Clean</v>
      </c>
    </row>
    <row r="896" customFormat="false" ht="15" hidden="false" customHeight="true" outlineLevel="0" collapsed="false">
      <c r="A896" s="3" t="s">
        <v>2668</v>
      </c>
      <c r="B896" s="4" t="n">
        <v>45344</v>
      </c>
      <c r="C896" s="4" t="n">
        <v>45351</v>
      </c>
      <c r="D896" s="3" t="s">
        <v>2669</v>
      </c>
      <c r="E896" s="3" t="str">
        <f aca="false">PROPER(TRIM(SUBSTITUTE(Raw_Text_Fields!B897,CHAR(160)," ")))</f>
        <v>Isha Nair</v>
      </c>
      <c r="F896" s="3" t="str">
        <f aca="false">PROPER(TRIM(SUBSTITUTE(Raw_Text_Fields!C897,CHAR(160)," ")))</f>
        <v>Home Office</v>
      </c>
      <c r="G896" s="3" t="str">
        <f aca="false">PROPER(TRIM(SUBSTITUTE(Raw_Text_Fields!D897,CHAR(160)," ")))</f>
        <v>South</v>
      </c>
      <c r="H896" s="3" t="str">
        <f aca="false">PROPER(TRIM(SUBSTITUTE(Raw_Text_Fields!E897,CHAR(160)," ")))</f>
        <v>Telangana</v>
      </c>
      <c r="I896" s="3" t="str">
        <f aca="false">PROPER(TRIM(SUBSTITUTE(Raw_Text_Fields!F897,CHAR(160)," ")))</f>
        <v>Hyderabad</v>
      </c>
      <c r="J896" s="3" t="str">
        <f aca="false">PROPER(TRIM(SUBSTITUTE(Raw_Text_Fields!G897,CHAR(160)," ")))</f>
        <v>Furniture</v>
      </c>
      <c r="K896" s="3" t="str">
        <f aca="false">PROPER(TRIM(SUBSTITUTE(Raw_Text_Fields!H897,CHAR(160)," ")))</f>
        <v>Tables</v>
      </c>
      <c r="L896" s="3" t="s">
        <v>2670</v>
      </c>
      <c r="M896" s="3" t="str">
        <f aca="false">PROPER(TRIM(SUBSTITUTE(Raw_Text_Fields!I897,CHAR(160)," ")))</f>
        <v>First Class</v>
      </c>
      <c r="N896" s="3" t="n">
        <v>6</v>
      </c>
      <c r="O896" s="5" t="n">
        <v>4254.05</v>
      </c>
      <c r="P896" s="6" t="n">
        <v>0</v>
      </c>
      <c r="Q896" s="5" t="n">
        <v>25524.3</v>
      </c>
      <c r="R896" s="5" t="n">
        <v>16711.93</v>
      </c>
      <c r="S896" s="5" t="n">
        <v>8812.37</v>
      </c>
      <c r="T896" s="3" t="str">
        <f aca="false">PROPER(TRIM(SUBSTITUTE(Raw_Text_Fields!J897,CHAR(160)," ")))</f>
        <v>Paid</v>
      </c>
      <c r="U896" s="3" t="str">
        <f aca="false">PROPER(TRIM(SUBSTITUTE(Raw_Text_Fields!K897,CHAR(160)," ")))</f>
        <v>Completed</v>
      </c>
      <c r="V896" s="7" t="n">
        <f aca="false">IF(OR(P896&lt;0,P896&gt;0.5),0,P896)</f>
        <v>0</v>
      </c>
      <c r="W896" s="8" t="n">
        <f aca="false">N896*O896*(1-V896)</f>
        <v>25524.3</v>
      </c>
      <c r="X896" s="8" t="n">
        <f aca="false">W896-R896</f>
        <v>8812.37</v>
      </c>
      <c r="Y896" s="7" t="n">
        <f aca="false">IFERROR(X896/W896,0)</f>
        <v>0.345254130377719</v>
      </c>
      <c r="Z896" s="9" t="n">
        <f aca="false">C896-B896</f>
        <v>7</v>
      </c>
      <c r="AA896" s="1" t="str">
        <f aca="false">IF(B896="","",TEXT(B896,"mmm"))</f>
        <v>Feb</v>
      </c>
      <c r="AB896" s="9" t="n">
        <f aca="false">IF(B896="","",YEAR(B896))</f>
        <v>2024</v>
      </c>
      <c r="AC896" s="3"/>
      <c r="AD896" s="3" t="str">
        <f aca="false">IF(LEFT(AC896&amp;IF(B896="","; Missing Order Date","")&amp;IF(C896="","; Missing Ship Date","")&amp;IF(P896&lt;0,"; Invalid Discount (Negative)","")&amp;IF(P896&gt;0.5,"; Invalid Discount (Too High)","")&amp;IF(Z896&lt;0,"; Invalid Shipping Record (Ship Before Order)","")&amp;IF(ABS(Q896-W896)&gt;1,"; Sales Mismatch","")&amp;IF(ABS(S896-X896)&gt;1,"; Profit Mismatch","")&amp;IF(COUNTIF($A$2:$A$913,A896)&gt;1,"; Duplicate Order ID Conflict",""),2)="; ",MID(AC896&amp;IF(B896="","; Missing Order Date","")&amp;IF(C896="","; Missing Ship Date","")&amp;IF(P896&lt;0,"; Invalid Discount (Negative)","")&amp;IF(P896&gt;0.5,"; Invalid Discount (Too High)","")&amp;IF(Z896&lt;0,"; Invalid Shipping Record (Ship Before Order)","")&amp;IF(ABS(Q896-W896)&gt;1,"; Sales Mismatch","")&amp;IF(ABS(S896-X896)&gt;1,"; Profit Mismatch","")&amp;IF(COUNTIF($A$2:$A$913,A896)&gt;1,"; Duplicate Order ID Conflict",""),3,500),AC896&amp;IF(B896="","; Missing Order Date","")&amp;IF(C896="","; Missing Ship Date","")&amp;IF(P896&lt;0,"; Invalid Discount (Negative)","")&amp;IF(P896&gt;0.5,"; Invalid Discount (Too High)","")&amp;IF(Z896&lt;0,"; Invalid Shipping Record (Ship Before Order)","")&amp;IF(ABS(Q896-W896)&gt;1,"; Sales Mismatch","")&amp;IF(ABS(S896-X896)&gt;1,"; Profit Mismatch","")&amp;IF(COUNTIF($A$2:$A$913,A896)&gt;1,"; Duplicate Order ID Conflict",""))</f>
        <v/>
      </c>
      <c r="AE896" s="10" t="str">
        <f aca="false">IF(OR(ISNUMBER(SEARCH("Invalid Discount",AD896)),ISNUMBER(SEARCH("Invalid Shipping Record",AD896)),ISNUMBER(SEARCH("Sales Mismatch",AD896)),ISNUMBER(SEARCH("Profit Mismatch",AD896)),ISNUMBER(SEARCH("Duplicate Order ID Conflict",AD896)),ISNUMBER(SEARCH("Missing Order Date",AD896)),ISNUMBER(SEARCH("Missing Ship Date",AD896))),"Invalid",IF(AD896&lt;&gt;"","Warning","Clean"))</f>
        <v>Clean</v>
      </c>
    </row>
    <row r="897" customFormat="false" ht="15" hidden="false" customHeight="true" outlineLevel="0" collapsed="false">
      <c r="A897" s="3" t="s">
        <v>2671</v>
      </c>
      <c r="B897" s="4" t="n">
        <v>45601</v>
      </c>
      <c r="C897" s="4" t="n">
        <v>45606</v>
      </c>
      <c r="D897" s="3" t="s">
        <v>2672</v>
      </c>
      <c r="E897" s="3" t="str">
        <f aca="false">PROPER(TRIM(SUBSTITUTE(Raw_Text_Fields!B898,CHAR(160)," ")))</f>
        <v>Arjun Bose</v>
      </c>
      <c r="F897" s="3" t="str">
        <f aca="false">PROPER(TRIM(SUBSTITUTE(Raw_Text_Fields!C898,CHAR(160)," ")))</f>
        <v>Consumer</v>
      </c>
      <c r="G897" s="3" t="str">
        <f aca="false">PROPER(TRIM(SUBSTITUTE(Raw_Text_Fields!D898,CHAR(160)," ")))</f>
        <v>South</v>
      </c>
      <c r="H897" s="3" t="str">
        <f aca="false">PROPER(TRIM(SUBSTITUTE(Raw_Text_Fields!E898,CHAR(160)," ")))</f>
        <v>Kerala</v>
      </c>
      <c r="I897" s="3" t="str">
        <f aca="false">PROPER(TRIM(SUBSTITUTE(Raw_Text_Fields!F898,CHAR(160)," ")))</f>
        <v>Kochi</v>
      </c>
      <c r="J897" s="3" t="str">
        <f aca="false">PROPER(TRIM(SUBSTITUTE(Raw_Text_Fields!G898,CHAR(160)," ")))</f>
        <v>Furniture</v>
      </c>
      <c r="K897" s="3" t="str">
        <f aca="false">PROPER(TRIM(SUBSTITUTE(Raw_Text_Fields!H898,CHAR(160)," ")))</f>
        <v>Chairs</v>
      </c>
      <c r="L897" s="3" t="s">
        <v>2673</v>
      </c>
      <c r="M897" s="3" t="str">
        <f aca="false">PROPER(TRIM(SUBSTITUTE(Raw_Text_Fields!I898,CHAR(160)," ")))</f>
        <v>Same Day</v>
      </c>
      <c r="N897" s="3" t="n">
        <v>4</v>
      </c>
      <c r="O897" s="5" t="n">
        <v>711.18</v>
      </c>
      <c r="P897" s="6" t="n">
        <v>0.15</v>
      </c>
      <c r="Q897" s="5" t="n">
        <v>2418.01</v>
      </c>
      <c r="R897" s="5" t="n">
        <v>1441.89</v>
      </c>
      <c r="S897" s="5" t="n">
        <v>976.12</v>
      </c>
      <c r="T897" s="3" t="str">
        <f aca="false">PROPER(TRIM(SUBSTITUTE(Raw_Text_Fields!J898,CHAR(160)," ")))</f>
        <v>Pending</v>
      </c>
      <c r="U897" s="3" t="str">
        <f aca="false">PROPER(TRIM(SUBSTITUTE(Raw_Text_Fields!K898,CHAR(160)," ")))</f>
        <v>Returned</v>
      </c>
      <c r="V897" s="7" t="n">
        <f aca="false">IF(OR(P897&lt;0,P897&gt;0.5),0,P897)</f>
        <v>0.15</v>
      </c>
      <c r="W897" s="8" t="n">
        <f aca="false">N897*O897*(1-V897)</f>
        <v>2418.012</v>
      </c>
      <c r="X897" s="8" t="n">
        <f aca="false">W897-R897</f>
        <v>976.122</v>
      </c>
      <c r="Y897" s="7" t="n">
        <f aca="false">IFERROR(X897/W897,0)</f>
        <v>0.403687822889216</v>
      </c>
      <c r="Z897" s="9" t="n">
        <f aca="false">C897-B897</f>
        <v>5</v>
      </c>
      <c r="AA897" s="1" t="str">
        <f aca="false">IF(B897="","",TEXT(B897,"mmm"))</f>
        <v>Nov</v>
      </c>
      <c r="AB897" s="9" t="n">
        <f aca="false">IF(B897="","",YEAR(B897))</f>
        <v>2024</v>
      </c>
      <c r="AC897" s="3"/>
      <c r="AD897" s="3" t="str">
        <f aca="false">IF(LEFT(AC897&amp;IF(B897="","; Missing Order Date","")&amp;IF(C897="","; Missing Ship Date","")&amp;IF(P897&lt;0,"; Invalid Discount (Negative)","")&amp;IF(P897&gt;0.5,"; Invalid Discount (Too High)","")&amp;IF(Z897&lt;0,"; Invalid Shipping Record (Ship Before Order)","")&amp;IF(ABS(Q897-W897)&gt;1,"; Sales Mismatch","")&amp;IF(ABS(S897-X897)&gt;1,"; Profit Mismatch","")&amp;IF(COUNTIF($A$2:$A$913,A897)&gt;1,"; Duplicate Order ID Conflict",""),2)="; ",MID(AC897&amp;IF(B897="","; Missing Order Date","")&amp;IF(C897="","; Missing Ship Date","")&amp;IF(P897&lt;0,"; Invalid Discount (Negative)","")&amp;IF(P897&gt;0.5,"; Invalid Discount (Too High)","")&amp;IF(Z897&lt;0,"; Invalid Shipping Record (Ship Before Order)","")&amp;IF(ABS(Q897-W897)&gt;1,"; Sales Mismatch","")&amp;IF(ABS(S897-X897)&gt;1,"; Profit Mismatch","")&amp;IF(COUNTIF($A$2:$A$913,A897)&gt;1,"; Duplicate Order ID Conflict",""),3,500),AC897&amp;IF(B897="","; Missing Order Date","")&amp;IF(C897="","; Missing Ship Date","")&amp;IF(P897&lt;0,"; Invalid Discount (Negative)","")&amp;IF(P897&gt;0.5,"; Invalid Discount (Too High)","")&amp;IF(Z897&lt;0,"; Invalid Shipping Record (Ship Before Order)","")&amp;IF(ABS(Q897-W897)&gt;1,"; Sales Mismatch","")&amp;IF(ABS(S897-X897)&gt;1,"; Profit Mismatch","")&amp;IF(COUNTIF($A$2:$A$913,A897)&gt;1,"; Duplicate Order ID Conflict",""))</f>
        <v/>
      </c>
      <c r="AE897" s="10" t="str">
        <f aca="false">IF(OR(ISNUMBER(SEARCH("Invalid Discount",AD897)),ISNUMBER(SEARCH("Invalid Shipping Record",AD897)),ISNUMBER(SEARCH("Sales Mismatch",AD897)),ISNUMBER(SEARCH("Profit Mismatch",AD897)),ISNUMBER(SEARCH("Duplicate Order ID Conflict",AD897)),ISNUMBER(SEARCH("Missing Order Date",AD897)),ISNUMBER(SEARCH("Missing Ship Date",AD897))),"Invalid",IF(AD897&lt;&gt;"","Warning","Clean"))</f>
        <v>Clean</v>
      </c>
    </row>
    <row r="898" customFormat="false" ht="15" hidden="false" customHeight="true" outlineLevel="0" collapsed="false">
      <c r="A898" s="3" t="s">
        <v>2674</v>
      </c>
      <c r="B898" s="4" t="n">
        <v>45650</v>
      </c>
      <c r="C898" s="4" t="n">
        <v>45651</v>
      </c>
      <c r="D898" s="3" t="s">
        <v>2675</v>
      </c>
      <c r="E898" s="3" t="str">
        <f aca="false">PROPER(TRIM(SUBSTITUTE(Raw_Text_Fields!B899,CHAR(160)," ")))</f>
        <v>Ananya Rao</v>
      </c>
      <c r="F898" s="3" t="str">
        <f aca="false">PROPER(TRIM(SUBSTITUTE(Raw_Text_Fields!C899,CHAR(160)," ")))</f>
        <v>Small Business</v>
      </c>
      <c r="G898" s="3" t="str">
        <f aca="false">PROPER(TRIM(SUBSTITUTE(Raw_Text_Fields!D899,CHAR(160)," ")))</f>
        <v>South</v>
      </c>
      <c r="H898" s="3" t="str">
        <f aca="false">PROPER(TRIM(SUBSTITUTE(Raw_Text_Fields!E899,CHAR(160)," ")))</f>
        <v>Tamil Nadu</v>
      </c>
      <c r="I898" s="3" t="str">
        <f aca="false">PROPER(TRIM(SUBSTITUTE(Raw_Text_Fields!F899,CHAR(160)," ")))</f>
        <v>Chennai</v>
      </c>
      <c r="J898" s="3" t="str">
        <f aca="false">PROPER(TRIM(SUBSTITUTE(Raw_Text_Fields!G899,CHAR(160)," ")))</f>
        <v>Technology</v>
      </c>
      <c r="K898" s="3" t="str">
        <f aca="false">PROPER(TRIM(SUBSTITUTE(Raw_Text_Fields!H899,CHAR(160)," ")))</f>
        <v>Copiers</v>
      </c>
      <c r="L898" s="3" t="s">
        <v>2676</v>
      </c>
      <c r="M898" s="3" t="str">
        <f aca="false">PROPER(TRIM(SUBSTITUTE(Raw_Text_Fields!I899,CHAR(160)," ")))</f>
        <v>Second Class</v>
      </c>
      <c r="N898" s="3" t="n">
        <v>1</v>
      </c>
      <c r="O898" s="5" t="n">
        <v>3693.03</v>
      </c>
      <c r="P898" s="6" t="n">
        <v>0.05</v>
      </c>
      <c r="Q898" s="5" t="n">
        <v>3508.38</v>
      </c>
      <c r="R898" s="5" t="n">
        <v>2828.06</v>
      </c>
      <c r="S898" s="5" t="n">
        <v>680.32</v>
      </c>
      <c r="T898" s="3" t="str">
        <f aca="false">PROPER(TRIM(SUBSTITUTE(Raw_Text_Fields!J899,CHAR(160)," ")))</f>
        <v>Failed</v>
      </c>
      <c r="U898" s="3" t="str">
        <f aca="false">PROPER(TRIM(SUBSTITUTE(Raw_Text_Fields!K899,CHAR(160)," ")))</f>
        <v>Returned</v>
      </c>
      <c r="V898" s="7" t="n">
        <f aca="false">IF(OR(P898&lt;0,P898&gt;0.5),0,P898)</f>
        <v>0.05</v>
      </c>
      <c r="W898" s="8" t="n">
        <f aca="false">N898*O898*(1-V898)</f>
        <v>3508.3785</v>
      </c>
      <c r="X898" s="8" t="n">
        <f aca="false">W898-R898</f>
        <v>680.3185</v>
      </c>
      <c r="Y898" s="7" t="n">
        <f aca="false">IFERROR(X898/W898,0)</f>
        <v>0.193912515425573</v>
      </c>
      <c r="Z898" s="9" t="n">
        <f aca="false">C898-B898</f>
        <v>1</v>
      </c>
      <c r="AA898" s="1" t="str">
        <f aca="false">IF(B898="","",TEXT(B898,"mmm"))</f>
        <v>Dec</v>
      </c>
      <c r="AB898" s="9" t="n">
        <f aca="false">IF(B898="","",YEAR(B898))</f>
        <v>2024</v>
      </c>
      <c r="AC898" s="3"/>
      <c r="AD898" s="3" t="str">
        <f aca="false">IF(LEFT(AC898&amp;IF(B898="","; Missing Order Date","")&amp;IF(C898="","; Missing Ship Date","")&amp;IF(P898&lt;0,"; Invalid Discount (Negative)","")&amp;IF(P898&gt;0.5,"; Invalid Discount (Too High)","")&amp;IF(Z898&lt;0,"; Invalid Shipping Record (Ship Before Order)","")&amp;IF(ABS(Q898-W898)&gt;1,"; Sales Mismatch","")&amp;IF(ABS(S898-X898)&gt;1,"; Profit Mismatch","")&amp;IF(COUNTIF($A$2:$A$913,A898)&gt;1,"; Duplicate Order ID Conflict",""),2)="; ",MID(AC898&amp;IF(B898="","; Missing Order Date","")&amp;IF(C898="","; Missing Ship Date","")&amp;IF(P898&lt;0,"; Invalid Discount (Negative)","")&amp;IF(P898&gt;0.5,"; Invalid Discount (Too High)","")&amp;IF(Z898&lt;0,"; Invalid Shipping Record (Ship Before Order)","")&amp;IF(ABS(Q898-W898)&gt;1,"; Sales Mismatch","")&amp;IF(ABS(S898-X898)&gt;1,"; Profit Mismatch","")&amp;IF(COUNTIF($A$2:$A$913,A898)&gt;1,"; Duplicate Order ID Conflict",""),3,500),AC898&amp;IF(B898="","; Missing Order Date","")&amp;IF(C898="","; Missing Ship Date","")&amp;IF(P898&lt;0,"; Invalid Discount (Negative)","")&amp;IF(P898&gt;0.5,"; Invalid Discount (Too High)","")&amp;IF(Z898&lt;0,"; Invalid Shipping Record (Ship Before Order)","")&amp;IF(ABS(Q898-W898)&gt;1,"; Sales Mismatch","")&amp;IF(ABS(S898-X898)&gt;1,"; Profit Mismatch","")&amp;IF(COUNTIF($A$2:$A$913,A898)&gt;1,"; Duplicate Order ID Conflict",""))</f>
        <v/>
      </c>
      <c r="AE898" s="10" t="str">
        <f aca="false">IF(OR(ISNUMBER(SEARCH("Invalid Discount",AD898)),ISNUMBER(SEARCH("Invalid Shipping Record",AD898)),ISNUMBER(SEARCH("Sales Mismatch",AD898)),ISNUMBER(SEARCH("Profit Mismatch",AD898)),ISNUMBER(SEARCH("Duplicate Order ID Conflict",AD898)),ISNUMBER(SEARCH("Missing Order Date",AD898)),ISNUMBER(SEARCH("Missing Ship Date",AD898))),"Invalid",IF(AD898&lt;&gt;"","Warning","Clean"))</f>
        <v>Clean</v>
      </c>
    </row>
    <row r="899" customFormat="false" ht="15" hidden="false" customHeight="true" outlineLevel="0" collapsed="false">
      <c r="A899" s="3" t="s">
        <v>2677</v>
      </c>
      <c r="B899" s="4" t="n">
        <v>45776</v>
      </c>
      <c r="C899" s="4" t="n">
        <v>45780</v>
      </c>
      <c r="D899" s="3" t="s">
        <v>2043</v>
      </c>
      <c r="E899" s="3" t="str">
        <f aca="false">PROPER(TRIM(SUBSTITUTE(Raw_Text_Fields!B900,CHAR(160)," ")))</f>
        <v>Rohan Mehta</v>
      </c>
      <c r="F899" s="3" t="str">
        <f aca="false">PROPER(TRIM(SUBSTITUTE(Raw_Text_Fields!C900,CHAR(160)," ")))</f>
        <v>Corporate</v>
      </c>
      <c r="G899" s="3" t="str">
        <f aca="false">PROPER(TRIM(SUBSTITUTE(Raw_Text_Fields!D900,CHAR(160)," ")))</f>
        <v>North</v>
      </c>
      <c r="H899" s="3" t="str">
        <f aca="false">PROPER(TRIM(SUBSTITUTE(Raw_Text_Fields!E900,CHAR(160)," ")))</f>
        <v>Haryana</v>
      </c>
      <c r="I899" s="3" t="str">
        <f aca="false">PROPER(TRIM(SUBSTITUTE(Raw_Text_Fields!F900,CHAR(160)," ")))</f>
        <v>Gurugram</v>
      </c>
      <c r="J899" s="3" t="str">
        <f aca="false">PROPER(TRIM(SUBSTITUTE(Raw_Text_Fields!G900,CHAR(160)," ")))</f>
        <v>Office Supplies</v>
      </c>
      <c r="K899" s="3" t="str">
        <f aca="false">PROPER(TRIM(SUBSTITUTE(Raw_Text_Fields!H900,CHAR(160)," ")))</f>
        <v>Paper</v>
      </c>
      <c r="L899" s="3" t="s">
        <v>2678</v>
      </c>
      <c r="M899" s="3" t="str">
        <f aca="false">PROPER(TRIM(SUBSTITUTE(Raw_Text_Fields!I900,CHAR(160)," ")))</f>
        <v>First Class</v>
      </c>
      <c r="N899" s="3" t="n">
        <v>4</v>
      </c>
      <c r="O899" s="5" t="n">
        <v>1786.65</v>
      </c>
      <c r="P899" s="6" t="n">
        <v>0.05</v>
      </c>
      <c r="Q899" s="5" t="n">
        <v>6789.27</v>
      </c>
      <c r="R899" s="5" t="n">
        <v>5626.43</v>
      </c>
      <c r="S899" s="5" t="n">
        <v>1162.84</v>
      </c>
      <c r="T899" s="3" t="str">
        <f aca="false">PROPER(TRIM(SUBSTITUTE(Raw_Text_Fields!J900,CHAR(160)," ")))</f>
        <v>Paid</v>
      </c>
      <c r="U899" s="3" t="str">
        <f aca="false">PROPER(TRIM(SUBSTITUTE(Raw_Text_Fields!K900,CHAR(160)," ")))</f>
        <v>Completed</v>
      </c>
      <c r="V899" s="7" t="n">
        <f aca="false">IF(OR(P899&lt;0,P899&gt;0.5),0,P899)</f>
        <v>0.05</v>
      </c>
      <c r="W899" s="8" t="n">
        <f aca="false">N899*O899*(1-V899)</f>
        <v>6789.27</v>
      </c>
      <c r="X899" s="8" t="n">
        <f aca="false">W899-R899</f>
        <v>1162.84</v>
      </c>
      <c r="Y899" s="7" t="n">
        <f aca="false">IFERROR(X899/W899,0)</f>
        <v>0.171276146036319</v>
      </c>
      <c r="Z899" s="9" t="n">
        <f aca="false">C899-B899</f>
        <v>4</v>
      </c>
      <c r="AA899" s="1" t="str">
        <f aca="false">IF(B899="","",TEXT(B899,"mmm"))</f>
        <v>Apr</v>
      </c>
      <c r="AB899" s="9" t="n">
        <f aca="false">IF(B899="","",YEAR(B899))</f>
        <v>2025</v>
      </c>
      <c r="AC899" s="3"/>
      <c r="AD899" s="3" t="str">
        <f aca="false">IF(LEFT(AC899&amp;IF(B899="","; Missing Order Date","")&amp;IF(C899="","; Missing Ship Date","")&amp;IF(P899&lt;0,"; Invalid Discount (Negative)","")&amp;IF(P899&gt;0.5,"; Invalid Discount (Too High)","")&amp;IF(Z899&lt;0,"; Invalid Shipping Record (Ship Before Order)","")&amp;IF(ABS(Q899-W899)&gt;1,"; Sales Mismatch","")&amp;IF(ABS(S899-X899)&gt;1,"; Profit Mismatch","")&amp;IF(COUNTIF($A$2:$A$913,A899)&gt;1,"; Duplicate Order ID Conflict",""),2)="; ",MID(AC899&amp;IF(B899="","; Missing Order Date","")&amp;IF(C899="","; Missing Ship Date","")&amp;IF(P899&lt;0,"; Invalid Discount (Negative)","")&amp;IF(P899&gt;0.5,"; Invalid Discount (Too High)","")&amp;IF(Z899&lt;0,"; Invalid Shipping Record (Ship Before Order)","")&amp;IF(ABS(Q899-W899)&gt;1,"; Sales Mismatch","")&amp;IF(ABS(S899-X899)&gt;1,"; Profit Mismatch","")&amp;IF(COUNTIF($A$2:$A$913,A899)&gt;1,"; Duplicate Order ID Conflict",""),3,500),AC899&amp;IF(B899="","; Missing Order Date","")&amp;IF(C899="","; Missing Ship Date","")&amp;IF(P899&lt;0,"; Invalid Discount (Negative)","")&amp;IF(P899&gt;0.5,"; Invalid Discount (Too High)","")&amp;IF(Z899&lt;0,"; Invalid Shipping Record (Ship Before Order)","")&amp;IF(ABS(Q899-W899)&gt;1,"; Sales Mismatch","")&amp;IF(ABS(S899-X899)&gt;1,"; Profit Mismatch","")&amp;IF(COUNTIF($A$2:$A$913,A899)&gt;1,"; Duplicate Order ID Conflict",""))</f>
        <v/>
      </c>
      <c r="AE899" s="10" t="str">
        <f aca="false">IF(OR(ISNUMBER(SEARCH("Invalid Discount",AD899)),ISNUMBER(SEARCH("Invalid Shipping Record",AD899)),ISNUMBER(SEARCH("Sales Mismatch",AD899)),ISNUMBER(SEARCH("Profit Mismatch",AD899)),ISNUMBER(SEARCH("Duplicate Order ID Conflict",AD899)),ISNUMBER(SEARCH("Missing Order Date",AD899)),ISNUMBER(SEARCH("Missing Ship Date",AD899))),"Invalid",IF(AD899&lt;&gt;"","Warning","Clean"))</f>
        <v>Clean</v>
      </c>
    </row>
    <row r="900" customFormat="false" ht="15" hidden="false" customHeight="true" outlineLevel="0" collapsed="false">
      <c r="A900" s="3" t="s">
        <v>2679</v>
      </c>
      <c r="B900" s="4" t="n">
        <v>45445</v>
      </c>
      <c r="C900" s="4" t="n">
        <v>45451</v>
      </c>
      <c r="D900" s="3" t="s">
        <v>2680</v>
      </c>
      <c r="E900" s="3" t="str">
        <f aca="false">PROPER(TRIM(SUBSTITUTE(Raw_Text_Fields!B901,CHAR(160)," ")))</f>
        <v>Vikram Iyer</v>
      </c>
      <c r="F900" s="3" t="str">
        <f aca="false">PROPER(TRIM(SUBSTITUTE(Raw_Text_Fields!C901,CHAR(160)," ")))</f>
        <v>Consumer</v>
      </c>
      <c r="G900" s="3" t="str">
        <f aca="false">PROPER(TRIM(SUBSTITUTE(Raw_Text_Fields!D901,CHAR(160)," ")))</f>
        <v>North</v>
      </c>
      <c r="H900" s="3" t="str">
        <f aca="false">PROPER(TRIM(SUBSTITUTE(Raw_Text_Fields!E901,CHAR(160)," ")))</f>
        <v>Delhi</v>
      </c>
      <c r="I900" s="3" t="str">
        <f aca="false">PROPER(TRIM(SUBSTITUTE(Raw_Text_Fields!F901,CHAR(160)," ")))</f>
        <v>New Delhi</v>
      </c>
      <c r="J900" s="3" t="str">
        <f aca="false">PROPER(TRIM(SUBSTITUTE(Raw_Text_Fields!G901,CHAR(160)," ")))</f>
        <v>Furniture</v>
      </c>
      <c r="K900" s="3" t="str">
        <f aca="false">PROPER(TRIM(SUBSTITUTE(Raw_Text_Fields!H901,CHAR(160)," ")))</f>
        <v>Tables</v>
      </c>
      <c r="L900" s="3" t="s">
        <v>2681</v>
      </c>
      <c r="M900" s="3" t="str">
        <f aca="false">PROPER(TRIM(SUBSTITUTE(Raw_Text_Fields!I901,CHAR(160)," ")))</f>
        <v>First Class</v>
      </c>
      <c r="N900" s="3" t="n">
        <v>4</v>
      </c>
      <c r="O900" s="5" t="n">
        <v>1536.7</v>
      </c>
      <c r="P900" s="6" t="n">
        <v>0.2</v>
      </c>
      <c r="Q900" s="5" t="n">
        <v>4917.44</v>
      </c>
      <c r="R900" s="5" t="n">
        <v>3846.77</v>
      </c>
      <c r="S900" s="5" t="n">
        <v>1070.67</v>
      </c>
      <c r="T900" s="3" t="str">
        <f aca="false">PROPER(TRIM(SUBSTITUTE(Raw_Text_Fields!J901,CHAR(160)," ")))</f>
        <v>Paid</v>
      </c>
      <c r="U900" s="3" t="str">
        <f aca="false">PROPER(TRIM(SUBSTITUTE(Raw_Text_Fields!K901,CHAR(160)," ")))</f>
        <v>Completed</v>
      </c>
      <c r="V900" s="7" t="n">
        <f aca="false">IF(OR(P900&lt;0,P900&gt;0.5),0,P900)</f>
        <v>0.2</v>
      </c>
      <c r="W900" s="8" t="n">
        <f aca="false">N900*O900*(1-V900)</f>
        <v>4917.44</v>
      </c>
      <c r="X900" s="8" t="n">
        <f aca="false">W900-R900</f>
        <v>1070.67</v>
      </c>
      <c r="Y900" s="7" t="n">
        <f aca="false">IFERROR(X900/W900,0)</f>
        <v>0.217729143619444</v>
      </c>
      <c r="Z900" s="9" t="n">
        <f aca="false">C900-B900</f>
        <v>6</v>
      </c>
      <c r="AA900" s="1" t="str">
        <f aca="false">IF(B900="","",TEXT(B900,"mmm"))</f>
        <v>Jun</v>
      </c>
      <c r="AB900" s="9" t="n">
        <f aca="false">IF(B900="","",YEAR(B900))</f>
        <v>2024</v>
      </c>
      <c r="AC900" s="3"/>
      <c r="AD900" s="3" t="str">
        <f aca="false">IF(LEFT(AC900&amp;IF(B900="","; Missing Order Date","")&amp;IF(C900="","; Missing Ship Date","")&amp;IF(P900&lt;0,"; Invalid Discount (Negative)","")&amp;IF(P900&gt;0.5,"; Invalid Discount (Too High)","")&amp;IF(Z900&lt;0,"; Invalid Shipping Record (Ship Before Order)","")&amp;IF(ABS(Q900-W900)&gt;1,"; Sales Mismatch","")&amp;IF(ABS(S900-X900)&gt;1,"; Profit Mismatch","")&amp;IF(COUNTIF($A$2:$A$913,A900)&gt;1,"; Duplicate Order ID Conflict",""),2)="; ",MID(AC900&amp;IF(B900="","; Missing Order Date","")&amp;IF(C900="","; Missing Ship Date","")&amp;IF(P900&lt;0,"; Invalid Discount (Negative)","")&amp;IF(P900&gt;0.5,"; Invalid Discount (Too High)","")&amp;IF(Z900&lt;0,"; Invalid Shipping Record (Ship Before Order)","")&amp;IF(ABS(Q900-W900)&gt;1,"; Sales Mismatch","")&amp;IF(ABS(S900-X900)&gt;1,"; Profit Mismatch","")&amp;IF(COUNTIF($A$2:$A$913,A900)&gt;1,"; Duplicate Order ID Conflict",""),3,500),AC900&amp;IF(B900="","; Missing Order Date","")&amp;IF(C900="","; Missing Ship Date","")&amp;IF(P900&lt;0,"; Invalid Discount (Negative)","")&amp;IF(P900&gt;0.5,"; Invalid Discount (Too High)","")&amp;IF(Z900&lt;0,"; Invalid Shipping Record (Ship Before Order)","")&amp;IF(ABS(Q900-W900)&gt;1,"; Sales Mismatch","")&amp;IF(ABS(S900-X900)&gt;1,"; Profit Mismatch","")&amp;IF(COUNTIF($A$2:$A$913,A900)&gt;1,"; Duplicate Order ID Conflict",""))</f>
        <v/>
      </c>
      <c r="AE900" s="10" t="str">
        <f aca="false">IF(OR(ISNUMBER(SEARCH("Invalid Discount",AD900)),ISNUMBER(SEARCH("Invalid Shipping Record",AD900)),ISNUMBER(SEARCH("Sales Mismatch",AD900)),ISNUMBER(SEARCH("Profit Mismatch",AD900)),ISNUMBER(SEARCH("Duplicate Order ID Conflict",AD900)),ISNUMBER(SEARCH("Missing Order Date",AD900)),ISNUMBER(SEARCH("Missing Ship Date",AD900))),"Invalid",IF(AD900&lt;&gt;"","Warning","Clean"))</f>
        <v>Clean</v>
      </c>
    </row>
    <row r="901" customFormat="false" ht="15" hidden="false" customHeight="true" outlineLevel="0" collapsed="false">
      <c r="A901" s="3" t="s">
        <v>2682</v>
      </c>
      <c r="B901" s="4" t="n">
        <v>45804</v>
      </c>
      <c r="C901" s="4" t="n">
        <v>45811</v>
      </c>
      <c r="D901" s="3" t="s">
        <v>2683</v>
      </c>
      <c r="E901" s="3" t="str">
        <f aca="false">PROPER(TRIM(SUBSTITUTE(Raw_Text_Fields!B902,CHAR(160)," ")))</f>
        <v>Karan Malhotra</v>
      </c>
      <c r="F901" s="3" t="str">
        <f aca="false">PROPER(TRIM(SUBSTITUTE(Raw_Text_Fields!C902,CHAR(160)," ")))</f>
        <v>Consumer</v>
      </c>
      <c r="G901" s="3" t="str">
        <f aca="false">PROPER(TRIM(SUBSTITUTE(Raw_Text_Fields!D902,CHAR(160)," ")))</f>
        <v>North</v>
      </c>
      <c r="H901" s="3" t="str">
        <f aca="false">PROPER(TRIM(SUBSTITUTE(Raw_Text_Fields!E902,CHAR(160)," ")))</f>
        <v>Punjab</v>
      </c>
      <c r="I901" s="3" t="str">
        <f aca="false">PROPER(TRIM(SUBSTITUTE(Raw_Text_Fields!F902,CHAR(160)," ")))</f>
        <v>Ludhiana</v>
      </c>
      <c r="J901" s="3" t="str">
        <f aca="false">PROPER(TRIM(SUBSTITUTE(Raw_Text_Fields!G902,CHAR(160)," ")))</f>
        <v>Furniture</v>
      </c>
      <c r="K901" s="3" t="str">
        <f aca="false">PROPER(TRIM(SUBSTITUTE(Raw_Text_Fields!H902,CHAR(160)," ")))</f>
        <v>Chairs</v>
      </c>
      <c r="L901" s="3" t="s">
        <v>2684</v>
      </c>
      <c r="M901" s="3" t="str">
        <f aca="false">PROPER(TRIM(SUBSTITUTE(Raw_Text_Fields!I902,CHAR(160)," ")))</f>
        <v>First Class</v>
      </c>
      <c r="N901" s="3" t="n">
        <v>5</v>
      </c>
      <c r="O901" s="5" t="n">
        <v>881.08</v>
      </c>
      <c r="P901" s="6" t="n">
        <v>0.25</v>
      </c>
      <c r="Q901" s="5" t="n">
        <v>3304.05</v>
      </c>
      <c r="R901" s="5" t="n">
        <v>2279.41</v>
      </c>
      <c r="S901" s="5" t="n">
        <v>1024.64</v>
      </c>
      <c r="T901" s="3" t="str">
        <f aca="false">PROPER(TRIM(SUBSTITUTE(Raw_Text_Fields!J902,CHAR(160)," ")))</f>
        <v>Failed</v>
      </c>
      <c r="U901" s="3" t="str">
        <f aca="false">PROPER(TRIM(SUBSTITUTE(Raw_Text_Fields!K902,CHAR(160)," ")))</f>
        <v>Cancelled</v>
      </c>
      <c r="V901" s="7" t="n">
        <f aca="false">IF(OR(P901&lt;0,P901&gt;0.5),0,P901)</f>
        <v>0.25</v>
      </c>
      <c r="W901" s="8" t="n">
        <f aca="false">N901*O901*(1-V901)</f>
        <v>3304.05</v>
      </c>
      <c r="X901" s="8" t="n">
        <f aca="false">W901-R901</f>
        <v>1024.64</v>
      </c>
      <c r="Y901" s="7" t="n">
        <f aca="false">IFERROR(X901/W901,0)</f>
        <v>0.310116372330927</v>
      </c>
      <c r="Z901" s="9" t="n">
        <f aca="false">C901-B901</f>
        <v>7</v>
      </c>
      <c r="AA901" s="1" t="str">
        <f aca="false">IF(B901="","",TEXT(B901,"mmm"))</f>
        <v>May</v>
      </c>
      <c r="AB901" s="9" t="n">
        <f aca="false">IF(B901="","",YEAR(B901))</f>
        <v>2025</v>
      </c>
      <c r="AC901" s="3"/>
      <c r="AD901" s="3" t="str">
        <f aca="false">IF(LEFT(AC901&amp;IF(B901="","; Missing Order Date","")&amp;IF(C901="","; Missing Ship Date","")&amp;IF(P901&lt;0,"; Invalid Discount (Negative)","")&amp;IF(P901&gt;0.5,"; Invalid Discount (Too High)","")&amp;IF(Z901&lt;0,"; Invalid Shipping Record (Ship Before Order)","")&amp;IF(ABS(Q901-W901)&gt;1,"; Sales Mismatch","")&amp;IF(ABS(S901-X901)&gt;1,"; Profit Mismatch","")&amp;IF(COUNTIF($A$2:$A$913,A901)&gt;1,"; Duplicate Order ID Conflict",""),2)="; ",MID(AC901&amp;IF(B901="","; Missing Order Date","")&amp;IF(C901="","; Missing Ship Date","")&amp;IF(P901&lt;0,"; Invalid Discount (Negative)","")&amp;IF(P901&gt;0.5,"; Invalid Discount (Too High)","")&amp;IF(Z901&lt;0,"; Invalid Shipping Record (Ship Before Order)","")&amp;IF(ABS(Q901-W901)&gt;1,"; Sales Mismatch","")&amp;IF(ABS(S901-X901)&gt;1,"; Profit Mismatch","")&amp;IF(COUNTIF($A$2:$A$913,A901)&gt;1,"; Duplicate Order ID Conflict",""),3,500),AC901&amp;IF(B901="","; Missing Order Date","")&amp;IF(C901="","; Missing Ship Date","")&amp;IF(P901&lt;0,"; Invalid Discount (Negative)","")&amp;IF(P901&gt;0.5,"; Invalid Discount (Too High)","")&amp;IF(Z901&lt;0,"; Invalid Shipping Record (Ship Before Order)","")&amp;IF(ABS(Q901-W901)&gt;1,"; Sales Mismatch","")&amp;IF(ABS(S901-X901)&gt;1,"; Profit Mismatch","")&amp;IF(COUNTIF($A$2:$A$913,A901)&gt;1,"; Duplicate Order ID Conflict",""))</f>
        <v/>
      </c>
      <c r="AE901" s="10" t="str">
        <f aca="false">IF(OR(ISNUMBER(SEARCH("Invalid Discount",AD901)),ISNUMBER(SEARCH("Invalid Shipping Record",AD901)),ISNUMBER(SEARCH("Sales Mismatch",AD901)),ISNUMBER(SEARCH("Profit Mismatch",AD901)),ISNUMBER(SEARCH("Duplicate Order ID Conflict",AD901)),ISNUMBER(SEARCH("Missing Order Date",AD901)),ISNUMBER(SEARCH("Missing Ship Date",AD901))),"Invalid",IF(AD901&lt;&gt;"","Warning","Clean"))</f>
        <v>Clean</v>
      </c>
    </row>
    <row r="902" customFormat="false" ht="15" hidden="false" customHeight="true" outlineLevel="0" collapsed="false">
      <c r="A902" s="3" t="s">
        <v>1020</v>
      </c>
      <c r="B902" s="4" t="n">
        <v>45630</v>
      </c>
      <c r="C902" s="4" t="n">
        <v>45632</v>
      </c>
      <c r="D902" s="3" t="s">
        <v>1021</v>
      </c>
      <c r="E902" s="3" t="str">
        <f aca="false">PROPER(TRIM(SUBSTITUTE(Raw_Text_Fields!B903,CHAR(160)," ")))</f>
        <v>Sneha Kapoor</v>
      </c>
      <c r="F902" s="3" t="str">
        <f aca="false">PROPER(TRIM(SUBSTITUTE(Raw_Text_Fields!C903,CHAR(160)," ")))</f>
        <v>Home Office</v>
      </c>
      <c r="G902" s="3" t="str">
        <f aca="false">PROPER(TRIM(SUBSTITUTE(Raw_Text_Fields!D903,CHAR(160)," ")))</f>
        <v>East</v>
      </c>
      <c r="H902" s="3" t="str">
        <f aca="false">PROPER(TRIM(SUBSTITUTE(Raw_Text_Fields!E903,CHAR(160)," ")))</f>
        <v>Odisha</v>
      </c>
      <c r="I902" s="3" t="str">
        <f aca="false">PROPER(TRIM(SUBSTITUTE(Raw_Text_Fields!F903,CHAR(160)," ")))</f>
        <v>Bhubaneswar</v>
      </c>
      <c r="J902" s="3" t="str">
        <f aca="false">PROPER(TRIM(SUBSTITUTE(Raw_Text_Fields!G903,CHAR(160)," ")))</f>
        <v>Office Supplies</v>
      </c>
      <c r="K902" s="3" t="str">
        <f aca="false">PROPER(TRIM(SUBSTITUTE(Raw_Text_Fields!H903,CHAR(160)," ")))</f>
        <v>Binders</v>
      </c>
      <c r="L902" s="3" t="s">
        <v>1022</v>
      </c>
      <c r="M902" s="3" t="str">
        <f aca="false">PROPER(TRIM(SUBSTITUTE(Raw_Text_Fields!I903,CHAR(160)," ")))</f>
        <v>Second Class</v>
      </c>
      <c r="N902" s="3" t="n">
        <v>4</v>
      </c>
      <c r="O902" s="5" t="n">
        <v>2685.66</v>
      </c>
      <c r="P902" s="6" t="n">
        <v>0</v>
      </c>
      <c r="Q902" s="5" t="n">
        <v>10989.89</v>
      </c>
      <c r="R902" s="5" t="n">
        <v>6477.37</v>
      </c>
      <c r="S902" s="5" t="n">
        <v>4265.27</v>
      </c>
      <c r="T902" s="3" t="str">
        <f aca="false">PROPER(TRIM(SUBSTITUTE(Raw_Text_Fields!J903,CHAR(160)," ")))</f>
        <v>Paid</v>
      </c>
      <c r="U902" s="3" t="str">
        <f aca="false">PROPER(TRIM(SUBSTITUTE(Raw_Text_Fields!K903,CHAR(160)," ")))</f>
        <v>Completed</v>
      </c>
      <c r="V902" s="7" t="n">
        <f aca="false">IF(OR(P902&lt;0,P902&gt;0.5),0,P902)</f>
        <v>0</v>
      </c>
      <c r="W902" s="8" t="n">
        <f aca="false">N902*O902*(1-V902)</f>
        <v>10742.64</v>
      </c>
      <c r="X902" s="8" t="n">
        <f aca="false">W902-R902</f>
        <v>4265.27</v>
      </c>
      <c r="Y902" s="7" t="n">
        <f aca="false">IFERROR(X902/W902,0)</f>
        <v>0.397041137001705</v>
      </c>
      <c r="Z902" s="9" t="n">
        <f aca="false">C902-B902</f>
        <v>2</v>
      </c>
      <c r="AA902" s="1" t="str">
        <f aca="false">IF(B902="","",TEXT(B902,"mmm"))</f>
        <v>Dec</v>
      </c>
      <c r="AB902" s="9" t="n">
        <f aca="false">IF(B902="","",YEAR(B902))</f>
        <v>2024</v>
      </c>
      <c r="AC902" s="3"/>
      <c r="AD902" s="3" t="str">
        <f aca="false">IF(LEFT(AC902&amp;IF(B902="","; Missing Order Date","")&amp;IF(C902="","; Missing Ship Date","")&amp;IF(P902&lt;0,"; Invalid Discount (Negative)","")&amp;IF(P902&gt;0.5,"; Invalid Discount (Too High)","")&amp;IF(Z902&lt;0,"; Invalid Shipping Record (Ship Before Order)","")&amp;IF(ABS(Q902-W902)&gt;1,"; Sales Mismatch","")&amp;IF(ABS(S902-X902)&gt;1,"; Profit Mismatch","")&amp;IF(COUNTIF($A$2:$A$913,A902)&gt;1,"; Duplicate Order ID Conflict",""),2)="; ",MID(AC902&amp;IF(B902="","; Missing Order Date","")&amp;IF(C902="","; Missing Ship Date","")&amp;IF(P902&lt;0,"; Invalid Discount (Negative)","")&amp;IF(P902&gt;0.5,"; Invalid Discount (Too High)","")&amp;IF(Z902&lt;0,"; Invalid Shipping Record (Ship Before Order)","")&amp;IF(ABS(Q902-W902)&gt;1,"; Sales Mismatch","")&amp;IF(ABS(S902-X902)&gt;1,"; Profit Mismatch","")&amp;IF(COUNTIF($A$2:$A$913,A902)&gt;1,"; Duplicate Order ID Conflict",""),3,500),AC902&amp;IF(B902="","; Missing Order Date","")&amp;IF(C902="","; Missing Ship Date","")&amp;IF(P902&lt;0,"; Invalid Discount (Negative)","")&amp;IF(P902&gt;0.5,"; Invalid Discount (Too High)","")&amp;IF(Z902&lt;0,"; Invalid Shipping Record (Ship Before Order)","")&amp;IF(ABS(Q902-W902)&gt;1,"; Sales Mismatch","")&amp;IF(ABS(S902-X902)&gt;1,"; Profit Mismatch","")&amp;IF(COUNTIF($A$2:$A$913,A902)&gt;1,"; Duplicate Order ID Conflict",""))</f>
        <v>Sales Mismatch; Duplicate Order ID Conflict</v>
      </c>
      <c r="AE902" s="10" t="str">
        <f aca="false">IF(OR(ISNUMBER(SEARCH("Invalid Discount",AD902)),ISNUMBER(SEARCH("Invalid Shipping Record",AD902)),ISNUMBER(SEARCH("Sales Mismatch",AD902)),ISNUMBER(SEARCH("Profit Mismatch",AD902)),ISNUMBER(SEARCH("Duplicate Order ID Conflict",AD902)),ISNUMBER(SEARCH("Missing Order Date",AD902)),ISNUMBER(SEARCH("Missing Ship Date",AD902))),"Invalid",IF(AD902&lt;&gt;"","Warning","Clean"))</f>
        <v>Invalid</v>
      </c>
    </row>
    <row r="903" customFormat="false" ht="15" hidden="false" customHeight="true" outlineLevel="0" collapsed="false">
      <c r="A903" s="3" t="s">
        <v>303</v>
      </c>
      <c r="B903" s="4" t="n">
        <v>45893</v>
      </c>
      <c r="C903" s="4" t="n">
        <v>45898</v>
      </c>
      <c r="D903" s="3" t="s">
        <v>304</v>
      </c>
      <c r="E903" s="3" t="str">
        <f aca="false">PROPER(TRIM(SUBSTITUTE(Raw_Text_Fields!B904,CHAR(160)," ")))</f>
        <v>Aarav Sharma</v>
      </c>
      <c r="F903" s="3" t="str">
        <f aca="false">PROPER(TRIM(SUBSTITUTE(Raw_Text_Fields!C904,CHAR(160)," ")))</f>
        <v>Small Business</v>
      </c>
      <c r="G903" s="3" t="str">
        <f aca="false">PROPER(TRIM(SUBSTITUTE(Raw_Text_Fields!D904,CHAR(160)," ")))</f>
        <v>East</v>
      </c>
      <c r="H903" s="3" t="str">
        <f aca="false">PROPER(TRIM(SUBSTITUTE(Raw_Text_Fields!E904,CHAR(160)," ")))</f>
        <v>Bihar</v>
      </c>
      <c r="I903" s="3" t="str">
        <f aca="false">PROPER(TRIM(SUBSTITUTE(Raw_Text_Fields!F904,CHAR(160)," ")))</f>
        <v>Patna</v>
      </c>
      <c r="J903" s="3" t="str">
        <f aca="false">PROPER(TRIM(SUBSTITUTE(Raw_Text_Fields!G904,CHAR(160)," ")))</f>
        <v>Technology</v>
      </c>
      <c r="K903" s="3" t="str">
        <f aca="false">PROPER(TRIM(SUBSTITUTE(Raw_Text_Fields!H904,CHAR(160)," ")))</f>
        <v>Copiers</v>
      </c>
      <c r="L903" s="3" t="s">
        <v>305</v>
      </c>
      <c r="M903" s="3" t="str">
        <f aca="false">PROPER(TRIM(SUBSTITUTE(Raw_Text_Fields!I904,CHAR(160)," ")))</f>
        <v>First Class</v>
      </c>
      <c r="N903" s="3" t="n">
        <v>3</v>
      </c>
      <c r="O903" s="5" t="n">
        <v>3703.96</v>
      </c>
      <c r="P903" s="6" t="n">
        <v>0.15</v>
      </c>
      <c r="Q903" s="5" t="n">
        <v>9549.44</v>
      </c>
      <c r="R903" s="5" t="n">
        <v>5586.28</v>
      </c>
      <c r="S903" s="5" t="n">
        <v>3858.82</v>
      </c>
      <c r="T903" s="3" t="str">
        <f aca="false">PROPER(TRIM(SUBSTITUTE(Raw_Text_Fields!J904,CHAR(160)," ")))</f>
        <v>Paid</v>
      </c>
      <c r="U903" s="3" t="str">
        <f aca="false">PROPER(TRIM(SUBSTITUTE(Raw_Text_Fields!K904,CHAR(160)," ")))</f>
        <v>Returned</v>
      </c>
      <c r="V903" s="7" t="n">
        <f aca="false">IF(OR(P903&lt;0,P903&gt;0.5),0,P903)</f>
        <v>0.15</v>
      </c>
      <c r="W903" s="8" t="n">
        <f aca="false">N903*O903*(1-V903)</f>
        <v>9445.098</v>
      </c>
      <c r="X903" s="8" t="n">
        <f aca="false">W903-R903</f>
        <v>3858.818</v>
      </c>
      <c r="Y903" s="7" t="n">
        <f aca="false">IFERROR(X903/W903,0)</f>
        <v>0.4085524575817</v>
      </c>
      <c r="Z903" s="9" t="n">
        <f aca="false">C903-B903</f>
        <v>5</v>
      </c>
      <c r="AA903" s="1" t="str">
        <f aca="false">IF(B903="","",TEXT(B903,"mmm"))</f>
        <v>Aug</v>
      </c>
      <c r="AB903" s="9" t="n">
        <f aca="false">IF(B903="","",YEAR(B903))</f>
        <v>2025</v>
      </c>
      <c r="AC903" s="3"/>
      <c r="AD903" s="3" t="str">
        <f aca="false">IF(LEFT(AC903&amp;IF(B903="","; Missing Order Date","")&amp;IF(C903="","; Missing Ship Date","")&amp;IF(P903&lt;0,"; Invalid Discount (Negative)","")&amp;IF(P903&gt;0.5,"; Invalid Discount (Too High)","")&amp;IF(Z903&lt;0,"; Invalid Shipping Record (Ship Before Order)","")&amp;IF(ABS(Q903-W903)&gt;1,"; Sales Mismatch","")&amp;IF(ABS(S903-X903)&gt;1,"; Profit Mismatch","")&amp;IF(COUNTIF($A$2:$A$913,A903)&gt;1,"; Duplicate Order ID Conflict",""),2)="; ",MID(AC903&amp;IF(B903="","; Missing Order Date","")&amp;IF(C903="","; Missing Ship Date","")&amp;IF(P903&lt;0,"; Invalid Discount (Negative)","")&amp;IF(P903&gt;0.5,"; Invalid Discount (Too High)","")&amp;IF(Z903&lt;0,"; Invalid Shipping Record (Ship Before Order)","")&amp;IF(ABS(Q903-W903)&gt;1,"; Sales Mismatch","")&amp;IF(ABS(S903-X903)&gt;1,"; Profit Mismatch","")&amp;IF(COUNTIF($A$2:$A$913,A903)&gt;1,"; Duplicate Order ID Conflict",""),3,500),AC903&amp;IF(B903="","; Missing Order Date","")&amp;IF(C903="","; Missing Ship Date","")&amp;IF(P903&lt;0,"; Invalid Discount (Negative)","")&amp;IF(P903&gt;0.5,"; Invalid Discount (Too High)","")&amp;IF(Z903&lt;0,"; Invalid Shipping Record (Ship Before Order)","")&amp;IF(ABS(Q903-W903)&gt;1,"; Sales Mismatch","")&amp;IF(ABS(S903-X903)&gt;1,"; Profit Mismatch","")&amp;IF(COUNTIF($A$2:$A$913,A903)&gt;1,"; Duplicate Order ID Conflict",""))</f>
        <v>Sales Mismatch; Duplicate Order ID Conflict</v>
      </c>
      <c r="AE903" s="10" t="str">
        <f aca="false">IF(OR(ISNUMBER(SEARCH("Invalid Discount",AD903)),ISNUMBER(SEARCH("Invalid Shipping Record",AD903)),ISNUMBER(SEARCH("Sales Mismatch",AD903)),ISNUMBER(SEARCH("Profit Mismatch",AD903)),ISNUMBER(SEARCH("Duplicate Order ID Conflict",AD903)),ISNUMBER(SEARCH("Missing Order Date",AD903)),ISNUMBER(SEARCH("Missing Ship Date",AD903))),"Invalid",IF(AD903&lt;&gt;"","Warning","Clean"))</f>
        <v>Invalid</v>
      </c>
    </row>
    <row r="904" customFormat="false" ht="15" hidden="false" customHeight="true" outlineLevel="0" collapsed="false">
      <c r="A904" s="3" t="s">
        <v>1144</v>
      </c>
      <c r="B904" s="4" t="n">
        <v>45760</v>
      </c>
      <c r="C904" s="4" t="n">
        <v>45760</v>
      </c>
      <c r="D904" s="3" t="s">
        <v>1145</v>
      </c>
      <c r="E904" s="3" t="str">
        <f aca="false">PROPER(TRIM(SUBSTITUTE(Raw_Text_Fields!B905,CHAR(160)," ")))</f>
        <v>Sneha Kapoor</v>
      </c>
      <c r="F904" s="3" t="str">
        <f aca="false">PROPER(TRIM(SUBSTITUTE(Raw_Text_Fields!C905,CHAR(160)," ")))</f>
        <v>Small Business</v>
      </c>
      <c r="G904" s="3" t="str">
        <f aca="false">PROPER(TRIM(SUBSTITUTE(Raw_Text_Fields!D905,CHAR(160)," ")))</f>
        <v>North</v>
      </c>
      <c r="H904" s="3" t="str">
        <f aca="false">PROPER(TRIM(SUBSTITUTE(Raw_Text_Fields!E905,CHAR(160)," ")))</f>
        <v>Uttar Pradesh</v>
      </c>
      <c r="I904" s="3" t="str">
        <f aca="false">PROPER(TRIM(SUBSTITUTE(Raw_Text_Fields!F905,CHAR(160)," ")))</f>
        <v>Noida</v>
      </c>
      <c r="J904" s="3" t="str">
        <f aca="false">PROPER(TRIM(SUBSTITUTE(Raw_Text_Fields!G905,CHAR(160)," ")))</f>
        <v>Office Supplies</v>
      </c>
      <c r="K904" s="3" t="str">
        <f aca="false">PROPER(TRIM(SUBSTITUTE(Raw_Text_Fields!H905,CHAR(160)," ")))</f>
        <v>Storage</v>
      </c>
      <c r="L904" s="3" t="s">
        <v>1146</v>
      </c>
      <c r="M904" s="3" t="str">
        <f aca="false">PROPER(TRIM(SUBSTITUTE(Raw_Text_Fields!I905,CHAR(160)," ")))</f>
        <v>Second Class</v>
      </c>
      <c r="N904" s="3" t="n">
        <v>9</v>
      </c>
      <c r="O904" s="5" t="n">
        <v>1118.68</v>
      </c>
      <c r="P904" s="6" t="n">
        <v>0</v>
      </c>
      <c r="Q904" s="5" t="n">
        <v>10348.43</v>
      </c>
      <c r="R904" s="5" t="n">
        <v>8595.37</v>
      </c>
      <c r="S904" s="5" t="n">
        <v>1472.75</v>
      </c>
      <c r="T904" s="3" t="str">
        <f aca="false">PROPER(TRIM(SUBSTITUTE(Raw_Text_Fields!J905,CHAR(160)," ")))</f>
        <v>Paid</v>
      </c>
      <c r="U904" s="3" t="str">
        <f aca="false">PROPER(TRIM(SUBSTITUTE(Raw_Text_Fields!K905,CHAR(160)," ")))</f>
        <v>Returned</v>
      </c>
      <c r="V904" s="7" t="n">
        <f aca="false">IF(OR(P904&lt;0,P904&gt;0.5),0,P904)</f>
        <v>0</v>
      </c>
      <c r="W904" s="8" t="n">
        <f aca="false">N904*O904*(1-V904)</f>
        <v>10068.12</v>
      </c>
      <c r="X904" s="8" t="n">
        <f aca="false">W904-R904</f>
        <v>1472.75</v>
      </c>
      <c r="Y904" s="7" t="n">
        <f aca="false">IFERROR(X904/W904,0)</f>
        <v>0.146278550513899</v>
      </c>
      <c r="Z904" s="9" t="n">
        <f aca="false">C904-B904</f>
        <v>0</v>
      </c>
      <c r="AA904" s="1" t="str">
        <f aca="false">IF(B904="","",TEXT(B904,"mmm"))</f>
        <v>Apr</v>
      </c>
      <c r="AB904" s="9" t="n">
        <f aca="false">IF(B904="","",YEAR(B904))</f>
        <v>2025</v>
      </c>
      <c r="AC904" s="3"/>
      <c r="AD904" s="3" t="str">
        <f aca="false">IF(LEFT(AC904&amp;IF(B904="","; Missing Order Date","")&amp;IF(C904="","; Missing Ship Date","")&amp;IF(P904&lt;0,"; Invalid Discount (Negative)","")&amp;IF(P904&gt;0.5,"; Invalid Discount (Too High)","")&amp;IF(Z904&lt;0,"; Invalid Shipping Record (Ship Before Order)","")&amp;IF(ABS(Q904-W904)&gt;1,"; Sales Mismatch","")&amp;IF(ABS(S904-X904)&gt;1,"; Profit Mismatch","")&amp;IF(COUNTIF($A$2:$A$913,A904)&gt;1,"; Duplicate Order ID Conflict",""),2)="; ",MID(AC904&amp;IF(B904="","; Missing Order Date","")&amp;IF(C904="","; Missing Ship Date","")&amp;IF(P904&lt;0,"; Invalid Discount (Negative)","")&amp;IF(P904&gt;0.5,"; Invalid Discount (Too High)","")&amp;IF(Z904&lt;0,"; Invalid Shipping Record (Ship Before Order)","")&amp;IF(ABS(Q904-W904)&gt;1,"; Sales Mismatch","")&amp;IF(ABS(S904-X904)&gt;1,"; Profit Mismatch","")&amp;IF(COUNTIF($A$2:$A$913,A904)&gt;1,"; Duplicate Order ID Conflict",""),3,500),AC904&amp;IF(B904="","; Missing Order Date","")&amp;IF(C904="","; Missing Ship Date","")&amp;IF(P904&lt;0,"; Invalid Discount (Negative)","")&amp;IF(P904&gt;0.5,"; Invalid Discount (Too High)","")&amp;IF(Z904&lt;0,"; Invalid Shipping Record (Ship Before Order)","")&amp;IF(ABS(Q904-W904)&gt;1,"; Sales Mismatch","")&amp;IF(ABS(S904-X904)&gt;1,"; Profit Mismatch","")&amp;IF(COUNTIF($A$2:$A$913,A904)&gt;1,"; Duplicate Order ID Conflict",""))</f>
        <v>Sales Mismatch; Duplicate Order ID Conflict</v>
      </c>
      <c r="AE904" s="10" t="str">
        <f aca="false">IF(OR(ISNUMBER(SEARCH("Invalid Discount",AD904)),ISNUMBER(SEARCH("Invalid Shipping Record",AD904)),ISNUMBER(SEARCH("Sales Mismatch",AD904)),ISNUMBER(SEARCH("Profit Mismatch",AD904)),ISNUMBER(SEARCH("Duplicate Order ID Conflict",AD904)),ISNUMBER(SEARCH("Missing Order Date",AD904)),ISNUMBER(SEARCH("Missing Ship Date",AD904))),"Invalid",IF(AD904&lt;&gt;"","Warning","Clean"))</f>
        <v>Invalid</v>
      </c>
    </row>
    <row r="905" customFormat="false" ht="15" hidden="false" customHeight="true" outlineLevel="0" collapsed="false">
      <c r="A905" s="3" t="s">
        <v>702</v>
      </c>
      <c r="B905" s="4" t="n">
        <v>45932</v>
      </c>
      <c r="C905" s="4" t="n">
        <v>45938</v>
      </c>
      <c r="D905" s="3" t="s">
        <v>703</v>
      </c>
      <c r="E905" s="3" t="str">
        <f aca="false">PROPER(TRIM(SUBSTITUTE(Raw_Text_Fields!B906,CHAR(160)," ")))</f>
        <v>Isha Nair</v>
      </c>
      <c r="F905" s="3" t="str">
        <f aca="false">PROPER(TRIM(SUBSTITUTE(Raw_Text_Fields!C906,CHAR(160)," ")))</f>
        <v>Small Business</v>
      </c>
      <c r="G905" s="3" t="str">
        <f aca="false">PROPER(TRIM(SUBSTITUTE(Raw_Text_Fields!D906,CHAR(160)," ")))</f>
        <v>North</v>
      </c>
      <c r="H905" s="3" t="str">
        <f aca="false">PROPER(TRIM(SUBSTITUTE(Raw_Text_Fields!E906,CHAR(160)," ")))</f>
        <v>Punjab</v>
      </c>
      <c r="I905" s="3" t="str">
        <f aca="false">PROPER(TRIM(SUBSTITUTE(Raw_Text_Fields!F906,CHAR(160)," ")))</f>
        <v>Ludhiana</v>
      </c>
      <c r="J905" s="3" t="str">
        <f aca="false">PROPER(TRIM(SUBSTITUTE(Raw_Text_Fields!G906,CHAR(160)," ")))</f>
        <v>Furniture</v>
      </c>
      <c r="K905" s="3" t="str">
        <f aca="false">PROPER(TRIM(SUBSTITUTE(Raw_Text_Fields!H906,CHAR(160)," ")))</f>
        <v>Furnishings</v>
      </c>
      <c r="L905" s="3" t="s">
        <v>704</v>
      </c>
      <c r="M905" s="3" t="str">
        <f aca="false">PROPER(TRIM(SUBSTITUTE(Raw_Text_Fields!I906,CHAR(160)," ")))</f>
        <v>Standard Class</v>
      </c>
      <c r="N905" s="3" t="n">
        <v>4</v>
      </c>
      <c r="O905" s="5" t="n">
        <v>3944.64</v>
      </c>
      <c r="P905" s="6" t="n">
        <v>0.25</v>
      </c>
      <c r="Q905" s="5" t="n">
        <v>12116.89</v>
      </c>
      <c r="R905" s="5" t="n">
        <v>6682.92</v>
      </c>
      <c r="S905" s="5" t="n">
        <v>5151</v>
      </c>
      <c r="T905" s="3" t="str">
        <f aca="false">PROPER(TRIM(SUBSTITUTE(Raw_Text_Fields!J906,CHAR(160)," ")))</f>
        <v>Paid</v>
      </c>
      <c r="U905" s="3" t="str">
        <f aca="false">PROPER(TRIM(SUBSTITUTE(Raw_Text_Fields!K906,CHAR(160)," ")))</f>
        <v>Returned</v>
      </c>
      <c r="V905" s="7" t="n">
        <f aca="false">IF(OR(P905&lt;0,P905&gt;0.5),0,P905)</f>
        <v>0.25</v>
      </c>
      <c r="W905" s="8" t="n">
        <f aca="false">N905*O905*(1-V905)</f>
        <v>11833.92</v>
      </c>
      <c r="X905" s="8" t="n">
        <f aca="false">W905-R905</f>
        <v>5151</v>
      </c>
      <c r="Y905" s="7" t="n">
        <f aca="false">IFERROR(X905/W905,0)</f>
        <v>0.435274194856818</v>
      </c>
      <c r="Z905" s="9" t="n">
        <f aca="false">C905-B905</f>
        <v>6</v>
      </c>
      <c r="AA905" s="1" t="str">
        <f aca="false">IF(B905="","",TEXT(B905,"mmm"))</f>
        <v>Oct</v>
      </c>
      <c r="AB905" s="9" t="n">
        <f aca="false">IF(B905="","",YEAR(B905))</f>
        <v>2025</v>
      </c>
      <c r="AC905" s="3"/>
      <c r="AD905" s="3" t="str">
        <f aca="false">IF(LEFT(AC905&amp;IF(B905="","; Missing Order Date","")&amp;IF(C905="","; Missing Ship Date","")&amp;IF(P905&lt;0,"; Invalid Discount (Negative)","")&amp;IF(P905&gt;0.5,"; Invalid Discount (Too High)","")&amp;IF(Z905&lt;0,"; Invalid Shipping Record (Ship Before Order)","")&amp;IF(ABS(Q905-W905)&gt;1,"; Sales Mismatch","")&amp;IF(ABS(S905-X905)&gt;1,"; Profit Mismatch","")&amp;IF(COUNTIF($A$2:$A$913,A905)&gt;1,"; Duplicate Order ID Conflict",""),2)="; ",MID(AC905&amp;IF(B905="","; Missing Order Date","")&amp;IF(C905="","; Missing Ship Date","")&amp;IF(P905&lt;0,"; Invalid Discount (Negative)","")&amp;IF(P905&gt;0.5,"; Invalid Discount (Too High)","")&amp;IF(Z905&lt;0,"; Invalid Shipping Record (Ship Before Order)","")&amp;IF(ABS(Q905-W905)&gt;1,"; Sales Mismatch","")&amp;IF(ABS(S905-X905)&gt;1,"; Profit Mismatch","")&amp;IF(COUNTIF($A$2:$A$913,A905)&gt;1,"; Duplicate Order ID Conflict",""),3,500),AC905&amp;IF(B905="","; Missing Order Date","")&amp;IF(C905="","; Missing Ship Date","")&amp;IF(P905&lt;0,"; Invalid Discount (Negative)","")&amp;IF(P905&gt;0.5,"; Invalid Discount (Too High)","")&amp;IF(Z905&lt;0,"; Invalid Shipping Record (Ship Before Order)","")&amp;IF(ABS(Q905-W905)&gt;1,"; Sales Mismatch","")&amp;IF(ABS(S905-X905)&gt;1,"; Profit Mismatch","")&amp;IF(COUNTIF($A$2:$A$913,A905)&gt;1,"; Duplicate Order ID Conflict",""))</f>
        <v>Sales Mismatch; Duplicate Order ID Conflict</v>
      </c>
      <c r="AE905" s="10" t="str">
        <f aca="false">IF(OR(ISNUMBER(SEARCH("Invalid Discount",AD905)),ISNUMBER(SEARCH("Invalid Shipping Record",AD905)),ISNUMBER(SEARCH("Sales Mismatch",AD905)),ISNUMBER(SEARCH("Profit Mismatch",AD905)),ISNUMBER(SEARCH("Duplicate Order ID Conflict",AD905)),ISNUMBER(SEARCH("Missing Order Date",AD905)),ISNUMBER(SEARCH("Missing Ship Date",AD905))),"Invalid",IF(AD905&lt;&gt;"","Warning","Clean"))</f>
        <v>Invalid</v>
      </c>
    </row>
    <row r="906" customFormat="false" ht="15" hidden="false" customHeight="true" outlineLevel="0" collapsed="false">
      <c r="A906" s="3" t="s">
        <v>970</v>
      </c>
      <c r="B906" s="4" t="n">
        <v>45795</v>
      </c>
      <c r="C906" s="4" t="n">
        <v>45797</v>
      </c>
      <c r="D906" s="3" t="s">
        <v>971</v>
      </c>
      <c r="E906" s="3" t="str">
        <f aca="false">PROPER(TRIM(SUBSTITUTE(Raw_Text_Fields!B907,CHAR(160)," ")))</f>
        <v>Isha Nair</v>
      </c>
      <c r="F906" s="3" t="str">
        <f aca="false">PROPER(TRIM(SUBSTITUTE(Raw_Text_Fields!C907,CHAR(160)," ")))</f>
        <v>Corporate</v>
      </c>
      <c r="G906" s="3" t="str">
        <f aca="false">PROPER(TRIM(SUBSTITUTE(Raw_Text_Fields!D907,CHAR(160)," ")))</f>
        <v>West</v>
      </c>
      <c r="H906" s="3" t="str">
        <f aca="false">PROPER(TRIM(SUBSTITUTE(Raw_Text_Fields!E907,CHAR(160)," ")))</f>
        <v>Madhya Pradesh</v>
      </c>
      <c r="I906" s="3" t="str">
        <f aca="false">PROPER(TRIM(SUBSTITUTE(Raw_Text_Fields!F907,CHAR(160)," ")))</f>
        <v>Indore</v>
      </c>
      <c r="J906" s="3" t="str">
        <f aca="false">PROPER(TRIM(SUBSTITUTE(Raw_Text_Fields!G907,CHAR(160)," ")))</f>
        <v>Office Supplies</v>
      </c>
      <c r="K906" s="3" t="str">
        <f aca="false">PROPER(TRIM(SUBSTITUTE(Raw_Text_Fields!H907,CHAR(160)," ")))</f>
        <v>Labels</v>
      </c>
      <c r="L906" s="3" t="s">
        <v>972</v>
      </c>
      <c r="M906" s="3" t="str">
        <f aca="false">PROPER(TRIM(SUBSTITUTE(Raw_Text_Fields!I907,CHAR(160)," ")))</f>
        <v>Standard Class</v>
      </c>
      <c r="N906" s="3" t="n">
        <v>9</v>
      </c>
      <c r="O906" s="5" t="n">
        <v>847.76</v>
      </c>
      <c r="P906" s="6" t="n">
        <v>0.15</v>
      </c>
      <c r="Q906" s="5" t="n">
        <v>6589.37</v>
      </c>
      <c r="R906" s="5" t="n">
        <v>5376.17</v>
      </c>
      <c r="S906" s="5" t="n">
        <v>1109.19</v>
      </c>
      <c r="T906" s="3" t="str">
        <f aca="false">PROPER(TRIM(SUBSTITUTE(Raw_Text_Fields!J907,CHAR(160)," ")))</f>
        <v>Failed</v>
      </c>
      <c r="U906" s="3" t="str">
        <f aca="false">PROPER(TRIM(SUBSTITUTE(Raw_Text_Fields!K907,CHAR(160)," ")))</f>
        <v>Completed</v>
      </c>
      <c r="V906" s="7" t="n">
        <f aca="false">IF(OR(P906&lt;0,P906&gt;0.5),0,P906)</f>
        <v>0.15</v>
      </c>
      <c r="W906" s="8" t="n">
        <f aca="false">N906*O906*(1-V906)</f>
        <v>6485.364</v>
      </c>
      <c r="X906" s="8" t="n">
        <f aca="false">W906-R906</f>
        <v>1109.194</v>
      </c>
      <c r="Y906" s="7" t="n">
        <f aca="false">IFERROR(X906/W906,0)</f>
        <v>0.171030338466738</v>
      </c>
      <c r="Z906" s="9" t="n">
        <f aca="false">C906-B906</f>
        <v>2</v>
      </c>
      <c r="AA906" s="1" t="str">
        <f aca="false">IF(B906="","",TEXT(B906,"mmm"))</f>
        <v>May</v>
      </c>
      <c r="AB906" s="9" t="n">
        <f aca="false">IF(B906="","",YEAR(B906))</f>
        <v>2025</v>
      </c>
      <c r="AC906" s="3"/>
      <c r="AD906" s="3" t="str">
        <f aca="false">IF(LEFT(AC906&amp;IF(B906="","; Missing Order Date","")&amp;IF(C906="","; Missing Ship Date","")&amp;IF(P906&lt;0,"; Invalid Discount (Negative)","")&amp;IF(P906&gt;0.5,"; Invalid Discount (Too High)","")&amp;IF(Z906&lt;0,"; Invalid Shipping Record (Ship Before Order)","")&amp;IF(ABS(Q906-W906)&gt;1,"; Sales Mismatch","")&amp;IF(ABS(S906-X906)&gt;1,"; Profit Mismatch","")&amp;IF(COUNTIF($A$2:$A$913,A906)&gt;1,"; Duplicate Order ID Conflict",""),2)="; ",MID(AC906&amp;IF(B906="","; Missing Order Date","")&amp;IF(C906="","; Missing Ship Date","")&amp;IF(P906&lt;0,"; Invalid Discount (Negative)","")&amp;IF(P906&gt;0.5,"; Invalid Discount (Too High)","")&amp;IF(Z906&lt;0,"; Invalid Shipping Record (Ship Before Order)","")&amp;IF(ABS(Q906-W906)&gt;1,"; Sales Mismatch","")&amp;IF(ABS(S906-X906)&gt;1,"; Profit Mismatch","")&amp;IF(COUNTIF($A$2:$A$913,A906)&gt;1,"; Duplicate Order ID Conflict",""),3,500),AC906&amp;IF(B906="","; Missing Order Date","")&amp;IF(C906="","; Missing Ship Date","")&amp;IF(P906&lt;0,"; Invalid Discount (Negative)","")&amp;IF(P906&gt;0.5,"; Invalid Discount (Too High)","")&amp;IF(Z906&lt;0,"; Invalid Shipping Record (Ship Before Order)","")&amp;IF(ABS(Q906-W906)&gt;1,"; Sales Mismatch","")&amp;IF(ABS(S906-X906)&gt;1,"; Profit Mismatch","")&amp;IF(COUNTIF($A$2:$A$913,A906)&gt;1,"; Duplicate Order ID Conflict",""))</f>
        <v>Sales Mismatch; Duplicate Order ID Conflict</v>
      </c>
      <c r="AE906" s="10" t="str">
        <f aca="false">IF(OR(ISNUMBER(SEARCH("Invalid Discount",AD906)),ISNUMBER(SEARCH("Invalid Shipping Record",AD906)),ISNUMBER(SEARCH("Sales Mismatch",AD906)),ISNUMBER(SEARCH("Profit Mismatch",AD906)),ISNUMBER(SEARCH("Duplicate Order ID Conflict",AD906)),ISNUMBER(SEARCH("Missing Order Date",AD906)),ISNUMBER(SEARCH("Missing Ship Date",AD906))),"Invalid",IF(AD906&lt;&gt;"","Warning","Clean"))</f>
        <v>Invalid</v>
      </c>
    </row>
    <row r="907" customFormat="false" ht="15" hidden="false" customHeight="true" outlineLevel="0" collapsed="false">
      <c r="A907" s="3" t="s">
        <v>542</v>
      </c>
      <c r="B907" s="4" t="n">
        <v>45907</v>
      </c>
      <c r="C907" s="4" t="n">
        <v>45915</v>
      </c>
      <c r="D907" s="3" t="s">
        <v>543</v>
      </c>
      <c r="E907" s="3" t="str">
        <f aca="false">PROPER(TRIM(SUBSTITUTE(Raw_Text_Fields!B908,CHAR(160)," ")))</f>
        <v>Rohan Mehta</v>
      </c>
      <c r="F907" s="3" t="str">
        <f aca="false">PROPER(TRIM(SUBSTITUTE(Raw_Text_Fields!C908,CHAR(160)," ")))</f>
        <v>Corporate</v>
      </c>
      <c r="G907" s="3" t="str">
        <f aca="false">PROPER(TRIM(SUBSTITUTE(Raw_Text_Fields!D908,CHAR(160)," ")))</f>
        <v>East</v>
      </c>
      <c r="H907" s="3" t="str">
        <f aca="false">PROPER(TRIM(SUBSTITUTE(Raw_Text_Fields!E908,CHAR(160)," ")))</f>
        <v>Bihar</v>
      </c>
      <c r="I907" s="3" t="str">
        <f aca="false">PROPER(TRIM(SUBSTITUTE(Raw_Text_Fields!F908,CHAR(160)," ")))</f>
        <v>Patna</v>
      </c>
      <c r="J907" s="3" t="str">
        <f aca="false">PROPER(TRIM(SUBSTITUTE(Raw_Text_Fields!G908,CHAR(160)," ")))</f>
        <v>Technology</v>
      </c>
      <c r="K907" s="3" t="str">
        <f aca="false">PROPER(TRIM(SUBSTITUTE(Raw_Text_Fields!H908,CHAR(160)," ")))</f>
        <v>Copiers</v>
      </c>
      <c r="L907" s="3" t="s">
        <v>544</v>
      </c>
      <c r="M907" s="3" t="str">
        <f aca="false">PROPER(TRIM(SUBSTITUTE(Raw_Text_Fields!I908,CHAR(160)," ")))</f>
        <v>Standard Class</v>
      </c>
      <c r="N907" s="3" t="n">
        <v>3</v>
      </c>
      <c r="O907" s="5" t="n">
        <v>1711.32</v>
      </c>
      <c r="P907" s="6" t="n">
        <v>0</v>
      </c>
      <c r="Q907" s="5" t="n">
        <v>5206.53</v>
      </c>
      <c r="R907" s="5" t="n">
        <v>3930</v>
      </c>
      <c r="S907" s="5" t="n">
        <v>1203.96</v>
      </c>
      <c r="T907" s="3" t="str">
        <f aca="false">PROPER(TRIM(SUBSTITUTE(Raw_Text_Fields!J908,CHAR(160)," ")))</f>
        <v>Paid</v>
      </c>
      <c r="U907" s="3" t="str">
        <f aca="false">PROPER(TRIM(SUBSTITUTE(Raw_Text_Fields!K908,CHAR(160)," ")))</f>
        <v>Returned</v>
      </c>
      <c r="V907" s="7" t="n">
        <f aca="false">IF(OR(P907&lt;0,P907&gt;0.5),0,P907)</f>
        <v>0</v>
      </c>
      <c r="W907" s="8" t="n">
        <f aca="false">N907*O907*(1-V907)</f>
        <v>5133.96</v>
      </c>
      <c r="X907" s="8" t="n">
        <f aca="false">W907-R907</f>
        <v>1203.96</v>
      </c>
      <c r="Y907" s="7" t="n">
        <f aca="false">IFERROR(X907/W907,0)</f>
        <v>0.234509033962088</v>
      </c>
      <c r="Z907" s="9" t="n">
        <f aca="false">C907-B907</f>
        <v>8</v>
      </c>
      <c r="AA907" s="1" t="str">
        <f aca="false">IF(B907="","",TEXT(B907,"mmm"))</f>
        <v>Sep</v>
      </c>
      <c r="AB907" s="9" t="n">
        <f aca="false">IF(B907="","",YEAR(B907))</f>
        <v>2025</v>
      </c>
      <c r="AC907" s="3"/>
      <c r="AD907" s="3" t="str">
        <f aca="false">IF(LEFT(AC907&amp;IF(B907="","; Missing Order Date","")&amp;IF(C907="","; Missing Ship Date","")&amp;IF(P907&lt;0,"; Invalid Discount (Negative)","")&amp;IF(P907&gt;0.5,"; Invalid Discount (Too High)","")&amp;IF(Z907&lt;0,"; Invalid Shipping Record (Ship Before Order)","")&amp;IF(ABS(Q907-W907)&gt;1,"; Sales Mismatch","")&amp;IF(ABS(S907-X907)&gt;1,"; Profit Mismatch","")&amp;IF(COUNTIF($A$2:$A$913,A907)&gt;1,"; Duplicate Order ID Conflict",""),2)="; ",MID(AC907&amp;IF(B907="","; Missing Order Date","")&amp;IF(C907="","; Missing Ship Date","")&amp;IF(P907&lt;0,"; Invalid Discount (Negative)","")&amp;IF(P907&gt;0.5,"; Invalid Discount (Too High)","")&amp;IF(Z907&lt;0,"; Invalid Shipping Record (Ship Before Order)","")&amp;IF(ABS(Q907-W907)&gt;1,"; Sales Mismatch","")&amp;IF(ABS(S907-X907)&gt;1,"; Profit Mismatch","")&amp;IF(COUNTIF($A$2:$A$913,A907)&gt;1,"; Duplicate Order ID Conflict",""),3,500),AC907&amp;IF(B907="","; Missing Order Date","")&amp;IF(C907="","; Missing Ship Date","")&amp;IF(P907&lt;0,"; Invalid Discount (Negative)","")&amp;IF(P907&gt;0.5,"; Invalid Discount (Too High)","")&amp;IF(Z907&lt;0,"; Invalid Shipping Record (Ship Before Order)","")&amp;IF(ABS(Q907-W907)&gt;1,"; Sales Mismatch","")&amp;IF(ABS(S907-X907)&gt;1,"; Profit Mismatch","")&amp;IF(COUNTIF($A$2:$A$913,A907)&gt;1,"; Duplicate Order ID Conflict",""))</f>
        <v>Sales Mismatch; Duplicate Order ID Conflict</v>
      </c>
      <c r="AE907" s="10" t="str">
        <f aca="false">IF(OR(ISNUMBER(SEARCH("Invalid Discount",AD907)),ISNUMBER(SEARCH("Invalid Shipping Record",AD907)),ISNUMBER(SEARCH("Sales Mismatch",AD907)),ISNUMBER(SEARCH("Profit Mismatch",AD907)),ISNUMBER(SEARCH("Duplicate Order ID Conflict",AD907)),ISNUMBER(SEARCH("Missing Order Date",AD907)),ISNUMBER(SEARCH("Missing Ship Date",AD907))),"Invalid",IF(AD907&lt;&gt;"","Warning","Clean"))</f>
        <v>Invalid</v>
      </c>
    </row>
    <row r="908" customFormat="false" ht="15" hidden="false" customHeight="true" outlineLevel="0" collapsed="false">
      <c r="A908" s="3" t="s">
        <v>1293</v>
      </c>
      <c r="B908" s="4" t="n">
        <v>45342</v>
      </c>
      <c r="C908" s="4" t="n">
        <v>45349</v>
      </c>
      <c r="D908" s="3" t="s">
        <v>1294</v>
      </c>
      <c r="E908" s="3" t="str">
        <f aca="false">PROPER(TRIM(SUBSTITUTE(Raw_Text_Fields!B909,CHAR(160)," ")))</f>
        <v>Diya Patel</v>
      </c>
      <c r="F908" s="3" t="str">
        <f aca="false">PROPER(TRIM(SUBSTITUTE(Raw_Text_Fields!C909,CHAR(160)," ")))</f>
        <v>Consumer</v>
      </c>
      <c r="G908" s="3" t="str">
        <f aca="false">PROPER(TRIM(SUBSTITUTE(Raw_Text_Fields!D909,CHAR(160)," ")))</f>
        <v>South</v>
      </c>
      <c r="H908" s="3" t="str">
        <f aca="false">PROPER(TRIM(SUBSTITUTE(Raw_Text_Fields!E909,CHAR(160)," ")))</f>
        <v>Kerala</v>
      </c>
      <c r="I908" s="3" t="str">
        <f aca="false">PROPER(TRIM(SUBSTITUTE(Raw_Text_Fields!F909,CHAR(160)," ")))</f>
        <v>Kochi</v>
      </c>
      <c r="J908" s="3" t="str">
        <f aca="false">PROPER(TRIM(SUBSTITUTE(Raw_Text_Fields!G909,CHAR(160)," ")))</f>
        <v>Technology</v>
      </c>
      <c r="K908" s="3" t="str">
        <f aca="false">PROPER(TRIM(SUBSTITUTE(Raw_Text_Fields!H909,CHAR(160)," ")))</f>
        <v>Accessories</v>
      </c>
      <c r="L908" s="3" t="s">
        <v>1295</v>
      </c>
      <c r="M908" s="3" t="str">
        <f aca="false">PROPER(TRIM(SUBSTITUTE(Raw_Text_Fields!I909,CHAR(160)," ")))</f>
        <v>First Class</v>
      </c>
      <c r="N908" s="3" t="n">
        <v>9</v>
      </c>
      <c r="O908" s="5" t="n">
        <v>3779.31</v>
      </c>
      <c r="P908" s="6" t="n">
        <v>0.2</v>
      </c>
      <c r="Q908" s="5" t="n">
        <v>27322.9</v>
      </c>
      <c r="R908" s="5" t="n">
        <v>17940.43</v>
      </c>
      <c r="S908" s="5" t="n">
        <v>9270.6</v>
      </c>
      <c r="T908" s="3" t="str">
        <f aca="false">PROPER(TRIM(SUBSTITUTE(Raw_Text_Fields!J909,CHAR(160)," ")))</f>
        <v>Paid</v>
      </c>
      <c r="U908" s="3" t="str">
        <f aca="false">PROPER(TRIM(SUBSTITUTE(Raw_Text_Fields!K909,CHAR(160)," ")))</f>
        <v>Returned</v>
      </c>
      <c r="V908" s="7" t="n">
        <f aca="false">IF(OR(P908&lt;0,P908&gt;0.5),0,P908)</f>
        <v>0.2</v>
      </c>
      <c r="W908" s="8" t="n">
        <f aca="false">N908*O908*(1-V908)</f>
        <v>27211.032</v>
      </c>
      <c r="X908" s="8" t="n">
        <f aca="false">W908-R908</f>
        <v>9270.602</v>
      </c>
      <c r="Y908" s="7" t="n">
        <f aca="false">IFERROR(X908/W908,0)</f>
        <v>0.340692774901003</v>
      </c>
      <c r="Z908" s="9" t="n">
        <f aca="false">C908-B908</f>
        <v>7</v>
      </c>
      <c r="AA908" s="1" t="str">
        <f aca="false">IF(B908="","",TEXT(B908,"mmm"))</f>
        <v>Feb</v>
      </c>
      <c r="AB908" s="9" t="n">
        <f aca="false">IF(B908="","",YEAR(B908))</f>
        <v>2024</v>
      </c>
      <c r="AC908" s="3"/>
      <c r="AD908" s="3" t="str">
        <f aca="false">IF(LEFT(AC908&amp;IF(B908="","; Missing Order Date","")&amp;IF(C908="","; Missing Ship Date","")&amp;IF(P908&lt;0,"; Invalid Discount (Negative)","")&amp;IF(P908&gt;0.5,"; Invalid Discount (Too High)","")&amp;IF(Z908&lt;0,"; Invalid Shipping Record (Ship Before Order)","")&amp;IF(ABS(Q908-W908)&gt;1,"; Sales Mismatch","")&amp;IF(ABS(S908-X908)&gt;1,"; Profit Mismatch","")&amp;IF(COUNTIF($A$2:$A$913,A908)&gt;1,"; Duplicate Order ID Conflict",""),2)="; ",MID(AC908&amp;IF(B908="","; Missing Order Date","")&amp;IF(C908="","; Missing Ship Date","")&amp;IF(P908&lt;0,"; Invalid Discount (Negative)","")&amp;IF(P908&gt;0.5,"; Invalid Discount (Too High)","")&amp;IF(Z908&lt;0,"; Invalid Shipping Record (Ship Before Order)","")&amp;IF(ABS(Q908-W908)&gt;1,"; Sales Mismatch","")&amp;IF(ABS(S908-X908)&gt;1,"; Profit Mismatch","")&amp;IF(COUNTIF($A$2:$A$913,A908)&gt;1,"; Duplicate Order ID Conflict",""),3,500),AC908&amp;IF(B908="","; Missing Order Date","")&amp;IF(C908="","; Missing Ship Date","")&amp;IF(P908&lt;0,"; Invalid Discount (Negative)","")&amp;IF(P908&gt;0.5,"; Invalid Discount (Too High)","")&amp;IF(Z908&lt;0,"; Invalid Shipping Record (Ship Before Order)","")&amp;IF(ABS(Q908-W908)&gt;1,"; Sales Mismatch","")&amp;IF(ABS(S908-X908)&gt;1,"; Profit Mismatch","")&amp;IF(COUNTIF($A$2:$A$913,A908)&gt;1,"; Duplicate Order ID Conflict",""))</f>
        <v>Sales Mismatch; Duplicate Order ID Conflict</v>
      </c>
      <c r="AE908" s="10" t="str">
        <f aca="false">IF(OR(ISNUMBER(SEARCH("Invalid Discount",AD908)),ISNUMBER(SEARCH("Invalid Shipping Record",AD908)),ISNUMBER(SEARCH("Sales Mismatch",AD908)),ISNUMBER(SEARCH("Profit Mismatch",AD908)),ISNUMBER(SEARCH("Duplicate Order ID Conflict",AD908)),ISNUMBER(SEARCH("Missing Order Date",AD908)),ISNUMBER(SEARCH("Missing Ship Date",AD908))),"Invalid",IF(AD908&lt;&gt;"","Warning","Clean"))</f>
        <v>Invalid</v>
      </c>
    </row>
    <row r="909" customFormat="false" ht="15" hidden="false" customHeight="true" outlineLevel="0" collapsed="false">
      <c r="A909" s="3" t="s">
        <v>1731</v>
      </c>
      <c r="B909" s="4" t="n">
        <v>45698</v>
      </c>
      <c r="C909" s="4" t="n">
        <v>45702</v>
      </c>
      <c r="D909" s="3" t="s">
        <v>1732</v>
      </c>
      <c r="E909" s="3" t="str">
        <f aca="false">PROPER(TRIM(SUBSTITUTE(Raw_Text_Fields!B910,CHAR(160)," ")))</f>
        <v>Priya Menon</v>
      </c>
      <c r="F909" s="3" t="str">
        <f aca="false">PROPER(TRIM(SUBSTITUTE(Raw_Text_Fields!C910,CHAR(160)," ")))</f>
        <v>Small Business</v>
      </c>
      <c r="G909" s="3" t="str">
        <f aca="false">PROPER(TRIM(SUBSTITUTE(Raw_Text_Fields!D910,CHAR(160)," ")))</f>
        <v>North</v>
      </c>
      <c r="H909" s="3" t="str">
        <f aca="false">PROPER(TRIM(SUBSTITUTE(Raw_Text_Fields!E910,CHAR(160)," ")))</f>
        <v>Uttar Pradesh</v>
      </c>
      <c r="I909" s="3" t="str">
        <f aca="false">PROPER(TRIM(SUBSTITUTE(Raw_Text_Fields!F910,CHAR(160)," ")))</f>
        <v>Noida</v>
      </c>
      <c r="J909" s="3" t="str">
        <f aca="false">PROPER(TRIM(SUBSTITUTE(Raw_Text_Fields!G910,CHAR(160)," ")))</f>
        <v>Technology</v>
      </c>
      <c r="K909" s="3" t="str">
        <f aca="false">PROPER(TRIM(SUBSTITUTE(Raw_Text_Fields!H910,CHAR(160)," ")))</f>
        <v>Phones</v>
      </c>
      <c r="L909" s="3" t="s">
        <v>1733</v>
      </c>
      <c r="M909" s="3" t="str">
        <f aca="false">PROPER(TRIM(SUBSTITUTE(Raw_Text_Fields!I910,CHAR(160)," ")))</f>
        <v>Unknown</v>
      </c>
      <c r="N909" s="3" t="n">
        <v>5</v>
      </c>
      <c r="O909" s="5" t="n">
        <v>4276.29</v>
      </c>
      <c r="P909" s="6" t="n">
        <v>0</v>
      </c>
      <c r="Q909" s="5" t="n">
        <v>21443.63</v>
      </c>
      <c r="R909" s="5" t="n">
        <v>13240.21</v>
      </c>
      <c r="S909" s="5" t="n">
        <v>8141.24</v>
      </c>
      <c r="T909" s="3" t="str">
        <f aca="false">PROPER(TRIM(SUBSTITUTE(Raw_Text_Fields!J910,CHAR(160)," ")))</f>
        <v>Failed</v>
      </c>
      <c r="U909" s="3" t="str">
        <f aca="false">PROPER(TRIM(SUBSTITUTE(Raw_Text_Fields!K910,CHAR(160)," ")))</f>
        <v>Completed</v>
      </c>
      <c r="V909" s="7" t="n">
        <f aca="false">IF(OR(P909&lt;0,P909&gt;0.5),0,P909)</f>
        <v>0</v>
      </c>
      <c r="W909" s="8" t="n">
        <f aca="false">N909*O909*(1-V909)</f>
        <v>21381.45</v>
      </c>
      <c r="X909" s="8" t="n">
        <f aca="false">W909-R909</f>
        <v>8141.24</v>
      </c>
      <c r="Y909" s="7" t="n">
        <f aca="false">IFERROR(X909/W909,0)</f>
        <v>0.380761828594413</v>
      </c>
      <c r="Z909" s="9" t="n">
        <f aca="false">C909-B909</f>
        <v>4</v>
      </c>
      <c r="AA909" s="1" t="str">
        <f aca="false">IF(B909="","",TEXT(B909,"mmm"))</f>
        <v>Feb</v>
      </c>
      <c r="AB909" s="9" t="n">
        <f aca="false">IF(B909="","",YEAR(B909))</f>
        <v>2025</v>
      </c>
      <c r="AC909" s="3" t="s">
        <v>137</v>
      </c>
      <c r="AD909" s="3" t="str">
        <f aca="false">IF(LEFT(AC909&amp;IF(B909="","; Missing Order Date","")&amp;IF(C909="","; Missing Ship Date","")&amp;IF(P909&lt;0,"; Invalid Discount (Negative)","")&amp;IF(P909&gt;0.5,"; Invalid Discount (Too High)","")&amp;IF(Z909&lt;0,"; Invalid Shipping Record (Ship Before Order)","")&amp;IF(ABS(Q909-W909)&gt;1,"; Sales Mismatch","")&amp;IF(ABS(S909-X909)&gt;1,"; Profit Mismatch","")&amp;IF(COUNTIF($A$2:$A$913,A909)&gt;1,"; Duplicate Order ID Conflict",""),2)="; ",MID(AC909&amp;IF(B909="","; Missing Order Date","")&amp;IF(C909="","; Missing Ship Date","")&amp;IF(P909&lt;0,"; Invalid Discount (Negative)","")&amp;IF(P909&gt;0.5,"; Invalid Discount (Too High)","")&amp;IF(Z909&lt;0,"; Invalid Shipping Record (Ship Before Order)","")&amp;IF(ABS(Q909-W909)&gt;1,"; Sales Mismatch","")&amp;IF(ABS(S909-X909)&gt;1,"; Profit Mismatch","")&amp;IF(COUNTIF($A$2:$A$913,A909)&gt;1,"; Duplicate Order ID Conflict",""),3,500),AC909&amp;IF(B909="","; Missing Order Date","")&amp;IF(C909="","; Missing Ship Date","")&amp;IF(P909&lt;0,"; Invalid Discount (Negative)","")&amp;IF(P909&gt;0.5,"; Invalid Discount (Too High)","")&amp;IF(Z909&lt;0,"; Invalid Shipping Record (Ship Before Order)","")&amp;IF(ABS(Q909-W909)&gt;1,"; Sales Mismatch","")&amp;IF(ABS(S909-X909)&gt;1,"; Profit Mismatch","")&amp;IF(COUNTIF($A$2:$A$913,A909)&gt;1,"; Duplicate Order ID Conflict",""))</f>
        <v>Missing Ship Mode (filled Unknown); Sales Mismatch; Duplicate Order ID Conflict</v>
      </c>
      <c r="AE909" s="10" t="str">
        <f aca="false">IF(OR(ISNUMBER(SEARCH("Invalid Discount",AD909)),ISNUMBER(SEARCH("Invalid Shipping Record",AD909)),ISNUMBER(SEARCH("Sales Mismatch",AD909)),ISNUMBER(SEARCH("Profit Mismatch",AD909)),ISNUMBER(SEARCH("Duplicate Order ID Conflict",AD909)),ISNUMBER(SEARCH("Missing Order Date",AD909)),ISNUMBER(SEARCH("Missing Ship Date",AD909))),"Invalid",IF(AD909&lt;&gt;"","Warning","Clean"))</f>
        <v>Invalid</v>
      </c>
    </row>
    <row r="910" customFormat="false" ht="15" hidden="false" customHeight="true" outlineLevel="0" collapsed="false">
      <c r="A910" s="3" t="s">
        <v>459</v>
      </c>
      <c r="B910" s="4" t="n">
        <v>45381</v>
      </c>
      <c r="C910" s="4" t="n">
        <v>45377</v>
      </c>
      <c r="D910" s="3" t="s">
        <v>460</v>
      </c>
      <c r="E910" s="3" t="str">
        <f aca="false">PROPER(TRIM(SUBSTITUTE(Raw_Text_Fields!B911,CHAR(160)," ")))</f>
        <v>Aditi Sen</v>
      </c>
      <c r="F910" s="3" t="str">
        <f aca="false">PROPER(TRIM(SUBSTITUTE(Raw_Text_Fields!C911,CHAR(160)," ")))</f>
        <v>Home Office</v>
      </c>
      <c r="G910" s="3" t="str">
        <f aca="false">PROPER(TRIM(SUBSTITUTE(Raw_Text_Fields!D911,CHAR(160)," ")))</f>
        <v>North</v>
      </c>
      <c r="H910" s="3" t="str">
        <f aca="false">PROPER(TRIM(SUBSTITUTE(Raw_Text_Fields!E911,CHAR(160)," ")))</f>
        <v>Rajasthan</v>
      </c>
      <c r="I910" s="3" t="str">
        <f aca="false">PROPER(TRIM(SUBSTITUTE(Raw_Text_Fields!F911,CHAR(160)," ")))</f>
        <v>Jaipur</v>
      </c>
      <c r="J910" s="3" t="str">
        <f aca="false">PROPER(TRIM(SUBSTITUTE(Raw_Text_Fields!G911,CHAR(160)," ")))</f>
        <v>Technology</v>
      </c>
      <c r="K910" s="3" t="str">
        <f aca="false">PROPER(TRIM(SUBSTITUTE(Raw_Text_Fields!H911,CHAR(160)," ")))</f>
        <v>Phones</v>
      </c>
      <c r="L910" s="3" t="s">
        <v>461</v>
      </c>
      <c r="M910" s="3" t="str">
        <f aca="false">PROPER(TRIM(SUBSTITUTE(Raw_Text_Fields!I911,CHAR(160)," ")))</f>
        <v>Second Class</v>
      </c>
      <c r="N910" s="3" t="n">
        <v>5</v>
      </c>
      <c r="O910" s="5" t="n">
        <v>907.54</v>
      </c>
      <c r="P910" s="6" t="n">
        <v>0.15</v>
      </c>
      <c r="Q910" s="5" t="n">
        <v>4099.69</v>
      </c>
      <c r="R910" s="5" t="n">
        <v>2769.26</v>
      </c>
      <c r="S910" s="5" t="n">
        <v>1087.78</v>
      </c>
      <c r="T910" s="3" t="str">
        <f aca="false">PROPER(TRIM(SUBSTITUTE(Raw_Text_Fields!J911,CHAR(160)," ")))</f>
        <v>Paid</v>
      </c>
      <c r="U910" s="3" t="str">
        <f aca="false">PROPER(TRIM(SUBSTITUTE(Raw_Text_Fields!K911,CHAR(160)," ")))</f>
        <v>Returned</v>
      </c>
      <c r="V910" s="7" t="n">
        <f aca="false">IF(OR(P910&lt;0,P910&gt;0.5),0,P910)</f>
        <v>0.15</v>
      </c>
      <c r="W910" s="8" t="n">
        <f aca="false">N910*O910*(1-V910)</f>
        <v>3857.045</v>
      </c>
      <c r="X910" s="8" t="n">
        <f aca="false">W910-R910</f>
        <v>1087.785</v>
      </c>
      <c r="Y910" s="7" t="n">
        <f aca="false">IFERROR(X910/W910,0)</f>
        <v>0.282025488424428</v>
      </c>
      <c r="Z910" s="9" t="n">
        <f aca="false">C910-B910</f>
        <v>-4</v>
      </c>
      <c r="AA910" s="1" t="str">
        <f aca="false">IF(B910="","",TEXT(B910,"mmm"))</f>
        <v>Mar</v>
      </c>
      <c r="AB910" s="9" t="n">
        <f aca="false">IF(B910="","",YEAR(B910))</f>
        <v>2024</v>
      </c>
      <c r="AC910" s="3"/>
      <c r="AD910" s="3" t="str">
        <f aca="false">IF(LEFT(AC910&amp;IF(B910="","; Missing Order Date","")&amp;IF(C910="","; Missing Ship Date","")&amp;IF(P910&lt;0,"; Invalid Discount (Negative)","")&amp;IF(P910&gt;0.5,"; Invalid Discount (Too High)","")&amp;IF(Z910&lt;0,"; Invalid Shipping Record (Ship Before Order)","")&amp;IF(ABS(Q910-W910)&gt;1,"; Sales Mismatch","")&amp;IF(ABS(S910-X910)&gt;1,"; Profit Mismatch","")&amp;IF(COUNTIF($A$2:$A$913,A910)&gt;1,"; Duplicate Order ID Conflict",""),2)="; ",MID(AC910&amp;IF(B910="","; Missing Order Date","")&amp;IF(C910="","; Missing Ship Date","")&amp;IF(P910&lt;0,"; Invalid Discount (Negative)","")&amp;IF(P910&gt;0.5,"; Invalid Discount (Too High)","")&amp;IF(Z910&lt;0,"; Invalid Shipping Record (Ship Before Order)","")&amp;IF(ABS(Q910-W910)&gt;1,"; Sales Mismatch","")&amp;IF(ABS(S910-X910)&gt;1,"; Profit Mismatch","")&amp;IF(COUNTIF($A$2:$A$913,A910)&gt;1,"; Duplicate Order ID Conflict",""),3,500),AC910&amp;IF(B910="","; Missing Order Date","")&amp;IF(C910="","; Missing Ship Date","")&amp;IF(P910&lt;0,"; Invalid Discount (Negative)","")&amp;IF(P910&gt;0.5,"; Invalid Discount (Too High)","")&amp;IF(Z910&lt;0,"; Invalid Shipping Record (Ship Before Order)","")&amp;IF(ABS(Q910-W910)&gt;1,"; Sales Mismatch","")&amp;IF(ABS(S910-X910)&gt;1,"; Profit Mismatch","")&amp;IF(COUNTIF($A$2:$A$913,A910)&gt;1,"; Duplicate Order ID Conflict",""))</f>
        <v>Invalid Shipping Record (Ship Before Order); Sales Mismatch; Duplicate Order ID Conflict</v>
      </c>
      <c r="AE910" s="10" t="str">
        <f aca="false">IF(OR(ISNUMBER(SEARCH("Invalid Discount",AD910)),ISNUMBER(SEARCH("Invalid Shipping Record",AD910)),ISNUMBER(SEARCH("Sales Mismatch",AD910)),ISNUMBER(SEARCH("Profit Mismatch",AD910)),ISNUMBER(SEARCH("Duplicate Order ID Conflict",AD910)),ISNUMBER(SEARCH("Missing Order Date",AD910)),ISNUMBER(SEARCH("Missing Ship Date",AD910))),"Invalid",IF(AD910&lt;&gt;"","Warning","Clean"))</f>
        <v>Invalid</v>
      </c>
    </row>
    <row r="911" customFormat="false" ht="15" hidden="false" customHeight="true" outlineLevel="0" collapsed="false">
      <c r="A911" s="3" t="s">
        <v>845</v>
      </c>
      <c r="B911" s="4" t="n">
        <v>45522</v>
      </c>
      <c r="C911" s="4" t="n">
        <v>45528</v>
      </c>
      <c r="D911" s="3" t="s">
        <v>846</v>
      </c>
      <c r="E911" s="3" t="str">
        <f aca="false">PROPER(TRIM(SUBSTITUTE(Raw_Text_Fields!B912,CHAR(160)," ")))</f>
        <v>Arjun Bose</v>
      </c>
      <c r="F911" s="3" t="str">
        <f aca="false">PROPER(TRIM(SUBSTITUTE(Raw_Text_Fields!C912,CHAR(160)," ")))</f>
        <v>Consumer</v>
      </c>
      <c r="G911" s="3" t="str">
        <f aca="false">PROPER(TRIM(SUBSTITUTE(Raw_Text_Fields!D912,CHAR(160)," ")))</f>
        <v>South</v>
      </c>
      <c r="H911" s="3" t="str">
        <f aca="false">PROPER(TRIM(SUBSTITUTE(Raw_Text_Fields!E912,CHAR(160)," ")))</f>
        <v>Andhra Pradesh</v>
      </c>
      <c r="I911" s="3" t="str">
        <f aca="false">PROPER(TRIM(SUBSTITUTE(Raw_Text_Fields!F912,CHAR(160)," ")))</f>
        <v>Vijayawada</v>
      </c>
      <c r="J911" s="3" t="str">
        <f aca="false">PROPER(TRIM(SUBSTITUTE(Raw_Text_Fields!G912,CHAR(160)," ")))</f>
        <v>Furniture</v>
      </c>
      <c r="K911" s="3" t="str">
        <f aca="false">PROPER(TRIM(SUBSTITUTE(Raw_Text_Fields!H912,CHAR(160)," ")))</f>
        <v>Chairs</v>
      </c>
      <c r="L911" s="3" t="s">
        <v>847</v>
      </c>
      <c r="M911" s="3" t="str">
        <f aca="false">PROPER(TRIM(SUBSTITUTE(Raw_Text_Fields!I912,CHAR(160)," ")))</f>
        <v>First Class</v>
      </c>
      <c r="N911" s="3" t="n">
        <v>7</v>
      </c>
      <c r="O911" s="5" t="n">
        <v>557.21</v>
      </c>
      <c r="P911" s="6" t="n">
        <v>0.1</v>
      </c>
      <c r="Q911" s="5" t="n">
        <v>3797.79</v>
      </c>
      <c r="R911" s="5" t="n">
        <v>2191.5</v>
      </c>
      <c r="S911" s="5" t="n">
        <v>1213.48</v>
      </c>
      <c r="T911" s="3" t="str">
        <f aca="false">PROPER(TRIM(SUBSTITUTE(Raw_Text_Fields!J912,CHAR(160)," ")))</f>
        <v>Paid</v>
      </c>
      <c r="U911" s="3" t="str">
        <f aca="false">PROPER(TRIM(SUBSTITUTE(Raw_Text_Fields!K912,CHAR(160)," ")))</f>
        <v>Returned</v>
      </c>
      <c r="V911" s="7" t="n">
        <f aca="false">IF(OR(P911&lt;0,P911&gt;0.5),0,P911)</f>
        <v>0.1</v>
      </c>
      <c r="W911" s="8" t="n">
        <f aca="false">N911*O911*(1-V911)</f>
        <v>3510.423</v>
      </c>
      <c r="X911" s="8" t="n">
        <f aca="false">W911-R911</f>
        <v>1318.923</v>
      </c>
      <c r="Y911" s="7" t="n">
        <f aca="false">IFERROR(X911/W911,0)</f>
        <v>0.375716259835353</v>
      </c>
      <c r="Z911" s="9" t="n">
        <f aca="false">C911-B911</f>
        <v>6</v>
      </c>
      <c r="AA911" s="1" t="str">
        <f aca="false">IF(B911="","",TEXT(B911,"mmm"))</f>
        <v>Aug</v>
      </c>
      <c r="AB911" s="9" t="n">
        <f aca="false">IF(B911="","",YEAR(B911))</f>
        <v>2024</v>
      </c>
      <c r="AC911" s="3"/>
      <c r="AD911" s="3" t="str">
        <f aca="false">IF(LEFT(AC911&amp;IF(B911="","; Missing Order Date","")&amp;IF(C911="","; Missing Ship Date","")&amp;IF(P911&lt;0,"; Invalid Discount (Negative)","")&amp;IF(P911&gt;0.5,"; Invalid Discount (Too High)","")&amp;IF(Z911&lt;0,"; Invalid Shipping Record (Ship Before Order)","")&amp;IF(ABS(Q911-W911)&gt;1,"; Sales Mismatch","")&amp;IF(ABS(S911-X911)&gt;1,"; Profit Mismatch","")&amp;IF(COUNTIF($A$2:$A$913,A911)&gt;1,"; Duplicate Order ID Conflict",""),2)="; ",MID(AC911&amp;IF(B911="","; Missing Order Date","")&amp;IF(C911="","; Missing Ship Date","")&amp;IF(P911&lt;0,"; Invalid Discount (Negative)","")&amp;IF(P911&gt;0.5,"; Invalid Discount (Too High)","")&amp;IF(Z911&lt;0,"; Invalid Shipping Record (Ship Before Order)","")&amp;IF(ABS(Q911-W911)&gt;1,"; Sales Mismatch","")&amp;IF(ABS(S911-X911)&gt;1,"; Profit Mismatch","")&amp;IF(COUNTIF($A$2:$A$913,A911)&gt;1,"; Duplicate Order ID Conflict",""),3,500),AC911&amp;IF(B911="","; Missing Order Date","")&amp;IF(C911="","; Missing Ship Date","")&amp;IF(P911&lt;0,"; Invalid Discount (Negative)","")&amp;IF(P911&gt;0.5,"; Invalid Discount (Too High)","")&amp;IF(Z911&lt;0,"; Invalid Shipping Record (Ship Before Order)","")&amp;IF(ABS(Q911-W911)&gt;1,"; Sales Mismatch","")&amp;IF(ABS(S911-X911)&gt;1,"; Profit Mismatch","")&amp;IF(COUNTIF($A$2:$A$913,A911)&gt;1,"; Duplicate Order ID Conflict",""))</f>
        <v>Sales Mismatch; Profit Mismatch; Duplicate Order ID Conflict</v>
      </c>
      <c r="AE911" s="10" t="str">
        <f aca="false">IF(OR(ISNUMBER(SEARCH("Invalid Discount",AD911)),ISNUMBER(SEARCH("Invalid Shipping Record",AD911)),ISNUMBER(SEARCH("Sales Mismatch",AD911)),ISNUMBER(SEARCH("Profit Mismatch",AD911)),ISNUMBER(SEARCH("Duplicate Order ID Conflict",AD911)),ISNUMBER(SEARCH("Missing Order Date",AD911)),ISNUMBER(SEARCH("Missing Ship Date",AD911))),"Invalid",IF(AD911&lt;&gt;"","Warning","Clean"))</f>
        <v>Invalid</v>
      </c>
    </row>
    <row r="912" customFormat="false" ht="15" hidden="false" customHeight="true" outlineLevel="0" collapsed="false">
      <c r="A912" s="3" t="s">
        <v>402</v>
      </c>
      <c r="B912" s="4" t="n">
        <v>45436</v>
      </c>
      <c r="C912" s="4" t="n">
        <v>45437</v>
      </c>
      <c r="D912" s="3" t="s">
        <v>403</v>
      </c>
      <c r="E912" s="3" t="str">
        <f aca="false">PROPER(TRIM(SUBSTITUTE(Raw_Text_Fields!B913,CHAR(160)," ")))</f>
        <v>Sneha Kapoor</v>
      </c>
      <c r="F912" s="3" t="str">
        <f aca="false">PROPER(TRIM(SUBSTITUTE(Raw_Text_Fields!C913,CHAR(160)," ")))</f>
        <v>Small Business</v>
      </c>
      <c r="G912" s="3" t="str">
        <f aca="false">PROPER(TRIM(SUBSTITUTE(Raw_Text_Fields!D913,CHAR(160)," ")))</f>
        <v>North</v>
      </c>
      <c r="H912" s="3" t="str">
        <f aca="false">PROPER(TRIM(SUBSTITUTE(Raw_Text_Fields!E913,CHAR(160)," ")))</f>
        <v>Punjab</v>
      </c>
      <c r="I912" s="3" t="str">
        <f aca="false">PROPER(TRIM(SUBSTITUTE(Raw_Text_Fields!F913,CHAR(160)," ")))</f>
        <v>Ludhiana</v>
      </c>
      <c r="J912" s="3" t="str">
        <f aca="false">PROPER(TRIM(SUBSTITUTE(Raw_Text_Fields!G913,CHAR(160)," ")))</f>
        <v>Technology</v>
      </c>
      <c r="K912" s="3" t="str">
        <f aca="false">PROPER(TRIM(SUBSTITUTE(Raw_Text_Fields!H913,CHAR(160)," ")))</f>
        <v>Copiers</v>
      </c>
      <c r="L912" s="3" t="s">
        <v>404</v>
      </c>
      <c r="M912" s="3" t="str">
        <f aca="false">PROPER(TRIM(SUBSTITUTE(Raw_Text_Fields!I913,CHAR(160)," ")))</f>
        <v>Same Day</v>
      </c>
      <c r="N912" s="3" t="n">
        <v>1</v>
      </c>
      <c r="O912" s="5" t="n">
        <v>634.13</v>
      </c>
      <c r="P912" s="6" t="n">
        <v>0</v>
      </c>
      <c r="Q912" s="5" t="n">
        <v>808.67</v>
      </c>
      <c r="R912" s="5" t="n">
        <v>453.35</v>
      </c>
      <c r="S912" s="5" t="n">
        <v>180.78</v>
      </c>
      <c r="T912" s="3" t="str">
        <f aca="false">PROPER(TRIM(SUBSTITUTE(Raw_Text_Fields!J913,CHAR(160)," ")))</f>
        <v>Refunded</v>
      </c>
      <c r="U912" s="3" t="str">
        <f aca="false">PROPER(TRIM(SUBSTITUTE(Raw_Text_Fields!K913,CHAR(160)," ")))</f>
        <v>Returned</v>
      </c>
      <c r="V912" s="7" t="n">
        <f aca="false">IF(OR(P912&lt;0,P912&gt;0.5),0,P912)</f>
        <v>0</v>
      </c>
      <c r="W912" s="8" t="n">
        <f aca="false">N912*O912*(1-V912)</f>
        <v>634.13</v>
      </c>
      <c r="X912" s="8" t="n">
        <f aca="false">W912-R912</f>
        <v>180.78</v>
      </c>
      <c r="Y912" s="7" t="n">
        <f aca="false">IFERROR(X912/W912,0)</f>
        <v>0.28508350022866</v>
      </c>
      <c r="Z912" s="9" t="n">
        <f aca="false">C912-B912</f>
        <v>1</v>
      </c>
      <c r="AA912" s="1" t="str">
        <f aca="false">IF(B912="","",TEXT(B912,"mmm"))</f>
        <v>May</v>
      </c>
      <c r="AB912" s="9" t="n">
        <f aca="false">IF(B912="","",YEAR(B912))</f>
        <v>2024</v>
      </c>
      <c r="AC912" s="3"/>
      <c r="AD912" s="3" t="str">
        <f aca="false">IF(LEFT(AC912&amp;IF(B912="","; Missing Order Date","")&amp;IF(C912="","; Missing Ship Date","")&amp;IF(P912&lt;0,"; Invalid Discount (Negative)","")&amp;IF(P912&gt;0.5,"; Invalid Discount (Too High)","")&amp;IF(Z912&lt;0,"; Invalid Shipping Record (Ship Before Order)","")&amp;IF(ABS(Q912-W912)&gt;1,"; Sales Mismatch","")&amp;IF(ABS(S912-X912)&gt;1,"; Profit Mismatch","")&amp;IF(COUNTIF($A$2:$A$913,A912)&gt;1,"; Duplicate Order ID Conflict",""),2)="; ",MID(AC912&amp;IF(B912="","; Missing Order Date","")&amp;IF(C912="","; Missing Ship Date","")&amp;IF(P912&lt;0,"; Invalid Discount (Negative)","")&amp;IF(P912&gt;0.5,"; Invalid Discount (Too High)","")&amp;IF(Z912&lt;0,"; Invalid Shipping Record (Ship Before Order)","")&amp;IF(ABS(Q912-W912)&gt;1,"; Sales Mismatch","")&amp;IF(ABS(S912-X912)&gt;1,"; Profit Mismatch","")&amp;IF(COUNTIF($A$2:$A$913,A912)&gt;1,"; Duplicate Order ID Conflict",""),3,500),AC912&amp;IF(B912="","; Missing Order Date","")&amp;IF(C912="","; Missing Ship Date","")&amp;IF(P912&lt;0,"; Invalid Discount (Negative)","")&amp;IF(P912&gt;0.5,"; Invalid Discount (Too High)","")&amp;IF(Z912&lt;0,"; Invalid Shipping Record (Ship Before Order)","")&amp;IF(ABS(Q912-W912)&gt;1,"; Sales Mismatch","")&amp;IF(ABS(S912-X912)&gt;1,"; Profit Mismatch","")&amp;IF(COUNTIF($A$2:$A$913,A912)&gt;1,"; Duplicate Order ID Conflict",""))</f>
        <v>Sales Mismatch; Duplicate Order ID Conflict</v>
      </c>
      <c r="AE912" s="10" t="str">
        <f aca="false">IF(OR(ISNUMBER(SEARCH("Invalid Discount",AD912)),ISNUMBER(SEARCH("Invalid Shipping Record",AD912)),ISNUMBER(SEARCH("Sales Mismatch",AD912)),ISNUMBER(SEARCH("Profit Mismatch",AD912)),ISNUMBER(SEARCH("Duplicate Order ID Conflict",AD912)),ISNUMBER(SEARCH("Missing Order Date",AD912)),ISNUMBER(SEARCH("Missing Ship Date",AD912))),"Invalid",IF(AD912&lt;&gt;"","Warning","Clean"))</f>
        <v>Invalid</v>
      </c>
    </row>
    <row r="913" customFormat="false" ht="15" hidden="false" customHeight="true" outlineLevel="0" collapsed="false">
      <c r="A913" s="3" t="s">
        <v>1032</v>
      </c>
      <c r="B913" s="4" t="n">
        <v>45824</v>
      </c>
      <c r="C913" s="4" t="n">
        <v>45826</v>
      </c>
      <c r="D913" s="3" t="s">
        <v>1033</v>
      </c>
      <c r="E913" s="3" t="str">
        <f aca="false">PROPER(TRIM(SUBSTITUTE(Raw_Text_Fields!B914,CHAR(160)," ")))</f>
        <v>Rahul Verma</v>
      </c>
      <c r="F913" s="3" t="str">
        <f aca="false">PROPER(TRIM(SUBSTITUTE(Raw_Text_Fields!C914,CHAR(160)," ")))</f>
        <v>Home Office</v>
      </c>
      <c r="G913" s="3" t="str">
        <f aca="false">PROPER(TRIM(SUBSTITUTE(Raw_Text_Fields!D914,CHAR(160)," ")))</f>
        <v>West</v>
      </c>
      <c r="H913" s="3" t="str">
        <f aca="false">PROPER(TRIM(SUBSTITUTE(Raw_Text_Fields!E914,CHAR(160)," ")))</f>
        <v>Madhya Pradesh</v>
      </c>
      <c r="I913" s="3" t="str">
        <f aca="false">PROPER(TRIM(SUBSTITUTE(Raw_Text_Fields!F914,CHAR(160)," ")))</f>
        <v>Indore</v>
      </c>
      <c r="J913" s="3" t="str">
        <f aca="false">PROPER(TRIM(SUBSTITUTE(Raw_Text_Fields!G914,CHAR(160)," ")))</f>
        <v>Office Supplies</v>
      </c>
      <c r="K913" s="3" t="str">
        <f aca="false">PROPER(TRIM(SUBSTITUTE(Raw_Text_Fields!H914,CHAR(160)," ")))</f>
        <v>Paper</v>
      </c>
      <c r="L913" s="3" t="s">
        <v>1034</v>
      </c>
      <c r="M913" s="3" t="str">
        <f aca="false">PROPER(TRIM(SUBSTITUTE(Raw_Text_Fields!I914,CHAR(160)," ")))</f>
        <v>First Class</v>
      </c>
      <c r="N913" s="3" t="n">
        <v>3</v>
      </c>
      <c r="O913" s="5" t="n">
        <v>4289.37</v>
      </c>
      <c r="P913" s="6" t="n">
        <v>0.1</v>
      </c>
      <c r="Q913" s="5" t="n">
        <v>11778.71</v>
      </c>
      <c r="R913" s="5" t="n">
        <v>6829.43</v>
      </c>
      <c r="S913" s="5" t="n">
        <v>4751.87</v>
      </c>
      <c r="T913" s="3" t="str">
        <f aca="false">PROPER(TRIM(SUBSTITUTE(Raw_Text_Fields!J914,CHAR(160)," ")))</f>
        <v>Paid</v>
      </c>
      <c r="U913" s="3" t="str">
        <f aca="false">PROPER(TRIM(SUBSTITUTE(Raw_Text_Fields!K914,CHAR(160)," ")))</f>
        <v>Returned</v>
      </c>
      <c r="V913" s="7" t="n">
        <f aca="false">IF(OR(P913&lt;0,P913&gt;0.5),0,P913)</f>
        <v>0.1</v>
      </c>
      <c r="W913" s="8" t="n">
        <f aca="false">N913*O913*(1-V913)</f>
        <v>11581.299</v>
      </c>
      <c r="X913" s="8" t="n">
        <f aca="false">W913-R913</f>
        <v>4751.869</v>
      </c>
      <c r="Y913" s="7" t="n">
        <f aca="false">IFERROR(X913/W913,0)</f>
        <v>0.410305355211017</v>
      </c>
      <c r="Z913" s="9" t="n">
        <f aca="false">C913-B913</f>
        <v>2</v>
      </c>
      <c r="AA913" s="1" t="str">
        <f aca="false">IF(B913="","",TEXT(B913,"mmm"))</f>
        <v>Jun</v>
      </c>
      <c r="AB913" s="9" t="n">
        <f aca="false">IF(B913="","",YEAR(B913))</f>
        <v>2025</v>
      </c>
      <c r="AC913" s="3"/>
      <c r="AD913" s="3" t="str">
        <f aca="false">IF(LEFT(AC913&amp;IF(B913="","; Missing Order Date","")&amp;IF(C913="","; Missing Ship Date","")&amp;IF(P913&lt;0,"; Invalid Discount (Negative)","")&amp;IF(P913&gt;0.5,"; Invalid Discount (Too High)","")&amp;IF(Z913&lt;0,"; Invalid Shipping Record (Ship Before Order)","")&amp;IF(ABS(Q913-W913)&gt;1,"; Sales Mismatch","")&amp;IF(ABS(S913-X913)&gt;1,"; Profit Mismatch","")&amp;IF(COUNTIF($A$2:$A$913,A913)&gt;1,"; Duplicate Order ID Conflict",""),2)="; ",MID(AC913&amp;IF(B913="","; Missing Order Date","")&amp;IF(C913="","; Missing Ship Date","")&amp;IF(P913&lt;0,"; Invalid Discount (Negative)","")&amp;IF(P913&gt;0.5,"; Invalid Discount (Too High)","")&amp;IF(Z913&lt;0,"; Invalid Shipping Record (Ship Before Order)","")&amp;IF(ABS(Q913-W913)&gt;1,"; Sales Mismatch","")&amp;IF(ABS(S913-X913)&gt;1,"; Profit Mismatch","")&amp;IF(COUNTIF($A$2:$A$913,A913)&gt;1,"; Duplicate Order ID Conflict",""),3,500),AC913&amp;IF(B913="","; Missing Order Date","")&amp;IF(C913="","; Missing Ship Date","")&amp;IF(P913&lt;0,"; Invalid Discount (Negative)","")&amp;IF(P913&gt;0.5,"; Invalid Discount (Too High)","")&amp;IF(Z913&lt;0,"; Invalid Shipping Record (Ship Before Order)","")&amp;IF(ABS(Q913-W913)&gt;1,"; Sales Mismatch","")&amp;IF(ABS(S913-X913)&gt;1,"; Profit Mismatch","")&amp;IF(COUNTIF($A$2:$A$913,A913)&gt;1,"; Duplicate Order ID Conflict",""))</f>
        <v>Sales Mismatch; Duplicate Order ID Conflict</v>
      </c>
      <c r="AE913" s="10" t="str">
        <f aca="false">IF(OR(ISNUMBER(SEARCH("Invalid Discount",AD913)),ISNUMBER(SEARCH("Invalid Shipping Record",AD913)),ISNUMBER(SEARCH("Sales Mismatch",AD913)),ISNUMBER(SEARCH("Profit Mismatch",AD913)),ISNUMBER(SEARCH("Duplicate Order ID Conflict",AD913)),ISNUMBER(SEARCH("Missing Order Date",AD913)),ISNUMBER(SEARCH("Missing Ship Date",AD913))),"Invalid",IF(AD913&lt;&gt;"","Warning","Clean"))</f>
        <v>Invalid</v>
      </c>
    </row>
  </sheetData>
  <conditionalFormatting sqref="AE2:AE913">
    <cfRule type="cellIs" priority="2" operator="equal" aboveAverage="0" equalAverage="0" bottom="0" percent="0" rank="0" text="" dxfId="7">
      <formula>"Clean"</formula>
    </cfRule>
    <cfRule type="cellIs" priority="3" operator="equal" aboveAverage="0" equalAverage="0" bottom="0" percent="0" rank="0" text="" dxfId="8">
      <formula>"Warning"</formula>
    </cfRule>
    <cfRule type="cellIs" priority="4" operator="equal" aboveAverage="0" equalAverage="0" bottom="0" percent="0" rank="0" text="" dxfId="9">
      <formula>"Invalid"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6" min="5" style="1" width="14"/>
    <col collapsed="false" customWidth="true" hidden="false" outlineLevel="0" max="7" min="7" style="1" width="15"/>
    <col collapsed="false" customWidth="true" hidden="false" outlineLevel="0" max="8" min="8" style="1" width="13"/>
    <col collapsed="false" customWidth="true" hidden="false" outlineLevel="0" max="9" min="9" style="1" width="14"/>
    <col collapsed="false" customWidth="true" hidden="false" outlineLevel="0" max="10" min="10" style="1" width="13"/>
    <col collapsed="false" customWidth="true" hidden="false" outlineLevel="0" max="11" min="11" style="1" width="12"/>
  </cols>
  <sheetData>
    <row r="1" customFormat="false" ht="45" hidden="false" customHeight="true" outlineLevel="0" collapsed="false">
      <c r="A1" s="11" t="s">
        <v>2685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15" hidden="false" customHeight="true" outlineLevel="0" collapsed="false">
      <c r="A2" s="12" t="s">
        <v>0</v>
      </c>
      <c r="B2" s="12" t="s">
        <v>4</v>
      </c>
      <c r="C2" s="12" t="s">
        <v>5</v>
      </c>
      <c r="D2" s="12" t="s">
        <v>6</v>
      </c>
      <c r="E2" s="12" t="s">
        <v>7</v>
      </c>
      <c r="F2" s="12" t="s">
        <v>8</v>
      </c>
      <c r="G2" s="12" t="s">
        <v>9</v>
      </c>
      <c r="H2" s="12" t="s">
        <v>10</v>
      </c>
      <c r="I2" s="12" t="s">
        <v>12</v>
      </c>
      <c r="J2" s="12" t="s">
        <v>19</v>
      </c>
      <c r="K2" s="12" t="s">
        <v>20</v>
      </c>
    </row>
    <row r="3" customFormat="false" ht="15" hidden="false" customHeight="true" outlineLevel="0" collapsed="false">
      <c r="A3" s="3" t="s">
        <v>31</v>
      </c>
      <c r="B3" s="3" t="s">
        <v>2686</v>
      </c>
      <c r="C3" s="3" t="s">
        <v>2687</v>
      </c>
      <c r="D3" s="3" t="s">
        <v>2688</v>
      </c>
      <c r="E3" s="3" t="s">
        <v>2689</v>
      </c>
      <c r="F3" s="3" t="s">
        <v>2690</v>
      </c>
      <c r="G3" s="3" t="s">
        <v>2691</v>
      </c>
      <c r="H3" s="3" t="s">
        <v>2692</v>
      </c>
      <c r="I3" s="3" t="s">
        <v>2693</v>
      </c>
      <c r="J3" s="3" t="s">
        <v>2694</v>
      </c>
      <c r="K3" s="3" t="s">
        <v>2695</v>
      </c>
    </row>
    <row r="4" customFormat="false" ht="15" hidden="false" customHeight="true" outlineLevel="0" collapsed="false">
      <c r="A4" s="3" t="s">
        <v>34</v>
      </c>
      <c r="B4" s="3" t="s">
        <v>2696</v>
      </c>
      <c r="C4" s="3" t="s">
        <v>2697</v>
      </c>
      <c r="D4" s="3" t="s">
        <v>2698</v>
      </c>
      <c r="E4" s="3" t="s">
        <v>2699</v>
      </c>
      <c r="F4" s="3" t="s">
        <v>2700</v>
      </c>
      <c r="G4" s="3" t="s">
        <v>2701</v>
      </c>
      <c r="H4" s="3" t="s">
        <v>2702</v>
      </c>
      <c r="I4" s="3" t="s">
        <v>2703</v>
      </c>
      <c r="J4" s="3" t="s">
        <v>2694</v>
      </c>
      <c r="K4" s="3" t="s">
        <v>2695</v>
      </c>
    </row>
    <row r="5" customFormat="false" ht="15" hidden="false" customHeight="true" outlineLevel="0" collapsed="false">
      <c r="A5" s="3" t="s">
        <v>37</v>
      </c>
      <c r="B5" s="3" t="s">
        <v>2704</v>
      </c>
      <c r="C5" s="3" t="s">
        <v>2687</v>
      </c>
      <c r="D5" s="3" t="s">
        <v>2698</v>
      </c>
      <c r="E5" s="3" t="s">
        <v>2699</v>
      </c>
      <c r="F5" s="3" t="s">
        <v>2700</v>
      </c>
      <c r="G5" s="3" t="s">
        <v>2691</v>
      </c>
      <c r="H5" s="3" t="s">
        <v>2705</v>
      </c>
      <c r="I5" s="3" t="s">
        <v>2706</v>
      </c>
      <c r="J5" s="3" t="s">
        <v>2694</v>
      </c>
      <c r="K5" s="3" t="s">
        <v>2695</v>
      </c>
    </row>
    <row r="6" customFormat="false" ht="15" hidden="false" customHeight="true" outlineLevel="0" collapsed="false">
      <c r="A6" s="3" t="s">
        <v>40</v>
      </c>
      <c r="B6" s="3" t="s">
        <v>2707</v>
      </c>
      <c r="C6" s="3" t="s">
        <v>2697</v>
      </c>
      <c r="D6" s="3" t="s">
        <v>2708</v>
      </c>
      <c r="E6" s="3" t="s">
        <v>2709</v>
      </c>
      <c r="F6" s="3" t="s">
        <v>2710</v>
      </c>
      <c r="G6" s="3" t="s">
        <v>2701</v>
      </c>
      <c r="H6" s="3" t="s">
        <v>2711</v>
      </c>
      <c r="I6" s="3" t="s">
        <v>2712</v>
      </c>
      <c r="J6" s="3" t="s">
        <v>2694</v>
      </c>
      <c r="K6" s="3" t="s">
        <v>2695</v>
      </c>
    </row>
    <row r="7" customFormat="false" ht="15" hidden="false" customHeight="true" outlineLevel="0" collapsed="false">
      <c r="A7" s="3" t="s">
        <v>43</v>
      </c>
      <c r="B7" s="3" t="s">
        <v>2713</v>
      </c>
      <c r="C7" s="3" t="s">
        <v>2697</v>
      </c>
      <c r="D7" s="3" t="s">
        <v>2714</v>
      </c>
      <c r="E7" s="3" t="s">
        <v>2715</v>
      </c>
      <c r="F7" s="3" t="s">
        <v>2716</v>
      </c>
      <c r="G7" s="3" t="s">
        <v>2701</v>
      </c>
      <c r="H7" s="3" t="s">
        <v>2717</v>
      </c>
      <c r="I7" s="3" t="s">
        <v>2706</v>
      </c>
      <c r="J7" s="3" t="s">
        <v>2694</v>
      </c>
      <c r="K7" s="3" t="s">
        <v>2718</v>
      </c>
    </row>
    <row r="8" customFormat="false" ht="15" hidden="false" customHeight="true" outlineLevel="0" collapsed="false">
      <c r="A8" s="3" t="s">
        <v>46</v>
      </c>
      <c r="B8" s="3" t="s">
        <v>2719</v>
      </c>
      <c r="C8" s="3" t="s">
        <v>2697</v>
      </c>
      <c r="D8" s="3" t="s">
        <v>2714</v>
      </c>
      <c r="E8" s="3" t="s">
        <v>2720</v>
      </c>
      <c r="F8" s="3" t="s">
        <v>2721</v>
      </c>
      <c r="G8" s="3" t="s">
        <v>2722</v>
      </c>
      <c r="H8" s="3" t="s">
        <v>2723</v>
      </c>
      <c r="I8" s="3" t="s">
        <v>2703</v>
      </c>
      <c r="J8" s="3" t="s">
        <v>2694</v>
      </c>
      <c r="K8" s="3" t="s">
        <v>2695</v>
      </c>
    </row>
    <row r="9" customFormat="false" ht="15" hidden="false" customHeight="true" outlineLevel="0" collapsed="false">
      <c r="A9" s="3" t="s">
        <v>49</v>
      </c>
      <c r="B9" s="3" t="s">
        <v>2724</v>
      </c>
      <c r="C9" s="3" t="s">
        <v>2687</v>
      </c>
      <c r="D9" s="3" t="s">
        <v>2698</v>
      </c>
      <c r="E9" s="3" t="s">
        <v>2699</v>
      </c>
      <c r="F9" s="3" t="s">
        <v>2700</v>
      </c>
      <c r="G9" s="3" t="s">
        <v>2722</v>
      </c>
      <c r="H9" s="3" t="s">
        <v>2725</v>
      </c>
      <c r="I9" s="3" t="s">
        <v>2712</v>
      </c>
      <c r="J9" s="3" t="s">
        <v>2694</v>
      </c>
      <c r="K9" s="3" t="s">
        <v>2695</v>
      </c>
    </row>
    <row r="10" customFormat="false" ht="15" hidden="false" customHeight="true" outlineLevel="0" collapsed="false">
      <c r="A10" s="3" t="s">
        <v>52</v>
      </c>
      <c r="B10" s="3" t="s">
        <v>2704</v>
      </c>
      <c r="C10" s="3" t="s">
        <v>2697</v>
      </c>
      <c r="D10" s="3" t="s">
        <v>2708</v>
      </c>
      <c r="E10" s="3" t="s">
        <v>2726</v>
      </c>
      <c r="F10" s="3" t="s">
        <v>2727</v>
      </c>
      <c r="G10" s="3" t="s">
        <v>2691</v>
      </c>
      <c r="H10" s="3" t="s">
        <v>2705</v>
      </c>
      <c r="I10" s="3" t="s">
        <v>2706</v>
      </c>
      <c r="J10" s="3" t="s">
        <v>2694</v>
      </c>
      <c r="K10" s="3" t="s">
        <v>2695</v>
      </c>
    </row>
    <row r="11" customFormat="false" ht="15" hidden="false" customHeight="true" outlineLevel="0" collapsed="false">
      <c r="A11" s="3" t="s">
        <v>55</v>
      </c>
      <c r="B11" s="3" t="s">
        <v>2728</v>
      </c>
      <c r="C11" s="3" t="s">
        <v>2729</v>
      </c>
      <c r="D11" s="3" t="s">
        <v>2708</v>
      </c>
      <c r="E11" s="3" t="s">
        <v>2709</v>
      </c>
      <c r="F11" s="3" t="s">
        <v>2710</v>
      </c>
      <c r="G11" s="3" t="s">
        <v>2691</v>
      </c>
      <c r="H11" s="3" t="s">
        <v>2730</v>
      </c>
      <c r="I11" s="3" t="s">
        <v>2706</v>
      </c>
      <c r="J11" s="3" t="s">
        <v>2694</v>
      </c>
      <c r="K11" s="3" t="s">
        <v>2695</v>
      </c>
    </row>
    <row r="12" customFormat="false" ht="15" hidden="false" customHeight="true" outlineLevel="0" collapsed="false">
      <c r="A12" s="3" t="s">
        <v>58</v>
      </c>
      <c r="B12" s="3" t="s">
        <v>2696</v>
      </c>
      <c r="C12" s="3" t="s">
        <v>2731</v>
      </c>
      <c r="D12" s="3" t="s">
        <v>2708</v>
      </c>
      <c r="E12" s="3" t="s">
        <v>2709</v>
      </c>
      <c r="F12" s="3" t="s">
        <v>2710</v>
      </c>
      <c r="G12" s="3" t="s">
        <v>2691</v>
      </c>
      <c r="H12" s="3" t="s">
        <v>2692</v>
      </c>
      <c r="I12" s="3" t="s">
        <v>2693</v>
      </c>
      <c r="J12" s="3" t="s">
        <v>2694</v>
      </c>
      <c r="K12" s="3" t="s">
        <v>2695</v>
      </c>
    </row>
    <row r="13" customFormat="false" ht="15" hidden="false" customHeight="true" outlineLevel="0" collapsed="false">
      <c r="A13" s="3" t="s">
        <v>61</v>
      </c>
      <c r="B13" s="3" t="s">
        <v>2713</v>
      </c>
      <c r="C13" s="3" t="s">
        <v>2729</v>
      </c>
      <c r="D13" s="3" t="s">
        <v>2698</v>
      </c>
      <c r="E13" s="3" t="s">
        <v>2732</v>
      </c>
      <c r="F13" s="3" t="s">
        <v>2733</v>
      </c>
      <c r="G13" s="3" t="s">
        <v>2691</v>
      </c>
      <c r="H13" s="3" t="s">
        <v>2730</v>
      </c>
      <c r="I13" s="3" t="s">
        <v>2693</v>
      </c>
      <c r="J13" s="3" t="s">
        <v>2734</v>
      </c>
      <c r="K13" s="3" t="s">
        <v>2735</v>
      </c>
    </row>
    <row r="14" customFormat="false" ht="15" hidden="false" customHeight="true" outlineLevel="0" collapsed="false">
      <c r="A14" s="3" t="s">
        <v>64</v>
      </c>
      <c r="B14" s="3" t="s">
        <v>2719</v>
      </c>
      <c r="C14" s="3" t="s">
        <v>2697</v>
      </c>
      <c r="D14" s="3" t="s">
        <v>2698</v>
      </c>
      <c r="E14" s="3" t="s">
        <v>2699</v>
      </c>
      <c r="F14" s="3" t="s">
        <v>2700</v>
      </c>
      <c r="G14" s="3" t="s">
        <v>2722</v>
      </c>
      <c r="H14" s="3" t="s">
        <v>2723</v>
      </c>
      <c r="I14" s="3" t="s">
        <v>2703</v>
      </c>
      <c r="J14" s="3" t="s">
        <v>2694</v>
      </c>
      <c r="K14" s="3" t="s">
        <v>2695</v>
      </c>
    </row>
    <row r="15" customFormat="false" ht="15" hidden="false" customHeight="true" outlineLevel="0" collapsed="false">
      <c r="A15" s="3" t="s">
        <v>67</v>
      </c>
      <c r="B15" s="3" t="s">
        <v>2713</v>
      </c>
      <c r="C15" s="3" t="s">
        <v>2736</v>
      </c>
      <c r="D15" s="3" t="s">
        <v>2714</v>
      </c>
      <c r="E15" s="3" t="s">
        <v>2689</v>
      </c>
      <c r="F15" s="3" t="s">
        <v>2737</v>
      </c>
      <c r="G15" s="3" t="s">
        <v>2691</v>
      </c>
      <c r="H15" s="3" t="s">
        <v>2692</v>
      </c>
      <c r="I15" s="3" t="s">
        <v>2706</v>
      </c>
      <c r="J15" s="3" t="s">
        <v>2738</v>
      </c>
      <c r="K15" s="3" t="s">
        <v>2735</v>
      </c>
    </row>
    <row r="16" customFormat="false" ht="15" hidden="false" customHeight="true" outlineLevel="0" collapsed="false">
      <c r="A16" s="3" t="s">
        <v>70</v>
      </c>
      <c r="B16" s="3" t="s">
        <v>2739</v>
      </c>
      <c r="C16" s="3" t="s">
        <v>2697</v>
      </c>
      <c r="D16" s="3" t="s">
        <v>2714</v>
      </c>
      <c r="E16" s="3" t="s">
        <v>2715</v>
      </c>
      <c r="F16" s="3" t="s">
        <v>2716</v>
      </c>
      <c r="G16" s="3" t="s">
        <v>2691</v>
      </c>
      <c r="H16" s="3" t="s">
        <v>2705</v>
      </c>
      <c r="I16" s="3" t="s">
        <v>2693</v>
      </c>
      <c r="J16" s="3" t="s">
        <v>2694</v>
      </c>
      <c r="K16" s="3" t="s">
        <v>2695</v>
      </c>
    </row>
    <row r="17" customFormat="false" ht="15" hidden="false" customHeight="true" outlineLevel="0" collapsed="false">
      <c r="A17" s="3" t="s">
        <v>73</v>
      </c>
      <c r="B17" s="3" t="s">
        <v>2740</v>
      </c>
      <c r="C17" s="3" t="s">
        <v>2687</v>
      </c>
      <c r="D17" s="3" t="s">
        <v>2714</v>
      </c>
      <c r="E17" s="3" t="s">
        <v>2689</v>
      </c>
      <c r="F17" s="3" t="s">
        <v>2737</v>
      </c>
      <c r="G17" s="3" t="s">
        <v>2722</v>
      </c>
      <c r="H17" s="3" t="s">
        <v>2725</v>
      </c>
      <c r="I17" s="3" t="s">
        <v>2712</v>
      </c>
      <c r="J17" s="3" t="s">
        <v>2694</v>
      </c>
      <c r="K17" s="3" t="s">
        <v>2695</v>
      </c>
    </row>
    <row r="18" customFormat="false" ht="15" hidden="false" customHeight="true" outlineLevel="0" collapsed="false">
      <c r="A18" s="3" t="s">
        <v>76</v>
      </c>
      <c r="B18" s="3" t="s">
        <v>2686</v>
      </c>
      <c r="C18" s="3" t="s">
        <v>2697</v>
      </c>
      <c r="D18" s="3" t="s">
        <v>2741</v>
      </c>
      <c r="E18" s="3" t="s">
        <v>2742</v>
      </c>
      <c r="F18" s="3" t="s">
        <v>2743</v>
      </c>
      <c r="G18" s="3" t="s">
        <v>2691</v>
      </c>
      <c r="H18" s="3" t="s">
        <v>2744</v>
      </c>
      <c r="I18" s="3" t="s">
        <v>2693</v>
      </c>
      <c r="J18" s="3" t="s">
        <v>2694</v>
      </c>
      <c r="K18" s="3" t="s">
        <v>2695</v>
      </c>
    </row>
    <row r="19" customFormat="false" ht="15" hidden="false" customHeight="true" outlineLevel="0" collapsed="false">
      <c r="A19" s="3" t="s">
        <v>79</v>
      </c>
      <c r="B19" s="3" t="s">
        <v>2745</v>
      </c>
      <c r="C19" s="3" t="s">
        <v>2687</v>
      </c>
      <c r="D19" s="3" t="s">
        <v>2708</v>
      </c>
      <c r="E19" s="3" t="s">
        <v>2709</v>
      </c>
      <c r="F19" s="3" t="s">
        <v>2710</v>
      </c>
      <c r="G19" s="3" t="s">
        <v>2691</v>
      </c>
      <c r="H19" s="3" t="s">
        <v>2705</v>
      </c>
      <c r="I19" s="3" t="s">
        <v>2706</v>
      </c>
      <c r="J19" s="3" t="s">
        <v>2694</v>
      </c>
      <c r="K19" s="3" t="s">
        <v>2695</v>
      </c>
    </row>
    <row r="20" customFormat="false" ht="15" hidden="false" customHeight="true" outlineLevel="0" collapsed="false">
      <c r="A20" s="3" t="s">
        <v>82</v>
      </c>
      <c r="B20" s="3" t="s">
        <v>2746</v>
      </c>
      <c r="C20" s="3" t="s">
        <v>2697</v>
      </c>
      <c r="D20" s="3" t="s">
        <v>2741</v>
      </c>
      <c r="E20" s="3" t="s">
        <v>2689</v>
      </c>
      <c r="F20" s="3" t="s">
        <v>2690</v>
      </c>
      <c r="G20" s="3" t="s">
        <v>2701</v>
      </c>
      <c r="H20" s="3" t="s">
        <v>2711</v>
      </c>
      <c r="I20" s="3" t="s">
        <v>2703</v>
      </c>
      <c r="J20" s="3" t="s">
        <v>2694</v>
      </c>
      <c r="K20" s="3" t="s">
        <v>2695</v>
      </c>
    </row>
    <row r="21" customFormat="false" ht="15" hidden="false" customHeight="true" outlineLevel="0" collapsed="false">
      <c r="A21" s="3" t="s">
        <v>85</v>
      </c>
      <c r="B21" s="3" t="s">
        <v>2745</v>
      </c>
      <c r="C21" s="3" t="s">
        <v>2731</v>
      </c>
      <c r="D21" s="3" t="s">
        <v>2741</v>
      </c>
      <c r="E21" s="3" t="s">
        <v>2747</v>
      </c>
      <c r="F21" s="3" t="s">
        <v>2748</v>
      </c>
      <c r="G21" s="3" t="s">
        <v>2722</v>
      </c>
      <c r="H21" s="3" t="s">
        <v>2725</v>
      </c>
      <c r="I21" s="3" t="s">
        <v>2706</v>
      </c>
      <c r="J21" s="3" t="s">
        <v>2734</v>
      </c>
      <c r="K21" s="3" t="s">
        <v>2718</v>
      </c>
    </row>
    <row r="22" customFormat="false" ht="15" hidden="false" customHeight="true" outlineLevel="0" collapsed="false">
      <c r="A22" s="3" t="s">
        <v>88</v>
      </c>
      <c r="B22" s="3" t="s">
        <v>2749</v>
      </c>
      <c r="C22" s="3" t="s">
        <v>2731</v>
      </c>
      <c r="D22" s="3" t="s">
        <v>2714</v>
      </c>
      <c r="E22" s="3" t="s">
        <v>2720</v>
      </c>
      <c r="F22" s="3" t="s">
        <v>2721</v>
      </c>
      <c r="G22" s="3" t="s">
        <v>2691</v>
      </c>
      <c r="H22" s="3" t="s">
        <v>2744</v>
      </c>
      <c r="I22" s="3" t="s">
        <v>2693</v>
      </c>
      <c r="J22" s="3" t="s">
        <v>2694</v>
      </c>
      <c r="K22" s="3" t="s">
        <v>2695</v>
      </c>
    </row>
    <row r="23" customFormat="false" ht="15" hidden="false" customHeight="true" outlineLevel="0" collapsed="false">
      <c r="A23" s="3" t="s">
        <v>91</v>
      </c>
      <c r="B23" s="3" t="s">
        <v>2728</v>
      </c>
      <c r="C23" s="3" t="s">
        <v>2731</v>
      </c>
      <c r="D23" s="3" t="s">
        <v>2698</v>
      </c>
      <c r="E23" s="3" t="s">
        <v>2750</v>
      </c>
      <c r="F23" s="3" t="s">
        <v>2751</v>
      </c>
      <c r="G23" s="3" t="s">
        <v>2722</v>
      </c>
      <c r="H23" s="3" t="s">
        <v>2725</v>
      </c>
      <c r="I23" s="3" t="s">
        <v>2706</v>
      </c>
      <c r="J23" s="3" t="s">
        <v>2694</v>
      </c>
      <c r="K23" s="3" t="s">
        <v>2695</v>
      </c>
    </row>
    <row r="24" customFormat="false" ht="15" hidden="false" customHeight="true" outlineLevel="0" collapsed="false">
      <c r="A24" s="3" t="s">
        <v>94</v>
      </c>
      <c r="B24" s="3" t="s">
        <v>2746</v>
      </c>
      <c r="C24" s="3" t="s">
        <v>2687</v>
      </c>
      <c r="D24" s="3" t="s">
        <v>2714</v>
      </c>
      <c r="E24" s="3" t="s">
        <v>2720</v>
      </c>
      <c r="F24" s="3" t="s">
        <v>2721</v>
      </c>
      <c r="G24" s="3" t="s">
        <v>2701</v>
      </c>
      <c r="H24" s="3" t="s">
        <v>2711</v>
      </c>
      <c r="I24" s="3" t="s">
        <v>2693</v>
      </c>
      <c r="J24" s="3" t="s">
        <v>2694</v>
      </c>
      <c r="K24" s="3" t="s">
        <v>2695</v>
      </c>
    </row>
    <row r="25" customFormat="false" ht="15" hidden="false" customHeight="true" outlineLevel="0" collapsed="false">
      <c r="A25" s="3" t="s">
        <v>97</v>
      </c>
      <c r="B25" s="3" t="s">
        <v>2696</v>
      </c>
      <c r="C25" s="3" t="s">
        <v>2687</v>
      </c>
      <c r="D25" s="3" t="s">
        <v>2708</v>
      </c>
      <c r="E25" s="3" t="s">
        <v>2709</v>
      </c>
      <c r="F25" s="3" t="s">
        <v>2710</v>
      </c>
      <c r="G25" s="3" t="s">
        <v>2691</v>
      </c>
      <c r="H25" s="3" t="s">
        <v>2752</v>
      </c>
      <c r="I25" s="3" t="s">
        <v>2712</v>
      </c>
      <c r="J25" s="3" t="s">
        <v>2753</v>
      </c>
      <c r="K25" s="3" t="s">
        <v>2735</v>
      </c>
    </row>
    <row r="26" customFormat="false" ht="15" hidden="false" customHeight="true" outlineLevel="0" collapsed="false">
      <c r="A26" s="3" t="s">
        <v>100</v>
      </c>
      <c r="B26" s="3" t="s">
        <v>2740</v>
      </c>
      <c r="C26" s="3" t="s">
        <v>2731</v>
      </c>
      <c r="D26" s="3" t="s">
        <v>2698</v>
      </c>
      <c r="E26" s="3" t="s">
        <v>2750</v>
      </c>
      <c r="F26" s="3" t="s">
        <v>2751</v>
      </c>
      <c r="G26" s="3" t="s">
        <v>2701</v>
      </c>
      <c r="H26" s="3" t="s">
        <v>2754</v>
      </c>
      <c r="I26" s="3" t="s">
        <v>2706</v>
      </c>
      <c r="J26" s="3" t="s">
        <v>2694</v>
      </c>
      <c r="K26" s="3" t="s">
        <v>2695</v>
      </c>
    </row>
    <row r="27" customFormat="false" ht="15" hidden="false" customHeight="true" outlineLevel="0" collapsed="false">
      <c r="A27" s="3" t="s">
        <v>103</v>
      </c>
      <c r="B27" s="3" t="s">
        <v>2755</v>
      </c>
      <c r="C27" s="3" t="s">
        <v>2687</v>
      </c>
      <c r="D27" s="3" t="s">
        <v>2741</v>
      </c>
      <c r="E27" s="3" t="s">
        <v>2742</v>
      </c>
      <c r="F27" s="3" t="s">
        <v>2743</v>
      </c>
      <c r="G27" s="3" t="s">
        <v>2691</v>
      </c>
      <c r="H27" s="3" t="s">
        <v>2705</v>
      </c>
      <c r="I27" s="3" t="s">
        <v>2712</v>
      </c>
      <c r="J27" s="3" t="s">
        <v>2738</v>
      </c>
      <c r="K27" s="3" t="s">
        <v>2718</v>
      </c>
    </row>
    <row r="28" customFormat="false" ht="15" hidden="false" customHeight="true" outlineLevel="0" collapsed="false">
      <c r="A28" s="3" t="s">
        <v>106</v>
      </c>
      <c r="B28" s="3" t="s">
        <v>2707</v>
      </c>
      <c r="C28" s="3" t="s">
        <v>2729</v>
      </c>
      <c r="D28" s="3" t="s">
        <v>2698</v>
      </c>
      <c r="E28" s="3" t="s">
        <v>2756</v>
      </c>
      <c r="F28" s="3" t="s">
        <v>2757</v>
      </c>
      <c r="G28" s="3" t="s">
        <v>2722</v>
      </c>
      <c r="H28" s="3" t="s">
        <v>2723</v>
      </c>
      <c r="I28" s="3" t="s">
        <v>2706</v>
      </c>
      <c r="J28" s="3" t="s">
        <v>2694</v>
      </c>
      <c r="K28" s="3" t="s">
        <v>2695</v>
      </c>
    </row>
    <row r="29" customFormat="false" ht="15" hidden="false" customHeight="true" outlineLevel="0" collapsed="false">
      <c r="A29" s="3" t="s">
        <v>109</v>
      </c>
      <c r="B29" s="3" t="s">
        <v>2755</v>
      </c>
      <c r="C29" s="3" t="s">
        <v>2729</v>
      </c>
      <c r="D29" s="3" t="s">
        <v>2741</v>
      </c>
      <c r="E29" s="3" t="s">
        <v>2747</v>
      </c>
      <c r="F29" s="3" t="s">
        <v>2748</v>
      </c>
      <c r="G29" s="3" t="s">
        <v>2722</v>
      </c>
      <c r="H29" s="3" t="s">
        <v>2758</v>
      </c>
      <c r="I29" s="3" t="s">
        <v>2712</v>
      </c>
      <c r="J29" s="3" t="s">
        <v>2759</v>
      </c>
      <c r="K29" s="3" t="s">
        <v>2735</v>
      </c>
    </row>
    <row r="30" customFormat="false" ht="15" hidden="false" customHeight="true" outlineLevel="0" collapsed="false">
      <c r="A30" s="3" t="s">
        <v>112</v>
      </c>
      <c r="B30" s="3" t="s">
        <v>2707</v>
      </c>
      <c r="C30" s="3" t="s">
        <v>2697</v>
      </c>
      <c r="D30" s="3" t="s">
        <v>2708</v>
      </c>
      <c r="E30" s="3" t="s">
        <v>2760</v>
      </c>
      <c r="F30" s="3" t="s">
        <v>2761</v>
      </c>
      <c r="G30" s="3" t="s">
        <v>2691</v>
      </c>
      <c r="H30" s="3" t="s">
        <v>2692</v>
      </c>
      <c r="I30" s="3" t="s">
        <v>2693</v>
      </c>
      <c r="J30" s="3" t="s">
        <v>2753</v>
      </c>
      <c r="K30" s="3" t="s">
        <v>2735</v>
      </c>
    </row>
    <row r="31" customFormat="false" ht="15" hidden="false" customHeight="true" outlineLevel="0" collapsed="false">
      <c r="A31" s="3" t="s">
        <v>115</v>
      </c>
      <c r="B31" s="3" t="s">
        <v>2713</v>
      </c>
      <c r="C31" s="3" t="s">
        <v>2731</v>
      </c>
      <c r="D31" s="3" t="s">
        <v>2714</v>
      </c>
      <c r="E31" s="3" t="s">
        <v>2762</v>
      </c>
      <c r="F31" s="3" t="s">
        <v>2763</v>
      </c>
      <c r="G31" s="3" t="s">
        <v>2722</v>
      </c>
      <c r="H31" s="3" t="s">
        <v>2758</v>
      </c>
      <c r="I31" s="3" t="s">
        <v>2693</v>
      </c>
      <c r="J31" s="3" t="s">
        <v>2734</v>
      </c>
      <c r="K31" s="3" t="s">
        <v>2718</v>
      </c>
    </row>
    <row r="32" customFormat="false" ht="15" hidden="false" customHeight="true" outlineLevel="0" collapsed="false">
      <c r="A32" s="3" t="s">
        <v>118</v>
      </c>
      <c r="B32" s="3" t="s">
        <v>2749</v>
      </c>
      <c r="C32" s="3" t="s">
        <v>2731</v>
      </c>
      <c r="D32" s="3" t="s">
        <v>2708</v>
      </c>
      <c r="E32" s="3" t="s">
        <v>2764</v>
      </c>
      <c r="F32" s="3" t="s">
        <v>2765</v>
      </c>
      <c r="G32" s="3" t="s">
        <v>2722</v>
      </c>
      <c r="H32" s="3" t="s">
        <v>2758</v>
      </c>
      <c r="I32" s="3" t="s">
        <v>2712</v>
      </c>
      <c r="J32" s="3" t="s">
        <v>2694</v>
      </c>
      <c r="K32" s="3" t="s">
        <v>2695</v>
      </c>
    </row>
    <row r="33" customFormat="false" ht="15" hidden="false" customHeight="true" outlineLevel="0" collapsed="false">
      <c r="A33" s="3" t="s">
        <v>121</v>
      </c>
      <c r="B33" s="3" t="s">
        <v>2713</v>
      </c>
      <c r="C33" s="3" t="s">
        <v>2729</v>
      </c>
      <c r="D33" s="3" t="s">
        <v>2714</v>
      </c>
      <c r="E33" s="3" t="s">
        <v>2766</v>
      </c>
      <c r="F33" s="3" t="s">
        <v>2767</v>
      </c>
      <c r="G33" s="3" t="s">
        <v>2691</v>
      </c>
      <c r="H33" s="3" t="s">
        <v>2730</v>
      </c>
      <c r="I33" s="3" t="s">
        <v>2706</v>
      </c>
      <c r="J33" s="3" t="s">
        <v>2694</v>
      </c>
      <c r="K33" s="3" t="s">
        <v>2695</v>
      </c>
    </row>
    <row r="34" customFormat="false" ht="15" hidden="false" customHeight="true" outlineLevel="0" collapsed="false">
      <c r="A34" s="3" t="s">
        <v>124</v>
      </c>
      <c r="B34" s="3" t="s">
        <v>2686</v>
      </c>
      <c r="C34" s="3" t="s">
        <v>2697</v>
      </c>
      <c r="D34" s="3" t="s">
        <v>2714</v>
      </c>
      <c r="E34" s="3" t="s">
        <v>2720</v>
      </c>
      <c r="F34" s="3" t="s">
        <v>2721</v>
      </c>
      <c r="G34" s="3" t="s">
        <v>2691</v>
      </c>
      <c r="H34" s="3" t="s">
        <v>2692</v>
      </c>
      <c r="I34" s="3" t="s">
        <v>2693</v>
      </c>
      <c r="J34" s="3" t="s">
        <v>2753</v>
      </c>
      <c r="K34" s="3" t="s">
        <v>2735</v>
      </c>
    </row>
    <row r="35" customFormat="false" ht="15" hidden="false" customHeight="true" outlineLevel="0" collapsed="false">
      <c r="A35" s="3" t="s">
        <v>127</v>
      </c>
      <c r="B35" s="3" t="s">
        <v>2745</v>
      </c>
      <c r="C35" s="3" t="s">
        <v>2729</v>
      </c>
      <c r="D35" s="3" t="s">
        <v>2708</v>
      </c>
      <c r="E35" s="3" t="s">
        <v>2726</v>
      </c>
      <c r="F35" s="3" t="s">
        <v>2727</v>
      </c>
      <c r="G35" s="3" t="s">
        <v>2722</v>
      </c>
      <c r="H35" s="3" t="s">
        <v>2758</v>
      </c>
      <c r="I35" s="3" t="s">
        <v>2693</v>
      </c>
      <c r="J35" s="3" t="s">
        <v>2694</v>
      </c>
      <c r="K35" s="3" t="s">
        <v>2695</v>
      </c>
    </row>
    <row r="36" customFormat="false" ht="15" hidden="false" customHeight="true" outlineLevel="0" collapsed="false">
      <c r="A36" s="3" t="s">
        <v>131</v>
      </c>
      <c r="B36" s="3" t="s">
        <v>2739</v>
      </c>
      <c r="C36" s="3" t="s">
        <v>2731</v>
      </c>
      <c r="D36" s="3" t="s">
        <v>2714</v>
      </c>
      <c r="E36" s="3" t="s">
        <v>2766</v>
      </c>
      <c r="F36" s="3" t="s">
        <v>2767</v>
      </c>
      <c r="G36" s="3" t="s">
        <v>2701</v>
      </c>
      <c r="H36" s="3" t="s">
        <v>2702</v>
      </c>
      <c r="I36" s="3" t="s">
        <v>2703</v>
      </c>
      <c r="J36" s="3" t="s">
        <v>2694</v>
      </c>
      <c r="K36" s="3" t="s">
        <v>2695</v>
      </c>
    </row>
    <row r="37" customFormat="false" ht="15" hidden="false" customHeight="true" outlineLevel="0" collapsed="false">
      <c r="A37" s="3" t="s">
        <v>134</v>
      </c>
      <c r="B37" s="3" t="s">
        <v>2739</v>
      </c>
      <c r="C37" s="3" t="s">
        <v>2731</v>
      </c>
      <c r="D37" s="3" t="s">
        <v>2698</v>
      </c>
      <c r="E37" s="3" t="s">
        <v>2732</v>
      </c>
      <c r="F37" s="3" t="s">
        <v>2733</v>
      </c>
      <c r="G37" s="3" t="s">
        <v>2701</v>
      </c>
      <c r="H37" s="3" t="s">
        <v>2717</v>
      </c>
      <c r="I37" s="3" t="s">
        <v>2768</v>
      </c>
      <c r="J37" s="3" t="s">
        <v>2694</v>
      </c>
      <c r="K37" s="3" t="s">
        <v>2695</v>
      </c>
    </row>
    <row r="38" customFormat="false" ht="15" hidden="false" customHeight="true" outlineLevel="0" collapsed="false">
      <c r="A38" s="3" t="s">
        <v>138</v>
      </c>
      <c r="B38" s="3" t="s">
        <v>2746</v>
      </c>
      <c r="C38" s="3" t="s">
        <v>2697</v>
      </c>
      <c r="D38" s="3" t="s">
        <v>2714</v>
      </c>
      <c r="E38" s="3" t="s">
        <v>2762</v>
      </c>
      <c r="F38" s="3" t="s">
        <v>2763</v>
      </c>
      <c r="G38" s="3" t="s">
        <v>2701</v>
      </c>
      <c r="H38" s="3" t="s">
        <v>2754</v>
      </c>
      <c r="I38" s="3" t="s">
        <v>2693</v>
      </c>
      <c r="J38" s="3" t="s">
        <v>2738</v>
      </c>
      <c r="K38" s="3" t="s">
        <v>2735</v>
      </c>
    </row>
    <row r="39" customFormat="false" ht="15" hidden="false" customHeight="true" outlineLevel="0" collapsed="false">
      <c r="A39" s="3" t="s">
        <v>141</v>
      </c>
      <c r="B39" s="3" t="s">
        <v>2749</v>
      </c>
      <c r="C39" s="3" t="s">
        <v>2729</v>
      </c>
      <c r="D39" s="3" t="s">
        <v>2714</v>
      </c>
      <c r="E39" s="3" t="s">
        <v>2715</v>
      </c>
      <c r="F39" s="3" t="s">
        <v>2716</v>
      </c>
      <c r="G39" s="3" t="s">
        <v>2701</v>
      </c>
      <c r="H39" s="3" t="s">
        <v>2754</v>
      </c>
      <c r="I39" s="3" t="s">
        <v>2693</v>
      </c>
      <c r="J39" s="3" t="s">
        <v>2694</v>
      </c>
      <c r="K39" s="3" t="s">
        <v>2735</v>
      </c>
    </row>
    <row r="40" customFormat="false" ht="15" hidden="false" customHeight="true" outlineLevel="0" collapsed="false">
      <c r="A40" s="3" t="s">
        <v>144</v>
      </c>
      <c r="B40" s="3" t="s">
        <v>2755</v>
      </c>
      <c r="C40" s="3" t="s">
        <v>2687</v>
      </c>
      <c r="D40" s="3" t="s">
        <v>2714</v>
      </c>
      <c r="E40" s="3" t="s">
        <v>2715</v>
      </c>
      <c r="F40" s="3" t="s">
        <v>2716</v>
      </c>
      <c r="G40" s="3" t="s">
        <v>2722</v>
      </c>
      <c r="H40" s="3" t="s">
        <v>2725</v>
      </c>
      <c r="I40" s="3" t="s">
        <v>2769</v>
      </c>
      <c r="J40" s="3" t="s">
        <v>2694</v>
      </c>
      <c r="K40" s="3" t="s">
        <v>2695</v>
      </c>
    </row>
    <row r="41" customFormat="false" ht="15" hidden="false" customHeight="true" outlineLevel="0" collapsed="false">
      <c r="A41" s="3" t="s">
        <v>147</v>
      </c>
      <c r="B41" s="3" t="s">
        <v>2745</v>
      </c>
      <c r="C41" s="3" t="s">
        <v>2729</v>
      </c>
      <c r="D41" s="3" t="s">
        <v>2714</v>
      </c>
      <c r="E41" s="3" t="s">
        <v>2762</v>
      </c>
      <c r="F41" s="3" t="s">
        <v>2763</v>
      </c>
      <c r="G41" s="3" t="s">
        <v>2722</v>
      </c>
      <c r="H41" s="3" t="s">
        <v>2758</v>
      </c>
      <c r="I41" s="3" t="s">
        <v>2706</v>
      </c>
      <c r="J41" s="3" t="s">
        <v>2694</v>
      </c>
      <c r="K41" s="3" t="s">
        <v>2695</v>
      </c>
    </row>
    <row r="42" customFormat="false" ht="15" hidden="false" customHeight="true" outlineLevel="0" collapsed="false">
      <c r="A42" s="3" t="s">
        <v>150</v>
      </c>
      <c r="B42" s="3" t="s">
        <v>2696</v>
      </c>
      <c r="C42" s="3" t="s">
        <v>2697</v>
      </c>
      <c r="D42" s="3" t="s">
        <v>2714</v>
      </c>
      <c r="E42" s="3" t="s">
        <v>2720</v>
      </c>
      <c r="F42" s="3" t="s">
        <v>2721</v>
      </c>
      <c r="G42" s="3" t="s">
        <v>2722</v>
      </c>
      <c r="H42" s="3" t="s">
        <v>2725</v>
      </c>
      <c r="I42" s="3" t="s">
        <v>2706</v>
      </c>
      <c r="J42" s="3" t="s">
        <v>2738</v>
      </c>
      <c r="K42" s="3" t="s">
        <v>2735</v>
      </c>
    </row>
    <row r="43" customFormat="false" ht="15" hidden="false" customHeight="true" outlineLevel="0" collapsed="false">
      <c r="A43" s="3" t="s">
        <v>153</v>
      </c>
      <c r="B43" s="3" t="s">
        <v>2704</v>
      </c>
      <c r="C43" s="3" t="s">
        <v>2731</v>
      </c>
      <c r="D43" s="3" t="s">
        <v>2714</v>
      </c>
      <c r="E43" s="3" t="s">
        <v>2689</v>
      </c>
      <c r="F43" s="3" t="s">
        <v>2737</v>
      </c>
      <c r="G43" s="3" t="s">
        <v>2722</v>
      </c>
      <c r="H43" s="3" t="s">
        <v>2725</v>
      </c>
      <c r="I43" s="3" t="s">
        <v>2712</v>
      </c>
      <c r="J43" s="3" t="s">
        <v>2694</v>
      </c>
      <c r="K43" s="3" t="s">
        <v>2695</v>
      </c>
    </row>
    <row r="44" customFormat="false" ht="15" hidden="false" customHeight="true" outlineLevel="0" collapsed="false">
      <c r="A44" s="3" t="s">
        <v>156</v>
      </c>
      <c r="B44" s="3" t="s">
        <v>2745</v>
      </c>
      <c r="C44" s="3" t="s">
        <v>2697</v>
      </c>
      <c r="D44" s="3" t="s">
        <v>2698</v>
      </c>
      <c r="E44" s="3" t="s">
        <v>2699</v>
      </c>
      <c r="F44" s="3" t="s">
        <v>2700</v>
      </c>
      <c r="G44" s="3" t="s">
        <v>2701</v>
      </c>
      <c r="H44" s="3" t="s">
        <v>2754</v>
      </c>
      <c r="I44" s="3" t="s">
        <v>2703</v>
      </c>
      <c r="J44" s="3" t="s">
        <v>2738</v>
      </c>
      <c r="K44" s="3" t="s">
        <v>2718</v>
      </c>
    </row>
    <row r="45" customFormat="false" ht="15" hidden="false" customHeight="true" outlineLevel="0" collapsed="false">
      <c r="A45" s="3" t="s">
        <v>159</v>
      </c>
      <c r="B45" s="3" t="s">
        <v>2707</v>
      </c>
      <c r="C45" s="3" t="s">
        <v>2729</v>
      </c>
      <c r="D45" s="3" t="s">
        <v>2698</v>
      </c>
      <c r="E45" s="3" t="s">
        <v>2770</v>
      </c>
      <c r="F45" s="3" t="s">
        <v>2771</v>
      </c>
      <c r="G45" s="3" t="s">
        <v>2722</v>
      </c>
      <c r="H45" s="3" t="s">
        <v>2758</v>
      </c>
      <c r="I45" s="3" t="s">
        <v>2712</v>
      </c>
      <c r="J45" s="3" t="s">
        <v>2694</v>
      </c>
      <c r="K45" s="3" t="s">
        <v>2695</v>
      </c>
    </row>
    <row r="46" customFormat="false" ht="15" hidden="false" customHeight="true" outlineLevel="0" collapsed="false">
      <c r="A46" s="3" t="s">
        <v>162</v>
      </c>
      <c r="B46" s="3" t="s">
        <v>2739</v>
      </c>
      <c r="C46" s="3" t="s">
        <v>2697</v>
      </c>
      <c r="D46" s="3" t="s">
        <v>2698</v>
      </c>
      <c r="E46" s="3" t="s">
        <v>2699</v>
      </c>
      <c r="F46" s="3" t="s">
        <v>2700</v>
      </c>
      <c r="G46" s="3" t="s">
        <v>2701</v>
      </c>
      <c r="H46" s="3" t="s">
        <v>2711</v>
      </c>
      <c r="I46" s="3" t="s">
        <v>2703</v>
      </c>
      <c r="J46" s="3" t="s">
        <v>2694</v>
      </c>
      <c r="K46" s="3" t="s">
        <v>2695</v>
      </c>
    </row>
    <row r="47" customFormat="false" ht="15" hidden="false" customHeight="true" outlineLevel="0" collapsed="false">
      <c r="A47" s="3" t="s">
        <v>165</v>
      </c>
      <c r="B47" s="3" t="s">
        <v>2749</v>
      </c>
      <c r="C47" s="3" t="s">
        <v>2697</v>
      </c>
      <c r="D47" s="3" t="s">
        <v>2741</v>
      </c>
      <c r="E47" s="3" t="s">
        <v>2772</v>
      </c>
      <c r="F47" s="3" t="s">
        <v>2773</v>
      </c>
      <c r="G47" s="3" t="s">
        <v>2701</v>
      </c>
      <c r="H47" s="3" t="s">
        <v>2717</v>
      </c>
      <c r="I47" s="3" t="s">
        <v>2712</v>
      </c>
      <c r="J47" s="3" t="s">
        <v>2694</v>
      </c>
      <c r="K47" s="3" t="s">
        <v>2695</v>
      </c>
    </row>
    <row r="48" customFormat="false" ht="15" hidden="false" customHeight="true" outlineLevel="0" collapsed="false">
      <c r="A48" s="3" t="s">
        <v>168</v>
      </c>
      <c r="B48" s="3" t="s">
        <v>2704</v>
      </c>
      <c r="C48" s="3" t="s">
        <v>2731</v>
      </c>
      <c r="D48" s="3" t="s">
        <v>2698</v>
      </c>
      <c r="E48" s="3" t="s">
        <v>2750</v>
      </c>
      <c r="F48" s="3" t="s">
        <v>2751</v>
      </c>
      <c r="G48" s="3" t="s">
        <v>2691</v>
      </c>
      <c r="H48" s="3" t="s">
        <v>2705</v>
      </c>
      <c r="I48" s="3" t="s">
        <v>2693</v>
      </c>
      <c r="J48" s="3" t="s">
        <v>2738</v>
      </c>
      <c r="K48" s="3" t="s">
        <v>2735</v>
      </c>
    </row>
    <row r="49" customFormat="false" ht="15" hidden="false" customHeight="true" outlineLevel="0" collapsed="false">
      <c r="A49" s="3" t="s">
        <v>171</v>
      </c>
      <c r="B49" s="3" t="s">
        <v>2713</v>
      </c>
      <c r="C49" s="3" t="s">
        <v>2697</v>
      </c>
      <c r="D49" s="3" t="s">
        <v>2708</v>
      </c>
      <c r="E49" s="3" t="s">
        <v>2764</v>
      </c>
      <c r="F49" s="3" t="s">
        <v>2765</v>
      </c>
      <c r="G49" s="3" t="s">
        <v>2701</v>
      </c>
      <c r="H49" s="3" t="s">
        <v>2754</v>
      </c>
      <c r="I49" s="3" t="s">
        <v>2712</v>
      </c>
      <c r="J49" s="3" t="s">
        <v>2734</v>
      </c>
      <c r="K49" s="3" t="s">
        <v>2735</v>
      </c>
    </row>
    <row r="50" customFormat="false" ht="15" hidden="false" customHeight="true" outlineLevel="0" collapsed="false">
      <c r="A50" s="3" t="s">
        <v>174</v>
      </c>
      <c r="B50" s="3" t="s">
        <v>2740</v>
      </c>
      <c r="C50" s="3" t="s">
        <v>2729</v>
      </c>
      <c r="D50" s="3" t="s">
        <v>2708</v>
      </c>
      <c r="E50" s="3" t="s">
        <v>2774</v>
      </c>
      <c r="F50" s="3" t="s">
        <v>2775</v>
      </c>
      <c r="G50" s="3" t="s">
        <v>2691</v>
      </c>
      <c r="H50" s="3" t="s">
        <v>2744</v>
      </c>
      <c r="I50" s="3" t="s">
        <v>2712</v>
      </c>
      <c r="J50" s="3" t="s">
        <v>2694</v>
      </c>
      <c r="K50" s="3" t="s">
        <v>2695</v>
      </c>
    </row>
    <row r="51" customFormat="false" ht="15" hidden="false" customHeight="true" outlineLevel="0" collapsed="false">
      <c r="A51" s="3" t="s">
        <v>177</v>
      </c>
      <c r="B51" s="3" t="s">
        <v>2724</v>
      </c>
      <c r="C51" s="3" t="s">
        <v>2729</v>
      </c>
      <c r="D51" s="3" t="s">
        <v>2714</v>
      </c>
      <c r="E51" s="3" t="s">
        <v>2715</v>
      </c>
      <c r="F51" s="3" t="s">
        <v>2716</v>
      </c>
      <c r="G51" s="3" t="s">
        <v>2701</v>
      </c>
      <c r="H51" s="3" t="s">
        <v>2717</v>
      </c>
      <c r="I51" s="3" t="s">
        <v>2776</v>
      </c>
      <c r="J51" s="3" t="s">
        <v>2694</v>
      </c>
      <c r="K51" s="3" t="s">
        <v>2695</v>
      </c>
    </row>
    <row r="52" customFormat="false" ht="15" hidden="false" customHeight="true" outlineLevel="0" collapsed="false">
      <c r="A52" s="3" t="s">
        <v>180</v>
      </c>
      <c r="B52" s="3" t="s">
        <v>2745</v>
      </c>
      <c r="C52" s="3" t="s">
        <v>2731</v>
      </c>
      <c r="D52" s="3" t="s">
        <v>2741</v>
      </c>
      <c r="E52" s="3" t="s">
        <v>2747</v>
      </c>
      <c r="F52" s="3" t="s">
        <v>2748</v>
      </c>
      <c r="G52" s="3" t="s">
        <v>2722</v>
      </c>
      <c r="H52" s="3" t="s">
        <v>2725</v>
      </c>
      <c r="I52" s="3" t="s">
        <v>2693</v>
      </c>
      <c r="J52" s="3" t="s">
        <v>2694</v>
      </c>
      <c r="K52" s="3" t="s">
        <v>2695</v>
      </c>
    </row>
    <row r="53" customFormat="false" ht="15" hidden="false" customHeight="true" outlineLevel="0" collapsed="false">
      <c r="A53" s="3" t="s">
        <v>183</v>
      </c>
      <c r="B53" s="3" t="s">
        <v>2746</v>
      </c>
      <c r="C53" s="3" t="s">
        <v>2687</v>
      </c>
      <c r="D53" s="3" t="s">
        <v>2698</v>
      </c>
      <c r="E53" s="3" t="s">
        <v>2732</v>
      </c>
      <c r="F53" s="3" t="s">
        <v>2733</v>
      </c>
      <c r="G53" s="3" t="s">
        <v>2722</v>
      </c>
      <c r="H53" s="3" t="s">
        <v>2725</v>
      </c>
      <c r="I53" s="3" t="s">
        <v>2712</v>
      </c>
      <c r="J53" s="3" t="s">
        <v>2694</v>
      </c>
      <c r="K53" s="3" t="s">
        <v>2695</v>
      </c>
    </row>
    <row r="54" customFormat="false" ht="15" hidden="false" customHeight="true" outlineLevel="0" collapsed="false">
      <c r="A54" s="3" t="s">
        <v>186</v>
      </c>
      <c r="B54" s="3" t="s">
        <v>2777</v>
      </c>
      <c r="C54" s="3" t="s">
        <v>2729</v>
      </c>
      <c r="D54" s="3" t="s">
        <v>2708</v>
      </c>
      <c r="E54" s="3" t="s">
        <v>2709</v>
      </c>
      <c r="F54" s="3" t="s">
        <v>2710</v>
      </c>
      <c r="G54" s="3" t="s">
        <v>2691</v>
      </c>
      <c r="H54" s="3" t="s">
        <v>2705</v>
      </c>
      <c r="I54" s="3" t="s">
        <v>2712</v>
      </c>
      <c r="J54" s="3" t="s">
        <v>2694</v>
      </c>
      <c r="K54" s="3" t="s">
        <v>2695</v>
      </c>
    </row>
    <row r="55" customFormat="false" ht="15" hidden="false" customHeight="true" outlineLevel="0" collapsed="false">
      <c r="A55" s="3" t="s">
        <v>189</v>
      </c>
      <c r="B55" s="3" t="s">
        <v>2778</v>
      </c>
      <c r="C55" s="3" t="s">
        <v>2697</v>
      </c>
      <c r="D55" s="3" t="s">
        <v>2741</v>
      </c>
      <c r="E55" s="3" t="s">
        <v>2689</v>
      </c>
      <c r="F55" s="3" t="s">
        <v>2690</v>
      </c>
      <c r="G55" s="3" t="s">
        <v>2701</v>
      </c>
      <c r="H55" s="3" t="s">
        <v>2717</v>
      </c>
      <c r="I55" s="3" t="s">
        <v>2706</v>
      </c>
      <c r="J55" s="3" t="s">
        <v>2753</v>
      </c>
      <c r="K55" s="3" t="s">
        <v>2718</v>
      </c>
    </row>
    <row r="56" customFormat="false" ht="15" hidden="false" customHeight="true" outlineLevel="0" collapsed="false">
      <c r="A56" s="3" t="s">
        <v>192</v>
      </c>
      <c r="B56" s="3" t="s">
        <v>2778</v>
      </c>
      <c r="C56" s="3" t="s">
        <v>2731</v>
      </c>
      <c r="D56" s="3" t="s">
        <v>2714</v>
      </c>
      <c r="E56" s="3" t="s">
        <v>2762</v>
      </c>
      <c r="F56" s="3" t="s">
        <v>2763</v>
      </c>
      <c r="G56" s="3" t="s">
        <v>2691</v>
      </c>
      <c r="H56" s="3" t="s">
        <v>2744</v>
      </c>
      <c r="I56" s="3" t="s">
        <v>2706</v>
      </c>
      <c r="J56" s="3" t="s">
        <v>2694</v>
      </c>
      <c r="K56" s="3" t="s">
        <v>2695</v>
      </c>
    </row>
    <row r="57" customFormat="false" ht="15" hidden="false" customHeight="true" outlineLevel="0" collapsed="false">
      <c r="A57" s="3" t="s">
        <v>195</v>
      </c>
      <c r="B57" s="3" t="s">
        <v>2707</v>
      </c>
      <c r="C57" s="3" t="s">
        <v>2729</v>
      </c>
      <c r="D57" s="3" t="s">
        <v>2708</v>
      </c>
      <c r="E57" s="3" t="s">
        <v>2774</v>
      </c>
      <c r="F57" s="3" t="s">
        <v>2775</v>
      </c>
      <c r="G57" s="3" t="s">
        <v>2691</v>
      </c>
      <c r="H57" s="3" t="s">
        <v>2730</v>
      </c>
      <c r="I57" s="3" t="s">
        <v>2703</v>
      </c>
      <c r="J57" s="3" t="s">
        <v>2753</v>
      </c>
      <c r="K57" s="3" t="s">
        <v>2718</v>
      </c>
    </row>
    <row r="58" customFormat="false" ht="15" hidden="false" customHeight="true" outlineLevel="0" collapsed="false">
      <c r="A58" s="3" t="s">
        <v>198</v>
      </c>
      <c r="B58" s="3" t="s">
        <v>2696</v>
      </c>
      <c r="C58" s="3" t="s">
        <v>2697</v>
      </c>
      <c r="D58" s="3" t="s">
        <v>2708</v>
      </c>
      <c r="E58" s="3" t="s">
        <v>2726</v>
      </c>
      <c r="F58" s="3" t="s">
        <v>2727</v>
      </c>
      <c r="G58" s="3" t="s">
        <v>2722</v>
      </c>
      <c r="H58" s="3" t="s">
        <v>2779</v>
      </c>
      <c r="I58" s="3" t="s">
        <v>2703</v>
      </c>
      <c r="J58" s="3" t="s">
        <v>2694</v>
      </c>
      <c r="K58" s="3" t="s">
        <v>2695</v>
      </c>
    </row>
    <row r="59" customFormat="false" ht="15" hidden="false" customHeight="true" outlineLevel="0" collapsed="false">
      <c r="A59" s="3" t="s">
        <v>201</v>
      </c>
      <c r="B59" s="3" t="s">
        <v>2686</v>
      </c>
      <c r="C59" s="3" t="s">
        <v>2687</v>
      </c>
      <c r="D59" s="3" t="s">
        <v>2708</v>
      </c>
      <c r="E59" s="3" t="s">
        <v>2760</v>
      </c>
      <c r="F59" s="3" t="s">
        <v>2761</v>
      </c>
      <c r="G59" s="3" t="s">
        <v>2691</v>
      </c>
      <c r="H59" s="3" t="s">
        <v>2752</v>
      </c>
      <c r="I59" s="3" t="s">
        <v>2693</v>
      </c>
      <c r="J59" s="3" t="s">
        <v>2734</v>
      </c>
      <c r="K59" s="3" t="s">
        <v>2718</v>
      </c>
    </row>
    <row r="60" customFormat="false" ht="15" hidden="false" customHeight="true" outlineLevel="0" collapsed="false">
      <c r="A60" s="3" t="s">
        <v>204</v>
      </c>
      <c r="B60" s="3" t="s">
        <v>2739</v>
      </c>
      <c r="C60" s="3" t="s">
        <v>2687</v>
      </c>
      <c r="D60" s="3" t="s">
        <v>2714</v>
      </c>
      <c r="E60" s="3" t="s">
        <v>2766</v>
      </c>
      <c r="F60" s="3" t="s">
        <v>2767</v>
      </c>
      <c r="G60" s="3" t="s">
        <v>2701</v>
      </c>
      <c r="H60" s="3" t="s">
        <v>2717</v>
      </c>
      <c r="I60" s="3" t="s">
        <v>2703</v>
      </c>
      <c r="J60" s="3" t="s">
        <v>2694</v>
      </c>
      <c r="K60" s="3" t="s">
        <v>2695</v>
      </c>
    </row>
    <row r="61" customFormat="false" ht="15" hidden="false" customHeight="true" outlineLevel="0" collapsed="false">
      <c r="A61" s="3" t="s">
        <v>207</v>
      </c>
      <c r="B61" s="3" t="s">
        <v>2704</v>
      </c>
      <c r="C61" s="3" t="s">
        <v>2731</v>
      </c>
      <c r="D61" s="3" t="s">
        <v>2741</v>
      </c>
      <c r="E61" s="3" t="s">
        <v>2689</v>
      </c>
      <c r="F61" s="3" t="s">
        <v>2690</v>
      </c>
      <c r="G61" s="3" t="s">
        <v>2691</v>
      </c>
      <c r="H61" s="3" t="s">
        <v>2744</v>
      </c>
      <c r="I61" s="3" t="s">
        <v>2768</v>
      </c>
      <c r="J61" s="3" t="s">
        <v>2738</v>
      </c>
      <c r="K61" s="3" t="s">
        <v>2735</v>
      </c>
    </row>
    <row r="62" customFormat="false" ht="15" hidden="false" customHeight="true" outlineLevel="0" collapsed="false">
      <c r="A62" s="3" t="s">
        <v>210</v>
      </c>
      <c r="B62" s="3" t="s">
        <v>2739</v>
      </c>
      <c r="C62" s="3" t="s">
        <v>2729</v>
      </c>
      <c r="D62" s="3" t="s">
        <v>2698</v>
      </c>
      <c r="E62" s="3" t="s">
        <v>2756</v>
      </c>
      <c r="F62" s="3" t="s">
        <v>2757</v>
      </c>
      <c r="G62" s="3" t="s">
        <v>2691</v>
      </c>
      <c r="H62" s="3" t="s">
        <v>2730</v>
      </c>
      <c r="I62" s="3" t="s">
        <v>2703</v>
      </c>
      <c r="J62" s="3" t="s">
        <v>2694</v>
      </c>
      <c r="K62" s="3" t="s">
        <v>2718</v>
      </c>
    </row>
    <row r="63" customFormat="false" ht="15" hidden="false" customHeight="true" outlineLevel="0" collapsed="false">
      <c r="A63" s="3" t="s">
        <v>213</v>
      </c>
      <c r="B63" s="3" t="s">
        <v>2713</v>
      </c>
      <c r="C63" s="3" t="s">
        <v>2729</v>
      </c>
      <c r="D63" s="3" t="s">
        <v>2698</v>
      </c>
      <c r="E63" s="3" t="s">
        <v>2756</v>
      </c>
      <c r="F63" s="3" t="s">
        <v>2757</v>
      </c>
      <c r="G63" s="3" t="s">
        <v>2691</v>
      </c>
      <c r="H63" s="3" t="s">
        <v>2730</v>
      </c>
      <c r="I63" s="3" t="s">
        <v>2703</v>
      </c>
      <c r="J63" s="3" t="s">
        <v>2734</v>
      </c>
      <c r="K63" s="3" t="s">
        <v>2718</v>
      </c>
    </row>
    <row r="64" customFormat="false" ht="15" hidden="false" customHeight="true" outlineLevel="0" collapsed="false">
      <c r="A64" s="3" t="s">
        <v>216</v>
      </c>
      <c r="B64" s="3" t="s">
        <v>2719</v>
      </c>
      <c r="C64" s="3" t="s">
        <v>2731</v>
      </c>
      <c r="D64" s="3" t="s">
        <v>2698</v>
      </c>
      <c r="E64" s="3" t="s">
        <v>2750</v>
      </c>
      <c r="F64" s="3" t="s">
        <v>2751</v>
      </c>
      <c r="G64" s="3" t="s">
        <v>2701</v>
      </c>
      <c r="H64" s="3" t="s">
        <v>2754</v>
      </c>
      <c r="I64" s="3" t="s">
        <v>2712</v>
      </c>
      <c r="J64" s="3" t="s">
        <v>2694</v>
      </c>
      <c r="K64" s="3" t="s">
        <v>2695</v>
      </c>
    </row>
    <row r="65" customFormat="false" ht="15" hidden="false" customHeight="true" outlineLevel="0" collapsed="false">
      <c r="A65" s="3" t="s">
        <v>219</v>
      </c>
      <c r="B65" s="3" t="s">
        <v>2746</v>
      </c>
      <c r="C65" s="3" t="s">
        <v>2731</v>
      </c>
      <c r="D65" s="3" t="s">
        <v>2741</v>
      </c>
      <c r="E65" s="3" t="s">
        <v>2689</v>
      </c>
      <c r="F65" s="3" t="s">
        <v>2690</v>
      </c>
      <c r="G65" s="3" t="s">
        <v>2722</v>
      </c>
      <c r="H65" s="3" t="s">
        <v>2758</v>
      </c>
      <c r="I65" s="3" t="s">
        <v>2712</v>
      </c>
      <c r="J65" s="3" t="s">
        <v>2694</v>
      </c>
      <c r="K65" s="3" t="s">
        <v>2695</v>
      </c>
    </row>
    <row r="66" customFormat="false" ht="15" hidden="false" customHeight="true" outlineLevel="0" collapsed="false">
      <c r="A66" s="3" t="s">
        <v>222</v>
      </c>
      <c r="B66" s="3" t="s">
        <v>2746</v>
      </c>
      <c r="C66" s="3" t="s">
        <v>2731</v>
      </c>
      <c r="D66" s="3" t="s">
        <v>2741</v>
      </c>
      <c r="E66" s="3" t="s">
        <v>2772</v>
      </c>
      <c r="F66" s="3" t="s">
        <v>2773</v>
      </c>
      <c r="G66" s="3" t="s">
        <v>2691</v>
      </c>
      <c r="H66" s="3" t="s">
        <v>2752</v>
      </c>
      <c r="I66" s="3" t="s">
        <v>2703</v>
      </c>
      <c r="J66" s="3" t="s">
        <v>2759</v>
      </c>
      <c r="K66" s="3" t="s">
        <v>2695</v>
      </c>
    </row>
    <row r="67" customFormat="false" ht="15" hidden="false" customHeight="true" outlineLevel="0" collapsed="false">
      <c r="A67" s="3" t="s">
        <v>225</v>
      </c>
      <c r="B67" s="3" t="s">
        <v>2745</v>
      </c>
      <c r="C67" s="3" t="s">
        <v>2729</v>
      </c>
      <c r="D67" s="3" t="s">
        <v>2698</v>
      </c>
      <c r="E67" s="3" t="s">
        <v>2770</v>
      </c>
      <c r="F67" s="3" t="s">
        <v>2771</v>
      </c>
      <c r="G67" s="3" t="s">
        <v>2691</v>
      </c>
      <c r="H67" s="3" t="s">
        <v>2692</v>
      </c>
      <c r="I67" s="3" t="s">
        <v>2706</v>
      </c>
      <c r="J67" s="3" t="s">
        <v>2734</v>
      </c>
      <c r="K67" s="3" t="s">
        <v>2735</v>
      </c>
    </row>
    <row r="68" customFormat="false" ht="15" hidden="false" customHeight="true" outlineLevel="0" collapsed="false">
      <c r="A68" s="3" t="s">
        <v>228</v>
      </c>
      <c r="B68" s="3" t="s">
        <v>2696</v>
      </c>
      <c r="C68" s="3" t="s">
        <v>2731</v>
      </c>
      <c r="D68" s="3" t="s">
        <v>2714</v>
      </c>
      <c r="E68" s="3" t="s">
        <v>2715</v>
      </c>
      <c r="F68" s="3" t="s">
        <v>2716</v>
      </c>
      <c r="G68" s="3" t="s">
        <v>2691</v>
      </c>
      <c r="H68" s="3" t="s">
        <v>2692</v>
      </c>
      <c r="I68" s="3" t="s">
        <v>2693</v>
      </c>
      <c r="J68" s="3" t="s">
        <v>2694</v>
      </c>
      <c r="K68" s="3" t="s">
        <v>2695</v>
      </c>
    </row>
    <row r="69" customFormat="false" ht="15" hidden="false" customHeight="true" outlineLevel="0" collapsed="false">
      <c r="A69" s="3" t="s">
        <v>231</v>
      </c>
      <c r="B69" s="3" t="s">
        <v>2686</v>
      </c>
      <c r="C69" s="3" t="s">
        <v>2697</v>
      </c>
      <c r="D69" s="3" t="s">
        <v>2708</v>
      </c>
      <c r="E69" s="3" t="s">
        <v>2774</v>
      </c>
      <c r="F69" s="3" t="s">
        <v>2775</v>
      </c>
      <c r="G69" s="3" t="s">
        <v>2722</v>
      </c>
      <c r="H69" s="3" t="s">
        <v>2723</v>
      </c>
      <c r="I69" s="3" t="s">
        <v>2703</v>
      </c>
      <c r="J69" s="3" t="s">
        <v>2694</v>
      </c>
      <c r="K69" s="3" t="s">
        <v>2695</v>
      </c>
    </row>
    <row r="70" customFormat="false" ht="15" hidden="false" customHeight="true" outlineLevel="0" collapsed="false">
      <c r="A70" s="3" t="s">
        <v>234</v>
      </c>
      <c r="B70" s="3" t="s">
        <v>2778</v>
      </c>
      <c r="C70" s="3" t="s">
        <v>2687</v>
      </c>
      <c r="D70" s="3" t="s">
        <v>2741</v>
      </c>
      <c r="E70" s="3" t="s">
        <v>2772</v>
      </c>
      <c r="F70" s="3" t="s">
        <v>2773</v>
      </c>
      <c r="G70" s="3" t="s">
        <v>2691</v>
      </c>
      <c r="H70" s="3" t="s">
        <v>2692</v>
      </c>
      <c r="I70" s="3" t="s">
        <v>2706</v>
      </c>
      <c r="J70" s="3" t="s">
        <v>2694</v>
      </c>
      <c r="K70" s="3" t="s">
        <v>2695</v>
      </c>
    </row>
    <row r="71" customFormat="false" ht="15" hidden="false" customHeight="true" outlineLevel="0" collapsed="false">
      <c r="A71" s="3" t="s">
        <v>237</v>
      </c>
      <c r="B71" s="3" t="s">
        <v>2704</v>
      </c>
      <c r="C71" s="3" t="s">
        <v>2729</v>
      </c>
      <c r="D71" s="3" t="s">
        <v>2698</v>
      </c>
      <c r="E71" s="3" t="s">
        <v>2770</v>
      </c>
      <c r="F71" s="3" t="s">
        <v>2771</v>
      </c>
      <c r="G71" s="3" t="s">
        <v>2691</v>
      </c>
      <c r="H71" s="3" t="s">
        <v>2744</v>
      </c>
      <c r="I71" s="3" t="s">
        <v>2693</v>
      </c>
      <c r="J71" s="3" t="s">
        <v>2753</v>
      </c>
      <c r="K71" s="3" t="s">
        <v>2735</v>
      </c>
    </row>
    <row r="72" customFormat="false" ht="15" hidden="false" customHeight="true" outlineLevel="0" collapsed="false">
      <c r="A72" s="3" t="s">
        <v>240</v>
      </c>
      <c r="B72" s="3" t="s">
        <v>2724</v>
      </c>
      <c r="C72" s="3" t="s">
        <v>2697</v>
      </c>
      <c r="D72" s="3" t="s">
        <v>2714</v>
      </c>
      <c r="E72" s="3" t="s">
        <v>2762</v>
      </c>
      <c r="F72" s="3" t="s">
        <v>2763</v>
      </c>
      <c r="G72" s="3" t="s">
        <v>2722</v>
      </c>
      <c r="H72" s="3" t="s">
        <v>2779</v>
      </c>
      <c r="I72" s="3" t="s">
        <v>2703</v>
      </c>
      <c r="J72" s="3" t="s">
        <v>2734</v>
      </c>
      <c r="K72" s="3" t="s">
        <v>2735</v>
      </c>
    </row>
    <row r="73" customFormat="false" ht="15" hidden="false" customHeight="true" outlineLevel="0" collapsed="false">
      <c r="A73" s="3" t="s">
        <v>243</v>
      </c>
      <c r="B73" s="3" t="s">
        <v>2686</v>
      </c>
      <c r="C73" s="3" t="s">
        <v>2729</v>
      </c>
      <c r="D73" s="3" t="s">
        <v>2708</v>
      </c>
      <c r="E73" s="3" t="s">
        <v>2726</v>
      </c>
      <c r="F73" s="3" t="s">
        <v>2727</v>
      </c>
      <c r="G73" s="3" t="s">
        <v>2722</v>
      </c>
      <c r="H73" s="3" t="s">
        <v>2758</v>
      </c>
      <c r="I73" s="3" t="s">
        <v>2706</v>
      </c>
      <c r="J73" s="3" t="s">
        <v>2694</v>
      </c>
      <c r="K73" s="3" t="s">
        <v>2695</v>
      </c>
    </row>
    <row r="74" customFormat="false" ht="15" hidden="false" customHeight="true" outlineLevel="0" collapsed="false">
      <c r="A74" s="3" t="s">
        <v>246</v>
      </c>
      <c r="B74" s="3" t="s">
        <v>2696</v>
      </c>
      <c r="C74" s="3" t="s">
        <v>2780</v>
      </c>
      <c r="D74" s="3" t="s">
        <v>2714</v>
      </c>
      <c r="E74" s="3" t="s">
        <v>2766</v>
      </c>
      <c r="F74" s="3" t="s">
        <v>2767</v>
      </c>
      <c r="G74" s="3" t="s">
        <v>2722</v>
      </c>
      <c r="H74" s="3" t="s">
        <v>2779</v>
      </c>
      <c r="I74" s="3" t="s">
        <v>2712</v>
      </c>
      <c r="J74" s="3" t="s">
        <v>2694</v>
      </c>
      <c r="K74" s="3" t="s">
        <v>2695</v>
      </c>
    </row>
    <row r="75" customFormat="false" ht="15" hidden="false" customHeight="true" outlineLevel="0" collapsed="false">
      <c r="A75" s="3" t="s">
        <v>249</v>
      </c>
      <c r="B75" s="3" t="s">
        <v>2686</v>
      </c>
      <c r="C75" s="3" t="s">
        <v>2731</v>
      </c>
      <c r="D75" s="3" t="s">
        <v>2708</v>
      </c>
      <c r="E75" s="3" t="s">
        <v>2774</v>
      </c>
      <c r="F75" s="3" t="s">
        <v>2775</v>
      </c>
      <c r="G75" s="3" t="s">
        <v>2701</v>
      </c>
      <c r="H75" s="3" t="s">
        <v>2702</v>
      </c>
      <c r="I75" s="3" t="s">
        <v>2706</v>
      </c>
      <c r="J75" s="3" t="s">
        <v>2694</v>
      </c>
      <c r="K75" s="3" t="s">
        <v>2695</v>
      </c>
    </row>
    <row r="76" customFormat="false" ht="15" hidden="false" customHeight="true" outlineLevel="0" collapsed="false">
      <c r="A76" s="3" t="s">
        <v>252</v>
      </c>
      <c r="B76" s="3" t="s">
        <v>2746</v>
      </c>
      <c r="C76" s="3" t="s">
        <v>2729</v>
      </c>
      <c r="D76" s="3" t="s">
        <v>2698</v>
      </c>
      <c r="E76" s="3" t="s">
        <v>2732</v>
      </c>
      <c r="F76" s="3" t="s">
        <v>2733</v>
      </c>
      <c r="G76" s="3" t="s">
        <v>2701</v>
      </c>
      <c r="H76" s="3" t="s">
        <v>2754</v>
      </c>
      <c r="I76" s="3" t="s">
        <v>2706</v>
      </c>
      <c r="J76" s="3" t="s">
        <v>2694</v>
      </c>
      <c r="K76" s="3" t="s">
        <v>2695</v>
      </c>
    </row>
    <row r="77" customFormat="false" ht="15" hidden="false" customHeight="true" outlineLevel="0" collapsed="false">
      <c r="A77" s="3" t="s">
        <v>255</v>
      </c>
      <c r="B77" s="3" t="s">
        <v>2719</v>
      </c>
      <c r="C77" s="3" t="s">
        <v>2697</v>
      </c>
      <c r="D77" s="3" t="s">
        <v>2698</v>
      </c>
      <c r="E77" s="3" t="s">
        <v>2732</v>
      </c>
      <c r="F77" s="3" t="s">
        <v>2733</v>
      </c>
      <c r="G77" s="3" t="s">
        <v>2701</v>
      </c>
      <c r="H77" s="3" t="s">
        <v>2717</v>
      </c>
      <c r="I77" s="3" t="s">
        <v>2712</v>
      </c>
      <c r="J77" s="3" t="s">
        <v>2694</v>
      </c>
      <c r="K77" s="3" t="s">
        <v>2695</v>
      </c>
    </row>
    <row r="78" customFormat="false" ht="15" hidden="false" customHeight="true" outlineLevel="0" collapsed="false">
      <c r="A78" s="3" t="s">
        <v>258</v>
      </c>
      <c r="B78" s="3" t="s">
        <v>2739</v>
      </c>
      <c r="C78" s="3" t="s">
        <v>2697</v>
      </c>
      <c r="D78" s="3" t="s">
        <v>2698</v>
      </c>
      <c r="E78" s="3" t="s">
        <v>2699</v>
      </c>
      <c r="F78" s="3" t="s">
        <v>2700</v>
      </c>
      <c r="G78" s="3" t="s">
        <v>2691</v>
      </c>
      <c r="H78" s="3" t="s">
        <v>2730</v>
      </c>
      <c r="I78" s="3" t="s">
        <v>2706</v>
      </c>
      <c r="J78" s="3" t="s">
        <v>2694</v>
      </c>
      <c r="K78" s="3" t="s">
        <v>2695</v>
      </c>
    </row>
    <row r="79" customFormat="false" ht="15" hidden="false" customHeight="true" outlineLevel="0" collapsed="false">
      <c r="A79" s="3" t="s">
        <v>261</v>
      </c>
      <c r="B79" s="3" t="s">
        <v>2713</v>
      </c>
      <c r="C79" s="3" t="s">
        <v>2729</v>
      </c>
      <c r="D79" s="3" t="s">
        <v>2698</v>
      </c>
      <c r="E79" s="3" t="s">
        <v>2770</v>
      </c>
      <c r="F79" s="3" t="s">
        <v>2771</v>
      </c>
      <c r="G79" s="3" t="s">
        <v>2691</v>
      </c>
      <c r="H79" s="3" t="s">
        <v>2730</v>
      </c>
      <c r="I79" s="3" t="s">
        <v>2693</v>
      </c>
      <c r="J79" s="3" t="s">
        <v>2694</v>
      </c>
      <c r="K79" s="3" t="s">
        <v>2695</v>
      </c>
    </row>
    <row r="80" customFormat="false" ht="15" hidden="false" customHeight="true" outlineLevel="0" collapsed="false">
      <c r="A80" s="3" t="s">
        <v>264</v>
      </c>
      <c r="B80" s="3" t="s">
        <v>2749</v>
      </c>
      <c r="C80" s="3" t="s">
        <v>2731</v>
      </c>
      <c r="D80" s="3" t="s">
        <v>2741</v>
      </c>
      <c r="E80" s="3" t="s">
        <v>2747</v>
      </c>
      <c r="F80" s="3" t="s">
        <v>2748</v>
      </c>
      <c r="G80" s="3" t="s">
        <v>2701</v>
      </c>
      <c r="H80" s="3" t="s">
        <v>2711</v>
      </c>
      <c r="I80" s="3" t="s">
        <v>2712</v>
      </c>
      <c r="J80" s="3" t="s">
        <v>2734</v>
      </c>
      <c r="K80" s="3" t="s">
        <v>2718</v>
      </c>
    </row>
    <row r="81" customFormat="false" ht="15" hidden="false" customHeight="true" outlineLevel="0" collapsed="false">
      <c r="A81" s="3" t="s">
        <v>267</v>
      </c>
      <c r="B81" s="3" t="s">
        <v>2746</v>
      </c>
      <c r="C81" s="3" t="s">
        <v>2729</v>
      </c>
      <c r="D81" s="3" t="s">
        <v>2698</v>
      </c>
      <c r="E81" s="3" t="s">
        <v>2732</v>
      </c>
      <c r="F81" s="3" t="s">
        <v>2733</v>
      </c>
      <c r="G81" s="3" t="s">
        <v>2701</v>
      </c>
      <c r="H81" s="3" t="s">
        <v>2702</v>
      </c>
      <c r="I81" s="3" t="s">
        <v>2706</v>
      </c>
      <c r="J81" s="3" t="s">
        <v>2694</v>
      </c>
      <c r="K81" s="3" t="s">
        <v>2695</v>
      </c>
    </row>
    <row r="82" customFormat="false" ht="15" hidden="false" customHeight="true" outlineLevel="0" collapsed="false">
      <c r="A82" s="3" t="s">
        <v>270</v>
      </c>
      <c r="B82" s="3" t="s">
        <v>2755</v>
      </c>
      <c r="C82" s="3" t="s">
        <v>2731</v>
      </c>
      <c r="D82" s="3" t="s">
        <v>2708</v>
      </c>
      <c r="E82" s="3" t="s">
        <v>2774</v>
      </c>
      <c r="F82" s="3" t="s">
        <v>2775</v>
      </c>
      <c r="G82" s="3" t="s">
        <v>2781</v>
      </c>
      <c r="H82" s="3" t="s">
        <v>2717</v>
      </c>
      <c r="I82" s="3" t="s">
        <v>2703</v>
      </c>
      <c r="J82" s="3" t="s">
        <v>2694</v>
      </c>
      <c r="K82" s="3" t="s">
        <v>2695</v>
      </c>
    </row>
    <row r="83" customFormat="false" ht="15" hidden="false" customHeight="true" outlineLevel="0" collapsed="false">
      <c r="A83" s="3" t="s">
        <v>273</v>
      </c>
      <c r="B83" s="3" t="s">
        <v>2745</v>
      </c>
      <c r="C83" s="3" t="s">
        <v>2697</v>
      </c>
      <c r="D83" s="3" t="s">
        <v>2741</v>
      </c>
      <c r="E83" s="3" t="s">
        <v>2782</v>
      </c>
      <c r="F83" s="3" t="s">
        <v>2783</v>
      </c>
      <c r="G83" s="3" t="s">
        <v>2691</v>
      </c>
      <c r="H83" s="3" t="s">
        <v>2744</v>
      </c>
      <c r="I83" s="3" t="s">
        <v>2693</v>
      </c>
      <c r="J83" s="3" t="s">
        <v>2738</v>
      </c>
      <c r="K83" s="3" t="s">
        <v>2735</v>
      </c>
    </row>
    <row r="84" customFormat="false" ht="15" hidden="false" customHeight="true" outlineLevel="0" collapsed="false">
      <c r="A84" s="3" t="s">
        <v>276</v>
      </c>
      <c r="B84" s="3" t="s">
        <v>2686</v>
      </c>
      <c r="C84" s="3" t="s">
        <v>2731</v>
      </c>
      <c r="D84" s="3" t="s">
        <v>2714</v>
      </c>
      <c r="E84" s="3" t="s">
        <v>2766</v>
      </c>
      <c r="F84" s="3" t="s">
        <v>2767</v>
      </c>
      <c r="G84" s="3" t="s">
        <v>2691</v>
      </c>
      <c r="H84" s="3" t="s">
        <v>2730</v>
      </c>
      <c r="I84" s="3" t="s">
        <v>2703</v>
      </c>
      <c r="J84" s="3" t="s">
        <v>2694</v>
      </c>
      <c r="K84" s="3" t="s">
        <v>2695</v>
      </c>
    </row>
    <row r="85" customFormat="false" ht="15" hidden="false" customHeight="true" outlineLevel="0" collapsed="false">
      <c r="A85" s="3" t="s">
        <v>279</v>
      </c>
      <c r="B85" s="3" t="s">
        <v>2707</v>
      </c>
      <c r="C85" s="3" t="s">
        <v>2687</v>
      </c>
      <c r="D85" s="3" t="s">
        <v>2741</v>
      </c>
      <c r="E85" s="3" t="s">
        <v>2747</v>
      </c>
      <c r="F85" s="3" t="s">
        <v>2748</v>
      </c>
      <c r="G85" s="3" t="s">
        <v>2722</v>
      </c>
      <c r="H85" s="3" t="s">
        <v>2725</v>
      </c>
      <c r="I85" s="3" t="s">
        <v>2693</v>
      </c>
      <c r="J85" s="3" t="s">
        <v>2753</v>
      </c>
      <c r="K85" s="3" t="s">
        <v>2735</v>
      </c>
    </row>
    <row r="86" customFormat="false" ht="15" hidden="false" customHeight="true" outlineLevel="0" collapsed="false">
      <c r="A86" s="3" t="s">
        <v>282</v>
      </c>
      <c r="B86" s="3" t="s">
        <v>2728</v>
      </c>
      <c r="C86" s="3" t="s">
        <v>2731</v>
      </c>
      <c r="D86" s="3" t="s">
        <v>2714</v>
      </c>
      <c r="E86" s="3" t="s">
        <v>2715</v>
      </c>
      <c r="F86" s="3" t="s">
        <v>2716</v>
      </c>
      <c r="G86" s="3" t="s">
        <v>2701</v>
      </c>
      <c r="H86" s="3" t="s">
        <v>2702</v>
      </c>
      <c r="I86" s="3" t="s">
        <v>2693</v>
      </c>
      <c r="J86" s="3" t="s">
        <v>2694</v>
      </c>
      <c r="K86" s="3" t="s">
        <v>2695</v>
      </c>
    </row>
    <row r="87" customFormat="false" ht="15" hidden="false" customHeight="true" outlineLevel="0" collapsed="false">
      <c r="A87" s="3" t="s">
        <v>285</v>
      </c>
      <c r="B87" s="3" t="s">
        <v>2749</v>
      </c>
      <c r="C87" s="3" t="s">
        <v>2729</v>
      </c>
      <c r="D87" s="3" t="s">
        <v>2708</v>
      </c>
      <c r="E87" s="3" t="s">
        <v>2774</v>
      </c>
      <c r="F87" s="3" t="s">
        <v>2775</v>
      </c>
      <c r="G87" s="3" t="s">
        <v>2784</v>
      </c>
      <c r="H87" s="3" t="s">
        <v>2758</v>
      </c>
      <c r="I87" s="3" t="s">
        <v>2693</v>
      </c>
      <c r="J87" s="3" t="s">
        <v>2694</v>
      </c>
      <c r="K87" s="3" t="s">
        <v>2695</v>
      </c>
    </row>
    <row r="88" customFormat="false" ht="15" hidden="false" customHeight="true" outlineLevel="0" collapsed="false">
      <c r="A88" s="3" t="s">
        <v>288</v>
      </c>
      <c r="B88" s="3" t="s">
        <v>2778</v>
      </c>
      <c r="C88" s="3" t="s">
        <v>2729</v>
      </c>
      <c r="D88" s="3" t="s">
        <v>2741</v>
      </c>
      <c r="E88" s="3" t="s">
        <v>2782</v>
      </c>
      <c r="F88" s="3" t="s">
        <v>2783</v>
      </c>
      <c r="G88" s="3" t="s">
        <v>2691</v>
      </c>
      <c r="H88" s="3" t="s">
        <v>2752</v>
      </c>
      <c r="I88" s="3" t="s">
        <v>2712</v>
      </c>
      <c r="J88" s="3" t="s">
        <v>2694</v>
      </c>
      <c r="K88" s="3" t="s">
        <v>2718</v>
      </c>
    </row>
    <row r="89" customFormat="false" ht="15" hidden="false" customHeight="true" outlineLevel="0" collapsed="false">
      <c r="A89" s="3" t="s">
        <v>291</v>
      </c>
      <c r="B89" s="3" t="s">
        <v>2713</v>
      </c>
      <c r="C89" s="3" t="s">
        <v>2697</v>
      </c>
      <c r="D89" s="3" t="s">
        <v>2741</v>
      </c>
      <c r="E89" s="3" t="s">
        <v>2782</v>
      </c>
      <c r="F89" s="3" t="s">
        <v>2783</v>
      </c>
      <c r="G89" s="3" t="s">
        <v>2722</v>
      </c>
      <c r="H89" s="3" t="s">
        <v>2725</v>
      </c>
      <c r="I89" s="3" t="s">
        <v>2693</v>
      </c>
      <c r="J89" s="3" t="s">
        <v>2734</v>
      </c>
      <c r="K89" s="3" t="s">
        <v>2718</v>
      </c>
    </row>
    <row r="90" customFormat="false" ht="15" hidden="false" customHeight="true" outlineLevel="0" collapsed="false">
      <c r="A90" s="3" t="s">
        <v>294</v>
      </c>
      <c r="B90" s="3" t="s">
        <v>2719</v>
      </c>
      <c r="C90" s="3" t="s">
        <v>2687</v>
      </c>
      <c r="D90" s="3" t="s">
        <v>2698</v>
      </c>
      <c r="E90" s="3" t="s">
        <v>2756</v>
      </c>
      <c r="F90" s="3" t="s">
        <v>2757</v>
      </c>
      <c r="G90" s="3" t="s">
        <v>2691</v>
      </c>
      <c r="H90" s="3" t="s">
        <v>2752</v>
      </c>
      <c r="I90" s="3" t="s">
        <v>2712</v>
      </c>
      <c r="J90" s="3" t="s">
        <v>2694</v>
      </c>
      <c r="K90" s="3" t="s">
        <v>2695</v>
      </c>
    </row>
    <row r="91" customFormat="false" ht="15" hidden="false" customHeight="true" outlineLevel="0" collapsed="false">
      <c r="A91" s="3" t="s">
        <v>297</v>
      </c>
      <c r="B91" s="3" t="s">
        <v>2749</v>
      </c>
      <c r="C91" s="3" t="s">
        <v>2697</v>
      </c>
      <c r="D91" s="3" t="s">
        <v>2714</v>
      </c>
      <c r="E91" s="3" t="s">
        <v>2715</v>
      </c>
      <c r="F91" s="3" t="s">
        <v>2716</v>
      </c>
      <c r="G91" s="3" t="s">
        <v>2701</v>
      </c>
      <c r="H91" s="3" t="s">
        <v>2754</v>
      </c>
      <c r="I91" s="3" t="s">
        <v>2712</v>
      </c>
      <c r="J91" s="3" t="s">
        <v>2694</v>
      </c>
      <c r="K91" s="3" t="s">
        <v>2695</v>
      </c>
    </row>
    <row r="92" customFormat="false" ht="15" hidden="false" customHeight="true" outlineLevel="0" collapsed="false">
      <c r="A92" s="3" t="s">
        <v>300</v>
      </c>
      <c r="B92" s="3" t="s">
        <v>2778</v>
      </c>
      <c r="C92" s="3" t="s">
        <v>2687</v>
      </c>
      <c r="D92" s="3" t="s">
        <v>2708</v>
      </c>
      <c r="E92" s="3" t="s">
        <v>2726</v>
      </c>
      <c r="F92" s="3" t="s">
        <v>2727</v>
      </c>
      <c r="G92" s="3" t="s">
        <v>2701</v>
      </c>
      <c r="H92" s="3" t="s">
        <v>2754</v>
      </c>
      <c r="I92" s="3" t="s">
        <v>2712</v>
      </c>
      <c r="J92" s="3" t="s">
        <v>2738</v>
      </c>
      <c r="K92" s="3" t="s">
        <v>2718</v>
      </c>
    </row>
    <row r="93" customFormat="false" ht="15" hidden="false" customHeight="true" outlineLevel="0" collapsed="false">
      <c r="A93" s="3" t="s">
        <v>303</v>
      </c>
      <c r="B93" s="3" t="s">
        <v>2745</v>
      </c>
      <c r="C93" s="3" t="s">
        <v>2697</v>
      </c>
      <c r="D93" s="3" t="s">
        <v>2698</v>
      </c>
      <c r="E93" s="3" t="s">
        <v>2750</v>
      </c>
      <c r="F93" s="3" t="s">
        <v>2751</v>
      </c>
      <c r="G93" s="3" t="s">
        <v>2722</v>
      </c>
      <c r="H93" s="3" t="s">
        <v>2725</v>
      </c>
      <c r="I93" s="3" t="s">
        <v>2706</v>
      </c>
      <c r="J93" s="3" t="s">
        <v>2694</v>
      </c>
      <c r="K93" s="3" t="s">
        <v>2695</v>
      </c>
    </row>
    <row r="94" customFormat="false" ht="15" hidden="false" customHeight="true" outlineLevel="0" collapsed="false">
      <c r="A94" s="3" t="s">
        <v>306</v>
      </c>
      <c r="B94" s="3" t="s">
        <v>2746</v>
      </c>
      <c r="C94" s="3" t="s">
        <v>2729</v>
      </c>
      <c r="D94" s="3" t="s">
        <v>2714</v>
      </c>
      <c r="E94" s="3" t="s">
        <v>2720</v>
      </c>
      <c r="F94" s="3" t="s">
        <v>2721</v>
      </c>
      <c r="G94" s="3" t="s">
        <v>2722</v>
      </c>
      <c r="H94" s="3" t="s">
        <v>2725</v>
      </c>
      <c r="I94" s="3" t="s">
        <v>2693</v>
      </c>
      <c r="J94" s="3" t="s">
        <v>2694</v>
      </c>
      <c r="K94" s="3" t="s">
        <v>2695</v>
      </c>
    </row>
    <row r="95" customFormat="false" ht="15" hidden="false" customHeight="true" outlineLevel="0" collapsed="false">
      <c r="A95" s="3" t="s">
        <v>309</v>
      </c>
      <c r="B95" s="3" t="s">
        <v>2745</v>
      </c>
      <c r="C95" s="3" t="s">
        <v>2687</v>
      </c>
      <c r="D95" s="3" t="s">
        <v>2714</v>
      </c>
      <c r="E95" s="3" t="s">
        <v>2720</v>
      </c>
      <c r="F95" s="3" t="s">
        <v>2721</v>
      </c>
      <c r="G95" s="3" t="s">
        <v>2691</v>
      </c>
      <c r="H95" s="3" t="s">
        <v>2692</v>
      </c>
      <c r="I95" s="3" t="s">
        <v>2712</v>
      </c>
      <c r="J95" s="3" t="s">
        <v>2694</v>
      </c>
      <c r="K95" s="3" t="s">
        <v>2695</v>
      </c>
    </row>
    <row r="96" customFormat="false" ht="15" hidden="false" customHeight="true" outlineLevel="0" collapsed="false">
      <c r="A96" s="3" t="s">
        <v>312</v>
      </c>
      <c r="B96" s="3" t="s">
        <v>2749</v>
      </c>
      <c r="C96" s="3" t="s">
        <v>2729</v>
      </c>
      <c r="D96" s="3" t="s">
        <v>2741</v>
      </c>
      <c r="E96" s="3" t="s">
        <v>2747</v>
      </c>
      <c r="F96" s="3" t="s">
        <v>2748</v>
      </c>
      <c r="G96" s="3" t="s">
        <v>2691</v>
      </c>
      <c r="H96" s="3" t="s">
        <v>2752</v>
      </c>
      <c r="I96" s="3" t="s">
        <v>2712</v>
      </c>
      <c r="J96" s="3" t="s">
        <v>2694</v>
      </c>
      <c r="K96" s="3" t="s">
        <v>2695</v>
      </c>
    </row>
    <row r="97" customFormat="false" ht="15" hidden="false" customHeight="true" outlineLevel="0" collapsed="false">
      <c r="A97" s="3" t="s">
        <v>315</v>
      </c>
      <c r="B97" s="3" t="s">
        <v>2755</v>
      </c>
      <c r="C97" s="3" t="s">
        <v>2687</v>
      </c>
      <c r="D97" s="3" t="s">
        <v>2741</v>
      </c>
      <c r="E97" s="3" t="s">
        <v>2772</v>
      </c>
      <c r="F97" s="3" t="s">
        <v>2773</v>
      </c>
      <c r="G97" s="3" t="s">
        <v>2722</v>
      </c>
      <c r="H97" s="3" t="s">
        <v>2758</v>
      </c>
      <c r="I97" s="3" t="s">
        <v>2693</v>
      </c>
      <c r="J97" s="3" t="s">
        <v>2738</v>
      </c>
      <c r="K97" s="3" t="s">
        <v>2718</v>
      </c>
    </row>
    <row r="98" customFormat="false" ht="15" hidden="false" customHeight="true" outlineLevel="0" collapsed="false">
      <c r="A98" s="3" t="s">
        <v>318</v>
      </c>
      <c r="B98" s="3" t="s">
        <v>2746</v>
      </c>
      <c r="C98" s="3" t="s">
        <v>2729</v>
      </c>
      <c r="D98" s="3" t="s">
        <v>2714</v>
      </c>
      <c r="E98" s="3" t="s">
        <v>2766</v>
      </c>
      <c r="F98" s="3" t="s">
        <v>2767</v>
      </c>
      <c r="G98" s="3" t="s">
        <v>2701</v>
      </c>
      <c r="H98" s="3" t="s">
        <v>2754</v>
      </c>
      <c r="I98" s="3" t="s">
        <v>2703</v>
      </c>
      <c r="J98" s="3" t="s">
        <v>2694</v>
      </c>
      <c r="K98" s="3" t="s">
        <v>2695</v>
      </c>
    </row>
    <row r="99" customFormat="false" ht="15" hidden="false" customHeight="true" outlineLevel="0" collapsed="false">
      <c r="A99" s="3" t="s">
        <v>321</v>
      </c>
      <c r="B99" s="3" t="s">
        <v>2740</v>
      </c>
      <c r="C99" s="3" t="s">
        <v>2731</v>
      </c>
      <c r="D99" s="3" t="s">
        <v>2698</v>
      </c>
      <c r="E99" s="3" t="s">
        <v>2699</v>
      </c>
      <c r="F99" s="3" t="s">
        <v>2700</v>
      </c>
      <c r="G99" s="3" t="s">
        <v>2722</v>
      </c>
      <c r="H99" s="3" t="s">
        <v>2725</v>
      </c>
      <c r="I99" s="3" t="s">
        <v>2693</v>
      </c>
      <c r="J99" s="3" t="s">
        <v>2694</v>
      </c>
      <c r="K99" s="3" t="s">
        <v>2695</v>
      </c>
    </row>
    <row r="100" customFormat="false" ht="15" hidden="false" customHeight="true" outlineLevel="0" collapsed="false">
      <c r="A100" s="3" t="s">
        <v>324</v>
      </c>
      <c r="B100" s="3" t="s">
        <v>2755</v>
      </c>
      <c r="C100" s="3" t="s">
        <v>2697</v>
      </c>
      <c r="D100" s="3" t="s">
        <v>2714</v>
      </c>
      <c r="E100" s="3" t="s">
        <v>2762</v>
      </c>
      <c r="F100" s="3" t="s">
        <v>2763</v>
      </c>
      <c r="G100" s="3" t="s">
        <v>2691</v>
      </c>
      <c r="H100" s="3" t="s">
        <v>2744</v>
      </c>
      <c r="I100" s="3" t="s">
        <v>2703</v>
      </c>
      <c r="J100" s="3" t="s">
        <v>2738</v>
      </c>
      <c r="K100" s="3" t="s">
        <v>2735</v>
      </c>
    </row>
    <row r="101" customFormat="false" ht="15" hidden="false" customHeight="true" outlineLevel="0" collapsed="false">
      <c r="A101" s="3" t="s">
        <v>327</v>
      </c>
      <c r="B101" s="3" t="s">
        <v>2749</v>
      </c>
      <c r="C101" s="3" t="s">
        <v>2731</v>
      </c>
      <c r="D101" s="3" t="s">
        <v>2708</v>
      </c>
      <c r="E101" s="3" t="s">
        <v>2764</v>
      </c>
      <c r="F101" s="3" t="s">
        <v>2765</v>
      </c>
      <c r="G101" s="3" t="s">
        <v>2722</v>
      </c>
      <c r="H101" s="3" t="s">
        <v>2725</v>
      </c>
      <c r="I101" s="3" t="s">
        <v>2768</v>
      </c>
      <c r="J101" s="3" t="s">
        <v>2694</v>
      </c>
      <c r="K101" s="3" t="s">
        <v>2695</v>
      </c>
    </row>
    <row r="102" customFormat="false" ht="15" hidden="false" customHeight="true" outlineLevel="0" collapsed="false">
      <c r="A102" s="3" t="s">
        <v>330</v>
      </c>
      <c r="B102" s="3" t="s">
        <v>2728</v>
      </c>
      <c r="C102" s="3" t="s">
        <v>2697</v>
      </c>
      <c r="D102" s="3" t="s">
        <v>2714</v>
      </c>
      <c r="E102" s="3" t="s">
        <v>2689</v>
      </c>
      <c r="F102" s="3" t="s">
        <v>2737</v>
      </c>
      <c r="G102" s="3" t="s">
        <v>2722</v>
      </c>
      <c r="H102" s="3" t="s">
        <v>2723</v>
      </c>
      <c r="I102" s="3" t="s">
        <v>2703</v>
      </c>
      <c r="J102" s="3" t="s">
        <v>2694</v>
      </c>
      <c r="K102" s="3" t="s">
        <v>2695</v>
      </c>
    </row>
    <row r="103" customFormat="false" ht="15" hidden="false" customHeight="true" outlineLevel="0" collapsed="false">
      <c r="A103" s="3" t="s">
        <v>333</v>
      </c>
      <c r="B103" s="3" t="s">
        <v>2745</v>
      </c>
      <c r="C103" s="3" t="s">
        <v>2731</v>
      </c>
      <c r="D103" s="3" t="s">
        <v>2708</v>
      </c>
      <c r="E103" s="3" t="s">
        <v>2764</v>
      </c>
      <c r="F103" s="3" t="s">
        <v>2765</v>
      </c>
      <c r="G103" s="3" t="s">
        <v>2691</v>
      </c>
      <c r="H103" s="3" t="s">
        <v>2744</v>
      </c>
      <c r="I103" s="3" t="s">
        <v>2712</v>
      </c>
      <c r="J103" s="3" t="s">
        <v>2694</v>
      </c>
      <c r="K103" s="3" t="s">
        <v>2695</v>
      </c>
    </row>
    <row r="104" customFormat="false" ht="15" hidden="false" customHeight="true" outlineLevel="0" collapsed="false">
      <c r="A104" s="3" t="s">
        <v>336</v>
      </c>
      <c r="B104" s="3" t="s">
        <v>2749</v>
      </c>
      <c r="C104" s="3" t="s">
        <v>2785</v>
      </c>
      <c r="D104" s="3" t="s">
        <v>2698</v>
      </c>
      <c r="E104" s="3" t="s">
        <v>2750</v>
      </c>
      <c r="F104" s="3" t="s">
        <v>2751</v>
      </c>
      <c r="G104" s="3" t="s">
        <v>2701</v>
      </c>
      <c r="H104" s="3" t="s">
        <v>2711</v>
      </c>
      <c r="I104" s="3" t="s">
        <v>2706</v>
      </c>
      <c r="J104" s="3" t="s">
        <v>2694</v>
      </c>
      <c r="K104" s="3" t="s">
        <v>2695</v>
      </c>
    </row>
    <row r="105" customFormat="false" ht="15" hidden="false" customHeight="true" outlineLevel="0" collapsed="false">
      <c r="A105" s="3" t="s">
        <v>339</v>
      </c>
      <c r="B105" s="3" t="s">
        <v>2719</v>
      </c>
      <c r="C105" s="3" t="s">
        <v>2687</v>
      </c>
      <c r="D105" s="3" t="s">
        <v>2708</v>
      </c>
      <c r="E105" s="3" t="s">
        <v>2760</v>
      </c>
      <c r="F105" s="3" t="s">
        <v>2761</v>
      </c>
      <c r="G105" s="3" t="s">
        <v>2701</v>
      </c>
      <c r="H105" s="3" t="s">
        <v>2717</v>
      </c>
      <c r="I105" s="3" t="s">
        <v>2706</v>
      </c>
      <c r="J105" s="3" t="s">
        <v>2734</v>
      </c>
      <c r="K105" s="3" t="s">
        <v>2718</v>
      </c>
    </row>
    <row r="106" customFormat="false" ht="15" hidden="false" customHeight="true" outlineLevel="0" collapsed="false">
      <c r="A106" s="3" t="s">
        <v>342</v>
      </c>
      <c r="B106" s="3" t="s">
        <v>2778</v>
      </c>
      <c r="C106" s="3" t="s">
        <v>2729</v>
      </c>
      <c r="D106" s="3" t="s">
        <v>2714</v>
      </c>
      <c r="E106" s="3" t="s">
        <v>2715</v>
      </c>
      <c r="F106" s="3" t="s">
        <v>2716</v>
      </c>
      <c r="G106" s="3" t="s">
        <v>2701</v>
      </c>
      <c r="H106" s="3" t="s">
        <v>2702</v>
      </c>
      <c r="I106" s="3" t="s">
        <v>2706</v>
      </c>
      <c r="J106" s="3" t="s">
        <v>2694</v>
      </c>
      <c r="K106" s="3" t="s">
        <v>2695</v>
      </c>
    </row>
    <row r="107" customFormat="false" ht="15" hidden="false" customHeight="true" outlineLevel="0" collapsed="false">
      <c r="A107" s="3" t="s">
        <v>345</v>
      </c>
      <c r="B107" s="3" t="s">
        <v>2713</v>
      </c>
      <c r="C107" s="3" t="s">
        <v>2687</v>
      </c>
      <c r="D107" s="3" t="s">
        <v>2708</v>
      </c>
      <c r="E107" s="3" t="s">
        <v>2760</v>
      </c>
      <c r="F107" s="3" t="s">
        <v>2761</v>
      </c>
      <c r="G107" s="3" t="s">
        <v>2691</v>
      </c>
      <c r="H107" s="3" t="s">
        <v>2730</v>
      </c>
      <c r="I107" s="3" t="s">
        <v>2703</v>
      </c>
      <c r="J107" s="3" t="s">
        <v>2694</v>
      </c>
      <c r="K107" s="3" t="s">
        <v>2718</v>
      </c>
    </row>
    <row r="108" customFormat="false" ht="15" hidden="false" customHeight="true" outlineLevel="0" collapsed="false">
      <c r="A108" s="3" t="s">
        <v>348</v>
      </c>
      <c r="B108" s="3" t="s">
        <v>2696</v>
      </c>
      <c r="C108" s="3" t="s">
        <v>2731</v>
      </c>
      <c r="D108" s="3" t="s">
        <v>2698</v>
      </c>
      <c r="E108" s="3" t="s">
        <v>2732</v>
      </c>
      <c r="F108" s="3" t="s">
        <v>2733</v>
      </c>
      <c r="G108" s="3" t="s">
        <v>2701</v>
      </c>
      <c r="H108" s="3" t="s">
        <v>2702</v>
      </c>
      <c r="I108" s="3" t="s">
        <v>2693</v>
      </c>
      <c r="J108" s="3" t="s">
        <v>2694</v>
      </c>
      <c r="K108" s="3" t="s">
        <v>2695</v>
      </c>
    </row>
    <row r="109" customFormat="false" ht="15" hidden="false" customHeight="true" outlineLevel="0" collapsed="false">
      <c r="A109" s="3" t="s">
        <v>351</v>
      </c>
      <c r="B109" s="3" t="s">
        <v>2707</v>
      </c>
      <c r="C109" s="3" t="s">
        <v>2731</v>
      </c>
      <c r="D109" s="3" t="s">
        <v>2698</v>
      </c>
      <c r="E109" s="3" t="s">
        <v>2732</v>
      </c>
      <c r="F109" s="3" t="s">
        <v>2733</v>
      </c>
      <c r="G109" s="3" t="s">
        <v>2691</v>
      </c>
      <c r="H109" s="3" t="s">
        <v>2692</v>
      </c>
      <c r="I109" s="3" t="s">
        <v>2712</v>
      </c>
      <c r="J109" s="3" t="s">
        <v>2694</v>
      </c>
      <c r="K109" s="3" t="s">
        <v>2718</v>
      </c>
    </row>
    <row r="110" customFormat="false" ht="15" hidden="false" customHeight="true" outlineLevel="0" collapsed="false">
      <c r="A110" s="3" t="s">
        <v>354</v>
      </c>
      <c r="B110" s="3" t="s">
        <v>2749</v>
      </c>
      <c r="C110" s="3" t="s">
        <v>2731</v>
      </c>
      <c r="D110" s="3" t="s">
        <v>2698</v>
      </c>
      <c r="E110" s="3" t="s">
        <v>2732</v>
      </c>
      <c r="F110" s="3" t="s">
        <v>2733</v>
      </c>
      <c r="G110" s="3" t="s">
        <v>2701</v>
      </c>
      <c r="H110" s="3" t="s">
        <v>2711</v>
      </c>
      <c r="I110" s="3" t="s">
        <v>2706</v>
      </c>
      <c r="J110" s="3" t="s">
        <v>2694</v>
      </c>
      <c r="K110" s="3" t="s">
        <v>2695</v>
      </c>
    </row>
    <row r="111" customFormat="false" ht="15" hidden="false" customHeight="true" outlineLevel="0" collapsed="false">
      <c r="A111" s="3" t="s">
        <v>357</v>
      </c>
      <c r="B111" s="3" t="s">
        <v>2728</v>
      </c>
      <c r="C111" s="3" t="s">
        <v>2697</v>
      </c>
      <c r="D111" s="3" t="s">
        <v>2698</v>
      </c>
      <c r="E111" s="3" t="s">
        <v>2699</v>
      </c>
      <c r="F111" s="3" t="s">
        <v>2700</v>
      </c>
      <c r="G111" s="3" t="s">
        <v>2701</v>
      </c>
      <c r="H111" s="3" t="s">
        <v>2754</v>
      </c>
      <c r="I111" s="3" t="s">
        <v>2703</v>
      </c>
      <c r="J111" s="3" t="s">
        <v>2694</v>
      </c>
      <c r="K111" s="3" t="s">
        <v>2695</v>
      </c>
    </row>
    <row r="112" customFormat="false" ht="15" hidden="false" customHeight="true" outlineLevel="0" collapsed="false">
      <c r="A112" s="3" t="s">
        <v>360</v>
      </c>
      <c r="B112" s="3" t="s">
        <v>2746</v>
      </c>
      <c r="C112" s="3" t="s">
        <v>2687</v>
      </c>
      <c r="D112" s="3" t="s">
        <v>2741</v>
      </c>
      <c r="E112" s="3" t="s">
        <v>2782</v>
      </c>
      <c r="F112" s="3" t="s">
        <v>2783</v>
      </c>
      <c r="G112" s="3" t="s">
        <v>2691</v>
      </c>
      <c r="H112" s="3" t="s">
        <v>2752</v>
      </c>
      <c r="I112" s="3" t="s">
        <v>2693</v>
      </c>
      <c r="J112" s="3" t="s">
        <v>2694</v>
      </c>
      <c r="K112" s="3" t="s">
        <v>2695</v>
      </c>
    </row>
    <row r="113" customFormat="false" ht="15" hidden="false" customHeight="true" outlineLevel="0" collapsed="false">
      <c r="A113" s="3" t="s">
        <v>363</v>
      </c>
      <c r="B113" s="3" t="s">
        <v>2719</v>
      </c>
      <c r="C113" s="3" t="s">
        <v>2729</v>
      </c>
      <c r="D113" s="3" t="s">
        <v>2708</v>
      </c>
      <c r="E113" s="3" t="s">
        <v>2764</v>
      </c>
      <c r="F113" s="3" t="s">
        <v>2765</v>
      </c>
      <c r="G113" s="3" t="s">
        <v>2691</v>
      </c>
      <c r="H113" s="3" t="s">
        <v>2730</v>
      </c>
      <c r="I113" s="3" t="s">
        <v>2706</v>
      </c>
      <c r="J113" s="3" t="s">
        <v>2734</v>
      </c>
      <c r="K113" s="3" t="s">
        <v>2718</v>
      </c>
    </row>
    <row r="114" customFormat="false" ht="15" hidden="false" customHeight="true" outlineLevel="0" collapsed="false">
      <c r="A114" s="3" t="s">
        <v>366</v>
      </c>
      <c r="B114" s="3" t="s">
        <v>2724</v>
      </c>
      <c r="C114" s="3" t="s">
        <v>2729</v>
      </c>
      <c r="D114" s="3" t="s">
        <v>2698</v>
      </c>
      <c r="E114" s="3" t="s">
        <v>2750</v>
      </c>
      <c r="F114" s="3" t="s">
        <v>2751</v>
      </c>
      <c r="G114" s="3" t="s">
        <v>2722</v>
      </c>
      <c r="H114" s="3" t="s">
        <v>2723</v>
      </c>
      <c r="I114" s="3" t="s">
        <v>2706</v>
      </c>
      <c r="J114" s="3" t="s">
        <v>2738</v>
      </c>
      <c r="K114" s="3" t="s">
        <v>2718</v>
      </c>
    </row>
    <row r="115" customFormat="false" ht="15" hidden="false" customHeight="true" outlineLevel="0" collapsed="false">
      <c r="A115" s="3" t="s">
        <v>369</v>
      </c>
      <c r="B115" s="3" t="s">
        <v>2746</v>
      </c>
      <c r="C115" s="3" t="s">
        <v>2786</v>
      </c>
      <c r="D115" s="3" t="s">
        <v>2768</v>
      </c>
      <c r="E115" s="3" t="s">
        <v>2762</v>
      </c>
      <c r="F115" s="3" t="s">
        <v>2763</v>
      </c>
      <c r="G115" s="3" t="s">
        <v>2722</v>
      </c>
      <c r="H115" s="3" t="s">
        <v>2723</v>
      </c>
      <c r="I115" s="3" t="s">
        <v>2712</v>
      </c>
      <c r="J115" s="3" t="s">
        <v>2694</v>
      </c>
      <c r="K115" s="3" t="s">
        <v>2695</v>
      </c>
    </row>
    <row r="116" customFormat="false" ht="15" hidden="false" customHeight="true" outlineLevel="0" collapsed="false">
      <c r="A116" s="3" t="s">
        <v>373</v>
      </c>
      <c r="B116" s="3" t="s">
        <v>2704</v>
      </c>
      <c r="C116" s="3" t="s">
        <v>2731</v>
      </c>
      <c r="D116" s="3" t="s">
        <v>2708</v>
      </c>
      <c r="E116" s="3" t="s">
        <v>2774</v>
      </c>
      <c r="F116" s="3" t="s">
        <v>2775</v>
      </c>
      <c r="G116" s="3" t="s">
        <v>2701</v>
      </c>
      <c r="H116" s="3" t="s">
        <v>2702</v>
      </c>
      <c r="I116" s="3" t="s">
        <v>2712</v>
      </c>
      <c r="J116" s="3" t="s">
        <v>2694</v>
      </c>
      <c r="K116" s="3" t="s">
        <v>2695</v>
      </c>
    </row>
    <row r="117" customFormat="false" ht="15" hidden="false" customHeight="true" outlineLevel="0" collapsed="false">
      <c r="A117" s="3" t="s">
        <v>375</v>
      </c>
      <c r="B117" s="3" t="s">
        <v>2724</v>
      </c>
      <c r="C117" s="3" t="s">
        <v>2697</v>
      </c>
      <c r="D117" s="3" t="s">
        <v>2741</v>
      </c>
      <c r="E117" s="3" t="s">
        <v>2689</v>
      </c>
      <c r="F117" s="3" t="s">
        <v>2690</v>
      </c>
      <c r="G117" s="3" t="s">
        <v>2722</v>
      </c>
      <c r="H117" s="3" t="s">
        <v>2723</v>
      </c>
      <c r="I117" s="3" t="s">
        <v>2693</v>
      </c>
      <c r="J117" s="3" t="s">
        <v>2738</v>
      </c>
      <c r="K117" s="3" t="s">
        <v>2718</v>
      </c>
    </row>
    <row r="118" customFormat="false" ht="15" hidden="false" customHeight="true" outlineLevel="0" collapsed="false">
      <c r="A118" s="3" t="s">
        <v>378</v>
      </c>
      <c r="B118" s="3" t="s">
        <v>2778</v>
      </c>
      <c r="C118" s="3" t="s">
        <v>2729</v>
      </c>
      <c r="D118" s="3" t="s">
        <v>2708</v>
      </c>
      <c r="E118" s="3" t="s">
        <v>2774</v>
      </c>
      <c r="F118" s="3" t="s">
        <v>2775</v>
      </c>
      <c r="G118" s="3" t="s">
        <v>2691</v>
      </c>
      <c r="H118" s="3" t="s">
        <v>2752</v>
      </c>
      <c r="I118" s="3" t="s">
        <v>2703</v>
      </c>
      <c r="J118" s="3" t="s">
        <v>2694</v>
      </c>
      <c r="K118" s="3" t="s">
        <v>2718</v>
      </c>
    </row>
    <row r="119" customFormat="false" ht="15" hidden="false" customHeight="true" outlineLevel="0" collapsed="false">
      <c r="A119" s="3" t="s">
        <v>381</v>
      </c>
      <c r="B119" s="3" t="s">
        <v>2713</v>
      </c>
      <c r="C119" s="3" t="s">
        <v>2697</v>
      </c>
      <c r="D119" s="3" t="s">
        <v>2768</v>
      </c>
      <c r="E119" s="3" t="s">
        <v>2720</v>
      </c>
      <c r="F119" s="3" t="s">
        <v>2721</v>
      </c>
      <c r="G119" s="3" t="s">
        <v>2691</v>
      </c>
      <c r="H119" s="3" t="s">
        <v>2752</v>
      </c>
      <c r="I119" s="3" t="s">
        <v>2706</v>
      </c>
      <c r="J119" s="3" t="s">
        <v>2753</v>
      </c>
      <c r="K119" s="3" t="s">
        <v>2718</v>
      </c>
    </row>
    <row r="120" customFormat="false" ht="15" hidden="false" customHeight="true" outlineLevel="0" collapsed="false">
      <c r="A120" s="3" t="s">
        <v>384</v>
      </c>
      <c r="B120" s="3" t="s">
        <v>2696</v>
      </c>
      <c r="C120" s="3" t="s">
        <v>2731</v>
      </c>
      <c r="D120" s="3" t="s">
        <v>2708</v>
      </c>
      <c r="E120" s="3" t="s">
        <v>2774</v>
      </c>
      <c r="F120" s="3" t="s">
        <v>2775</v>
      </c>
      <c r="G120" s="3" t="s">
        <v>2722</v>
      </c>
      <c r="H120" s="3" t="s">
        <v>2779</v>
      </c>
      <c r="I120" s="3" t="s">
        <v>2712</v>
      </c>
      <c r="J120" s="3" t="s">
        <v>2694</v>
      </c>
      <c r="K120" s="3" t="s">
        <v>2695</v>
      </c>
    </row>
    <row r="121" customFormat="false" ht="15" hidden="false" customHeight="true" outlineLevel="0" collapsed="false">
      <c r="A121" s="3" t="s">
        <v>387</v>
      </c>
      <c r="B121" s="3" t="s">
        <v>2787</v>
      </c>
      <c r="C121" s="3" t="s">
        <v>2731</v>
      </c>
      <c r="D121" s="3" t="s">
        <v>2708</v>
      </c>
      <c r="E121" s="3" t="s">
        <v>2726</v>
      </c>
      <c r="F121" s="3" t="s">
        <v>2727</v>
      </c>
      <c r="G121" s="3" t="s">
        <v>2722</v>
      </c>
      <c r="H121" s="3" t="s">
        <v>2725</v>
      </c>
      <c r="I121" s="3" t="s">
        <v>2703</v>
      </c>
      <c r="J121" s="3" t="s">
        <v>2694</v>
      </c>
      <c r="K121" s="3" t="s">
        <v>2695</v>
      </c>
    </row>
    <row r="122" customFormat="false" ht="15" hidden="false" customHeight="true" outlineLevel="0" collapsed="false">
      <c r="A122" s="3" t="s">
        <v>390</v>
      </c>
      <c r="B122" s="3" t="s">
        <v>2728</v>
      </c>
      <c r="C122" s="3" t="s">
        <v>2788</v>
      </c>
      <c r="D122" s="3" t="s">
        <v>2708</v>
      </c>
      <c r="E122" s="3" t="s">
        <v>2764</v>
      </c>
      <c r="F122" s="3" t="s">
        <v>2765</v>
      </c>
      <c r="G122" s="3" t="s">
        <v>2701</v>
      </c>
      <c r="H122" s="3" t="s">
        <v>2717</v>
      </c>
      <c r="I122" s="3" t="s">
        <v>2712</v>
      </c>
      <c r="J122" s="3" t="s">
        <v>2734</v>
      </c>
      <c r="K122" s="3" t="s">
        <v>2735</v>
      </c>
    </row>
    <row r="123" customFormat="false" ht="15" hidden="false" customHeight="true" outlineLevel="0" collapsed="false">
      <c r="A123" s="3" t="s">
        <v>393</v>
      </c>
      <c r="B123" s="3" t="s">
        <v>2746</v>
      </c>
      <c r="C123" s="3" t="s">
        <v>2697</v>
      </c>
      <c r="D123" s="3" t="s">
        <v>2698</v>
      </c>
      <c r="E123" s="3" t="s">
        <v>2750</v>
      </c>
      <c r="F123" s="3" t="s">
        <v>2751</v>
      </c>
      <c r="G123" s="3" t="s">
        <v>2722</v>
      </c>
      <c r="H123" s="3" t="s">
        <v>2758</v>
      </c>
      <c r="I123" s="3" t="s">
        <v>2712</v>
      </c>
      <c r="J123" s="3" t="s">
        <v>2694</v>
      </c>
      <c r="K123" s="3" t="s">
        <v>2735</v>
      </c>
    </row>
    <row r="124" customFormat="false" ht="15" hidden="false" customHeight="true" outlineLevel="0" collapsed="false">
      <c r="A124" s="3" t="s">
        <v>396</v>
      </c>
      <c r="B124" s="3" t="s">
        <v>2778</v>
      </c>
      <c r="C124" s="3" t="s">
        <v>2789</v>
      </c>
      <c r="D124" s="3" t="s">
        <v>2708</v>
      </c>
      <c r="E124" s="3" t="s">
        <v>2726</v>
      </c>
      <c r="F124" s="3" t="s">
        <v>2727</v>
      </c>
      <c r="G124" s="3" t="s">
        <v>2722</v>
      </c>
      <c r="H124" s="3" t="s">
        <v>2779</v>
      </c>
      <c r="I124" s="3" t="s">
        <v>2693</v>
      </c>
      <c r="J124" s="3" t="s">
        <v>2734</v>
      </c>
      <c r="K124" s="3" t="s">
        <v>2718</v>
      </c>
    </row>
    <row r="125" customFormat="false" ht="15" hidden="false" customHeight="true" outlineLevel="0" collapsed="false">
      <c r="A125" s="3" t="s">
        <v>399</v>
      </c>
      <c r="B125" s="3" t="s">
        <v>2713</v>
      </c>
      <c r="C125" s="3" t="s">
        <v>2697</v>
      </c>
      <c r="D125" s="3" t="s">
        <v>2698</v>
      </c>
      <c r="E125" s="3" t="s">
        <v>2756</v>
      </c>
      <c r="F125" s="3" t="s">
        <v>2757</v>
      </c>
      <c r="G125" s="3" t="s">
        <v>2701</v>
      </c>
      <c r="H125" s="3" t="s">
        <v>2717</v>
      </c>
      <c r="I125" s="3" t="s">
        <v>2693</v>
      </c>
      <c r="J125" s="3" t="s">
        <v>2694</v>
      </c>
      <c r="K125" s="3" t="s">
        <v>2695</v>
      </c>
    </row>
    <row r="126" customFormat="false" ht="15" hidden="false" customHeight="true" outlineLevel="0" collapsed="false">
      <c r="A126" s="3" t="s">
        <v>402</v>
      </c>
      <c r="B126" s="3" t="s">
        <v>2746</v>
      </c>
      <c r="C126" s="3" t="s">
        <v>2697</v>
      </c>
      <c r="D126" s="3" t="s">
        <v>2790</v>
      </c>
      <c r="E126" s="3" t="s">
        <v>2742</v>
      </c>
      <c r="F126" s="3" t="s">
        <v>2743</v>
      </c>
      <c r="G126" s="3" t="s">
        <v>2722</v>
      </c>
      <c r="H126" s="3" t="s">
        <v>2725</v>
      </c>
      <c r="I126" s="3" t="s">
        <v>2703</v>
      </c>
      <c r="J126" s="3" t="s">
        <v>2734</v>
      </c>
      <c r="K126" s="3" t="s">
        <v>2718</v>
      </c>
    </row>
    <row r="127" customFormat="false" ht="15" hidden="false" customHeight="true" outlineLevel="0" collapsed="false">
      <c r="A127" s="3" t="s">
        <v>405</v>
      </c>
      <c r="B127" s="3" t="s">
        <v>2704</v>
      </c>
      <c r="C127" s="3" t="s">
        <v>2729</v>
      </c>
      <c r="D127" s="3" t="s">
        <v>2708</v>
      </c>
      <c r="E127" s="3" t="s">
        <v>2760</v>
      </c>
      <c r="F127" s="3" t="s">
        <v>2761</v>
      </c>
      <c r="G127" s="3" t="s">
        <v>2722</v>
      </c>
      <c r="H127" s="3" t="s">
        <v>2725</v>
      </c>
      <c r="I127" s="3" t="s">
        <v>2712</v>
      </c>
      <c r="J127" s="3" t="s">
        <v>2694</v>
      </c>
      <c r="K127" s="3" t="s">
        <v>2791</v>
      </c>
    </row>
    <row r="128" customFormat="false" ht="15" hidden="false" customHeight="true" outlineLevel="0" collapsed="false">
      <c r="A128" s="3" t="s">
        <v>408</v>
      </c>
      <c r="B128" s="3" t="s">
        <v>2724</v>
      </c>
      <c r="C128" s="3" t="s">
        <v>2697</v>
      </c>
      <c r="D128" s="3" t="s">
        <v>2714</v>
      </c>
      <c r="E128" s="3" t="s">
        <v>2689</v>
      </c>
      <c r="F128" s="3" t="s">
        <v>2737</v>
      </c>
      <c r="G128" s="3" t="s">
        <v>2701</v>
      </c>
      <c r="H128" s="3" t="s">
        <v>2702</v>
      </c>
      <c r="I128" s="3" t="s">
        <v>2703</v>
      </c>
      <c r="J128" s="3" t="s">
        <v>2734</v>
      </c>
      <c r="K128" s="3" t="s">
        <v>2735</v>
      </c>
    </row>
    <row r="129" customFormat="false" ht="15" hidden="false" customHeight="true" outlineLevel="0" collapsed="false">
      <c r="A129" s="3" t="s">
        <v>411</v>
      </c>
      <c r="B129" s="3" t="s">
        <v>2739</v>
      </c>
      <c r="C129" s="3" t="s">
        <v>2729</v>
      </c>
      <c r="D129" s="3" t="s">
        <v>2741</v>
      </c>
      <c r="E129" s="3" t="s">
        <v>2782</v>
      </c>
      <c r="F129" s="3" t="s">
        <v>2783</v>
      </c>
      <c r="G129" s="3" t="s">
        <v>2722</v>
      </c>
      <c r="H129" s="3" t="s">
        <v>2725</v>
      </c>
      <c r="I129" s="3" t="s">
        <v>2712</v>
      </c>
      <c r="J129" s="3" t="s">
        <v>2694</v>
      </c>
      <c r="K129" s="3" t="s">
        <v>2695</v>
      </c>
    </row>
    <row r="130" customFormat="false" ht="15" hidden="false" customHeight="true" outlineLevel="0" collapsed="false">
      <c r="A130" s="3" t="s">
        <v>414</v>
      </c>
      <c r="B130" s="3" t="s">
        <v>2739</v>
      </c>
      <c r="C130" s="3" t="s">
        <v>2729</v>
      </c>
      <c r="D130" s="3" t="s">
        <v>2714</v>
      </c>
      <c r="E130" s="3" t="s">
        <v>2720</v>
      </c>
      <c r="F130" s="3" t="s">
        <v>2721</v>
      </c>
      <c r="G130" s="3" t="s">
        <v>2691</v>
      </c>
      <c r="H130" s="3" t="s">
        <v>2744</v>
      </c>
      <c r="I130" s="3" t="s">
        <v>2693</v>
      </c>
      <c r="J130" s="3" t="s">
        <v>2694</v>
      </c>
      <c r="K130" s="3" t="s">
        <v>2695</v>
      </c>
    </row>
    <row r="131" customFormat="false" ht="15" hidden="false" customHeight="true" outlineLevel="0" collapsed="false">
      <c r="A131" s="3" t="s">
        <v>417</v>
      </c>
      <c r="B131" s="3" t="s">
        <v>2724</v>
      </c>
      <c r="C131" s="3" t="s">
        <v>2697</v>
      </c>
      <c r="D131" s="3" t="s">
        <v>2698</v>
      </c>
      <c r="E131" s="3" t="s">
        <v>2699</v>
      </c>
      <c r="F131" s="3" t="s">
        <v>2700</v>
      </c>
      <c r="G131" s="3" t="s">
        <v>2701</v>
      </c>
      <c r="H131" s="3" t="s">
        <v>2711</v>
      </c>
      <c r="I131" s="3" t="s">
        <v>2712</v>
      </c>
      <c r="J131" s="3" t="s">
        <v>2694</v>
      </c>
      <c r="K131" s="3" t="s">
        <v>2735</v>
      </c>
    </row>
    <row r="132" customFormat="false" ht="15" hidden="false" customHeight="true" outlineLevel="0" collapsed="false">
      <c r="A132" s="3" t="s">
        <v>420</v>
      </c>
      <c r="B132" s="3" t="s">
        <v>2704</v>
      </c>
      <c r="C132" s="3" t="s">
        <v>2697</v>
      </c>
      <c r="D132" s="3" t="s">
        <v>2714</v>
      </c>
      <c r="E132" s="3" t="s">
        <v>2766</v>
      </c>
      <c r="F132" s="3" t="s">
        <v>2767</v>
      </c>
      <c r="G132" s="3" t="s">
        <v>2691</v>
      </c>
      <c r="H132" s="3" t="s">
        <v>2752</v>
      </c>
      <c r="I132" s="3" t="s">
        <v>2712</v>
      </c>
      <c r="J132" s="3" t="s">
        <v>2694</v>
      </c>
      <c r="K132" s="3" t="s">
        <v>2695</v>
      </c>
    </row>
    <row r="133" customFormat="false" ht="15" hidden="false" customHeight="true" outlineLevel="0" collapsed="false">
      <c r="A133" s="3" t="s">
        <v>423</v>
      </c>
      <c r="B133" s="3" t="s">
        <v>2707</v>
      </c>
      <c r="C133" s="3" t="s">
        <v>2687</v>
      </c>
      <c r="D133" s="3" t="s">
        <v>2714</v>
      </c>
      <c r="E133" s="3" t="s">
        <v>2762</v>
      </c>
      <c r="F133" s="3" t="s">
        <v>2763</v>
      </c>
      <c r="G133" s="3" t="s">
        <v>2691</v>
      </c>
      <c r="H133" s="3" t="s">
        <v>2730</v>
      </c>
      <c r="I133" s="3" t="s">
        <v>2703</v>
      </c>
      <c r="J133" s="3" t="s">
        <v>2738</v>
      </c>
      <c r="K133" s="3" t="s">
        <v>2718</v>
      </c>
    </row>
    <row r="134" customFormat="false" ht="15" hidden="false" customHeight="true" outlineLevel="0" collapsed="false">
      <c r="A134" s="3" t="s">
        <v>426</v>
      </c>
      <c r="B134" s="3" t="s">
        <v>2713</v>
      </c>
      <c r="C134" s="3" t="s">
        <v>2731</v>
      </c>
      <c r="D134" s="3" t="s">
        <v>2698</v>
      </c>
      <c r="E134" s="3" t="s">
        <v>2770</v>
      </c>
      <c r="F134" s="3" t="s">
        <v>2771</v>
      </c>
      <c r="G134" s="3" t="s">
        <v>2691</v>
      </c>
      <c r="H134" s="3" t="s">
        <v>2692</v>
      </c>
      <c r="I134" s="3" t="s">
        <v>2703</v>
      </c>
      <c r="J134" s="3" t="s">
        <v>2694</v>
      </c>
      <c r="K134" s="3" t="s">
        <v>2695</v>
      </c>
    </row>
    <row r="135" customFormat="false" ht="15" hidden="false" customHeight="true" outlineLevel="0" collapsed="false">
      <c r="A135" s="3" t="s">
        <v>429</v>
      </c>
      <c r="B135" s="3" t="s">
        <v>2778</v>
      </c>
      <c r="C135" s="3" t="s">
        <v>2729</v>
      </c>
      <c r="D135" s="3" t="s">
        <v>2698</v>
      </c>
      <c r="E135" s="3" t="s">
        <v>2756</v>
      </c>
      <c r="F135" s="3" t="s">
        <v>2757</v>
      </c>
      <c r="G135" s="3" t="s">
        <v>2722</v>
      </c>
      <c r="H135" s="3" t="s">
        <v>2779</v>
      </c>
      <c r="I135" s="3" t="s">
        <v>2706</v>
      </c>
      <c r="J135" s="3" t="s">
        <v>2753</v>
      </c>
      <c r="K135" s="3" t="s">
        <v>2718</v>
      </c>
    </row>
    <row r="136" customFormat="false" ht="15" hidden="false" customHeight="true" outlineLevel="0" collapsed="false">
      <c r="A136" s="3" t="s">
        <v>432</v>
      </c>
      <c r="B136" s="3" t="s">
        <v>2686</v>
      </c>
      <c r="C136" s="3" t="s">
        <v>2687</v>
      </c>
      <c r="D136" s="3" t="s">
        <v>2714</v>
      </c>
      <c r="E136" s="3" t="s">
        <v>2766</v>
      </c>
      <c r="F136" s="3" t="s">
        <v>2767</v>
      </c>
      <c r="G136" s="3" t="s">
        <v>2722</v>
      </c>
      <c r="H136" s="3" t="s">
        <v>2758</v>
      </c>
      <c r="I136" s="3" t="s">
        <v>2693</v>
      </c>
      <c r="J136" s="3" t="s">
        <v>2694</v>
      </c>
      <c r="K136" s="3" t="s">
        <v>2695</v>
      </c>
    </row>
    <row r="137" customFormat="false" ht="15" hidden="false" customHeight="true" outlineLevel="0" collapsed="false">
      <c r="A137" s="3" t="s">
        <v>435</v>
      </c>
      <c r="B137" s="3" t="s">
        <v>2719</v>
      </c>
      <c r="C137" s="3" t="s">
        <v>2731</v>
      </c>
      <c r="D137" s="3" t="s">
        <v>2698</v>
      </c>
      <c r="E137" s="3" t="s">
        <v>2732</v>
      </c>
      <c r="F137" s="3" t="s">
        <v>2733</v>
      </c>
      <c r="G137" s="3" t="s">
        <v>2701</v>
      </c>
      <c r="H137" s="3" t="s">
        <v>2754</v>
      </c>
      <c r="I137" s="3" t="s">
        <v>2768</v>
      </c>
      <c r="J137" s="3" t="s">
        <v>2738</v>
      </c>
      <c r="K137" s="3" t="s">
        <v>2718</v>
      </c>
    </row>
    <row r="138" customFormat="false" ht="15" hidden="false" customHeight="true" outlineLevel="0" collapsed="false">
      <c r="A138" s="3" t="s">
        <v>438</v>
      </c>
      <c r="B138" s="3" t="s">
        <v>2755</v>
      </c>
      <c r="C138" s="3" t="s">
        <v>2697</v>
      </c>
      <c r="D138" s="3" t="s">
        <v>2708</v>
      </c>
      <c r="E138" s="3" t="s">
        <v>2764</v>
      </c>
      <c r="F138" s="3" t="s">
        <v>2765</v>
      </c>
      <c r="G138" s="3" t="s">
        <v>2792</v>
      </c>
      <c r="H138" s="3" t="s">
        <v>2754</v>
      </c>
      <c r="I138" s="3" t="s">
        <v>2712</v>
      </c>
      <c r="J138" s="3" t="s">
        <v>2694</v>
      </c>
      <c r="K138" s="3" t="s">
        <v>2695</v>
      </c>
    </row>
    <row r="139" customFormat="false" ht="15" hidden="false" customHeight="true" outlineLevel="0" collapsed="false">
      <c r="A139" s="3" t="s">
        <v>441</v>
      </c>
      <c r="B139" s="3" t="s">
        <v>2696</v>
      </c>
      <c r="C139" s="3" t="s">
        <v>2731</v>
      </c>
      <c r="D139" s="3" t="s">
        <v>2698</v>
      </c>
      <c r="E139" s="3" t="s">
        <v>2770</v>
      </c>
      <c r="F139" s="3" t="s">
        <v>2771</v>
      </c>
      <c r="G139" s="3" t="s">
        <v>2691</v>
      </c>
      <c r="H139" s="3" t="s">
        <v>2752</v>
      </c>
      <c r="I139" s="3" t="s">
        <v>2793</v>
      </c>
      <c r="J139" s="3" t="s">
        <v>2694</v>
      </c>
      <c r="K139" s="3" t="s">
        <v>2695</v>
      </c>
    </row>
    <row r="140" customFormat="false" ht="15" hidden="false" customHeight="true" outlineLevel="0" collapsed="false">
      <c r="A140" s="3" t="s">
        <v>444</v>
      </c>
      <c r="B140" s="3" t="s">
        <v>2746</v>
      </c>
      <c r="C140" s="3" t="s">
        <v>2697</v>
      </c>
      <c r="D140" s="3" t="s">
        <v>2741</v>
      </c>
      <c r="E140" s="3" t="s">
        <v>2689</v>
      </c>
      <c r="F140" s="3" t="s">
        <v>2690</v>
      </c>
      <c r="G140" s="3" t="s">
        <v>2701</v>
      </c>
      <c r="H140" s="3" t="s">
        <v>2717</v>
      </c>
      <c r="I140" s="3" t="s">
        <v>2703</v>
      </c>
      <c r="J140" s="3" t="s">
        <v>2694</v>
      </c>
      <c r="K140" s="3" t="s">
        <v>2695</v>
      </c>
    </row>
    <row r="141" customFormat="false" ht="15" hidden="false" customHeight="true" outlineLevel="0" collapsed="false">
      <c r="A141" s="3" t="s">
        <v>447</v>
      </c>
      <c r="B141" s="3" t="s">
        <v>2755</v>
      </c>
      <c r="C141" s="3" t="s">
        <v>2731</v>
      </c>
      <c r="D141" s="3" t="s">
        <v>2698</v>
      </c>
      <c r="E141" s="3" t="s">
        <v>2770</v>
      </c>
      <c r="F141" s="3" t="s">
        <v>2771</v>
      </c>
      <c r="G141" s="3" t="s">
        <v>2722</v>
      </c>
      <c r="H141" s="3" t="s">
        <v>2779</v>
      </c>
      <c r="I141" s="3" t="s">
        <v>2712</v>
      </c>
      <c r="J141" s="3" t="s">
        <v>2694</v>
      </c>
      <c r="K141" s="3" t="s">
        <v>2695</v>
      </c>
    </row>
    <row r="142" customFormat="false" ht="15" hidden="false" customHeight="true" outlineLevel="0" collapsed="false">
      <c r="A142" s="3" t="s">
        <v>450</v>
      </c>
      <c r="B142" s="3" t="s">
        <v>2724</v>
      </c>
      <c r="C142" s="3" t="s">
        <v>2731</v>
      </c>
      <c r="D142" s="3" t="s">
        <v>2708</v>
      </c>
      <c r="E142" s="3" t="s">
        <v>2760</v>
      </c>
      <c r="F142" s="3" t="s">
        <v>2761</v>
      </c>
      <c r="G142" s="3" t="s">
        <v>2691</v>
      </c>
      <c r="H142" s="3" t="s">
        <v>2730</v>
      </c>
      <c r="I142" s="3" t="s">
        <v>2712</v>
      </c>
      <c r="J142" s="3" t="s">
        <v>2694</v>
      </c>
      <c r="K142" s="3" t="s">
        <v>2695</v>
      </c>
    </row>
    <row r="143" customFormat="false" ht="15" hidden="false" customHeight="true" outlineLevel="0" collapsed="false">
      <c r="A143" s="3" t="s">
        <v>453</v>
      </c>
      <c r="B143" s="3" t="s">
        <v>2696</v>
      </c>
      <c r="C143" s="3" t="s">
        <v>2729</v>
      </c>
      <c r="D143" s="3" t="s">
        <v>2708</v>
      </c>
      <c r="E143" s="3" t="s">
        <v>2760</v>
      </c>
      <c r="F143" s="3" t="s">
        <v>2761</v>
      </c>
      <c r="G143" s="3" t="s">
        <v>2701</v>
      </c>
      <c r="H143" s="3" t="s">
        <v>2754</v>
      </c>
      <c r="I143" s="3" t="s">
        <v>2703</v>
      </c>
      <c r="J143" s="3" t="s">
        <v>2694</v>
      </c>
      <c r="K143" s="3" t="s">
        <v>2695</v>
      </c>
    </row>
    <row r="144" customFormat="false" ht="15" hidden="false" customHeight="true" outlineLevel="0" collapsed="false">
      <c r="A144" s="3" t="s">
        <v>456</v>
      </c>
      <c r="B144" s="3" t="s">
        <v>2739</v>
      </c>
      <c r="C144" s="3" t="s">
        <v>2729</v>
      </c>
      <c r="D144" s="3" t="s">
        <v>2741</v>
      </c>
      <c r="E144" s="3" t="s">
        <v>2782</v>
      </c>
      <c r="F144" s="3" t="s">
        <v>2783</v>
      </c>
      <c r="G144" s="3" t="s">
        <v>2701</v>
      </c>
      <c r="H144" s="3" t="s">
        <v>2754</v>
      </c>
      <c r="I144" s="3" t="s">
        <v>2703</v>
      </c>
      <c r="J144" s="3" t="s">
        <v>2694</v>
      </c>
      <c r="K144" s="3" t="s">
        <v>2735</v>
      </c>
    </row>
    <row r="145" customFormat="false" ht="15" hidden="false" customHeight="true" outlineLevel="0" collapsed="false">
      <c r="A145" s="3" t="s">
        <v>459</v>
      </c>
      <c r="B145" s="3" t="s">
        <v>2728</v>
      </c>
      <c r="C145" s="3" t="s">
        <v>2731</v>
      </c>
      <c r="D145" s="3" t="s">
        <v>2741</v>
      </c>
      <c r="E145" s="3" t="s">
        <v>2689</v>
      </c>
      <c r="F145" s="3" t="s">
        <v>2690</v>
      </c>
      <c r="G145" s="3" t="s">
        <v>2722</v>
      </c>
      <c r="H145" s="3" t="s">
        <v>2758</v>
      </c>
      <c r="I145" s="3" t="s">
        <v>2693</v>
      </c>
      <c r="J145" s="3" t="s">
        <v>2694</v>
      </c>
      <c r="K145" s="3" t="s">
        <v>2695</v>
      </c>
    </row>
    <row r="146" customFormat="false" ht="15" hidden="false" customHeight="true" outlineLevel="0" collapsed="false">
      <c r="A146" s="3" t="s">
        <v>462</v>
      </c>
      <c r="B146" s="3" t="s">
        <v>2739</v>
      </c>
      <c r="C146" s="3" t="s">
        <v>2687</v>
      </c>
      <c r="D146" s="3" t="s">
        <v>2714</v>
      </c>
      <c r="E146" s="3" t="s">
        <v>2762</v>
      </c>
      <c r="F146" s="3" t="s">
        <v>2763</v>
      </c>
      <c r="G146" s="3" t="s">
        <v>2691</v>
      </c>
      <c r="H146" s="3" t="s">
        <v>2692</v>
      </c>
      <c r="I146" s="3" t="s">
        <v>2693</v>
      </c>
      <c r="J146" s="3" t="s">
        <v>2694</v>
      </c>
      <c r="K146" s="3" t="s">
        <v>2735</v>
      </c>
    </row>
    <row r="147" customFormat="false" ht="15" hidden="false" customHeight="true" outlineLevel="0" collapsed="false">
      <c r="A147" s="3" t="s">
        <v>465</v>
      </c>
      <c r="B147" s="3" t="s">
        <v>2778</v>
      </c>
      <c r="C147" s="3" t="s">
        <v>2697</v>
      </c>
      <c r="D147" s="3" t="s">
        <v>2708</v>
      </c>
      <c r="E147" s="3" t="s">
        <v>2709</v>
      </c>
      <c r="F147" s="3" t="s">
        <v>2710</v>
      </c>
      <c r="G147" s="3" t="s">
        <v>2722</v>
      </c>
      <c r="H147" s="3" t="s">
        <v>2723</v>
      </c>
      <c r="I147" s="3" t="s">
        <v>2706</v>
      </c>
      <c r="J147" s="3" t="s">
        <v>2734</v>
      </c>
      <c r="K147" s="3" t="s">
        <v>2735</v>
      </c>
    </row>
    <row r="148" customFormat="false" ht="15" hidden="false" customHeight="true" outlineLevel="0" collapsed="false">
      <c r="A148" s="3" t="s">
        <v>468</v>
      </c>
      <c r="B148" s="3" t="s">
        <v>2696</v>
      </c>
      <c r="C148" s="3" t="s">
        <v>2697</v>
      </c>
      <c r="D148" s="3" t="s">
        <v>2714</v>
      </c>
      <c r="E148" s="3" t="s">
        <v>2766</v>
      </c>
      <c r="F148" s="3" t="s">
        <v>2767</v>
      </c>
      <c r="G148" s="3" t="s">
        <v>2691</v>
      </c>
      <c r="H148" s="3" t="s">
        <v>2692</v>
      </c>
      <c r="I148" s="3" t="s">
        <v>2712</v>
      </c>
      <c r="J148" s="3" t="s">
        <v>2694</v>
      </c>
      <c r="K148" s="3" t="s">
        <v>2695</v>
      </c>
    </row>
    <row r="149" customFormat="false" ht="15" hidden="false" customHeight="true" outlineLevel="0" collapsed="false">
      <c r="A149" s="3" t="s">
        <v>471</v>
      </c>
      <c r="B149" s="3" t="s">
        <v>2746</v>
      </c>
      <c r="C149" s="3" t="s">
        <v>2697</v>
      </c>
      <c r="D149" s="3" t="s">
        <v>2708</v>
      </c>
      <c r="E149" s="3" t="s">
        <v>2774</v>
      </c>
      <c r="F149" s="3" t="s">
        <v>2775</v>
      </c>
      <c r="G149" s="3" t="s">
        <v>2691</v>
      </c>
      <c r="H149" s="3" t="s">
        <v>2744</v>
      </c>
      <c r="I149" s="3" t="s">
        <v>2703</v>
      </c>
      <c r="J149" s="3" t="s">
        <v>2694</v>
      </c>
      <c r="K149" s="3" t="s">
        <v>2695</v>
      </c>
    </row>
    <row r="150" customFormat="false" ht="15" hidden="false" customHeight="true" outlineLevel="0" collapsed="false">
      <c r="A150" s="3" t="s">
        <v>474</v>
      </c>
      <c r="B150" s="3" t="s">
        <v>2739</v>
      </c>
      <c r="C150" s="3" t="s">
        <v>2731</v>
      </c>
      <c r="D150" s="3" t="s">
        <v>2714</v>
      </c>
      <c r="E150" s="3" t="s">
        <v>2766</v>
      </c>
      <c r="F150" s="3" t="s">
        <v>2767</v>
      </c>
      <c r="G150" s="3" t="s">
        <v>2701</v>
      </c>
      <c r="H150" s="3" t="s">
        <v>2711</v>
      </c>
      <c r="I150" s="3" t="s">
        <v>2706</v>
      </c>
      <c r="J150" s="3" t="s">
        <v>2694</v>
      </c>
      <c r="K150" s="3" t="s">
        <v>2695</v>
      </c>
    </row>
    <row r="151" customFormat="false" ht="15" hidden="false" customHeight="true" outlineLevel="0" collapsed="false">
      <c r="A151" s="3" t="s">
        <v>477</v>
      </c>
      <c r="B151" s="3" t="s">
        <v>2696</v>
      </c>
      <c r="C151" s="3" t="s">
        <v>2731</v>
      </c>
      <c r="D151" s="3" t="s">
        <v>2714</v>
      </c>
      <c r="E151" s="3" t="s">
        <v>2720</v>
      </c>
      <c r="F151" s="3" t="s">
        <v>2721</v>
      </c>
      <c r="G151" s="3" t="s">
        <v>2722</v>
      </c>
      <c r="H151" s="3" t="s">
        <v>2758</v>
      </c>
      <c r="I151" s="3" t="s">
        <v>2768</v>
      </c>
      <c r="J151" s="3" t="s">
        <v>2694</v>
      </c>
      <c r="K151" s="3" t="s">
        <v>2695</v>
      </c>
    </row>
    <row r="152" customFormat="false" ht="15" hidden="false" customHeight="true" outlineLevel="0" collapsed="false">
      <c r="A152" s="3" t="s">
        <v>480</v>
      </c>
      <c r="B152" s="3" t="s">
        <v>2745</v>
      </c>
      <c r="C152" s="3" t="s">
        <v>2697</v>
      </c>
      <c r="D152" s="3" t="s">
        <v>2794</v>
      </c>
      <c r="E152" s="3" t="s">
        <v>2689</v>
      </c>
      <c r="F152" s="3" t="s">
        <v>2737</v>
      </c>
      <c r="G152" s="3" t="s">
        <v>2722</v>
      </c>
      <c r="H152" s="3" t="s">
        <v>2725</v>
      </c>
      <c r="I152" s="3" t="s">
        <v>2703</v>
      </c>
      <c r="J152" s="3" t="s">
        <v>2694</v>
      </c>
      <c r="K152" s="3" t="s">
        <v>2695</v>
      </c>
    </row>
    <row r="153" customFormat="false" ht="15" hidden="false" customHeight="true" outlineLevel="0" collapsed="false">
      <c r="A153" s="3" t="s">
        <v>483</v>
      </c>
      <c r="B153" s="3" t="s">
        <v>2707</v>
      </c>
      <c r="C153" s="3" t="s">
        <v>2687</v>
      </c>
      <c r="D153" s="3" t="s">
        <v>2768</v>
      </c>
      <c r="E153" s="3" t="s">
        <v>2762</v>
      </c>
      <c r="F153" s="3" t="s">
        <v>2763</v>
      </c>
      <c r="G153" s="3" t="s">
        <v>2701</v>
      </c>
      <c r="H153" s="3" t="s">
        <v>2754</v>
      </c>
      <c r="I153" s="3" t="s">
        <v>2706</v>
      </c>
      <c r="J153" s="3" t="s">
        <v>2694</v>
      </c>
      <c r="K153" s="3" t="s">
        <v>2695</v>
      </c>
    </row>
    <row r="154" customFormat="false" ht="15" hidden="false" customHeight="true" outlineLevel="0" collapsed="false">
      <c r="A154" s="3" t="s">
        <v>486</v>
      </c>
      <c r="B154" s="3" t="s">
        <v>2724</v>
      </c>
      <c r="C154" s="3" t="s">
        <v>2731</v>
      </c>
      <c r="D154" s="3" t="s">
        <v>2768</v>
      </c>
      <c r="E154" s="3" t="s">
        <v>2720</v>
      </c>
      <c r="F154" s="3" t="s">
        <v>2721</v>
      </c>
      <c r="G154" s="3" t="s">
        <v>2722</v>
      </c>
      <c r="H154" s="3" t="s">
        <v>2725</v>
      </c>
      <c r="I154" s="3" t="s">
        <v>2712</v>
      </c>
      <c r="J154" s="3" t="s">
        <v>2738</v>
      </c>
      <c r="K154" s="3" t="s">
        <v>2735</v>
      </c>
    </row>
    <row r="155" customFormat="false" ht="15" hidden="false" customHeight="true" outlineLevel="0" collapsed="false">
      <c r="A155" s="3" t="s">
        <v>489</v>
      </c>
      <c r="B155" s="3" t="s">
        <v>2778</v>
      </c>
      <c r="C155" s="3" t="s">
        <v>2697</v>
      </c>
      <c r="D155" s="3" t="s">
        <v>2708</v>
      </c>
      <c r="E155" s="3" t="s">
        <v>2764</v>
      </c>
      <c r="F155" s="3" t="s">
        <v>2765</v>
      </c>
      <c r="G155" s="3" t="s">
        <v>2701</v>
      </c>
      <c r="H155" s="3" t="s">
        <v>2702</v>
      </c>
      <c r="I155" s="3" t="s">
        <v>2693</v>
      </c>
      <c r="J155" s="3" t="s">
        <v>2738</v>
      </c>
      <c r="K155" s="3" t="s">
        <v>2735</v>
      </c>
    </row>
    <row r="156" customFormat="false" ht="15" hidden="false" customHeight="true" outlineLevel="0" collapsed="false">
      <c r="A156" s="3" t="s">
        <v>492</v>
      </c>
      <c r="B156" s="3" t="s">
        <v>2728</v>
      </c>
      <c r="C156" s="3" t="s">
        <v>2687</v>
      </c>
      <c r="D156" s="3" t="s">
        <v>2698</v>
      </c>
      <c r="E156" s="3" t="s">
        <v>2699</v>
      </c>
      <c r="F156" s="3" t="s">
        <v>2700</v>
      </c>
      <c r="G156" s="3" t="s">
        <v>2691</v>
      </c>
      <c r="H156" s="3" t="s">
        <v>2730</v>
      </c>
      <c r="I156" s="3" t="s">
        <v>2712</v>
      </c>
      <c r="J156" s="3" t="s">
        <v>2734</v>
      </c>
      <c r="K156" s="3" t="s">
        <v>2735</v>
      </c>
    </row>
    <row r="157" customFormat="false" ht="15" hidden="false" customHeight="true" outlineLevel="0" collapsed="false">
      <c r="A157" s="3" t="s">
        <v>495</v>
      </c>
      <c r="B157" s="3" t="s">
        <v>2739</v>
      </c>
      <c r="C157" s="3" t="s">
        <v>2687</v>
      </c>
      <c r="D157" s="3" t="s">
        <v>2708</v>
      </c>
      <c r="E157" s="3" t="s">
        <v>2774</v>
      </c>
      <c r="F157" s="3" t="s">
        <v>2775</v>
      </c>
      <c r="G157" s="3" t="s">
        <v>2701</v>
      </c>
      <c r="H157" s="3" t="s">
        <v>2754</v>
      </c>
      <c r="I157" s="3" t="s">
        <v>2703</v>
      </c>
      <c r="J157" s="3" t="s">
        <v>2694</v>
      </c>
      <c r="K157" s="3" t="s">
        <v>2695</v>
      </c>
    </row>
    <row r="158" customFormat="false" ht="15" hidden="false" customHeight="true" outlineLevel="0" collapsed="false">
      <c r="A158" s="3" t="s">
        <v>497</v>
      </c>
      <c r="B158" s="3" t="s">
        <v>2686</v>
      </c>
      <c r="C158" s="3" t="s">
        <v>2729</v>
      </c>
      <c r="D158" s="3" t="s">
        <v>2714</v>
      </c>
      <c r="E158" s="3" t="s">
        <v>2689</v>
      </c>
      <c r="F158" s="3" t="s">
        <v>2737</v>
      </c>
      <c r="G158" s="3" t="s">
        <v>2701</v>
      </c>
      <c r="H158" s="3" t="s">
        <v>2711</v>
      </c>
      <c r="I158" s="3" t="s">
        <v>2703</v>
      </c>
      <c r="J158" s="3" t="s">
        <v>2734</v>
      </c>
      <c r="K158" s="3" t="s">
        <v>2735</v>
      </c>
    </row>
    <row r="159" customFormat="false" ht="15" hidden="false" customHeight="true" outlineLevel="0" collapsed="false">
      <c r="A159" s="3" t="s">
        <v>500</v>
      </c>
      <c r="B159" s="3" t="s">
        <v>2719</v>
      </c>
      <c r="C159" s="3" t="s">
        <v>2697</v>
      </c>
      <c r="D159" s="3" t="s">
        <v>2698</v>
      </c>
      <c r="E159" s="3" t="s">
        <v>2750</v>
      </c>
      <c r="F159" s="3" t="s">
        <v>2751</v>
      </c>
      <c r="G159" s="3" t="s">
        <v>2722</v>
      </c>
      <c r="H159" s="3" t="s">
        <v>2779</v>
      </c>
      <c r="I159" s="3" t="s">
        <v>2693</v>
      </c>
      <c r="J159" s="3" t="s">
        <v>2694</v>
      </c>
      <c r="K159" s="3" t="s">
        <v>2791</v>
      </c>
    </row>
    <row r="160" customFormat="false" ht="15" hidden="false" customHeight="true" outlineLevel="0" collapsed="false">
      <c r="A160" s="3" t="s">
        <v>503</v>
      </c>
      <c r="B160" s="3" t="s">
        <v>2749</v>
      </c>
      <c r="C160" s="3" t="s">
        <v>2697</v>
      </c>
      <c r="D160" s="3" t="s">
        <v>2708</v>
      </c>
      <c r="E160" s="3" t="s">
        <v>2726</v>
      </c>
      <c r="F160" s="3" t="s">
        <v>2727</v>
      </c>
      <c r="G160" s="3" t="s">
        <v>2701</v>
      </c>
      <c r="H160" s="3" t="s">
        <v>2754</v>
      </c>
      <c r="I160" s="3" t="s">
        <v>2712</v>
      </c>
      <c r="J160" s="3" t="s">
        <v>2694</v>
      </c>
      <c r="K160" s="3" t="s">
        <v>2695</v>
      </c>
    </row>
    <row r="161" customFormat="false" ht="15" hidden="false" customHeight="true" outlineLevel="0" collapsed="false">
      <c r="A161" s="3" t="s">
        <v>506</v>
      </c>
      <c r="B161" s="3" t="s">
        <v>2724</v>
      </c>
      <c r="C161" s="3" t="s">
        <v>2731</v>
      </c>
      <c r="D161" s="3" t="s">
        <v>2708</v>
      </c>
      <c r="E161" s="3" t="s">
        <v>2709</v>
      </c>
      <c r="F161" s="3" t="s">
        <v>2710</v>
      </c>
      <c r="G161" s="3" t="s">
        <v>2701</v>
      </c>
      <c r="H161" s="3" t="s">
        <v>2754</v>
      </c>
      <c r="I161" s="3" t="s">
        <v>2706</v>
      </c>
      <c r="J161" s="3" t="s">
        <v>2694</v>
      </c>
      <c r="K161" s="3" t="s">
        <v>2695</v>
      </c>
    </row>
    <row r="162" customFormat="false" ht="15" hidden="false" customHeight="true" outlineLevel="0" collapsed="false">
      <c r="A162" s="3" t="s">
        <v>509</v>
      </c>
      <c r="B162" s="3" t="s">
        <v>2739</v>
      </c>
      <c r="C162" s="3" t="s">
        <v>2729</v>
      </c>
      <c r="D162" s="3" t="s">
        <v>2741</v>
      </c>
      <c r="E162" s="3" t="s">
        <v>2772</v>
      </c>
      <c r="F162" s="3" t="s">
        <v>2773</v>
      </c>
      <c r="G162" s="3" t="s">
        <v>2701</v>
      </c>
      <c r="H162" s="3" t="s">
        <v>2717</v>
      </c>
      <c r="I162" s="3" t="s">
        <v>2703</v>
      </c>
      <c r="J162" s="3" t="s">
        <v>2738</v>
      </c>
      <c r="K162" s="3" t="s">
        <v>2718</v>
      </c>
    </row>
    <row r="163" customFormat="false" ht="15" hidden="false" customHeight="true" outlineLevel="0" collapsed="false">
      <c r="A163" s="3" t="s">
        <v>512</v>
      </c>
      <c r="B163" s="3" t="s">
        <v>2719</v>
      </c>
      <c r="C163" s="3" t="s">
        <v>2697</v>
      </c>
      <c r="D163" s="3" t="s">
        <v>2714</v>
      </c>
      <c r="E163" s="3" t="s">
        <v>2715</v>
      </c>
      <c r="F163" s="3" t="s">
        <v>2716</v>
      </c>
      <c r="G163" s="3" t="s">
        <v>2691</v>
      </c>
      <c r="H163" s="3" t="s">
        <v>2692</v>
      </c>
      <c r="I163" s="3" t="s">
        <v>2693</v>
      </c>
      <c r="J163" s="3" t="s">
        <v>2738</v>
      </c>
      <c r="K163" s="3" t="s">
        <v>2718</v>
      </c>
    </row>
    <row r="164" customFormat="false" ht="15" hidden="false" customHeight="true" outlineLevel="0" collapsed="false">
      <c r="A164" s="3" t="s">
        <v>515</v>
      </c>
      <c r="B164" s="3" t="s">
        <v>2707</v>
      </c>
      <c r="C164" s="3" t="s">
        <v>2795</v>
      </c>
      <c r="D164" s="3" t="s">
        <v>2714</v>
      </c>
      <c r="E164" s="3" t="s">
        <v>2689</v>
      </c>
      <c r="F164" s="3" t="s">
        <v>2737</v>
      </c>
      <c r="G164" s="3" t="s">
        <v>2691</v>
      </c>
      <c r="H164" s="3" t="s">
        <v>2752</v>
      </c>
      <c r="I164" s="3" t="s">
        <v>2712</v>
      </c>
      <c r="J164" s="3" t="s">
        <v>2738</v>
      </c>
      <c r="K164" s="3" t="s">
        <v>2718</v>
      </c>
    </row>
    <row r="165" customFormat="false" ht="15" hidden="false" customHeight="true" outlineLevel="0" collapsed="false">
      <c r="A165" s="3" t="s">
        <v>518</v>
      </c>
      <c r="B165" s="3" t="s">
        <v>2724</v>
      </c>
      <c r="C165" s="3" t="s">
        <v>2697</v>
      </c>
      <c r="D165" s="3" t="s">
        <v>2714</v>
      </c>
      <c r="E165" s="3" t="s">
        <v>2766</v>
      </c>
      <c r="F165" s="3" t="s">
        <v>2767</v>
      </c>
      <c r="G165" s="3" t="s">
        <v>2701</v>
      </c>
      <c r="H165" s="3" t="s">
        <v>2711</v>
      </c>
      <c r="I165" s="3" t="s">
        <v>2693</v>
      </c>
      <c r="J165" s="3" t="s">
        <v>2738</v>
      </c>
      <c r="K165" s="3" t="s">
        <v>2735</v>
      </c>
    </row>
    <row r="166" customFormat="false" ht="15" hidden="false" customHeight="true" outlineLevel="0" collapsed="false">
      <c r="A166" s="3" t="s">
        <v>521</v>
      </c>
      <c r="B166" s="3" t="s">
        <v>2749</v>
      </c>
      <c r="C166" s="3" t="s">
        <v>2731</v>
      </c>
      <c r="D166" s="3" t="s">
        <v>2714</v>
      </c>
      <c r="E166" s="3" t="s">
        <v>2762</v>
      </c>
      <c r="F166" s="3" t="s">
        <v>2763</v>
      </c>
      <c r="G166" s="3" t="s">
        <v>2701</v>
      </c>
      <c r="H166" s="3" t="s">
        <v>2702</v>
      </c>
      <c r="I166" s="3" t="s">
        <v>2768</v>
      </c>
      <c r="J166" s="3" t="s">
        <v>2738</v>
      </c>
      <c r="K166" s="3" t="s">
        <v>2735</v>
      </c>
    </row>
    <row r="167" customFormat="false" ht="15" hidden="false" customHeight="true" outlineLevel="0" collapsed="false">
      <c r="A167" s="3" t="s">
        <v>524</v>
      </c>
      <c r="B167" s="3" t="s">
        <v>2740</v>
      </c>
      <c r="C167" s="3" t="s">
        <v>2697</v>
      </c>
      <c r="D167" s="3" t="s">
        <v>2698</v>
      </c>
      <c r="E167" s="3" t="s">
        <v>2732</v>
      </c>
      <c r="F167" s="3" t="s">
        <v>2733</v>
      </c>
      <c r="G167" s="3" t="s">
        <v>2701</v>
      </c>
      <c r="H167" s="3" t="s">
        <v>2754</v>
      </c>
      <c r="I167" s="3" t="s">
        <v>2693</v>
      </c>
      <c r="J167" s="3" t="s">
        <v>2694</v>
      </c>
      <c r="K167" s="3" t="s">
        <v>2695</v>
      </c>
    </row>
    <row r="168" customFormat="false" ht="15" hidden="false" customHeight="true" outlineLevel="0" collapsed="false">
      <c r="A168" s="3" t="s">
        <v>527</v>
      </c>
      <c r="B168" s="3" t="s">
        <v>2696</v>
      </c>
      <c r="C168" s="3" t="s">
        <v>2731</v>
      </c>
      <c r="D168" s="3" t="s">
        <v>2698</v>
      </c>
      <c r="E168" s="3" t="s">
        <v>2750</v>
      </c>
      <c r="F168" s="3" t="s">
        <v>2751</v>
      </c>
      <c r="G168" s="3" t="s">
        <v>2701</v>
      </c>
      <c r="H168" s="3" t="s">
        <v>2717</v>
      </c>
      <c r="I168" s="3" t="s">
        <v>2712</v>
      </c>
      <c r="J168" s="3" t="s">
        <v>2694</v>
      </c>
      <c r="K168" s="3" t="s">
        <v>2695</v>
      </c>
    </row>
    <row r="169" customFormat="false" ht="15" hidden="false" customHeight="true" outlineLevel="0" collapsed="false">
      <c r="A169" s="3" t="s">
        <v>530</v>
      </c>
      <c r="B169" s="3" t="s">
        <v>2686</v>
      </c>
      <c r="C169" s="3" t="s">
        <v>2697</v>
      </c>
      <c r="D169" s="3" t="s">
        <v>2714</v>
      </c>
      <c r="E169" s="3" t="s">
        <v>2762</v>
      </c>
      <c r="F169" s="3" t="s">
        <v>2763</v>
      </c>
      <c r="G169" s="3" t="s">
        <v>2796</v>
      </c>
      <c r="H169" s="3" t="s">
        <v>2730</v>
      </c>
      <c r="I169" s="3" t="s">
        <v>2706</v>
      </c>
      <c r="J169" s="3" t="s">
        <v>2694</v>
      </c>
      <c r="K169" s="3" t="s">
        <v>2695</v>
      </c>
    </row>
    <row r="170" customFormat="false" ht="15" hidden="false" customHeight="true" outlineLevel="0" collapsed="false">
      <c r="A170" s="3" t="s">
        <v>533</v>
      </c>
      <c r="B170" s="3" t="s">
        <v>2707</v>
      </c>
      <c r="C170" s="3" t="s">
        <v>2731</v>
      </c>
      <c r="D170" s="3" t="s">
        <v>2708</v>
      </c>
      <c r="E170" s="3" t="s">
        <v>2760</v>
      </c>
      <c r="F170" s="3" t="s">
        <v>2761</v>
      </c>
      <c r="G170" s="3" t="s">
        <v>2691</v>
      </c>
      <c r="H170" s="3" t="s">
        <v>2744</v>
      </c>
      <c r="I170" s="3" t="s">
        <v>2706</v>
      </c>
      <c r="J170" s="3" t="s">
        <v>2694</v>
      </c>
      <c r="K170" s="3" t="s">
        <v>2735</v>
      </c>
    </row>
    <row r="171" customFormat="false" ht="15" hidden="false" customHeight="true" outlineLevel="0" collapsed="false">
      <c r="A171" s="3" t="s">
        <v>536</v>
      </c>
      <c r="B171" s="3" t="s">
        <v>2778</v>
      </c>
      <c r="C171" s="3" t="s">
        <v>2687</v>
      </c>
      <c r="D171" s="3" t="s">
        <v>2714</v>
      </c>
      <c r="E171" s="3" t="s">
        <v>2715</v>
      </c>
      <c r="F171" s="3" t="s">
        <v>2716</v>
      </c>
      <c r="G171" s="3" t="s">
        <v>2722</v>
      </c>
      <c r="H171" s="3" t="s">
        <v>2723</v>
      </c>
      <c r="I171" s="3" t="s">
        <v>2703</v>
      </c>
      <c r="J171" s="3" t="s">
        <v>2694</v>
      </c>
      <c r="K171" s="3" t="s">
        <v>2718</v>
      </c>
    </row>
    <row r="172" customFormat="false" ht="15" hidden="false" customHeight="true" outlineLevel="0" collapsed="false">
      <c r="A172" s="3" t="s">
        <v>539</v>
      </c>
      <c r="B172" s="3" t="s">
        <v>2755</v>
      </c>
      <c r="C172" s="3" t="s">
        <v>2687</v>
      </c>
      <c r="D172" s="3" t="s">
        <v>2698</v>
      </c>
      <c r="E172" s="3" t="s">
        <v>2756</v>
      </c>
      <c r="F172" s="3" t="s">
        <v>2757</v>
      </c>
      <c r="G172" s="3" t="s">
        <v>2691</v>
      </c>
      <c r="H172" s="3" t="s">
        <v>2705</v>
      </c>
      <c r="I172" s="3" t="s">
        <v>2712</v>
      </c>
      <c r="J172" s="3" t="s">
        <v>2738</v>
      </c>
      <c r="K172" s="3" t="s">
        <v>2735</v>
      </c>
    </row>
    <row r="173" customFormat="false" ht="15" hidden="false" customHeight="true" outlineLevel="0" collapsed="false">
      <c r="A173" s="3" t="s">
        <v>542</v>
      </c>
      <c r="B173" s="3" t="s">
        <v>2749</v>
      </c>
      <c r="C173" s="3" t="s">
        <v>2729</v>
      </c>
      <c r="D173" s="3" t="s">
        <v>2698</v>
      </c>
      <c r="E173" s="3" t="s">
        <v>2750</v>
      </c>
      <c r="F173" s="3" t="s">
        <v>2751</v>
      </c>
      <c r="G173" s="3" t="s">
        <v>2722</v>
      </c>
      <c r="H173" s="3" t="s">
        <v>2725</v>
      </c>
      <c r="I173" s="3" t="s">
        <v>2712</v>
      </c>
      <c r="J173" s="3" t="s">
        <v>2694</v>
      </c>
      <c r="K173" s="3" t="s">
        <v>2695</v>
      </c>
    </row>
    <row r="174" customFormat="false" ht="15" hidden="false" customHeight="true" outlineLevel="0" collapsed="false">
      <c r="A174" s="3" t="s">
        <v>545</v>
      </c>
      <c r="B174" s="3" t="s">
        <v>2686</v>
      </c>
      <c r="C174" s="3" t="s">
        <v>2729</v>
      </c>
      <c r="D174" s="3" t="s">
        <v>2698</v>
      </c>
      <c r="E174" s="3" t="s">
        <v>2750</v>
      </c>
      <c r="F174" s="3" t="s">
        <v>2751</v>
      </c>
      <c r="G174" s="3" t="s">
        <v>2691</v>
      </c>
      <c r="H174" s="3" t="s">
        <v>2730</v>
      </c>
      <c r="I174" s="3" t="s">
        <v>2703</v>
      </c>
      <c r="J174" s="3" t="s">
        <v>2694</v>
      </c>
      <c r="K174" s="3" t="s">
        <v>2695</v>
      </c>
    </row>
    <row r="175" customFormat="false" ht="15" hidden="false" customHeight="true" outlineLevel="0" collapsed="false">
      <c r="A175" s="3" t="s">
        <v>548</v>
      </c>
      <c r="B175" s="3" t="s">
        <v>2686</v>
      </c>
      <c r="C175" s="3" t="s">
        <v>2729</v>
      </c>
      <c r="D175" s="3" t="s">
        <v>2741</v>
      </c>
      <c r="E175" s="3" t="s">
        <v>2782</v>
      </c>
      <c r="F175" s="3" t="s">
        <v>2783</v>
      </c>
      <c r="G175" s="3" t="s">
        <v>2701</v>
      </c>
      <c r="H175" s="3" t="s">
        <v>2711</v>
      </c>
      <c r="I175" s="3" t="s">
        <v>2703</v>
      </c>
      <c r="J175" s="3" t="s">
        <v>2734</v>
      </c>
      <c r="K175" s="3" t="s">
        <v>2735</v>
      </c>
    </row>
    <row r="176" customFormat="false" ht="15" hidden="false" customHeight="true" outlineLevel="0" collapsed="false">
      <c r="A176" s="3" t="s">
        <v>551</v>
      </c>
      <c r="B176" s="3" t="s">
        <v>2797</v>
      </c>
      <c r="C176" s="3" t="s">
        <v>2731</v>
      </c>
      <c r="D176" s="3" t="s">
        <v>2741</v>
      </c>
      <c r="E176" s="3" t="s">
        <v>2742</v>
      </c>
      <c r="F176" s="3" t="s">
        <v>2743</v>
      </c>
      <c r="G176" s="3" t="s">
        <v>2722</v>
      </c>
      <c r="H176" s="3" t="s">
        <v>2725</v>
      </c>
      <c r="I176" s="3" t="s">
        <v>2693</v>
      </c>
      <c r="J176" s="3" t="s">
        <v>2694</v>
      </c>
      <c r="K176" s="3" t="s">
        <v>2695</v>
      </c>
    </row>
    <row r="177" customFormat="false" ht="15" hidden="false" customHeight="true" outlineLevel="0" collapsed="false">
      <c r="A177" s="3" t="s">
        <v>554</v>
      </c>
      <c r="B177" s="3" t="s">
        <v>2686</v>
      </c>
      <c r="C177" s="3" t="s">
        <v>2697</v>
      </c>
      <c r="D177" s="3" t="s">
        <v>2708</v>
      </c>
      <c r="E177" s="3" t="s">
        <v>2760</v>
      </c>
      <c r="F177" s="3" t="s">
        <v>2761</v>
      </c>
      <c r="G177" s="3" t="s">
        <v>2701</v>
      </c>
      <c r="H177" s="3" t="s">
        <v>2754</v>
      </c>
      <c r="I177" s="3" t="s">
        <v>2706</v>
      </c>
      <c r="J177" s="3" t="s">
        <v>2738</v>
      </c>
      <c r="K177" s="3" t="s">
        <v>2735</v>
      </c>
    </row>
    <row r="178" customFormat="false" ht="15" hidden="false" customHeight="true" outlineLevel="0" collapsed="false">
      <c r="A178" s="3" t="s">
        <v>557</v>
      </c>
      <c r="B178" s="3" t="s">
        <v>2707</v>
      </c>
      <c r="C178" s="3" t="s">
        <v>2697</v>
      </c>
      <c r="D178" s="3" t="s">
        <v>2698</v>
      </c>
      <c r="E178" s="3" t="s">
        <v>2750</v>
      </c>
      <c r="F178" s="3" t="s">
        <v>2751</v>
      </c>
      <c r="G178" s="3" t="s">
        <v>2722</v>
      </c>
      <c r="H178" s="3" t="s">
        <v>2779</v>
      </c>
      <c r="I178" s="3" t="s">
        <v>2703</v>
      </c>
      <c r="J178" s="3" t="s">
        <v>2694</v>
      </c>
      <c r="K178" s="3" t="s">
        <v>2735</v>
      </c>
    </row>
    <row r="179" customFormat="false" ht="15" hidden="false" customHeight="true" outlineLevel="0" collapsed="false">
      <c r="A179" s="3" t="s">
        <v>560</v>
      </c>
      <c r="B179" s="3" t="s">
        <v>2719</v>
      </c>
      <c r="C179" s="3" t="s">
        <v>2729</v>
      </c>
      <c r="D179" s="3" t="s">
        <v>2698</v>
      </c>
      <c r="E179" s="3" t="s">
        <v>2770</v>
      </c>
      <c r="F179" s="3" t="s">
        <v>2771</v>
      </c>
      <c r="G179" s="3" t="s">
        <v>2701</v>
      </c>
      <c r="H179" s="3" t="s">
        <v>2754</v>
      </c>
      <c r="I179" s="3" t="s">
        <v>2712</v>
      </c>
      <c r="J179" s="3" t="s">
        <v>2694</v>
      </c>
      <c r="K179" s="3" t="s">
        <v>2695</v>
      </c>
    </row>
    <row r="180" customFormat="false" ht="15" hidden="false" customHeight="true" outlineLevel="0" collapsed="false">
      <c r="A180" s="3" t="s">
        <v>563</v>
      </c>
      <c r="B180" s="3" t="s">
        <v>2746</v>
      </c>
      <c r="C180" s="3" t="s">
        <v>2731</v>
      </c>
      <c r="D180" s="3" t="s">
        <v>2768</v>
      </c>
      <c r="E180" s="3" t="s">
        <v>2750</v>
      </c>
      <c r="F180" s="3" t="s">
        <v>2751</v>
      </c>
      <c r="G180" s="3" t="s">
        <v>2691</v>
      </c>
      <c r="H180" s="3" t="s">
        <v>2705</v>
      </c>
      <c r="I180" s="3" t="s">
        <v>2703</v>
      </c>
      <c r="J180" s="3" t="s">
        <v>2694</v>
      </c>
      <c r="K180" s="3" t="s">
        <v>2695</v>
      </c>
    </row>
    <row r="181" customFormat="false" ht="15" hidden="false" customHeight="true" outlineLevel="0" collapsed="false">
      <c r="A181" s="3" t="s">
        <v>566</v>
      </c>
      <c r="B181" s="3" t="s">
        <v>2704</v>
      </c>
      <c r="C181" s="3" t="s">
        <v>2729</v>
      </c>
      <c r="D181" s="3" t="s">
        <v>2708</v>
      </c>
      <c r="E181" s="3" t="s">
        <v>2709</v>
      </c>
      <c r="F181" s="3" t="s">
        <v>2710</v>
      </c>
      <c r="G181" s="3" t="s">
        <v>2691</v>
      </c>
      <c r="H181" s="3" t="s">
        <v>2705</v>
      </c>
      <c r="I181" s="3" t="s">
        <v>2712</v>
      </c>
      <c r="J181" s="3" t="s">
        <v>2694</v>
      </c>
      <c r="K181" s="3" t="s">
        <v>2695</v>
      </c>
    </row>
    <row r="182" customFormat="false" ht="15" hidden="false" customHeight="true" outlineLevel="0" collapsed="false">
      <c r="A182" s="3" t="s">
        <v>569</v>
      </c>
      <c r="B182" s="3" t="s">
        <v>2713</v>
      </c>
      <c r="C182" s="3" t="s">
        <v>2697</v>
      </c>
      <c r="D182" s="3" t="s">
        <v>2708</v>
      </c>
      <c r="E182" s="3" t="s">
        <v>2774</v>
      </c>
      <c r="F182" s="3" t="s">
        <v>2775</v>
      </c>
      <c r="G182" s="3" t="s">
        <v>2701</v>
      </c>
      <c r="H182" s="3" t="s">
        <v>2711</v>
      </c>
      <c r="I182" s="3" t="s">
        <v>2712</v>
      </c>
      <c r="J182" s="3" t="s">
        <v>2734</v>
      </c>
      <c r="K182" s="3" t="s">
        <v>2735</v>
      </c>
    </row>
    <row r="183" customFormat="false" ht="15" hidden="false" customHeight="true" outlineLevel="0" collapsed="false">
      <c r="A183" s="3" t="s">
        <v>572</v>
      </c>
      <c r="B183" s="3" t="s">
        <v>2696</v>
      </c>
      <c r="C183" s="3" t="s">
        <v>2731</v>
      </c>
      <c r="D183" s="3" t="s">
        <v>2741</v>
      </c>
      <c r="E183" s="3" t="s">
        <v>2747</v>
      </c>
      <c r="F183" s="3" t="s">
        <v>2748</v>
      </c>
      <c r="G183" s="3" t="s">
        <v>2796</v>
      </c>
      <c r="H183" s="3" t="s">
        <v>2752</v>
      </c>
      <c r="I183" s="3" t="s">
        <v>2706</v>
      </c>
      <c r="J183" s="3" t="s">
        <v>2694</v>
      </c>
      <c r="K183" s="3" t="s">
        <v>2695</v>
      </c>
    </row>
    <row r="184" customFormat="false" ht="15" hidden="false" customHeight="true" outlineLevel="0" collapsed="false">
      <c r="A184" s="3" t="s">
        <v>575</v>
      </c>
      <c r="B184" s="3" t="s">
        <v>2739</v>
      </c>
      <c r="C184" s="3" t="s">
        <v>2731</v>
      </c>
      <c r="D184" s="3" t="s">
        <v>2708</v>
      </c>
      <c r="E184" s="3" t="s">
        <v>2774</v>
      </c>
      <c r="F184" s="3" t="s">
        <v>2775</v>
      </c>
      <c r="G184" s="3" t="s">
        <v>2691</v>
      </c>
      <c r="H184" s="3" t="s">
        <v>2705</v>
      </c>
      <c r="I184" s="3" t="s">
        <v>2693</v>
      </c>
      <c r="J184" s="3" t="s">
        <v>2694</v>
      </c>
      <c r="K184" s="3" t="s">
        <v>2695</v>
      </c>
    </row>
    <row r="185" customFormat="false" ht="15" hidden="false" customHeight="true" outlineLevel="0" collapsed="false">
      <c r="A185" s="3" t="s">
        <v>578</v>
      </c>
      <c r="B185" s="3" t="s">
        <v>2713</v>
      </c>
      <c r="C185" s="3" t="s">
        <v>2731</v>
      </c>
      <c r="D185" s="3" t="s">
        <v>2698</v>
      </c>
      <c r="E185" s="3" t="s">
        <v>2750</v>
      </c>
      <c r="F185" s="3" t="s">
        <v>2751</v>
      </c>
      <c r="G185" s="3" t="s">
        <v>2722</v>
      </c>
      <c r="H185" s="3" t="s">
        <v>2779</v>
      </c>
      <c r="I185" s="3" t="s">
        <v>2712</v>
      </c>
      <c r="J185" s="3" t="s">
        <v>2694</v>
      </c>
      <c r="K185" s="3" t="s">
        <v>2695</v>
      </c>
    </row>
    <row r="186" customFormat="false" ht="15" hidden="false" customHeight="true" outlineLevel="0" collapsed="false">
      <c r="A186" s="3" t="s">
        <v>581</v>
      </c>
      <c r="B186" s="3" t="s">
        <v>2719</v>
      </c>
      <c r="C186" s="3" t="s">
        <v>2731</v>
      </c>
      <c r="D186" s="3" t="s">
        <v>2708</v>
      </c>
      <c r="E186" s="3" t="s">
        <v>2709</v>
      </c>
      <c r="F186" s="3" t="s">
        <v>2710</v>
      </c>
      <c r="G186" s="3" t="s">
        <v>2722</v>
      </c>
      <c r="H186" s="3" t="s">
        <v>2725</v>
      </c>
      <c r="I186" s="3" t="s">
        <v>2712</v>
      </c>
      <c r="J186" s="3" t="s">
        <v>2694</v>
      </c>
      <c r="K186" s="3" t="s">
        <v>2735</v>
      </c>
    </row>
    <row r="187" customFormat="false" ht="15" hidden="false" customHeight="true" outlineLevel="0" collapsed="false">
      <c r="A187" s="3" t="s">
        <v>584</v>
      </c>
      <c r="B187" s="3" t="s">
        <v>2719</v>
      </c>
      <c r="C187" s="3" t="s">
        <v>2729</v>
      </c>
      <c r="D187" s="3" t="s">
        <v>2714</v>
      </c>
      <c r="E187" s="3" t="s">
        <v>2720</v>
      </c>
      <c r="F187" s="3" t="s">
        <v>2721</v>
      </c>
      <c r="G187" s="3" t="s">
        <v>2701</v>
      </c>
      <c r="H187" s="3" t="s">
        <v>2754</v>
      </c>
      <c r="I187" s="3" t="s">
        <v>2712</v>
      </c>
      <c r="J187" s="3" t="s">
        <v>2734</v>
      </c>
      <c r="K187" s="3" t="s">
        <v>2735</v>
      </c>
    </row>
    <row r="188" customFormat="false" ht="15" hidden="false" customHeight="true" outlineLevel="0" collapsed="false">
      <c r="A188" s="3" t="s">
        <v>587</v>
      </c>
      <c r="B188" s="3" t="s">
        <v>2707</v>
      </c>
      <c r="C188" s="3" t="s">
        <v>2687</v>
      </c>
      <c r="D188" s="3" t="s">
        <v>2768</v>
      </c>
      <c r="E188" s="3" t="s">
        <v>2742</v>
      </c>
      <c r="F188" s="3" t="s">
        <v>2743</v>
      </c>
      <c r="G188" s="3" t="s">
        <v>2691</v>
      </c>
      <c r="H188" s="3" t="s">
        <v>2730</v>
      </c>
      <c r="I188" s="3" t="s">
        <v>2693</v>
      </c>
      <c r="J188" s="3" t="s">
        <v>2694</v>
      </c>
      <c r="K188" s="3" t="s">
        <v>2695</v>
      </c>
    </row>
    <row r="189" customFormat="false" ht="15" hidden="false" customHeight="true" outlineLevel="0" collapsed="false">
      <c r="A189" s="3" t="s">
        <v>590</v>
      </c>
      <c r="B189" s="3" t="s">
        <v>2719</v>
      </c>
      <c r="C189" s="3" t="s">
        <v>2687</v>
      </c>
      <c r="D189" s="3" t="s">
        <v>2708</v>
      </c>
      <c r="E189" s="3" t="s">
        <v>2774</v>
      </c>
      <c r="F189" s="3" t="s">
        <v>2775</v>
      </c>
      <c r="G189" s="3" t="s">
        <v>2701</v>
      </c>
      <c r="H189" s="3" t="s">
        <v>2702</v>
      </c>
      <c r="I189" s="3" t="s">
        <v>2706</v>
      </c>
      <c r="J189" s="3" t="s">
        <v>2694</v>
      </c>
      <c r="K189" s="3" t="s">
        <v>2695</v>
      </c>
    </row>
    <row r="190" customFormat="false" ht="15" hidden="false" customHeight="true" outlineLevel="0" collapsed="false">
      <c r="A190" s="3" t="s">
        <v>592</v>
      </c>
      <c r="B190" s="3" t="s">
        <v>2696</v>
      </c>
      <c r="C190" s="3" t="s">
        <v>2687</v>
      </c>
      <c r="D190" s="3" t="s">
        <v>2714</v>
      </c>
      <c r="E190" s="3" t="s">
        <v>2720</v>
      </c>
      <c r="F190" s="3" t="s">
        <v>2721</v>
      </c>
      <c r="G190" s="3" t="s">
        <v>2701</v>
      </c>
      <c r="H190" s="3" t="s">
        <v>2717</v>
      </c>
      <c r="I190" s="3" t="s">
        <v>2703</v>
      </c>
      <c r="J190" s="3" t="s">
        <v>2694</v>
      </c>
      <c r="K190" s="3" t="s">
        <v>2735</v>
      </c>
    </row>
    <row r="191" customFormat="false" ht="15" hidden="false" customHeight="true" outlineLevel="0" collapsed="false">
      <c r="A191" s="3" t="s">
        <v>595</v>
      </c>
      <c r="B191" s="3" t="s">
        <v>2739</v>
      </c>
      <c r="C191" s="3" t="s">
        <v>2729</v>
      </c>
      <c r="D191" s="3" t="s">
        <v>2698</v>
      </c>
      <c r="E191" s="3" t="s">
        <v>2732</v>
      </c>
      <c r="F191" s="3" t="s">
        <v>2733</v>
      </c>
      <c r="G191" s="3" t="s">
        <v>2701</v>
      </c>
      <c r="H191" s="3" t="s">
        <v>2754</v>
      </c>
      <c r="I191" s="3" t="s">
        <v>2703</v>
      </c>
      <c r="J191" s="3" t="s">
        <v>2694</v>
      </c>
      <c r="K191" s="3" t="s">
        <v>2695</v>
      </c>
    </row>
    <row r="192" customFormat="false" ht="15" hidden="false" customHeight="true" outlineLevel="0" collapsed="false">
      <c r="A192" s="3" t="s">
        <v>598</v>
      </c>
      <c r="B192" s="3" t="s">
        <v>2707</v>
      </c>
      <c r="C192" s="3" t="s">
        <v>2687</v>
      </c>
      <c r="D192" s="3" t="s">
        <v>2714</v>
      </c>
      <c r="E192" s="3" t="s">
        <v>2689</v>
      </c>
      <c r="F192" s="3" t="s">
        <v>2737</v>
      </c>
      <c r="G192" s="3" t="s">
        <v>2701</v>
      </c>
      <c r="H192" s="3" t="s">
        <v>2754</v>
      </c>
      <c r="I192" s="3" t="s">
        <v>2706</v>
      </c>
      <c r="J192" s="3" t="s">
        <v>2694</v>
      </c>
      <c r="K192" s="3" t="s">
        <v>2798</v>
      </c>
    </row>
    <row r="193" customFormat="false" ht="15" hidden="false" customHeight="true" outlineLevel="0" collapsed="false">
      <c r="A193" s="3" t="s">
        <v>601</v>
      </c>
      <c r="B193" s="3" t="s">
        <v>2728</v>
      </c>
      <c r="C193" s="3" t="s">
        <v>2687</v>
      </c>
      <c r="D193" s="3" t="s">
        <v>2708</v>
      </c>
      <c r="E193" s="3" t="s">
        <v>2774</v>
      </c>
      <c r="F193" s="3" t="s">
        <v>2775</v>
      </c>
      <c r="G193" s="3" t="s">
        <v>2691</v>
      </c>
      <c r="H193" s="3" t="s">
        <v>2744</v>
      </c>
      <c r="I193" s="3" t="s">
        <v>2706</v>
      </c>
      <c r="J193" s="3" t="s">
        <v>2694</v>
      </c>
      <c r="K193" s="3" t="s">
        <v>2799</v>
      </c>
    </row>
    <row r="194" customFormat="false" ht="15" hidden="false" customHeight="true" outlineLevel="0" collapsed="false">
      <c r="A194" s="3" t="s">
        <v>604</v>
      </c>
      <c r="B194" s="3" t="s">
        <v>2746</v>
      </c>
      <c r="C194" s="3" t="s">
        <v>2697</v>
      </c>
      <c r="D194" s="3" t="s">
        <v>2708</v>
      </c>
      <c r="E194" s="3" t="s">
        <v>2774</v>
      </c>
      <c r="F194" s="3" t="s">
        <v>2775</v>
      </c>
      <c r="G194" s="3" t="s">
        <v>2701</v>
      </c>
      <c r="H194" s="3" t="s">
        <v>2754</v>
      </c>
      <c r="I194" s="3" t="s">
        <v>2693</v>
      </c>
      <c r="J194" s="3" t="s">
        <v>2694</v>
      </c>
      <c r="K194" s="3" t="s">
        <v>2695</v>
      </c>
    </row>
    <row r="195" customFormat="false" ht="15" hidden="false" customHeight="true" outlineLevel="0" collapsed="false">
      <c r="A195" s="3" t="s">
        <v>607</v>
      </c>
      <c r="B195" s="3" t="s">
        <v>2704</v>
      </c>
      <c r="C195" s="3" t="s">
        <v>2731</v>
      </c>
      <c r="D195" s="3" t="s">
        <v>2714</v>
      </c>
      <c r="E195" s="3" t="s">
        <v>2762</v>
      </c>
      <c r="F195" s="3" t="s">
        <v>2763</v>
      </c>
      <c r="G195" s="3" t="s">
        <v>2701</v>
      </c>
      <c r="H195" s="3" t="s">
        <v>2717</v>
      </c>
      <c r="I195" s="3" t="s">
        <v>2706</v>
      </c>
      <c r="J195" s="3" t="s">
        <v>2694</v>
      </c>
      <c r="K195" s="3" t="s">
        <v>2695</v>
      </c>
    </row>
    <row r="196" customFormat="false" ht="15" hidden="false" customHeight="true" outlineLevel="0" collapsed="false">
      <c r="A196" s="3" t="s">
        <v>610</v>
      </c>
      <c r="B196" s="3" t="s">
        <v>2739</v>
      </c>
      <c r="C196" s="3" t="s">
        <v>2697</v>
      </c>
      <c r="D196" s="3" t="s">
        <v>2741</v>
      </c>
      <c r="E196" s="3" t="s">
        <v>2742</v>
      </c>
      <c r="F196" s="3" t="s">
        <v>2743</v>
      </c>
      <c r="G196" s="3" t="s">
        <v>2722</v>
      </c>
      <c r="H196" s="3" t="s">
        <v>2725</v>
      </c>
      <c r="I196" s="3" t="s">
        <v>2703</v>
      </c>
      <c r="J196" s="3" t="s">
        <v>2734</v>
      </c>
      <c r="K196" s="3" t="s">
        <v>2735</v>
      </c>
    </row>
    <row r="197" customFormat="false" ht="15" hidden="false" customHeight="true" outlineLevel="0" collapsed="false">
      <c r="A197" s="3" t="s">
        <v>613</v>
      </c>
      <c r="B197" s="3" t="s">
        <v>2739</v>
      </c>
      <c r="C197" s="3" t="s">
        <v>2687</v>
      </c>
      <c r="D197" s="3" t="s">
        <v>2800</v>
      </c>
      <c r="E197" s="3" t="s">
        <v>2715</v>
      </c>
      <c r="F197" s="3" t="s">
        <v>2716</v>
      </c>
      <c r="G197" s="3" t="s">
        <v>2701</v>
      </c>
      <c r="H197" s="3" t="s">
        <v>2711</v>
      </c>
      <c r="I197" s="3" t="s">
        <v>2706</v>
      </c>
      <c r="J197" s="3" t="s">
        <v>2738</v>
      </c>
      <c r="K197" s="3" t="s">
        <v>2735</v>
      </c>
    </row>
    <row r="198" customFormat="false" ht="15" hidden="false" customHeight="true" outlineLevel="0" collapsed="false">
      <c r="A198" s="3" t="s">
        <v>616</v>
      </c>
      <c r="B198" s="3" t="s">
        <v>2724</v>
      </c>
      <c r="C198" s="3" t="s">
        <v>2731</v>
      </c>
      <c r="D198" s="3" t="s">
        <v>2708</v>
      </c>
      <c r="E198" s="3" t="s">
        <v>2726</v>
      </c>
      <c r="F198" s="3" t="s">
        <v>2727</v>
      </c>
      <c r="G198" s="3" t="s">
        <v>2701</v>
      </c>
      <c r="H198" s="3" t="s">
        <v>2711</v>
      </c>
      <c r="I198" s="3" t="s">
        <v>2703</v>
      </c>
      <c r="J198" s="3" t="s">
        <v>2694</v>
      </c>
      <c r="K198" s="3" t="s">
        <v>2695</v>
      </c>
    </row>
    <row r="199" customFormat="false" ht="15" hidden="false" customHeight="true" outlineLevel="0" collapsed="false">
      <c r="A199" s="3" t="s">
        <v>619</v>
      </c>
      <c r="B199" s="3" t="s">
        <v>2778</v>
      </c>
      <c r="C199" s="3" t="s">
        <v>2731</v>
      </c>
      <c r="D199" s="3" t="s">
        <v>2741</v>
      </c>
      <c r="E199" s="3" t="s">
        <v>2747</v>
      </c>
      <c r="F199" s="3" t="s">
        <v>2748</v>
      </c>
      <c r="G199" s="3" t="s">
        <v>2691</v>
      </c>
      <c r="H199" s="3" t="s">
        <v>2744</v>
      </c>
      <c r="I199" s="3" t="s">
        <v>2706</v>
      </c>
      <c r="J199" s="3" t="s">
        <v>2694</v>
      </c>
      <c r="K199" s="3" t="s">
        <v>2695</v>
      </c>
    </row>
    <row r="200" customFormat="false" ht="15" hidden="false" customHeight="true" outlineLevel="0" collapsed="false">
      <c r="A200" s="3" t="s">
        <v>622</v>
      </c>
      <c r="B200" s="3" t="s">
        <v>2740</v>
      </c>
      <c r="C200" s="3" t="s">
        <v>2789</v>
      </c>
      <c r="D200" s="3" t="s">
        <v>2698</v>
      </c>
      <c r="E200" s="3" t="s">
        <v>2750</v>
      </c>
      <c r="F200" s="3" t="s">
        <v>2751</v>
      </c>
      <c r="G200" s="3" t="s">
        <v>2691</v>
      </c>
      <c r="H200" s="3" t="s">
        <v>2744</v>
      </c>
      <c r="I200" s="3" t="s">
        <v>2693</v>
      </c>
      <c r="J200" s="3" t="s">
        <v>2694</v>
      </c>
      <c r="K200" s="3" t="s">
        <v>2695</v>
      </c>
    </row>
    <row r="201" customFormat="false" ht="15" hidden="false" customHeight="true" outlineLevel="0" collapsed="false">
      <c r="A201" s="3" t="s">
        <v>624</v>
      </c>
      <c r="B201" s="3" t="s">
        <v>2746</v>
      </c>
      <c r="C201" s="3" t="s">
        <v>2687</v>
      </c>
      <c r="D201" s="3" t="s">
        <v>2714</v>
      </c>
      <c r="E201" s="3" t="s">
        <v>2762</v>
      </c>
      <c r="F201" s="3" t="s">
        <v>2763</v>
      </c>
      <c r="G201" s="3" t="s">
        <v>2691</v>
      </c>
      <c r="H201" s="3" t="s">
        <v>2705</v>
      </c>
      <c r="I201" s="3" t="s">
        <v>2693</v>
      </c>
      <c r="J201" s="3" t="s">
        <v>2753</v>
      </c>
      <c r="K201" s="3" t="s">
        <v>2718</v>
      </c>
    </row>
    <row r="202" customFormat="false" ht="15" hidden="false" customHeight="true" outlineLevel="0" collapsed="false">
      <c r="A202" s="3" t="s">
        <v>627</v>
      </c>
      <c r="B202" s="3" t="s">
        <v>2740</v>
      </c>
      <c r="C202" s="3" t="s">
        <v>2731</v>
      </c>
      <c r="D202" s="3" t="s">
        <v>2698</v>
      </c>
      <c r="E202" s="3" t="s">
        <v>2750</v>
      </c>
      <c r="F202" s="3" t="s">
        <v>2751</v>
      </c>
      <c r="G202" s="3" t="s">
        <v>2722</v>
      </c>
      <c r="H202" s="3" t="s">
        <v>2779</v>
      </c>
      <c r="I202" s="3" t="s">
        <v>2768</v>
      </c>
      <c r="J202" s="3" t="s">
        <v>2694</v>
      </c>
      <c r="K202" s="3" t="s">
        <v>2695</v>
      </c>
    </row>
    <row r="203" customFormat="false" ht="15" hidden="false" customHeight="true" outlineLevel="0" collapsed="false">
      <c r="A203" s="3" t="s">
        <v>630</v>
      </c>
      <c r="B203" s="3" t="s">
        <v>2739</v>
      </c>
      <c r="C203" s="3" t="s">
        <v>2697</v>
      </c>
      <c r="D203" s="3" t="s">
        <v>2741</v>
      </c>
      <c r="E203" s="3" t="s">
        <v>2689</v>
      </c>
      <c r="F203" s="3" t="s">
        <v>2690</v>
      </c>
      <c r="G203" s="3" t="s">
        <v>2722</v>
      </c>
      <c r="H203" s="3" t="s">
        <v>2725</v>
      </c>
      <c r="I203" s="3" t="s">
        <v>2706</v>
      </c>
      <c r="J203" s="3" t="s">
        <v>2738</v>
      </c>
      <c r="K203" s="3" t="s">
        <v>2718</v>
      </c>
    </row>
    <row r="204" customFormat="false" ht="15" hidden="false" customHeight="true" outlineLevel="0" collapsed="false">
      <c r="A204" s="3" t="s">
        <v>633</v>
      </c>
      <c r="B204" s="3" t="s">
        <v>2719</v>
      </c>
      <c r="C204" s="3" t="s">
        <v>2687</v>
      </c>
      <c r="D204" s="3" t="s">
        <v>2714</v>
      </c>
      <c r="E204" s="3" t="s">
        <v>2720</v>
      </c>
      <c r="F204" s="3" t="s">
        <v>2721</v>
      </c>
      <c r="G204" s="3" t="s">
        <v>2691</v>
      </c>
      <c r="H204" s="3" t="s">
        <v>2730</v>
      </c>
      <c r="I204" s="3" t="s">
        <v>2693</v>
      </c>
      <c r="J204" s="3" t="s">
        <v>2734</v>
      </c>
      <c r="K204" s="3" t="s">
        <v>2718</v>
      </c>
    </row>
    <row r="205" customFormat="false" ht="15" hidden="false" customHeight="true" outlineLevel="0" collapsed="false">
      <c r="A205" s="3" t="s">
        <v>636</v>
      </c>
      <c r="B205" s="3" t="s">
        <v>2746</v>
      </c>
      <c r="C205" s="3" t="s">
        <v>2729</v>
      </c>
      <c r="D205" s="3" t="s">
        <v>2714</v>
      </c>
      <c r="E205" s="3" t="s">
        <v>2766</v>
      </c>
      <c r="F205" s="3" t="s">
        <v>2767</v>
      </c>
      <c r="G205" s="3" t="s">
        <v>2722</v>
      </c>
      <c r="H205" s="3" t="s">
        <v>2723</v>
      </c>
      <c r="I205" s="3" t="s">
        <v>2712</v>
      </c>
      <c r="J205" s="3" t="s">
        <v>2694</v>
      </c>
      <c r="K205" s="3" t="s">
        <v>2695</v>
      </c>
    </row>
    <row r="206" customFormat="false" ht="15" hidden="false" customHeight="true" outlineLevel="0" collapsed="false">
      <c r="A206" s="3" t="s">
        <v>639</v>
      </c>
      <c r="B206" s="3" t="s">
        <v>2746</v>
      </c>
      <c r="C206" s="3" t="s">
        <v>2729</v>
      </c>
      <c r="D206" s="3" t="s">
        <v>2714</v>
      </c>
      <c r="E206" s="3" t="s">
        <v>2689</v>
      </c>
      <c r="F206" s="3" t="s">
        <v>2737</v>
      </c>
      <c r="G206" s="3" t="s">
        <v>2722</v>
      </c>
      <c r="H206" s="3" t="s">
        <v>2723</v>
      </c>
      <c r="I206" s="3" t="s">
        <v>2693</v>
      </c>
      <c r="J206" s="3" t="s">
        <v>2694</v>
      </c>
      <c r="K206" s="3" t="s">
        <v>2695</v>
      </c>
    </row>
    <row r="207" customFormat="false" ht="15" hidden="false" customHeight="true" outlineLevel="0" collapsed="false">
      <c r="A207" s="3" t="s">
        <v>642</v>
      </c>
      <c r="B207" s="3" t="s">
        <v>2696</v>
      </c>
      <c r="C207" s="3" t="s">
        <v>2731</v>
      </c>
      <c r="D207" s="3" t="s">
        <v>2698</v>
      </c>
      <c r="E207" s="3" t="s">
        <v>2732</v>
      </c>
      <c r="F207" s="3" t="s">
        <v>2733</v>
      </c>
      <c r="G207" s="3" t="s">
        <v>2701</v>
      </c>
      <c r="H207" s="3" t="s">
        <v>2702</v>
      </c>
      <c r="I207" s="3" t="s">
        <v>2693</v>
      </c>
      <c r="J207" s="3" t="s">
        <v>2694</v>
      </c>
      <c r="K207" s="3" t="s">
        <v>2695</v>
      </c>
    </row>
    <row r="208" customFormat="false" ht="15" hidden="false" customHeight="true" outlineLevel="0" collapsed="false">
      <c r="A208" s="3" t="s">
        <v>645</v>
      </c>
      <c r="B208" s="3" t="s">
        <v>2713</v>
      </c>
      <c r="C208" s="3" t="s">
        <v>2687</v>
      </c>
      <c r="D208" s="3" t="s">
        <v>2714</v>
      </c>
      <c r="E208" s="3" t="s">
        <v>2715</v>
      </c>
      <c r="F208" s="3" t="s">
        <v>2716</v>
      </c>
      <c r="G208" s="3" t="s">
        <v>2796</v>
      </c>
      <c r="H208" s="3" t="s">
        <v>2730</v>
      </c>
      <c r="I208" s="3" t="s">
        <v>2703</v>
      </c>
      <c r="J208" s="3" t="s">
        <v>2694</v>
      </c>
      <c r="K208" s="3" t="s">
        <v>2695</v>
      </c>
    </row>
    <row r="209" customFormat="false" ht="15" hidden="false" customHeight="true" outlineLevel="0" collapsed="false">
      <c r="A209" s="3" t="s">
        <v>648</v>
      </c>
      <c r="B209" s="3" t="s">
        <v>2755</v>
      </c>
      <c r="C209" s="3" t="s">
        <v>2697</v>
      </c>
      <c r="D209" s="3" t="s">
        <v>2688</v>
      </c>
      <c r="E209" s="3" t="s">
        <v>2747</v>
      </c>
      <c r="F209" s="3" t="s">
        <v>2748</v>
      </c>
      <c r="G209" s="3" t="s">
        <v>2701</v>
      </c>
      <c r="H209" s="3" t="s">
        <v>2711</v>
      </c>
      <c r="I209" s="3" t="s">
        <v>2706</v>
      </c>
      <c r="J209" s="3" t="s">
        <v>2694</v>
      </c>
      <c r="K209" s="3" t="s">
        <v>2695</v>
      </c>
    </row>
    <row r="210" customFormat="false" ht="15" hidden="false" customHeight="true" outlineLevel="0" collapsed="false">
      <c r="A210" s="3" t="s">
        <v>651</v>
      </c>
      <c r="B210" s="3" t="s">
        <v>2745</v>
      </c>
      <c r="C210" s="3" t="s">
        <v>2731</v>
      </c>
      <c r="D210" s="3" t="s">
        <v>2714</v>
      </c>
      <c r="E210" s="3" t="s">
        <v>2766</v>
      </c>
      <c r="F210" s="3" t="s">
        <v>2767</v>
      </c>
      <c r="G210" s="3" t="s">
        <v>2701</v>
      </c>
      <c r="H210" s="3" t="s">
        <v>2754</v>
      </c>
      <c r="I210" s="3" t="s">
        <v>2693</v>
      </c>
      <c r="J210" s="3" t="s">
        <v>2694</v>
      </c>
      <c r="K210" s="3" t="s">
        <v>2695</v>
      </c>
    </row>
    <row r="211" customFormat="false" ht="15" hidden="false" customHeight="true" outlineLevel="0" collapsed="false">
      <c r="A211" s="3" t="s">
        <v>654</v>
      </c>
      <c r="B211" s="3" t="s">
        <v>2755</v>
      </c>
      <c r="C211" s="3" t="s">
        <v>2687</v>
      </c>
      <c r="D211" s="3" t="s">
        <v>2741</v>
      </c>
      <c r="E211" s="3" t="s">
        <v>2742</v>
      </c>
      <c r="F211" s="3" t="s">
        <v>2743</v>
      </c>
      <c r="G211" s="3" t="s">
        <v>2701</v>
      </c>
      <c r="H211" s="3" t="s">
        <v>2717</v>
      </c>
      <c r="I211" s="3" t="s">
        <v>2703</v>
      </c>
      <c r="J211" s="3" t="s">
        <v>2694</v>
      </c>
      <c r="K211" s="3" t="s">
        <v>2695</v>
      </c>
    </row>
    <row r="212" customFormat="false" ht="15" hidden="false" customHeight="true" outlineLevel="0" collapsed="false">
      <c r="A212" s="3" t="s">
        <v>657</v>
      </c>
      <c r="B212" s="3" t="s">
        <v>2749</v>
      </c>
      <c r="C212" s="3" t="s">
        <v>2697</v>
      </c>
      <c r="D212" s="3" t="s">
        <v>2708</v>
      </c>
      <c r="E212" s="3" t="s">
        <v>2726</v>
      </c>
      <c r="F212" s="3" t="s">
        <v>2727</v>
      </c>
      <c r="G212" s="3" t="s">
        <v>2691</v>
      </c>
      <c r="H212" s="3" t="s">
        <v>2692</v>
      </c>
      <c r="I212" s="3" t="s">
        <v>2706</v>
      </c>
      <c r="J212" s="3" t="s">
        <v>2694</v>
      </c>
      <c r="K212" s="3" t="s">
        <v>2695</v>
      </c>
    </row>
    <row r="213" customFormat="false" ht="15" hidden="false" customHeight="true" outlineLevel="0" collapsed="false">
      <c r="A213" s="3" t="s">
        <v>660</v>
      </c>
      <c r="B213" s="3" t="s">
        <v>2778</v>
      </c>
      <c r="C213" s="3" t="s">
        <v>2731</v>
      </c>
      <c r="D213" s="3" t="s">
        <v>2708</v>
      </c>
      <c r="E213" s="3" t="s">
        <v>2760</v>
      </c>
      <c r="F213" s="3" t="s">
        <v>2761</v>
      </c>
      <c r="G213" s="3" t="s">
        <v>2722</v>
      </c>
      <c r="H213" s="3" t="s">
        <v>2779</v>
      </c>
      <c r="I213" s="3" t="s">
        <v>2693</v>
      </c>
      <c r="J213" s="3" t="s">
        <v>2753</v>
      </c>
      <c r="K213" s="3" t="s">
        <v>2735</v>
      </c>
    </row>
    <row r="214" customFormat="false" ht="15" hidden="false" customHeight="true" outlineLevel="0" collapsed="false">
      <c r="A214" s="3" t="s">
        <v>663</v>
      </c>
      <c r="B214" s="3" t="s">
        <v>2749</v>
      </c>
      <c r="C214" s="3" t="s">
        <v>2729</v>
      </c>
      <c r="D214" s="3" t="s">
        <v>2801</v>
      </c>
      <c r="E214" s="3" t="s">
        <v>2732</v>
      </c>
      <c r="F214" s="3" t="s">
        <v>2733</v>
      </c>
      <c r="G214" s="3" t="s">
        <v>2722</v>
      </c>
      <c r="H214" s="3" t="s">
        <v>2725</v>
      </c>
      <c r="I214" s="3" t="s">
        <v>2693</v>
      </c>
      <c r="J214" s="3" t="s">
        <v>2694</v>
      </c>
      <c r="K214" s="3" t="s">
        <v>2695</v>
      </c>
    </row>
    <row r="215" customFormat="false" ht="15" hidden="false" customHeight="true" outlineLevel="0" collapsed="false">
      <c r="A215" s="3" t="s">
        <v>666</v>
      </c>
      <c r="B215" s="3" t="s">
        <v>2713</v>
      </c>
      <c r="C215" s="3" t="s">
        <v>2697</v>
      </c>
      <c r="D215" s="3" t="s">
        <v>2698</v>
      </c>
      <c r="E215" s="3" t="s">
        <v>2699</v>
      </c>
      <c r="F215" s="3" t="s">
        <v>2700</v>
      </c>
      <c r="G215" s="3" t="s">
        <v>2722</v>
      </c>
      <c r="H215" s="3" t="s">
        <v>2758</v>
      </c>
      <c r="I215" s="3" t="s">
        <v>2703</v>
      </c>
      <c r="J215" s="3" t="s">
        <v>2694</v>
      </c>
      <c r="K215" s="3" t="s">
        <v>2695</v>
      </c>
    </row>
    <row r="216" customFormat="false" ht="15" hidden="false" customHeight="true" outlineLevel="0" collapsed="false">
      <c r="A216" s="3" t="s">
        <v>669</v>
      </c>
      <c r="B216" s="3" t="s">
        <v>2704</v>
      </c>
      <c r="C216" s="3" t="s">
        <v>2697</v>
      </c>
      <c r="D216" s="3" t="s">
        <v>2698</v>
      </c>
      <c r="E216" s="3" t="s">
        <v>2750</v>
      </c>
      <c r="F216" s="3" t="s">
        <v>2751</v>
      </c>
      <c r="G216" s="3" t="s">
        <v>2722</v>
      </c>
      <c r="H216" s="3" t="s">
        <v>2723</v>
      </c>
      <c r="I216" s="3" t="s">
        <v>2802</v>
      </c>
      <c r="J216" s="3" t="s">
        <v>2694</v>
      </c>
      <c r="K216" s="3" t="s">
        <v>2695</v>
      </c>
    </row>
    <row r="217" customFormat="false" ht="15" hidden="false" customHeight="true" outlineLevel="0" collapsed="false">
      <c r="A217" s="3" t="s">
        <v>672</v>
      </c>
      <c r="B217" s="3" t="s">
        <v>2740</v>
      </c>
      <c r="C217" s="3" t="s">
        <v>2687</v>
      </c>
      <c r="D217" s="3" t="s">
        <v>2741</v>
      </c>
      <c r="E217" s="3" t="s">
        <v>2772</v>
      </c>
      <c r="F217" s="3" t="s">
        <v>2773</v>
      </c>
      <c r="G217" s="3" t="s">
        <v>2722</v>
      </c>
      <c r="H217" s="3" t="s">
        <v>2723</v>
      </c>
      <c r="I217" s="3" t="s">
        <v>2803</v>
      </c>
      <c r="J217" s="3" t="s">
        <v>2694</v>
      </c>
      <c r="K217" s="3" t="s">
        <v>2695</v>
      </c>
    </row>
    <row r="218" customFormat="false" ht="15" hidden="false" customHeight="true" outlineLevel="0" collapsed="false">
      <c r="A218" s="3" t="s">
        <v>675</v>
      </c>
      <c r="B218" s="3" t="s">
        <v>2696</v>
      </c>
      <c r="C218" s="3" t="s">
        <v>2687</v>
      </c>
      <c r="D218" s="3" t="s">
        <v>2714</v>
      </c>
      <c r="E218" s="3" t="s">
        <v>2720</v>
      </c>
      <c r="F218" s="3" t="s">
        <v>2721</v>
      </c>
      <c r="G218" s="3" t="s">
        <v>2691</v>
      </c>
      <c r="H218" s="3" t="s">
        <v>2692</v>
      </c>
      <c r="I218" s="3" t="s">
        <v>2706</v>
      </c>
      <c r="J218" s="3" t="s">
        <v>2694</v>
      </c>
      <c r="K218" s="3" t="s">
        <v>2695</v>
      </c>
    </row>
    <row r="219" customFormat="false" ht="15" hidden="false" customHeight="true" outlineLevel="0" collapsed="false">
      <c r="A219" s="3" t="s">
        <v>678</v>
      </c>
      <c r="B219" s="3" t="s">
        <v>2704</v>
      </c>
      <c r="C219" s="3" t="s">
        <v>2687</v>
      </c>
      <c r="D219" s="3" t="s">
        <v>2714</v>
      </c>
      <c r="E219" s="3" t="s">
        <v>2762</v>
      </c>
      <c r="F219" s="3" t="s">
        <v>2763</v>
      </c>
      <c r="G219" s="3" t="s">
        <v>2701</v>
      </c>
      <c r="H219" s="3" t="s">
        <v>2702</v>
      </c>
      <c r="I219" s="3" t="s">
        <v>2712</v>
      </c>
      <c r="J219" s="3" t="s">
        <v>2753</v>
      </c>
      <c r="K219" s="3" t="s">
        <v>2735</v>
      </c>
    </row>
    <row r="220" customFormat="false" ht="15" hidden="false" customHeight="true" outlineLevel="0" collapsed="false">
      <c r="A220" s="3" t="s">
        <v>681</v>
      </c>
      <c r="B220" s="3" t="s">
        <v>2728</v>
      </c>
      <c r="C220" s="3" t="s">
        <v>2687</v>
      </c>
      <c r="D220" s="3" t="s">
        <v>2698</v>
      </c>
      <c r="E220" s="3" t="s">
        <v>2699</v>
      </c>
      <c r="F220" s="3" t="s">
        <v>2700</v>
      </c>
      <c r="G220" s="3" t="s">
        <v>2701</v>
      </c>
      <c r="H220" s="3" t="s">
        <v>2754</v>
      </c>
      <c r="I220" s="3" t="s">
        <v>2693</v>
      </c>
      <c r="J220" s="3" t="s">
        <v>2734</v>
      </c>
      <c r="K220" s="3" t="s">
        <v>2718</v>
      </c>
    </row>
    <row r="221" customFormat="false" ht="15" hidden="false" customHeight="true" outlineLevel="0" collapsed="false">
      <c r="A221" s="3" t="s">
        <v>684</v>
      </c>
      <c r="B221" s="3" t="s">
        <v>2739</v>
      </c>
      <c r="C221" s="3" t="s">
        <v>2729</v>
      </c>
      <c r="D221" s="3" t="s">
        <v>2714</v>
      </c>
      <c r="E221" s="3" t="s">
        <v>2762</v>
      </c>
      <c r="F221" s="3" t="s">
        <v>2763</v>
      </c>
      <c r="G221" s="3" t="s">
        <v>2701</v>
      </c>
      <c r="H221" s="3" t="s">
        <v>2754</v>
      </c>
      <c r="I221" s="3" t="s">
        <v>2712</v>
      </c>
      <c r="J221" s="3" t="s">
        <v>2694</v>
      </c>
      <c r="K221" s="3" t="s">
        <v>2695</v>
      </c>
    </row>
    <row r="222" customFormat="false" ht="15" hidden="false" customHeight="true" outlineLevel="0" collapsed="false">
      <c r="A222" s="3" t="s">
        <v>687</v>
      </c>
      <c r="B222" s="3" t="s">
        <v>2740</v>
      </c>
      <c r="C222" s="3" t="s">
        <v>2687</v>
      </c>
      <c r="D222" s="3" t="s">
        <v>2698</v>
      </c>
      <c r="E222" s="3" t="s">
        <v>2750</v>
      </c>
      <c r="F222" s="3" t="s">
        <v>2751</v>
      </c>
      <c r="G222" s="3" t="s">
        <v>2722</v>
      </c>
      <c r="H222" s="3" t="s">
        <v>2779</v>
      </c>
      <c r="I222" s="3" t="s">
        <v>2706</v>
      </c>
      <c r="J222" s="3" t="s">
        <v>2694</v>
      </c>
      <c r="K222" s="3" t="s">
        <v>2695</v>
      </c>
    </row>
    <row r="223" customFormat="false" ht="15" hidden="false" customHeight="true" outlineLevel="0" collapsed="false">
      <c r="A223" s="3" t="s">
        <v>690</v>
      </c>
      <c r="B223" s="3" t="s">
        <v>2746</v>
      </c>
      <c r="C223" s="3" t="s">
        <v>2687</v>
      </c>
      <c r="D223" s="3" t="s">
        <v>2708</v>
      </c>
      <c r="E223" s="3" t="s">
        <v>2764</v>
      </c>
      <c r="F223" s="3" t="s">
        <v>2765</v>
      </c>
      <c r="G223" s="3" t="s">
        <v>2691</v>
      </c>
      <c r="H223" s="3" t="s">
        <v>2744</v>
      </c>
      <c r="I223" s="3" t="s">
        <v>2706</v>
      </c>
      <c r="J223" s="3" t="s">
        <v>2734</v>
      </c>
      <c r="K223" s="3" t="s">
        <v>2718</v>
      </c>
    </row>
    <row r="224" customFormat="false" ht="15" hidden="false" customHeight="true" outlineLevel="0" collapsed="false">
      <c r="A224" s="3" t="s">
        <v>693</v>
      </c>
      <c r="B224" s="3" t="s">
        <v>2696</v>
      </c>
      <c r="C224" s="3" t="s">
        <v>2729</v>
      </c>
      <c r="D224" s="3" t="s">
        <v>2708</v>
      </c>
      <c r="E224" s="3" t="s">
        <v>2760</v>
      </c>
      <c r="F224" s="3" t="s">
        <v>2761</v>
      </c>
      <c r="G224" s="3" t="s">
        <v>2701</v>
      </c>
      <c r="H224" s="3" t="s">
        <v>2717</v>
      </c>
      <c r="I224" s="3" t="s">
        <v>2703</v>
      </c>
      <c r="J224" s="3" t="s">
        <v>2694</v>
      </c>
      <c r="K224" s="3" t="s">
        <v>2695</v>
      </c>
    </row>
    <row r="225" customFormat="false" ht="15" hidden="false" customHeight="true" outlineLevel="0" collapsed="false">
      <c r="A225" s="3" t="s">
        <v>696</v>
      </c>
      <c r="B225" s="3" t="s">
        <v>2719</v>
      </c>
      <c r="C225" s="3" t="s">
        <v>2697</v>
      </c>
      <c r="D225" s="3" t="s">
        <v>2714</v>
      </c>
      <c r="E225" s="3" t="s">
        <v>2766</v>
      </c>
      <c r="F225" s="3" t="s">
        <v>2767</v>
      </c>
      <c r="G225" s="3" t="s">
        <v>2691</v>
      </c>
      <c r="H225" s="3" t="s">
        <v>2744</v>
      </c>
      <c r="I225" s="3" t="s">
        <v>2706</v>
      </c>
      <c r="J225" s="3" t="s">
        <v>2694</v>
      </c>
      <c r="K225" s="3" t="s">
        <v>2695</v>
      </c>
    </row>
    <row r="226" customFormat="false" ht="15" hidden="false" customHeight="true" outlineLevel="0" collapsed="false">
      <c r="A226" s="3" t="s">
        <v>699</v>
      </c>
      <c r="B226" s="3" t="s">
        <v>2696</v>
      </c>
      <c r="C226" s="3" t="s">
        <v>2729</v>
      </c>
      <c r="D226" s="3" t="s">
        <v>2714</v>
      </c>
      <c r="E226" s="3" t="s">
        <v>2715</v>
      </c>
      <c r="F226" s="3" t="s">
        <v>2716</v>
      </c>
      <c r="G226" s="3" t="s">
        <v>2701</v>
      </c>
      <c r="H226" s="3" t="s">
        <v>2711</v>
      </c>
      <c r="I226" s="3" t="s">
        <v>2706</v>
      </c>
      <c r="J226" s="3" t="s">
        <v>2738</v>
      </c>
      <c r="K226" s="3" t="s">
        <v>2735</v>
      </c>
    </row>
    <row r="227" customFormat="false" ht="15" hidden="false" customHeight="true" outlineLevel="0" collapsed="false">
      <c r="A227" s="3" t="s">
        <v>702</v>
      </c>
      <c r="B227" s="3" t="s">
        <v>2704</v>
      </c>
      <c r="C227" s="3" t="s">
        <v>2697</v>
      </c>
      <c r="D227" s="3" t="s">
        <v>2741</v>
      </c>
      <c r="E227" s="3" t="s">
        <v>2742</v>
      </c>
      <c r="F227" s="3" t="s">
        <v>2743</v>
      </c>
      <c r="G227" s="3" t="s">
        <v>2701</v>
      </c>
      <c r="H227" s="3" t="s">
        <v>2711</v>
      </c>
      <c r="I227" s="3" t="s">
        <v>2712</v>
      </c>
      <c r="J227" s="3" t="s">
        <v>2694</v>
      </c>
      <c r="K227" s="3" t="s">
        <v>2718</v>
      </c>
    </row>
    <row r="228" customFormat="false" ht="15" hidden="false" customHeight="true" outlineLevel="0" collapsed="false">
      <c r="A228" s="3" t="s">
        <v>705</v>
      </c>
      <c r="B228" s="3" t="s">
        <v>2696</v>
      </c>
      <c r="C228" s="3" t="s">
        <v>2729</v>
      </c>
      <c r="D228" s="3" t="s">
        <v>2714</v>
      </c>
      <c r="E228" s="3" t="s">
        <v>2766</v>
      </c>
      <c r="F228" s="3" t="s">
        <v>2767</v>
      </c>
      <c r="G228" s="3" t="s">
        <v>2722</v>
      </c>
      <c r="H228" s="3" t="s">
        <v>2758</v>
      </c>
      <c r="I228" s="3" t="s">
        <v>2712</v>
      </c>
      <c r="J228" s="3" t="s">
        <v>2694</v>
      </c>
      <c r="K228" s="3" t="s">
        <v>2695</v>
      </c>
    </row>
    <row r="229" customFormat="false" ht="15" hidden="false" customHeight="true" outlineLevel="0" collapsed="false">
      <c r="A229" s="3" t="s">
        <v>708</v>
      </c>
      <c r="B229" s="3" t="s">
        <v>2755</v>
      </c>
      <c r="C229" s="3" t="s">
        <v>2731</v>
      </c>
      <c r="D229" s="3" t="s">
        <v>2768</v>
      </c>
      <c r="E229" s="3" t="s">
        <v>2764</v>
      </c>
      <c r="F229" s="3" t="s">
        <v>2765</v>
      </c>
      <c r="G229" s="3" t="s">
        <v>2722</v>
      </c>
      <c r="H229" s="3" t="s">
        <v>2725</v>
      </c>
      <c r="I229" s="3" t="s">
        <v>2703</v>
      </c>
      <c r="J229" s="3" t="s">
        <v>2694</v>
      </c>
      <c r="K229" s="3" t="s">
        <v>2695</v>
      </c>
    </row>
    <row r="230" customFormat="false" ht="15" hidden="false" customHeight="true" outlineLevel="0" collapsed="false">
      <c r="A230" s="3" t="s">
        <v>711</v>
      </c>
      <c r="B230" s="3" t="s">
        <v>2713</v>
      </c>
      <c r="C230" s="3" t="s">
        <v>2804</v>
      </c>
      <c r="D230" s="3" t="s">
        <v>2714</v>
      </c>
      <c r="E230" s="3" t="s">
        <v>2766</v>
      </c>
      <c r="F230" s="3" t="s">
        <v>2767</v>
      </c>
      <c r="G230" s="3" t="s">
        <v>2691</v>
      </c>
      <c r="H230" s="3" t="s">
        <v>2752</v>
      </c>
      <c r="I230" s="3" t="s">
        <v>2706</v>
      </c>
      <c r="J230" s="3" t="s">
        <v>2694</v>
      </c>
      <c r="K230" s="3" t="s">
        <v>2695</v>
      </c>
    </row>
    <row r="231" customFormat="false" ht="15" hidden="false" customHeight="true" outlineLevel="0" collapsed="false">
      <c r="A231" s="3" t="s">
        <v>714</v>
      </c>
      <c r="B231" s="3" t="s">
        <v>2686</v>
      </c>
      <c r="C231" s="3" t="s">
        <v>2697</v>
      </c>
      <c r="D231" s="3" t="s">
        <v>2708</v>
      </c>
      <c r="E231" s="3" t="s">
        <v>2709</v>
      </c>
      <c r="F231" s="3" t="s">
        <v>2710</v>
      </c>
      <c r="G231" s="3" t="s">
        <v>2691</v>
      </c>
      <c r="H231" s="3" t="s">
        <v>2730</v>
      </c>
      <c r="I231" s="3" t="s">
        <v>2693</v>
      </c>
      <c r="J231" s="3" t="s">
        <v>2694</v>
      </c>
      <c r="K231" s="3" t="s">
        <v>2695</v>
      </c>
    </row>
    <row r="232" customFormat="false" ht="15" hidden="false" customHeight="true" outlineLevel="0" collapsed="false">
      <c r="A232" s="3" t="s">
        <v>717</v>
      </c>
      <c r="B232" s="3" t="s">
        <v>2749</v>
      </c>
      <c r="C232" s="3" t="s">
        <v>2687</v>
      </c>
      <c r="D232" s="3" t="s">
        <v>2708</v>
      </c>
      <c r="E232" s="3" t="s">
        <v>2709</v>
      </c>
      <c r="F232" s="3" t="s">
        <v>2710</v>
      </c>
      <c r="G232" s="3" t="s">
        <v>2701</v>
      </c>
      <c r="H232" s="3" t="s">
        <v>2754</v>
      </c>
      <c r="I232" s="3" t="s">
        <v>2706</v>
      </c>
      <c r="J232" s="3" t="s">
        <v>2734</v>
      </c>
      <c r="K232" s="3" t="s">
        <v>2735</v>
      </c>
    </row>
    <row r="233" customFormat="false" ht="15" hidden="false" customHeight="true" outlineLevel="0" collapsed="false">
      <c r="A233" s="3" t="s">
        <v>720</v>
      </c>
      <c r="B233" s="3" t="s">
        <v>2724</v>
      </c>
      <c r="C233" s="3" t="s">
        <v>2697</v>
      </c>
      <c r="D233" s="3" t="s">
        <v>2741</v>
      </c>
      <c r="E233" s="3" t="s">
        <v>2689</v>
      </c>
      <c r="F233" s="3" t="s">
        <v>2690</v>
      </c>
      <c r="G233" s="3" t="s">
        <v>2691</v>
      </c>
      <c r="H233" s="3" t="s">
        <v>2692</v>
      </c>
      <c r="I233" s="3" t="s">
        <v>2712</v>
      </c>
      <c r="J233" s="3" t="s">
        <v>2694</v>
      </c>
      <c r="K233" s="3" t="s">
        <v>2695</v>
      </c>
    </row>
    <row r="234" customFormat="false" ht="15" hidden="false" customHeight="true" outlineLevel="0" collapsed="false">
      <c r="A234" s="3" t="s">
        <v>723</v>
      </c>
      <c r="B234" s="3" t="s">
        <v>2713</v>
      </c>
      <c r="C234" s="3" t="s">
        <v>2729</v>
      </c>
      <c r="D234" s="3" t="s">
        <v>2741</v>
      </c>
      <c r="E234" s="3" t="s">
        <v>2689</v>
      </c>
      <c r="F234" s="3" t="s">
        <v>2690</v>
      </c>
      <c r="G234" s="3" t="s">
        <v>2805</v>
      </c>
      <c r="H234" s="3" t="s">
        <v>2730</v>
      </c>
      <c r="I234" s="3" t="s">
        <v>2706</v>
      </c>
      <c r="J234" s="3" t="s">
        <v>2734</v>
      </c>
      <c r="K234" s="3" t="s">
        <v>2718</v>
      </c>
    </row>
    <row r="235" customFormat="false" ht="15" hidden="false" customHeight="true" outlineLevel="0" collapsed="false">
      <c r="A235" s="3" t="s">
        <v>726</v>
      </c>
      <c r="B235" s="3" t="s">
        <v>2740</v>
      </c>
      <c r="C235" s="3" t="s">
        <v>2687</v>
      </c>
      <c r="D235" s="3" t="s">
        <v>2708</v>
      </c>
      <c r="E235" s="3" t="s">
        <v>2726</v>
      </c>
      <c r="F235" s="3" t="s">
        <v>2727</v>
      </c>
      <c r="G235" s="3" t="s">
        <v>2722</v>
      </c>
      <c r="H235" s="3" t="s">
        <v>2758</v>
      </c>
      <c r="I235" s="3" t="s">
        <v>2712</v>
      </c>
      <c r="J235" s="3" t="s">
        <v>2694</v>
      </c>
      <c r="K235" s="3" t="s">
        <v>2695</v>
      </c>
    </row>
    <row r="236" customFormat="false" ht="15" hidden="false" customHeight="true" outlineLevel="0" collapsed="false">
      <c r="A236" s="3" t="s">
        <v>729</v>
      </c>
      <c r="B236" s="3" t="s">
        <v>2719</v>
      </c>
      <c r="C236" s="3" t="s">
        <v>2729</v>
      </c>
      <c r="D236" s="3" t="s">
        <v>2708</v>
      </c>
      <c r="E236" s="3" t="s">
        <v>2760</v>
      </c>
      <c r="F236" s="3" t="s">
        <v>2761</v>
      </c>
      <c r="G236" s="3" t="s">
        <v>2701</v>
      </c>
      <c r="H236" s="3" t="s">
        <v>2754</v>
      </c>
      <c r="I236" s="3" t="s">
        <v>2768</v>
      </c>
      <c r="J236" s="3" t="s">
        <v>2694</v>
      </c>
      <c r="K236" s="3" t="s">
        <v>2695</v>
      </c>
    </row>
    <row r="237" customFormat="false" ht="15" hidden="false" customHeight="true" outlineLevel="0" collapsed="false">
      <c r="A237" s="3" t="s">
        <v>732</v>
      </c>
      <c r="B237" s="3" t="s">
        <v>2778</v>
      </c>
      <c r="C237" s="3" t="s">
        <v>2731</v>
      </c>
      <c r="D237" s="3" t="s">
        <v>2741</v>
      </c>
      <c r="E237" s="3" t="s">
        <v>2782</v>
      </c>
      <c r="F237" s="3" t="s">
        <v>2783</v>
      </c>
      <c r="G237" s="3" t="s">
        <v>2701</v>
      </c>
      <c r="H237" s="3" t="s">
        <v>2711</v>
      </c>
      <c r="I237" s="3" t="s">
        <v>2706</v>
      </c>
      <c r="J237" s="3" t="s">
        <v>2694</v>
      </c>
      <c r="K237" s="3" t="s">
        <v>2695</v>
      </c>
    </row>
    <row r="238" customFormat="false" ht="15" hidden="false" customHeight="true" outlineLevel="0" collapsed="false">
      <c r="A238" s="3" t="s">
        <v>735</v>
      </c>
      <c r="B238" s="3" t="s">
        <v>2740</v>
      </c>
      <c r="C238" s="3" t="s">
        <v>2697</v>
      </c>
      <c r="D238" s="3" t="s">
        <v>2714</v>
      </c>
      <c r="E238" s="3" t="s">
        <v>2689</v>
      </c>
      <c r="F238" s="3" t="s">
        <v>2737</v>
      </c>
      <c r="G238" s="3" t="s">
        <v>2691</v>
      </c>
      <c r="H238" s="3" t="s">
        <v>2744</v>
      </c>
      <c r="I238" s="3" t="s">
        <v>2712</v>
      </c>
      <c r="J238" s="3" t="s">
        <v>2694</v>
      </c>
      <c r="K238" s="3" t="s">
        <v>2695</v>
      </c>
    </row>
    <row r="239" customFormat="false" ht="15" hidden="false" customHeight="true" outlineLevel="0" collapsed="false">
      <c r="A239" s="3" t="s">
        <v>738</v>
      </c>
      <c r="B239" s="3" t="s">
        <v>2739</v>
      </c>
      <c r="C239" s="3" t="s">
        <v>2729</v>
      </c>
      <c r="D239" s="3" t="s">
        <v>2741</v>
      </c>
      <c r="E239" s="3" t="s">
        <v>2747</v>
      </c>
      <c r="F239" s="3" t="s">
        <v>2748</v>
      </c>
      <c r="G239" s="3" t="s">
        <v>2701</v>
      </c>
      <c r="H239" s="3" t="s">
        <v>2754</v>
      </c>
      <c r="I239" s="3" t="s">
        <v>2706</v>
      </c>
      <c r="J239" s="3" t="s">
        <v>2694</v>
      </c>
      <c r="K239" s="3" t="s">
        <v>2695</v>
      </c>
    </row>
    <row r="240" customFormat="false" ht="15" hidden="false" customHeight="true" outlineLevel="0" collapsed="false">
      <c r="A240" s="3" t="s">
        <v>741</v>
      </c>
      <c r="B240" s="3" t="s">
        <v>2696</v>
      </c>
      <c r="C240" s="3" t="s">
        <v>2687</v>
      </c>
      <c r="D240" s="3" t="s">
        <v>2741</v>
      </c>
      <c r="E240" s="3" t="s">
        <v>2772</v>
      </c>
      <c r="F240" s="3" t="s">
        <v>2773</v>
      </c>
      <c r="G240" s="3" t="s">
        <v>2722</v>
      </c>
      <c r="H240" s="3" t="s">
        <v>2725</v>
      </c>
      <c r="I240" s="3" t="s">
        <v>2712</v>
      </c>
      <c r="J240" s="3" t="s">
        <v>2694</v>
      </c>
      <c r="K240" s="3" t="s">
        <v>2695</v>
      </c>
    </row>
    <row r="241" customFormat="false" ht="15" hidden="false" customHeight="true" outlineLevel="0" collapsed="false">
      <c r="A241" s="3" t="s">
        <v>744</v>
      </c>
      <c r="B241" s="3" t="s">
        <v>2707</v>
      </c>
      <c r="C241" s="3" t="s">
        <v>2687</v>
      </c>
      <c r="D241" s="3" t="s">
        <v>2708</v>
      </c>
      <c r="E241" s="3" t="s">
        <v>2726</v>
      </c>
      <c r="F241" s="3" t="s">
        <v>2727</v>
      </c>
      <c r="G241" s="3" t="s">
        <v>2691</v>
      </c>
      <c r="H241" s="3" t="s">
        <v>2744</v>
      </c>
      <c r="I241" s="3" t="s">
        <v>2706</v>
      </c>
      <c r="J241" s="3" t="s">
        <v>2694</v>
      </c>
      <c r="K241" s="3" t="s">
        <v>2695</v>
      </c>
    </row>
    <row r="242" customFormat="false" ht="15" hidden="false" customHeight="true" outlineLevel="0" collapsed="false">
      <c r="A242" s="3" t="s">
        <v>747</v>
      </c>
      <c r="B242" s="3" t="s">
        <v>2778</v>
      </c>
      <c r="C242" s="3" t="s">
        <v>2729</v>
      </c>
      <c r="D242" s="3" t="s">
        <v>2708</v>
      </c>
      <c r="E242" s="3" t="s">
        <v>2760</v>
      </c>
      <c r="F242" s="3" t="s">
        <v>2761</v>
      </c>
      <c r="G242" s="3" t="s">
        <v>2722</v>
      </c>
      <c r="H242" s="3" t="s">
        <v>2779</v>
      </c>
      <c r="I242" s="3" t="s">
        <v>2706</v>
      </c>
      <c r="J242" s="3" t="s">
        <v>2694</v>
      </c>
      <c r="K242" s="3" t="s">
        <v>2695</v>
      </c>
    </row>
    <row r="243" customFormat="false" ht="15" hidden="false" customHeight="true" outlineLevel="0" collapsed="false">
      <c r="A243" s="3" t="s">
        <v>750</v>
      </c>
      <c r="B243" s="3" t="s">
        <v>2745</v>
      </c>
      <c r="C243" s="3" t="s">
        <v>2729</v>
      </c>
      <c r="D243" s="3" t="s">
        <v>2708</v>
      </c>
      <c r="E243" s="3" t="s">
        <v>2709</v>
      </c>
      <c r="F243" s="3" t="s">
        <v>2710</v>
      </c>
      <c r="G243" s="3" t="s">
        <v>2691</v>
      </c>
      <c r="H243" s="3" t="s">
        <v>2752</v>
      </c>
      <c r="I243" s="3" t="s">
        <v>2706</v>
      </c>
      <c r="J243" s="3" t="s">
        <v>2694</v>
      </c>
      <c r="K243" s="3" t="s">
        <v>2695</v>
      </c>
    </row>
    <row r="244" customFormat="false" ht="15" hidden="false" customHeight="true" outlineLevel="0" collapsed="false">
      <c r="A244" s="3" t="s">
        <v>753</v>
      </c>
      <c r="B244" s="3" t="s">
        <v>2746</v>
      </c>
      <c r="C244" s="3" t="s">
        <v>2729</v>
      </c>
      <c r="D244" s="3" t="s">
        <v>2741</v>
      </c>
      <c r="E244" s="3" t="s">
        <v>2772</v>
      </c>
      <c r="F244" s="3" t="s">
        <v>2773</v>
      </c>
      <c r="G244" s="3" t="s">
        <v>2691</v>
      </c>
      <c r="H244" s="3" t="s">
        <v>2744</v>
      </c>
      <c r="I244" s="3" t="s">
        <v>2712</v>
      </c>
      <c r="J244" s="3" t="s">
        <v>2738</v>
      </c>
      <c r="K244" s="3" t="s">
        <v>2735</v>
      </c>
    </row>
    <row r="245" customFormat="false" ht="15" hidden="false" customHeight="true" outlineLevel="0" collapsed="false">
      <c r="A245" s="3" t="s">
        <v>756</v>
      </c>
      <c r="B245" s="3" t="s">
        <v>2707</v>
      </c>
      <c r="C245" s="3" t="s">
        <v>2687</v>
      </c>
      <c r="D245" s="3" t="s">
        <v>2741</v>
      </c>
      <c r="E245" s="3" t="s">
        <v>2747</v>
      </c>
      <c r="F245" s="3" t="s">
        <v>2748</v>
      </c>
      <c r="G245" s="3" t="s">
        <v>2691</v>
      </c>
      <c r="H245" s="3" t="s">
        <v>2705</v>
      </c>
      <c r="I245" s="3" t="s">
        <v>2693</v>
      </c>
      <c r="J245" s="3" t="s">
        <v>2694</v>
      </c>
      <c r="K245" s="3" t="s">
        <v>2695</v>
      </c>
    </row>
    <row r="246" customFormat="false" ht="15" hidden="false" customHeight="true" outlineLevel="0" collapsed="false">
      <c r="A246" s="3" t="s">
        <v>759</v>
      </c>
      <c r="B246" s="3" t="s">
        <v>2746</v>
      </c>
      <c r="C246" s="3" t="s">
        <v>2697</v>
      </c>
      <c r="D246" s="3" t="s">
        <v>2768</v>
      </c>
      <c r="E246" s="3" t="s">
        <v>2720</v>
      </c>
      <c r="F246" s="3" t="s">
        <v>2721</v>
      </c>
      <c r="G246" s="3" t="s">
        <v>2722</v>
      </c>
      <c r="H246" s="3" t="s">
        <v>2723</v>
      </c>
      <c r="I246" s="3" t="s">
        <v>2706</v>
      </c>
      <c r="J246" s="3" t="s">
        <v>2694</v>
      </c>
      <c r="K246" s="3" t="s">
        <v>2798</v>
      </c>
    </row>
    <row r="247" customFormat="false" ht="15" hidden="false" customHeight="true" outlineLevel="0" collapsed="false">
      <c r="A247" s="3" t="s">
        <v>762</v>
      </c>
      <c r="B247" s="3" t="s">
        <v>2724</v>
      </c>
      <c r="C247" s="3" t="s">
        <v>2687</v>
      </c>
      <c r="D247" s="3" t="s">
        <v>2708</v>
      </c>
      <c r="E247" s="3" t="s">
        <v>2709</v>
      </c>
      <c r="F247" s="3" t="s">
        <v>2710</v>
      </c>
      <c r="G247" s="3" t="s">
        <v>2701</v>
      </c>
      <c r="H247" s="3" t="s">
        <v>2754</v>
      </c>
      <c r="I247" s="3" t="s">
        <v>2703</v>
      </c>
      <c r="J247" s="3" t="s">
        <v>2694</v>
      </c>
      <c r="K247" s="3" t="s">
        <v>2695</v>
      </c>
    </row>
    <row r="248" customFormat="false" ht="15" hidden="false" customHeight="true" outlineLevel="0" collapsed="false">
      <c r="A248" s="3" t="s">
        <v>765</v>
      </c>
      <c r="B248" s="3" t="s">
        <v>2724</v>
      </c>
      <c r="C248" s="3" t="s">
        <v>2731</v>
      </c>
      <c r="D248" s="3" t="s">
        <v>2708</v>
      </c>
      <c r="E248" s="3" t="s">
        <v>2764</v>
      </c>
      <c r="F248" s="3" t="s">
        <v>2765</v>
      </c>
      <c r="G248" s="3" t="s">
        <v>2806</v>
      </c>
      <c r="H248" s="3" t="s">
        <v>2717</v>
      </c>
      <c r="I248" s="3" t="s">
        <v>2693</v>
      </c>
      <c r="J248" s="3" t="s">
        <v>2694</v>
      </c>
      <c r="K248" s="3" t="s">
        <v>2695</v>
      </c>
    </row>
    <row r="249" customFormat="false" ht="15" hidden="false" customHeight="true" outlineLevel="0" collapsed="false">
      <c r="A249" s="3" t="s">
        <v>768</v>
      </c>
      <c r="B249" s="3" t="s">
        <v>2713</v>
      </c>
      <c r="C249" s="3" t="s">
        <v>2729</v>
      </c>
      <c r="D249" s="3" t="s">
        <v>2741</v>
      </c>
      <c r="E249" s="3" t="s">
        <v>2742</v>
      </c>
      <c r="F249" s="3" t="s">
        <v>2743</v>
      </c>
      <c r="G249" s="3" t="s">
        <v>2722</v>
      </c>
      <c r="H249" s="3" t="s">
        <v>2779</v>
      </c>
      <c r="I249" s="3" t="s">
        <v>2703</v>
      </c>
      <c r="J249" s="3" t="s">
        <v>2734</v>
      </c>
      <c r="K249" s="3" t="s">
        <v>2718</v>
      </c>
    </row>
    <row r="250" customFormat="false" ht="15" hidden="false" customHeight="true" outlineLevel="0" collapsed="false">
      <c r="A250" s="3" t="s">
        <v>771</v>
      </c>
      <c r="B250" s="3" t="s">
        <v>2740</v>
      </c>
      <c r="C250" s="3" t="s">
        <v>2729</v>
      </c>
      <c r="D250" s="3" t="s">
        <v>2741</v>
      </c>
      <c r="E250" s="3" t="s">
        <v>2689</v>
      </c>
      <c r="F250" s="3" t="s">
        <v>2690</v>
      </c>
      <c r="G250" s="3" t="s">
        <v>2722</v>
      </c>
      <c r="H250" s="3" t="s">
        <v>2723</v>
      </c>
      <c r="I250" s="3" t="s">
        <v>2693</v>
      </c>
      <c r="J250" s="3" t="s">
        <v>2694</v>
      </c>
      <c r="K250" s="3" t="s">
        <v>2695</v>
      </c>
    </row>
    <row r="251" customFormat="false" ht="15" hidden="false" customHeight="true" outlineLevel="0" collapsed="false">
      <c r="A251" s="3" t="s">
        <v>774</v>
      </c>
      <c r="B251" s="3" t="s">
        <v>2749</v>
      </c>
      <c r="C251" s="3" t="s">
        <v>2731</v>
      </c>
      <c r="D251" s="3" t="s">
        <v>2698</v>
      </c>
      <c r="E251" s="3" t="s">
        <v>2699</v>
      </c>
      <c r="F251" s="3" t="s">
        <v>2700</v>
      </c>
      <c r="G251" s="3" t="s">
        <v>2691</v>
      </c>
      <c r="H251" s="3" t="s">
        <v>2730</v>
      </c>
      <c r="I251" s="3" t="s">
        <v>2693</v>
      </c>
      <c r="J251" s="3" t="s">
        <v>2694</v>
      </c>
      <c r="K251" s="3" t="s">
        <v>2695</v>
      </c>
    </row>
    <row r="252" customFormat="false" ht="15" hidden="false" customHeight="true" outlineLevel="0" collapsed="false">
      <c r="A252" s="3" t="s">
        <v>777</v>
      </c>
      <c r="B252" s="3" t="s">
        <v>2696</v>
      </c>
      <c r="C252" s="3" t="s">
        <v>2729</v>
      </c>
      <c r="D252" s="3" t="s">
        <v>2741</v>
      </c>
      <c r="E252" s="3" t="s">
        <v>2689</v>
      </c>
      <c r="F252" s="3" t="s">
        <v>2690</v>
      </c>
      <c r="G252" s="3" t="s">
        <v>2701</v>
      </c>
      <c r="H252" s="3" t="s">
        <v>2711</v>
      </c>
      <c r="I252" s="3" t="s">
        <v>2706</v>
      </c>
      <c r="J252" s="3" t="s">
        <v>2694</v>
      </c>
      <c r="K252" s="3" t="s">
        <v>2695</v>
      </c>
    </row>
    <row r="253" customFormat="false" ht="15" hidden="false" customHeight="true" outlineLevel="0" collapsed="false">
      <c r="A253" s="3" t="s">
        <v>780</v>
      </c>
      <c r="B253" s="3" t="s">
        <v>2707</v>
      </c>
      <c r="C253" s="3" t="s">
        <v>2697</v>
      </c>
      <c r="D253" s="3" t="s">
        <v>2698</v>
      </c>
      <c r="E253" s="3" t="s">
        <v>2732</v>
      </c>
      <c r="F253" s="3" t="s">
        <v>2733</v>
      </c>
      <c r="G253" s="3" t="s">
        <v>2701</v>
      </c>
      <c r="H253" s="3" t="s">
        <v>2711</v>
      </c>
      <c r="I253" s="3" t="s">
        <v>2712</v>
      </c>
      <c r="J253" s="3" t="s">
        <v>2738</v>
      </c>
      <c r="K253" s="3" t="s">
        <v>2735</v>
      </c>
    </row>
    <row r="254" customFormat="false" ht="15" hidden="false" customHeight="true" outlineLevel="0" collapsed="false">
      <c r="A254" s="3" t="s">
        <v>783</v>
      </c>
      <c r="B254" s="3" t="s">
        <v>2713</v>
      </c>
      <c r="C254" s="3" t="s">
        <v>2729</v>
      </c>
      <c r="D254" s="3" t="s">
        <v>2714</v>
      </c>
      <c r="E254" s="3" t="s">
        <v>2762</v>
      </c>
      <c r="F254" s="3" t="s">
        <v>2763</v>
      </c>
      <c r="G254" s="3" t="s">
        <v>2701</v>
      </c>
      <c r="H254" s="3" t="s">
        <v>2702</v>
      </c>
      <c r="I254" s="3" t="s">
        <v>2693</v>
      </c>
      <c r="J254" s="3" t="s">
        <v>2694</v>
      </c>
      <c r="K254" s="3" t="s">
        <v>2695</v>
      </c>
    </row>
    <row r="255" customFormat="false" ht="15" hidden="false" customHeight="true" outlineLevel="0" collapsed="false">
      <c r="A255" s="3" t="s">
        <v>786</v>
      </c>
      <c r="B255" s="3" t="s">
        <v>2707</v>
      </c>
      <c r="C255" s="3" t="s">
        <v>2729</v>
      </c>
      <c r="D255" s="3" t="s">
        <v>2741</v>
      </c>
      <c r="E255" s="3" t="s">
        <v>2772</v>
      </c>
      <c r="F255" s="3" t="s">
        <v>2773</v>
      </c>
      <c r="G255" s="3" t="s">
        <v>2691</v>
      </c>
      <c r="H255" s="3" t="s">
        <v>2744</v>
      </c>
      <c r="I255" s="3" t="s">
        <v>2706</v>
      </c>
      <c r="J255" s="3" t="s">
        <v>2738</v>
      </c>
      <c r="K255" s="3" t="s">
        <v>2735</v>
      </c>
    </row>
    <row r="256" customFormat="false" ht="15" hidden="false" customHeight="true" outlineLevel="0" collapsed="false">
      <c r="A256" s="3" t="s">
        <v>789</v>
      </c>
      <c r="B256" s="3" t="s">
        <v>2739</v>
      </c>
      <c r="C256" s="3" t="s">
        <v>2697</v>
      </c>
      <c r="D256" s="3" t="s">
        <v>2741</v>
      </c>
      <c r="E256" s="3" t="s">
        <v>2689</v>
      </c>
      <c r="F256" s="3" t="s">
        <v>2690</v>
      </c>
      <c r="G256" s="3" t="s">
        <v>2722</v>
      </c>
      <c r="H256" s="3" t="s">
        <v>2758</v>
      </c>
      <c r="I256" s="3" t="s">
        <v>2703</v>
      </c>
      <c r="J256" s="3" t="s">
        <v>2734</v>
      </c>
      <c r="K256" s="3" t="s">
        <v>2718</v>
      </c>
    </row>
    <row r="257" customFormat="false" ht="15" hidden="false" customHeight="true" outlineLevel="0" collapsed="false">
      <c r="A257" s="3" t="s">
        <v>792</v>
      </c>
      <c r="B257" s="3" t="s">
        <v>2713</v>
      </c>
      <c r="C257" s="3" t="s">
        <v>2687</v>
      </c>
      <c r="D257" s="3" t="s">
        <v>2714</v>
      </c>
      <c r="E257" s="3" t="s">
        <v>2720</v>
      </c>
      <c r="F257" s="3" t="s">
        <v>2721</v>
      </c>
      <c r="G257" s="3" t="s">
        <v>2722</v>
      </c>
      <c r="H257" s="3" t="s">
        <v>2723</v>
      </c>
      <c r="I257" s="3" t="s">
        <v>2703</v>
      </c>
      <c r="J257" s="3" t="s">
        <v>2694</v>
      </c>
      <c r="K257" s="3" t="s">
        <v>2735</v>
      </c>
    </row>
    <row r="258" customFormat="false" ht="15" hidden="false" customHeight="true" outlineLevel="0" collapsed="false">
      <c r="A258" s="3" t="s">
        <v>795</v>
      </c>
      <c r="B258" s="3" t="s">
        <v>2704</v>
      </c>
      <c r="C258" s="3" t="s">
        <v>2729</v>
      </c>
      <c r="D258" s="3" t="s">
        <v>2714</v>
      </c>
      <c r="E258" s="3" t="s">
        <v>2715</v>
      </c>
      <c r="F258" s="3" t="s">
        <v>2716</v>
      </c>
      <c r="G258" s="3" t="s">
        <v>2722</v>
      </c>
      <c r="H258" s="3" t="s">
        <v>2758</v>
      </c>
      <c r="I258" s="3" t="s">
        <v>2706</v>
      </c>
      <c r="J258" s="3" t="s">
        <v>2694</v>
      </c>
      <c r="K258" s="3" t="s">
        <v>2695</v>
      </c>
    </row>
    <row r="259" customFormat="false" ht="15" hidden="false" customHeight="true" outlineLevel="0" collapsed="false">
      <c r="A259" s="3" t="s">
        <v>798</v>
      </c>
      <c r="B259" s="3" t="s">
        <v>2713</v>
      </c>
      <c r="C259" s="3" t="s">
        <v>2687</v>
      </c>
      <c r="D259" s="3" t="s">
        <v>2698</v>
      </c>
      <c r="E259" s="3" t="s">
        <v>2732</v>
      </c>
      <c r="F259" s="3" t="s">
        <v>2733</v>
      </c>
      <c r="G259" s="3" t="s">
        <v>2701</v>
      </c>
      <c r="H259" s="3" t="s">
        <v>2702</v>
      </c>
      <c r="I259" s="3" t="s">
        <v>2706</v>
      </c>
      <c r="J259" s="3" t="s">
        <v>2694</v>
      </c>
      <c r="K259" s="3" t="s">
        <v>2695</v>
      </c>
    </row>
    <row r="260" customFormat="false" ht="15" hidden="false" customHeight="true" outlineLevel="0" collapsed="false">
      <c r="A260" s="3" t="s">
        <v>801</v>
      </c>
      <c r="B260" s="3" t="s">
        <v>2755</v>
      </c>
      <c r="C260" s="3" t="s">
        <v>2729</v>
      </c>
      <c r="D260" s="3" t="s">
        <v>2708</v>
      </c>
      <c r="E260" s="3" t="s">
        <v>2760</v>
      </c>
      <c r="F260" s="3" t="s">
        <v>2761</v>
      </c>
      <c r="G260" s="3" t="s">
        <v>2722</v>
      </c>
      <c r="H260" s="3" t="s">
        <v>2723</v>
      </c>
      <c r="I260" s="3" t="s">
        <v>2693</v>
      </c>
      <c r="J260" s="3" t="s">
        <v>2694</v>
      </c>
      <c r="K260" s="3" t="s">
        <v>2718</v>
      </c>
    </row>
    <row r="261" customFormat="false" ht="15" hidden="false" customHeight="true" outlineLevel="0" collapsed="false">
      <c r="A261" s="3" t="s">
        <v>804</v>
      </c>
      <c r="B261" s="3" t="s">
        <v>2746</v>
      </c>
      <c r="C261" s="3" t="s">
        <v>2729</v>
      </c>
      <c r="D261" s="3" t="s">
        <v>2708</v>
      </c>
      <c r="E261" s="3" t="s">
        <v>2774</v>
      </c>
      <c r="F261" s="3" t="s">
        <v>2775</v>
      </c>
      <c r="G261" s="3" t="s">
        <v>2701</v>
      </c>
      <c r="H261" s="3" t="s">
        <v>2702</v>
      </c>
      <c r="I261" s="3" t="s">
        <v>2703</v>
      </c>
      <c r="J261" s="3" t="s">
        <v>2694</v>
      </c>
      <c r="K261" s="3" t="s">
        <v>2695</v>
      </c>
    </row>
    <row r="262" customFormat="false" ht="15" hidden="false" customHeight="true" outlineLevel="0" collapsed="false">
      <c r="A262" s="3" t="s">
        <v>807</v>
      </c>
      <c r="B262" s="3" t="s">
        <v>2724</v>
      </c>
      <c r="C262" s="3" t="s">
        <v>2687</v>
      </c>
      <c r="D262" s="3" t="s">
        <v>2708</v>
      </c>
      <c r="E262" s="3" t="s">
        <v>2774</v>
      </c>
      <c r="F262" s="3" t="s">
        <v>2775</v>
      </c>
      <c r="G262" s="3" t="s">
        <v>2722</v>
      </c>
      <c r="H262" s="3" t="s">
        <v>2779</v>
      </c>
      <c r="I262" s="3" t="s">
        <v>2712</v>
      </c>
      <c r="J262" s="3" t="s">
        <v>2694</v>
      </c>
      <c r="K262" s="3" t="s">
        <v>2695</v>
      </c>
    </row>
    <row r="263" customFormat="false" ht="15" hidden="false" customHeight="true" outlineLevel="0" collapsed="false">
      <c r="A263" s="3" t="s">
        <v>810</v>
      </c>
      <c r="B263" s="3" t="s">
        <v>2728</v>
      </c>
      <c r="C263" s="3" t="s">
        <v>2729</v>
      </c>
      <c r="D263" s="3" t="s">
        <v>2698</v>
      </c>
      <c r="E263" s="3" t="s">
        <v>2732</v>
      </c>
      <c r="F263" s="3" t="s">
        <v>2733</v>
      </c>
      <c r="G263" s="3" t="s">
        <v>2691</v>
      </c>
      <c r="H263" s="3" t="s">
        <v>2752</v>
      </c>
      <c r="I263" s="3" t="s">
        <v>2703</v>
      </c>
      <c r="J263" s="3" t="s">
        <v>2753</v>
      </c>
      <c r="K263" s="3" t="s">
        <v>2735</v>
      </c>
    </row>
    <row r="264" customFormat="false" ht="15" hidden="false" customHeight="true" outlineLevel="0" collapsed="false">
      <c r="A264" s="3" t="s">
        <v>813</v>
      </c>
      <c r="B264" s="3" t="s">
        <v>2746</v>
      </c>
      <c r="C264" s="3" t="s">
        <v>2729</v>
      </c>
      <c r="D264" s="3" t="s">
        <v>2741</v>
      </c>
      <c r="E264" s="3" t="s">
        <v>2689</v>
      </c>
      <c r="F264" s="3" t="s">
        <v>2690</v>
      </c>
      <c r="G264" s="3" t="s">
        <v>2691</v>
      </c>
      <c r="H264" s="3" t="s">
        <v>2730</v>
      </c>
      <c r="I264" s="3" t="s">
        <v>2712</v>
      </c>
      <c r="J264" s="3" t="s">
        <v>2753</v>
      </c>
      <c r="K264" s="3" t="s">
        <v>2718</v>
      </c>
    </row>
    <row r="265" customFormat="false" ht="15" hidden="false" customHeight="true" outlineLevel="0" collapsed="false">
      <c r="A265" s="3" t="s">
        <v>816</v>
      </c>
      <c r="B265" s="3" t="s">
        <v>2707</v>
      </c>
      <c r="C265" s="3" t="s">
        <v>2697</v>
      </c>
      <c r="D265" s="3" t="s">
        <v>2741</v>
      </c>
      <c r="E265" s="3" t="s">
        <v>2782</v>
      </c>
      <c r="F265" s="3" t="s">
        <v>2783</v>
      </c>
      <c r="G265" s="3" t="s">
        <v>2722</v>
      </c>
      <c r="H265" s="3" t="s">
        <v>2758</v>
      </c>
      <c r="I265" s="3" t="s">
        <v>2703</v>
      </c>
      <c r="J265" s="3" t="s">
        <v>2738</v>
      </c>
      <c r="K265" s="3" t="s">
        <v>2735</v>
      </c>
    </row>
    <row r="266" customFormat="false" ht="15" hidden="false" customHeight="true" outlineLevel="0" collapsed="false">
      <c r="A266" s="3" t="s">
        <v>818</v>
      </c>
      <c r="B266" s="3" t="s">
        <v>2749</v>
      </c>
      <c r="C266" s="3" t="s">
        <v>2697</v>
      </c>
      <c r="D266" s="3" t="s">
        <v>2741</v>
      </c>
      <c r="E266" s="3" t="s">
        <v>2782</v>
      </c>
      <c r="F266" s="3" t="s">
        <v>2783</v>
      </c>
      <c r="G266" s="3" t="s">
        <v>2691</v>
      </c>
      <c r="H266" s="3" t="s">
        <v>2752</v>
      </c>
      <c r="I266" s="3" t="s">
        <v>2693</v>
      </c>
      <c r="J266" s="3" t="s">
        <v>2738</v>
      </c>
      <c r="K266" s="3" t="s">
        <v>2735</v>
      </c>
    </row>
    <row r="267" customFormat="false" ht="15" hidden="false" customHeight="true" outlineLevel="0" collapsed="false">
      <c r="A267" s="3" t="s">
        <v>821</v>
      </c>
      <c r="B267" s="3" t="s">
        <v>2755</v>
      </c>
      <c r="C267" s="3" t="s">
        <v>2697</v>
      </c>
      <c r="D267" s="3" t="s">
        <v>2698</v>
      </c>
      <c r="E267" s="3" t="s">
        <v>2750</v>
      </c>
      <c r="F267" s="3" t="s">
        <v>2751</v>
      </c>
      <c r="G267" s="3" t="s">
        <v>2722</v>
      </c>
      <c r="H267" s="3" t="s">
        <v>2725</v>
      </c>
      <c r="I267" s="3" t="s">
        <v>2712</v>
      </c>
      <c r="J267" s="3" t="s">
        <v>2694</v>
      </c>
      <c r="K267" s="3" t="s">
        <v>2695</v>
      </c>
    </row>
    <row r="268" customFormat="false" ht="15" hidden="false" customHeight="true" outlineLevel="0" collapsed="false">
      <c r="A268" s="3" t="s">
        <v>824</v>
      </c>
      <c r="B268" s="3" t="s">
        <v>2739</v>
      </c>
      <c r="C268" s="3" t="s">
        <v>2729</v>
      </c>
      <c r="D268" s="3" t="s">
        <v>2698</v>
      </c>
      <c r="E268" s="3" t="s">
        <v>2750</v>
      </c>
      <c r="F268" s="3" t="s">
        <v>2751</v>
      </c>
      <c r="G268" s="3" t="s">
        <v>2701</v>
      </c>
      <c r="H268" s="3" t="s">
        <v>2754</v>
      </c>
      <c r="I268" s="3" t="s">
        <v>2703</v>
      </c>
      <c r="J268" s="3" t="s">
        <v>2734</v>
      </c>
      <c r="K268" s="3" t="s">
        <v>2807</v>
      </c>
    </row>
    <row r="269" customFormat="false" ht="15" hidden="false" customHeight="true" outlineLevel="0" collapsed="false">
      <c r="A269" s="3" t="s">
        <v>827</v>
      </c>
      <c r="B269" s="3" t="s">
        <v>2724</v>
      </c>
      <c r="C269" s="3" t="s">
        <v>2731</v>
      </c>
      <c r="D269" s="3" t="s">
        <v>2714</v>
      </c>
      <c r="E269" s="3" t="s">
        <v>2715</v>
      </c>
      <c r="F269" s="3" t="s">
        <v>2716</v>
      </c>
      <c r="G269" s="3" t="s">
        <v>2691</v>
      </c>
      <c r="H269" s="3" t="s">
        <v>2744</v>
      </c>
      <c r="I269" s="3" t="s">
        <v>2693</v>
      </c>
      <c r="J269" s="3" t="s">
        <v>2694</v>
      </c>
      <c r="K269" s="3" t="s">
        <v>2695</v>
      </c>
    </row>
    <row r="270" customFormat="false" ht="15" hidden="false" customHeight="true" outlineLevel="0" collapsed="false">
      <c r="A270" s="3" t="s">
        <v>830</v>
      </c>
      <c r="B270" s="3" t="s">
        <v>2755</v>
      </c>
      <c r="C270" s="3" t="s">
        <v>2729</v>
      </c>
      <c r="D270" s="3" t="s">
        <v>2698</v>
      </c>
      <c r="E270" s="3" t="s">
        <v>2770</v>
      </c>
      <c r="F270" s="3" t="s">
        <v>2771</v>
      </c>
      <c r="G270" s="3" t="s">
        <v>2701</v>
      </c>
      <c r="H270" s="3" t="s">
        <v>2711</v>
      </c>
      <c r="I270" s="3" t="s">
        <v>2706</v>
      </c>
      <c r="J270" s="3" t="s">
        <v>2694</v>
      </c>
      <c r="K270" s="3" t="s">
        <v>2695</v>
      </c>
    </row>
    <row r="271" customFormat="false" ht="15" hidden="false" customHeight="true" outlineLevel="0" collapsed="false">
      <c r="A271" s="3" t="s">
        <v>833</v>
      </c>
      <c r="B271" s="3" t="s">
        <v>2745</v>
      </c>
      <c r="C271" s="3" t="s">
        <v>2731</v>
      </c>
      <c r="D271" s="3" t="s">
        <v>2741</v>
      </c>
      <c r="E271" s="3" t="s">
        <v>2742</v>
      </c>
      <c r="F271" s="3" t="s">
        <v>2743</v>
      </c>
      <c r="G271" s="3" t="s">
        <v>2722</v>
      </c>
      <c r="H271" s="3" t="s">
        <v>2723</v>
      </c>
      <c r="I271" s="3" t="s">
        <v>2706</v>
      </c>
      <c r="J271" s="3" t="s">
        <v>2694</v>
      </c>
      <c r="K271" s="3" t="s">
        <v>2695</v>
      </c>
    </row>
    <row r="272" customFormat="false" ht="15" hidden="false" customHeight="true" outlineLevel="0" collapsed="false">
      <c r="A272" s="3" t="s">
        <v>836</v>
      </c>
      <c r="B272" s="3" t="s">
        <v>2740</v>
      </c>
      <c r="C272" s="3" t="s">
        <v>2697</v>
      </c>
      <c r="D272" s="3" t="s">
        <v>2714</v>
      </c>
      <c r="E272" s="3" t="s">
        <v>2689</v>
      </c>
      <c r="F272" s="3" t="s">
        <v>2737</v>
      </c>
      <c r="G272" s="3" t="s">
        <v>2781</v>
      </c>
      <c r="H272" s="3" t="s">
        <v>2702</v>
      </c>
      <c r="I272" s="3" t="s">
        <v>2703</v>
      </c>
      <c r="J272" s="3" t="s">
        <v>2694</v>
      </c>
      <c r="K272" s="3" t="s">
        <v>2695</v>
      </c>
    </row>
    <row r="273" customFormat="false" ht="15" hidden="false" customHeight="true" outlineLevel="0" collapsed="false">
      <c r="A273" s="3" t="s">
        <v>839</v>
      </c>
      <c r="B273" s="3" t="s">
        <v>2728</v>
      </c>
      <c r="C273" s="3" t="s">
        <v>2729</v>
      </c>
      <c r="D273" s="3" t="s">
        <v>2741</v>
      </c>
      <c r="E273" s="3" t="s">
        <v>2747</v>
      </c>
      <c r="F273" s="3" t="s">
        <v>2748</v>
      </c>
      <c r="G273" s="3" t="s">
        <v>2722</v>
      </c>
      <c r="H273" s="3" t="s">
        <v>2779</v>
      </c>
      <c r="I273" s="3" t="s">
        <v>2703</v>
      </c>
      <c r="J273" s="3" t="s">
        <v>2694</v>
      </c>
      <c r="K273" s="3" t="s">
        <v>2695</v>
      </c>
    </row>
    <row r="274" customFormat="false" ht="15" hidden="false" customHeight="true" outlineLevel="0" collapsed="false">
      <c r="A274" s="3" t="s">
        <v>842</v>
      </c>
      <c r="B274" s="3" t="s">
        <v>2728</v>
      </c>
      <c r="C274" s="3" t="s">
        <v>2687</v>
      </c>
      <c r="D274" s="3" t="s">
        <v>2708</v>
      </c>
      <c r="E274" s="3" t="s">
        <v>2709</v>
      </c>
      <c r="F274" s="3" t="s">
        <v>2710</v>
      </c>
      <c r="G274" s="3" t="s">
        <v>2691</v>
      </c>
      <c r="H274" s="3" t="s">
        <v>2752</v>
      </c>
      <c r="I274" s="3" t="s">
        <v>2712</v>
      </c>
      <c r="J274" s="3" t="s">
        <v>2753</v>
      </c>
      <c r="K274" s="3" t="s">
        <v>2718</v>
      </c>
    </row>
    <row r="275" customFormat="false" ht="15" hidden="false" customHeight="true" outlineLevel="0" collapsed="false">
      <c r="A275" s="3" t="s">
        <v>845</v>
      </c>
      <c r="B275" s="3" t="s">
        <v>2707</v>
      </c>
      <c r="C275" s="3" t="s">
        <v>2687</v>
      </c>
      <c r="D275" s="3" t="s">
        <v>2708</v>
      </c>
      <c r="E275" s="3" t="s">
        <v>2726</v>
      </c>
      <c r="F275" s="3" t="s">
        <v>2727</v>
      </c>
      <c r="G275" s="3" t="s">
        <v>2701</v>
      </c>
      <c r="H275" s="3" t="s">
        <v>2717</v>
      </c>
      <c r="I275" s="3" t="s">
        <v>2706</v>
      </c>
      <c r="J275" s="3" t="s">
        <v>2694</v>
      </c>
      <c r="K275" s="3" t="s">
        <v>2695</v>
      </c>
    </row>
    <row r="276" customFormat="false" ht="15" hidden="false" customHeight="true" outlineLevel="0" collapsed="false">
      <c r="A276" s="3" t="s">
        <v>848</v>
      </c>
      <c r="B276" s="3" t="s">
        <v>2704</v>
      </c>
      <c r="C276" s="3" t="s">
        <v>2687</v>
      </c>
      <c r="D276" s="3" t="s">
        <v>2698</v>
      </c>
      <c r="E276" s="3" t="s">
        <v>2750</v>
      </c>
      <c r="F276" s="3" t="s">
        <v>2751</v>
      </c>
      <c r="G276" s="3" t="s">
        <v>2691</v>
      </c>
      <c r="H276" s="3" t="s">
        <v>2692</v>
      </c>
      <c r="I276" s="3" t="s">
        <v>2693</v>
      </c>
      <c r="J276" s="3" t="s">
        <v>2694</v>
      </c>
      <c r="K276" s="3" t="s">
        <v>2735</v>
      </c>
    </row>
    <row r="277" customFormat="false" ht="15" hidden="false" customHeight="true" outlineLevel="0" collapsed="false">
      <c r="A277" s="3" t="s">
        <v>851</v>
      </c>
      <c r="B277" s="3" t="s">
        <v>2749</v>
      </c>
      <c r="C277" s="3" t="s">
        <v>2687</v>
      </c>
      <c r="D277" s="3" t="s">
        <v>2708</v>
      </c>
      <c r="E277" s="3" t="s">
        <v>2764</v>
      </c>
      <c r="F277" s="3" t="s">
        <v>2765</v>
      </c>
      <c r="G277" s="3" t="s">
        <v>2722</v>
      </c>
      <c r="H277" s="3" t="s">
        <v>2725</v>
      </c>
      <c r="I277" s="3" t="s">
        <v>2712</v>
      </c>
      <c r="J277" s="3" t="s">
        <v>2753</v>
      </c>
      <c r="K277" s="3" t="s">
        <v>2735</v>
      </c>
    </row>
    <row r="278" customFormat="false" ht="15" hidden="false" customHeight="true" outlineLevel="0" collapsed="false">
      <c r="A278" s="3" t="s">
        <v>854</v>
      </c>
      <c r="B278" s="3" t="s">
        <v>2739</v>
      </c>
      <c r="C278" s="3" t="s">
        <v>2697</v>
      </c>
      <c r="D278" s="3" t="s">
        <v>2698</v>
      </c>
      <c r="E278" s="3" t="s">
        <v>2732</v>
      </c>
      <c r="F278" s="3" t="s">
        <v>2733</v>
      </c>
      <c r="G278" s="3" t="s">
        <v>2701</v>
      </c>
      <c r="H278" s="3" t="s">
        <v>2711</v>
      </c>
      <c r="I278" s="3" t="s">
        <v>2703</v>
      </c>
      <c r="J278" s="3" t="s">
        <v>2694</v>
      </c>
      <c r="K278" s="3" t="s">
        <v>2695</v>
      </c>
    </row>
    <row r="279" customFormat="false" ht="15" hidden="false" customHeight="true" outlineLevel="0" collapsed="false">
      <c r="A279" s="3" t="s">
        <v>857</v>
      </c>
      <c r="B279" s="3" t="s">
        <v>2745</v>
      </c>
      <c r="C279" s="3" t="s">
        <v>2697</v>
      </c>
      <c r="D279" s="3" t="s">
        <v>2768</v>
      </c>
      <c r="E279" s="3" t="s">
        <v>2756</v>
      </c>
      <c r="F279" s="3" t="s">
        <v>2757</v>
      </c>
      <c r="G279" s="3" t="s">
        <v>2701</v>
      </c>
      <c r="H279" s="3" t="s">
        <v>2717</v>
      </c>
      <c r="I279" s="3" t="s">
        <v>2693</v>
      </c>
      <c r="J279" s="3" t="s">
        <v>2694</v>
      </c>
      <c r="K279" s="3" t="s">
        <v>2695</v>
      </c>
    </row>
    <row r="280" customFormat="false" ht="15" hidden="false" customHeight="true" outlineLevel="0" collapsed="false">
      <c r="A280" s="3" t="s">
        <v>860</v>
      </c>
      <c r="B280" s="3" t="s">
        <v>2704</v>
      </c>
      <c r="C280" s="3" t="s">
        <v>2729</v>
      </c>
      <c r="D280" s="3" t="s">
        <v>2741</v>
      </c>
      <c r="E280" s="3" t="s">
        <v>2772</v>
      </c>
      <c r="F280" s="3" t="s">
        <v>2773</v>
      </c>
      <c r="G280" s="3" t="s">
        <v>2722</v>
      </c>
      <c r="H280" s="3" t="s">
        <v>2723</v>
      </c>
      <c r="I280" s="3" t="s">
        <v>2693</v>
      </c>
      <c r="J280" s="3" t="s">
        <v>2738</v>
      </c>
      <c r="K280" s="3" t="s">
        <v>2718</v>
      </c>
    </row>
    <row r="281" customFormat="false" ht="15" hidden="false" customHeight="true" outlineLevel="0" collapsed="false">
      <c r="A281" s="3" t="s">
        <v>862</v>
      </c>
      <c r="B281" s="3" t="s">
        <v>2808</v>
      </c>
      <c r="C281" s="3" t="s">
        <v>2697</v>
      </c>
      <c r="D281" s="3" t="s">
        <v>2741</v>
      </c>
      <c r="E281" s="3" t="s">
        <v>2782</v>
      </c>
      <c r="F281" s="3" t="s">
        <v>2783</v>
      </c>
      <c r="G281" s="3" t="s">
        <v>2722</v>
      </c>
      <c r="H281" s="3" t="s">
        <v>2723</v>
      </c>
      <c r="I281" s="3" t="s">
        <v>2703</v>
      </c>
      <c r="J281" s="3" t="s">
        <v>2694</v>
      </c>
      <c r="K281" s="3" t="s">
        <v>2735</v>
      </c>
    </row>
    <row r="282" customFormat="false" ht="15" hidden="false" customHeight="true" outlineLevel="0" collapsed="false">
      <c r="A282" s="3" t="s">
        <v>865</v>
      </c>
      <c r="B282" s="3" t="s">
        <v>2749</v>
      </c>
      <c r="C282" s="3" t="s">
        <v>2697</v>
      </c>
      <c r="D282" s="3" t="s">
        <v>2714</v>
      </c>
      <c r="E282" s="3" t="s">
        <v>2715</v>
      </c>
      <c r="F282" s="3" t="s">
        <v>2716</v>
      </c>
      <c r="G282" s="3" t="s">
        <v>2691</v>
      </c>
      <c r="H282" s="3" t="s">
        <v>2744</v>
      </c>
      <c r="I282" s="3" t="s">
        <v>2706</v>
      </c>
      <c r="J282" s="3" t="s">
        <v>2694</v>
      </c>
      <c r="K282" s="3" t="s">
        <v>2695</v>
      </c>
    </row>
    <row r="283" customFormat="false" ht="15" hidden="false" customHeight="true" outlineLevel="0" collapsed="false">
      <c r="A283" s="3" t="s">
        <v>868</v>
      </c>
      <c r="B283" s="3" t="s">
        <v>2728</v>
      </c>
      <c r="C283" s="3" t="s">
        <v>2687</v>
      </c>
      <c r="D283" s="3" t="s">
        <v>2708</v>
      </c>
      <c r="E283" s="3" t="s">
        <v>2760</v>
      </c>
      <c r="F283" s="3" t="s">
        <v>2761</v>
      </c>
      <c r="G283" s="3" t="s">
        <v>2722</v>
      </c>
      <c r="H283" s="3" t="s">
        <v>2725</v>
      </c>
      <c r="I283" s="3" t="s">
        <v>2712</v>
      </c>
      <c r="J283" s="3" t="s">
        <v>2694</v>
      </c>
      <c r="K283" s="3" t="s">
        <v>2695</v>
      </c>
    </row>
    <row r="284" customFormat="false" ht="15" hidden="false" customHeight="true" outlineLevel="0" collapsed="false">
      <c r="A284" s="3" t="s">
        <v>871</v>
      </c>
      <c r="B284" s="3" t="s">
        <v>2778</v>
      </c>
      <c r="C284" s="3" t="s">
        <v>2687</v>
      </c>
      <c r="D284" s="3" t="s">
        <v>2698</v>
      </c>
      <c r="E284" s="3" t="s">
        <v>2770</v>
      </c>
      <c r="F284" s="3" t="s">
        <v>2771</v>
      </c>
      <c r="G284" s="3" t="s">
        <v>2691</v>
      </c>
      <c r="H284" s="3" t="s">
        <v>2752</v>
      </c>
      <c r="I284" s="3" t="s">
        <v>2693</v>
      </c>
      <c r="J284" s="3" t="s">
        <v>2694</v>
      </c>
      <c r="K284" s="3" t="s">
        <v>2695</v>
      </c>
    </row>
    <row r="285" customFormat="false" ht="15" hidden="false" customHeight="true" outlineLevel="0" collapsed="false">
      <c r="A285" s="3" t="s">
        <v>874</v>
      </c>
      <c r="B285" s="3" t="s">
        <v>2686</v>
      </c>
      <c r="C285" s="3" t="s">
        <v>2731</v>
      </c>
      <c r="D285" s="3" t="s">
        <v>2698</v>
      </c>
      <c r="E285" s="3" t="s">
        <v>2756</v>
      </c>
      <c r="F285" s="3" t="s">
        <v>2757</v>
      </c>
      <c r="G285" s="3" t="s">
        <v>2701</v>
      </c>
      <c r="H285" s="3" t="s">
        <v>2702</v>
      </c>
      <c r="I285" s="3" t="s">
        <v>2693</v>
      </c>
      <c r="J285" s="3" t="s">
        <v>2694</v>
      </c>
      <c r="K285" s="3" t="s">
        <v>2695</v>
      </c>
    </row>
    <row r="286" customFormat="false" ht="15" hidden="false" customHeight="true" outlineLevel="0" collapsed="false">
      <c r="A286" s="3" t="s">
        <v>877</v>
      </c>
      <c r="B286" s="3" t="s">
        <v>2719</v>
      </c>
      <c r="C286" s="3" t="s">
        <v>2687</v>
      </c>
      <c r="D286" s="3" t="s">
        <v>2714</v>
      </c>
      <c r="E286" s="3" t="s">
        <v>2715</v>
      </c>
      <c r="F286" s="3" t="s">
        <v>2716</v>
      </c>
      <c r="G286" s="3" t="s">
        <v>2701</v>
      </c>
      <c r="H286" s="3" t="s">
        <v>2711</v>
      </c>
      <c r="I286" s="3" t="s">
        <v>2706</v>
      </c>
      <c r="J286" s="3" t="s">
        <v>2694</v>
      </c>
      <c r="K286" s="3" t="s">
        <v>2695</v>
      </c>
    </row>
    <row r="287" customFormat="false" ht="15" hidden="false" customHeight="true" outlineLevel="0" collapsed="false">
      <c r="A287" s="3" t="s">
        <v>880</v>
      </c>
      <c r="B287" s="3" t="s">
        <v>2686</v>
      </c>
      <c r="C287" s="3" t="s">
        <v>2687</v>
      </c>
      <c r="D287" s="3" t="s">
        <v>2698</v>
      </c>
      <c r="E287" s="3" t="s">
        <v>2699</v>
      </c>
      <c r="F287" s="3" t="s">
        <v>2700</v>
      </c>
      <c r="G287" s="3" t="s">
        <v>2701</v>
      </c>
      <c r="H287" s="3" t="s">
        <v>2702</v>
      </c>
      <c r="I287" s="3" t="s">
        <v>2703</v>
      </c>
      <c r="J287" s="3" t="s">
        <v>2694</v>
      </c>
      <c r="K287" s="3" t="s">
        <v>2735</v>
      </c>
    </row>
    <row r="288" customFormat="false" ht="15" hidden="false" customHeight="true" outlineLevel="0" collapsed="false">
      <c r="A288" s="3" t="s">
        <v>883</v>
      </c>
      <c r="B288" s="3" t="s">
        <v>2724</v>
      </c>
      <c r="C288" s="3" t="s">
        <v>2731</v>
      </c>
      <c r="D288" s="3" t="s">
        <v>2741</v>
      </c>
      <c r="E288" s="3" t="s">
        <v>2689</v>
      </c>
      <c r="F288" s="3" t="s">
        <v>2690</v>
      </c>
      <c r="G288" s="3" t="s">
        <v>2691</v>
      </c>
      <c r="H288" s="3" t="s">
        <v>2744</v>
      </c>
      <c r="I288" s="3" t="s">
        <v>2712</v>
      </c>
      <c r="J288" s="3" t="s">
        <v>2694</v>
      </c>
      <c r="K288" s="3" t="s">
        <v>2695</v>
      </c>
    </row>
    <row r="289" customFormat="false" ht="15" hidden="false" customHeight="true" outlineLevel="0" collapsed="false">
      <c r="A289" s="3" t="s">
        <v>886</v>
      </c>
      <c r="B289" s="3" t="s">
        <v>2739</v>
      </c>
      <c r="C289" s="3" t="s">
        <v>2697</v>
      </c>
      <c r="D289" s="3" t="s">
        <v>2741</v>
      </c>
      <c r="E289" s="3" t="s">
        <v>2782</v>
      </c>
      <c r="F289" s="3" t="s">
        <v>2783</v>
      </c>
      <c r="G289" s="3" t="s">
        <v>2701</v>
      </c>
      <c r="H289" s="3" t="s">
        <v>2711</v>
      </c>
      <c r="I289" s="3" t="s">
        <v>2706</v>
      </c>
      <c r="J289" s="3" t="s">
        <v>2738</v>
      </c>
      <c r="K289" s="3" t="s">
        <v>2735</v>
      </c>
    </row>
    <row r="290" customFormat="false" ht="15" hidden="false" customHeight="true" outlineLevel="0" collapsed="false">
      <c r="A290" s="3" t="s">
        <v>889</v>
      </c>
      <c r="B290" s="3" t="s">
        <v>2724</v>
      </c>
      <c r="C290" s="3" t="s">
        <v>2697</v>
      </c>
      <c r="D290" s="3" t="s">
        <v>2708</v>
      </c>
      <c r="E290" s="3" t="s">
        <v>2774</v>
      </c>
      <c r="F290" s="3" t="s">
        <v>2775</v>
      </c>
      <c r="G290" s="3" t="s">
        <v>2722</v>
      </c>
      <c r="H290" s="3" t="s">
        <v>2725</v>
      </c>
      <c r="I290" s="3" t="s">
        <v>2712</v>
      </c>
      <c r="J290" s="3" t="s">
        <v>2694</v>
      </c>
      <c r="K290" s="3" t="s">
        <v>2718</v>
      </c>
    </row>
    <row r="291" customFormat="false" ht="15" hidden="false" customHeight="true" outlineLevel="0" collapsed="false">
      <c r="A291" s="3" t="s">
        <v>892</v>
      </c>
      <c r="B291" s="3" t="s">
        <v>2749</v>
      </c>
      <c r="C291" s="3" t="s">
        <v>2697</v>
      </c>
      <c r="D291" s="3" t="s">
        <v>2698</v>
      </c>
      <c r="E291" s="3" t="s">
        <v>2750</v>
      </c>
      <c r="F291" s="3" t="s">
        <v>2751</v>
      </c>
      <c r="G291" s="3" t="s">
        <v>2691</v>
      </c>
      <c r="H291" s="3" t="s">
        <v>2752</v>
      </c>
      <c r="I291" s="3" t="s">
        <v>2703</v>
      </c>
      <c r="J291" s="3" t="s">
        <v>2694</v>
      </c>
      <c r="K291" s="3" t="s">
        <v>2695</v>
      </c>
    </row>
    <row r="292" customFormat="false" ht="15" hidden="false" customHeight="true" outlineLevel="0" collapsed="false">
      <c r="A292" s="3" t="s">
        <v>895</v>
      </c>
      <c r="B292" s="3" t="s">
        <v>2686</v>
      </c>
      <c r="C292" s="3" t="s">
        <v>2731</v>
      </c>
      <c r="D292" s="3" t="s">
        <v>2708</v>
      </c>
      <c r="E292" s="3" t="s">
        <v>2774</v>
      </c>
      <c r="F292" s="3" t="s">
        <v>2775</v>
      </c>
      <c r="G292" s="3" t="s">
        <v>2701</v>
      </c>
      <c r="H292" s="3" t="s">
        <v>2754</v>
      </c>
      <c r="I292" s="3" t="s">
        <v>2706</v>
      </c>
      <c r="J292" s="3" t="s">
        <v>2694</v>
      </c>
      <c r="K292" s="3" t="s">
        <v>2695</v>
      </c>
    </row>
    <row r="293" customFormat="false" ht="15" hidden="false" customHeight="true" outlineLevel="0" collapsed="false">
      <c r="A293" s="3" t="s">
        <v>898</v>
      </c>
      <c r="B293" s="3" t="s">
        <v>2755</v>
      </c>
      <c r="C293" s="3" t="s">
        <v>2731</v>
      </c>
      <c r="D293" s="3" t="s">
        <v>2698</v>
      </c>
      <c r="E293" s="3" t="s">
        <v>2770</v>
      </c>
      <c r="F293" s="3" t="s">
        <v>2771</v>
      </c>
      <c r="G293" s="3" t="s">
        <v>2701</v>
      </c>
      <c r="H293" s="3" t="s">
        <v>2702</v>
      </c>
      <c r="I293" s="3" t="s">
        <v>2712</v>
      </c>
      <c r="J293" s="3" t="s">
        <v>2694</v>
      </c>
      <c r="K293" s="3" t="s">
        <v>2695</v>
      </c>
    </row>
    <row r="294" customFormat="false" ht="15" hidden="false" customHeight="true" outlineLevel="0" collapsed="false">
      <c r="A294" s="3" t="s">
        <v>901</v>
      </c>
      <c r="B294" s="3" t="s">
        <v>2739</v>
      </c>
      <c r="C294" s="3" t="s">
        <v>2731</v>
      </c>
      <c r="D294" s="3" t="s">
        <v>2741</v>
      </c>
      <c r="E294" s="3" t="s">
        <v>2689</v>
      </c>
      <c r="F294" s="3" t="s">
        <v>2690</v>
      </c>
      <c r="G294" s="3" t="s">
        <v>2691</v>
      </c>
      <c r="H294" s="3" t="s">
        <v>2752</v>
      </c>
      <c r="I294" s="3" t="s">
        <v>2712</v>
      </c>
      <c r="J294" s="3" t="s">
        <v>2694</v>
      </c>
      <c r="K294" s="3" t="s">
        <v>2695</v>
      </c>
    </row>
    <row r="295" customFormat="false" ht="15" hidden="false" customHeight="true" outlineLevel="0" collapsed="false">
      <c r="A295" s="3" t="s">
        <v>904</v>
      </c>
      <c r="B295" s="3" t="s">
        <v>2778</v>
      </c>
      <c r="C295" s="3" t="s">
        <v>2731</v>
      </c>
      <c r="D295" s="3" t="s">
        <v>2741</v>
      </c>
      <c r="E295" s="3" t="s">
        <v>2772</v>
      </c>
      <c r="F295" s="3" t="s">
        <v>2773</v>
      </c>
      <c r="G295" s="3" t="s">
        <v>2691</v>
      </c>
      <c r="H295" s="3" t="s">
        <v>2705</v>
      </c>
      <c r="I295" s="3" t="s">
        <v>2703</v>
      </c>
      <c r="J295" s="3" t="s">
        <v>2738</v>
      </c>
      <c r="K295" s="3" t="s">
        <v>2718</v>
      </c>
    </row>
    <row r="296" customFormat="false" ht="15" hidden="false" customHeight="true" outlineLevel="0" collapsed="false">
      <c r="A296" s="3" t="s">
        <v>907</v>
      </c>
      <c r="B296" s="3" t="s">
        <v>2707</v>
      </c>
      <c r="C296" s="3" t="s">
        <v>2731</v>
      </c>
      <c r="D296" s="3" t="s">
        <v>2708</v>
      </c>
      <c r="E296" s="3" t="s">
        <v>2709</v>
      </c>
      <c r="F296" s="3" t="s">
        <v>2710</v>
      </c>
      <c r="G296" s="3" t="s">
        <v>2722</v>
      </c>
      <c r="H296" s="3" t="s">
        <v>2758</v>
      </c>
      <c r="I296" s="3" t="s">
        <v>2706</v>
      </c>
      <c r="J296" s="3" t="s">
        <v>2694</v>
      </c>
      <c r="K296" s="3" t="s">
        <v>2695</v>
      </c>
    </row>
    <row r="297" customFormat="false" ht="15" hidden="false" customHeight="true" outlineLevel="0" collapsed="false">
      <c r="A297" s="3" t="s">
        <v>910</v>
      </c>
      <c r="B297" s="3" t="s">
        <v>2739</v>
      </c>
      <c r="C297" s="3" t="s">
        <v>2687</v>
      </c>
      <c r="D297" s="3" t="s">
        <v>2698</v>
      </c>
      <c r="E297" s="3" t="s">
        <v>2699</v>
      </c>
      <c r="F297" s="3" t="s">
        <v>2700</v>
      </c>
      <c r="G297" s="3" t="s">
        <v>2722</v>
      </c>
      <c r="H297" s="3" t="s">
        <v>2758</v>
      </c>
      <c r="I297" s="3" t="s">
        <v>2693</v>
      </c>
      <c r="J297" s="3" t="s">
        <v>2694</v>
      </c>
      <c r="K297" s="3" t="s">
        <v>2735</v>
      </c>
    </row>
    <row r="298" customFormat="false" ht="15" hidden="false" customHeight="true" outlineLevel="0" collapsed="false">
      <c r="A298" s="3" t="s">
        <v>913</v>
      </c>
      <c r="B298" s="3" t="s">
        <v>2728</v>
      </c>
      <c r="C298" s="3" t="s">
        <v>2697</v>
      </c>
      <c r="D298" s="3" t="s">
        <v>2698</v>
      </c>
      <c r="E298" s="3" t="s">
        <v>2756</v>
      </c>
      <c r="F298" s="3" t="s">
        <v>2757</v>
      </c>
      <c r="G298" s="3" t="s">
        <v>2691</v>
      </c>
      <c r="H298" s="3" t="s">
        <v>2752</v>
      </c>
      <c r="I298" s="3" t="s">
        <v>2712</v>
      </c>
      <c r="J298" s="3" t="s">
        <v>2694</v>
      </c>
      <c r="K298" s="3" t="s">
        <v>2695</v>
      </c>
    </row>
    <row r="299" customFormat="false" ht="15" hidden="false" customHeight="true" outlineLevel="0" collapsed="false">
      <c r="A299" s="3" t="s">
        <v>916</v>
      </c>
      <c r="B299" s="3" t="s">
        <v>2728</v>
      </c>
      <c r="C299" s="3" t="s">
        <v>2731</v>
      </c>
      <c r="D299" s="3" t="s">
        <v>2741</v>
      </c>
      <c r="E299" s="3" t="s">
        <v>2772</v>
      </c>
      <c r="F299" s="3" t="s">
        <v>2773</v>
      </c>
      <c r="G299" s="3" t="s">
        <v>2701</v>
      </c>
      <c r="H299" s="3" t="s">
        <v>2711</v>
      </c>
      <c r="I299" s="3" t="s">
        <v>2703</v>
      </c>
      <c r="J299" s="3" t="s">
        <v>2694</v>
      </c>
      <c r="K299" s="3" t="s">
        <v>2695</v>
      </c>
    </row>
    <row r="300" customFormat="false" ht="15" hidden="false" customHeight="true" outlineLevel="0" collapsed="false">
      <c r="A300" s="3" t="s">
        <v>919</v>
      </c>
      <c r="B300" s="3" t="s">
        <v>2746</v>
      </c>
      <c r="C300" s="3" t="s">
        <v>2729</v>
      </c>
      <c r="D300" s="3" t="s">
        <v>2708</v>
      </c>
      <c r="E300" s="3" t="s">
        <v>2774</v>
      </c>
      <c r="F300" s="3" t="s">
        <v>2775</v>
      </c>
      <c r="G300" s="3" t="s">
        <v>2722</v>
      </c>
      <c r="H300" s="3" t="s">
        <v>2725</v>
      </c>
      <c r="I300" s="3" t="s">
        <v>2703</v>
      </c>
      <c r="J300" s="3" t="s">
        <v>2694</v>
      </c>
      <c r="K300" s="3" t="s">
        <v>2695</v>
      </c>
    </row>
    <row r="301" customFormat="false" ht="15" hidden="false" customHeight="true" outlineLevel="0" collapsed="false">
      <c r="A301" s="3" t="s">
        <v>922</v>
      </c>
      <c r="B301" s="3" t="s">
        <v>2704</v>
      </c>
      <c r="C301" s="3" t="s">
        <v>2687</v>
      </c>
      <c r="D301" s="3" t="s">
        <v>2708</v>
      </c>
      <c r="E301" s="3" t="s">
        <v>2764</v>
      </c>
      <c r="F301" s="3" t="s">
        <v>2765</v>
      </c>
      <c r="G301" s="3" t="s">
        <v>2722</v>
      </c>
      <c r="H301" s="3" t="s">
        <v>2725</v>
      </c>
      <c r="I301" s="3" t="s">
        <v>2706</v>
      </c>
      <c r="J301" s="3" t="s">
        <v>2753</v>
      </c>
      <c r="K301" s="3" t="s">
        <v>2735</v>
      </c>
    </row>
    <row r="302" customFormat="false" ht="15" hidden="false" customHeight="true" outlineLevel="0" collapsed="false">
      <c r="A302" s="3" t="s">
        <v>925</v>
      </c>
      <c r="B302" s="3" t="s">
        <v>2740</v>
      </c>
      <c r="C302" s="3" t="s">
        <v>2697</v>
      </c>
      <c r="D302" s="3" t="s">
        <v>2714</v>
      </c>
      <c r="E302" s="3" t="s">
        <v>2762</v>
      </c>
      <c r="F302" s="3" t="s">
        <v>2763</v>
      </c>
      <c r="G302" s="3" t="s">
        <v>2722</v>
      </c>
      <c r="H302" s="3" t="s">
        <v>2723</v>
      </c>
      <c r="I302" s="3" t="s">
        <v>2712</v>
      </c>
      <c r="J302" s="3" t="s">
        <v>2694</v>
      </c>
      <c r="K302" s="3" t="s">
        <v>2695</v>
      </c>
    </row>
    <row r="303" customFormat="false" ht="15" hidden="false" customHeight="true" outlineLevel="0" collapsed="false">
      <c r="A303" s="3" t="s">
        <v>928</v>
      </c>
      <c r="B303" s="3" t="s">
        <v>2755</v>
      </c>
      <c r="C303" s="3" t="s">
        <v>2697</v>
      </c>
      <c r="D303" s="3" t="s">
        <v>2741</v>
      </c>
      <c r="E303" s="3" t="s">
        <v>2742</v>
      </c>
      <c r="F303" s="3" t="s">
        <v>2743</v>
      </c>
      <c r="G303" s="3" t="s">
        <v>2722</v>
      </c>
      <c r="H303" s="3" t="s">
        <v>2723</v>
      </c>
      <c r="I303" s="3" t="s">
        <v>2776</v>
      </c>
      <c r="J303" s="3" t="s">
        <v>2694</v>
      </c>
      <c r="K303" s="3" t="s">
        <v>2695</v>
      </c>
    </row>
    <row r="304" customFormat="false" ht="15" hidden="false" customHeight="true" outlineLevel="0" collapsed="false">
      <c r="A304" s="3" t="s">
        <v>931</v>
      </c>
      <c r="B304" s="3" t="s">
        <v>2704</v>
      </c>
      <c r="C304" s="3" t="s">
        <v>2731</v>
      </c>
      <c r="D304" s="3" t="s">
        <v>2698</v>
      </c>
      <c r="E304" s="3" t="s">
        <v>2750</v>
      </c>
      <c r="F304" s="3" t="s">
        <v>2751</v>
      </c>
      <c r="G304" s="3" t="s">
        <v>2722</v>
      </c>
      <c r="H304" s="3" t="s">
        <v>2758</v>
      </c>
      <c r="I304" s="3" t="s">
        <v>2703</v>
      </c>
      <c r="J304" s="3" t="s">
        <v>2694</v>
      </c>
      <c r="K304" s="3" t="s">
        <v>2695</v>
      </c>
    </row>
    <row r="305" customFormat="false" ht="15" hidden="false" customHeight="true" outlineLevel="0" collapsed="false">
      <c r="A305" s="3" t="s">
        <v>934</v>
      </c>
      <c r="B305" s="3" t="s">
        <v>2724</v>
      </c>
      <c r="C305" s="3" t="s">
        <v>2687</v>
      </c>
      <c r="D305" s="3" t="s">
        <v>2714</v>
      </c>
      <c r="E305" s="3" t="s">
        <v>2766</v>
      </c>
      <c r="F305" s="3" t="s">
        <v>2767</v>
      </c>
      <c r="G305" s="3" t="s">
        <v>2796</v>
      </c>
      <c r="H305" s="3" t="s">
        <v>2744</v>
      </c>
      <c r="I305" s="3" t="s">
        <v>2703</v>
      </c>
      <c r="J305" s="3" t="s">
        <v>2694</v>
      </c>
      <c r="K305" s="3" t="s">
        <v>2695</v>
      </c>
    </row>
    <row r="306" customFormat="false" ht="15" hidden="false" customHeight="true" outlineLevel="0" collapsed="false">
      <c r="A306" s="3" t="s">
        <v>937</v>
      </c>
      <c r="B306" s="3" t="s">
        <v>2755</v>
      </c>
      <c r="C306" s="3" t="s">
        <v>2731</v>
      </c>
      <c r="D306" s="3" t="s">
        <v>2714</v>
      </c>
      <c r="E306" s="3" t="s">
        <v>2762</v>
      </c>
      <c r="F306" s="3" t="s">
        <v>2763</v>
      </c>
      <c r="G306" s="3" t="s">
        <v>2701</v>
      </c>
      <c r="H306" s="3" t="s">
        <v>2717</v>
      </c>
      <c r="I306" s="3" t="s">
        <v>2712</v>
      </c>
      <c r="J306" s="3" t="s">
        <v>2738</v>
      </c>
      <c r="K306" s="3" t="s">
        <v>2735</v>
      </c>
    </row>
    <row r="307" customFormat="false" ht="15" hidden="false" customHeight="true" outlineLevel="0" collapsed="false">
      <c r="A307" s="3" t="s">
        <v>940</v>
      </c>
      <c r="B307" s="3" t="s">
        <v>2686</v>
      </c>
      <c r="C307" s="3" t="s">
        <v>2687</v>
      </c>
      <c r="D307" s="3" t="s">
        <v>2741</v>
      </c>
      <c r="E307" s="3" t="s">
        <v>2742</v>
      </c>
      <c r="F307" s="3" t="s">
        <v>2743</v>
      </c>
      <c r="G307" s="3" t="s">
        <v>2701</v>
      </c>
      <c r="H307" s="3" t="s">
        <v>2711</v>
      </c>
      <c r="I307" s="3" t="s">
        <v>2712</v>
      </c>
      <c r="J307" s="3" t="s">
        <v>2694</v>
      </c>
      <c r="K307" s="3" t="s">
        <v>2695</v>
      </c>
    </row>
    <row r="308" customFormat="false" ht="15" hidden="false" customHeight="true" outlineLevel="0" collapsed="false">
      <c r="A308" s="3" t="s">
        <v>943</v>
      </c>
      <c r="B308" s="3" t="s">
        <v>2713</v>
      </c>
      <c r="C308" s="3" t="s">
        <v>2687</v>
      </c>
      <c r="D308" s="3" t="s">
        <v>2698</v>
      </c>
      <c r="E308" s="3" t="s">
        <v>2756</v>
      </c>
      <c r="F308" s="3" t="s">
        <v>2757</v>
      </c>
      <c r="G308" s="3" t="s">
        <v>2701</v>
      </c>
      <c r="H308" s="3" t="s">
        <v>2717</v>
      </c>
      <c r="I308" s="3" t="s">
        <v>2706</v>
      </c>
      <c r="J308" s="3" t="s">
        <v>2694</v>
      </c>
      <c r="K308" s="3" t="s">
        <v>2718</v>
      </c>
    </row>
    <row r="309" customFormat="false" ht="15" hidden="false" customHeight="true" outlineLevel="0" collapsed="false">
      <c r="A309" s="3" t="s">
        <v>946</v>
      </c>
      <c r="B309" s="3" t="s">
        <v>2745</v>
      </c>
      <c r="C309" s="3" t="s">
        <v>2687</v>
      </c>
      <c r="D309" s="3" t="s">
        <v>2741</v>
      </c>
      <c r="E309" s="3" t="s">
        <v>2689</v>
      </c>
      <c r="F309" s="3" t="s">
        <v>2690</v>
      </c>
      <c r="G309" s="3" t="s">
        <v>2722</v>
      </c>
      <c r="H309" s="3" t="s">
        <v>2758</v>
      </c>
      <c r="I309" s="3" t="s">
        <v>2693</v>
      </c>
      <c r="J309" s="3" t="s">
        <v>2694</v>
      </c>
      <c r="K309" s="3" t="s">
        <v>2695</v>
      </c>
    </row>
    <row r="310" customFormat="false" ht="15" hidden="false" customHeight="true" outlineLevel="0" collapsed="false">
      <c r="A310" s="3" t="s">
        <v>949</v>
      </c>
      <c r="B310" s="3" t="s">
        <v>2713</v>
      </c>
      <c r="C310" s="3" t="s">
        <v>2729</v>
      </c>
      <c r="D310" s="3" t="s">
        <v>2741</v>
      </c>
      <c r="E310" s="3" t="s">
        <v>2747</v>
      </c>
      <c r="F310" s="3" t="s">
        <v>2748</v>
      </c>
      <c r="G310" s="3" t="s">
        <v>2701</v>
      </c>
      <c r="H310" s="3" t="s">
        <v>2702</v>
      </c>
      <c r="I310" s="3" t="s">
        <v>2706</v>
      </c>
      <c r="J310" s="3" t="s">
        <v>2809</v>
      </c>
      <c r="K310" s="3" t="s">
        <v>2718</v>
      </c>
    </row>
    <row r="311" customFormat="false" ht="15" hidden="false" customHeight="true" outlineLevel="0" collapsed="false">
      <c r="A311" s="3" t="s">
        <v>952</v>
      </c>
      <c r="B311" s="3" t="s">
        <v>2749</v>
      </c>
      <c r="C311" s="3" t="s">
        <v>2687</v>
      </c>
      <c r="D311" s="3" t="s">
        <v>2741</v>
      </c>
      <c r="E311" s="3" t="s">
        <v>2689</v>
      </c>
      <c r="F311" s="3" t="s">
        <v>2690</v>
      </c>
      <c r="G311" s="3" t="s">
        <v>2701</v>
      </c>
      <c r="H311" s="3" t="s">
        <v>2702</v>
      </c>
      <c r="I311" s="3" t="s">
        <v>2706</v>
      </c>
      <c r="J311" s="3" t="s">
        <v>2694</v>
      </c>
      <c r="K311" s="3" t="s">
        <v>2695</v>
      </c>
    </row>
    <row r="312" customFormat="false" ht="15" hidden="false" customHeight="true" outlineLevel="0" collapsed="false">
      <c r="A312" s="3" t="s">
        <v>955</v>
      </c>
      <c r="B312" s="3" t="s">
        <v>2713</v>
      </c>
      <c r="C312" s="3" t="s">
        <v>2687</v>
      </c>
      <c r="D312" s="3" t="s">
        <v>2708</v>
      </c>
      <c r="E312" s="3" t="s">
        <v>2774</v>
      </c>
      <c r="F312" s="3" t="s">
        <v>2775</v>
      </c>
      <c r="G312" s="3" t="s">
        <v>2701</v>
      </c>
      <c r="H312" s="3" t="s">
        <v>2702</v>
      </c>
      <c r="I312" s="3" t="s">
        <v>2706</v>
      </c>
      <c r="J312" s="3" t="s">
        <v>2694</v>
      </c>
      <c r="K312" s="3" t="s">
        <v>2718</v>
      </c>
    </row>
    <row r="313" customFormat="false" ht="15" hidden="false" customHeight="true" outlineLevel="0" collapsed="false">
      <c r="A313" s="3" t="s">
        <v>958</v>
      </c>
      <c r="B313" s="3" t="s">
        <v>2749</v>
      </c>
      <c r="C313" s="3" t="s">
        <v>2697</v>
      </c>
      <c r="D313" s="3" t="s">
        <v>2708</v>
      </c>
      <c r="E313" s="3" t="s">
        <v>2774</v>
      </c>
      <c r="F313" s="3" t="s">
        <v>2775</v>
      </c>
      <c r="G313" s="3" t="s">
        <v>2722</v>
      </c>
      <c r="H313" s="3" t="s">
        <v>2779</v>
      </c>
      <c r="I313" s="3" t="s">
        <v>2706</v>
      </c>
      <c r="J313" s="3" t="s">
        <v>2694</v>
      </c>
      <c r="K313" s="3" t="s">
        <v>2695</v>
      </c>
    </row>
    <row r="314" customFormat="false" ht="15" hidden="false" customHeight="true" outlineLevel="0" collapsed="false">
      <c r="A314" s="3" t="s">
        <v>961</v>
      </c>
      <c r="B314" s="3" t="s">
        <v>2696</v>
      </c>
      <c r="C314" s="3" t="s">
        <v>2729</v>
      </c>
      <c r="D314" s="3" t="s">
        <v>2708</v>
      </c>
      <c r="E314" s="3" t="s">
        <v>2760</v>
      </c>
      <c r="F314" s="3" t="s">
        <v>2761</v>
      </c>
      <c r="G314" s="3" t="s">
        <v>2691</v>
      </c>
      <c r="H314" s="3" t="s">
        <v>2752</v>
      </c>
      <c r="I314" s="3" t="s">
        <v>2693</v>
      </c>
      <c r="J314" s="3" t="s">
        <v>2694</v>
      </c>
      <c r="K314" s="3" t="s">
        <v>2695</v>
      </c>
    </row>
    <row r="315" customFormat="false" ht="15" hidden="false" customHeight="true" outlineLevel="0" collapsed="false">
      <c r="A315" s="3" t="s">
        <v>964</v>
      </c>
      <c r="B315" s="3" t="s">
        <v>2686</v>
      </c>
      <c r="C315" s="3" t="s">
        <v>2697</v>
      </c>
      <c r="D315" s="3" t="s">
        <v>2698</v>
      </c>
      <c r="E315" s="3" t="s">
        <v>2756</v>
      </c>
      <c r="F315" s="3" t="s">
        <v>2757</v>
      </c>
      <c r="G315" s="3" t="s">
        <v>2722</v>
      </c>
      <c r="H315" s="3" t="s">
        <v>2758</v>
      </c>
      <c r="I315" s="3" t="s">
        <v>2712</v>
      </c>
      <c r="J315" s="3" t="s">
        <v>2694</v>
      </c>
      <c r="K315" s="3" t="s">
        <v>2718</v>
      </c>
    </row>
    <row r="316" customFormat="false" ht="15" hidden="false" customHeight="true" outlineLevel="0" collapsed="false">
      <c r="A316" s="3" t="s">
        <v>967</v>
      </c>
      <c r="B316" s="3" t="s">
        <v>2740</v>
      </c>
      <c r="C316" s="3" t="s">
        <v>2729</v>
      </c>
      <c r="D316" s="3" t="s">
        <v>2741</v>
      </c>
      <c r="E316" s="3" t="s">
        <v>2747</v>
      </c>
      <c r="F316" s="3" t="s">
        <v>2748</v>
      </c>
      <c r="G316" s="3" t="s">
        <v>2722</v>
      </c>
      <c r="H316" s="3" t="s">
        <v>2758</v>
      </c>
      <c r="I316" s="3" t="s">
        <v>2706</v>
      </c>
      <c r="J316" s="3" t="s">
        <v>2734</v>
      </c>
      <c r="K316" s="3" t="s">
        <v>2718</v>
      </c>
    </row>
    <row r="317" customFormat="false" ht="15" hidden="false" customHeight="true" outlineLevel="0" collapsed="false">
      <c r="A317" s="3" t="s">
        <v>970</v>
      </c>
      <c r="B317" s="3" t="s">
        <v>2704</v>
      </c>
      <c r="C317" s="3" t="s">
        <v>2729</v>
      </c>
      <c r="D317" s="3" t="s">
        <v>2714</v>
      </c>
      <c r="E317" s="3" t="s">
        <v>2720</v>
      </c>
      <c r="F317" s="3" t="s">
        <v>2721</v>
      </c>
      <c r="G317" s="3" t="s">
        <v>2691</v>
      </c>
      <c r="H317" s="3" t="s">
        <v>2730</v>
      </c>
      <c r="I317" s="3" t="s">
        <v>2712</v>
      </c>
      <c r="J317" s="3" t="s">
        <v>2753</v>
      </c>
      <c r="K317" s="3" t="s">
        <v>2735</v>
      </c>
    </row>
    <row r="318" customFormat="false" ht="15" hidden="false" customHeight="true" outlineLevel="0" collapsed="false">
      <c r="A318" s="3" t="s">
        <v>973</v>
      </c>
      <c r="B318" s="3" t="s">
        <v>2749</v>
      </c>
      <c r="C318" s="3" t="s">
        <v>2687</v>
      </c>
      <c r="D318" s="3" t="s">
        <v>2741</v>
      </c>
      <c r="E318" s="3" t="s">
        <v>2782</v>
      </c>
      <c r="F318" s="3" t="s">
        <v>2783</v>
      </c>
      <c r="G318" s="3" t="s">
        <v>2691</v>
      </c>
      <c r="H318" s="3" t="s">
        <v>2692</v>
      </c>
      <c r="I318" s="3" t="s">
        <v>2712</v>
      </c>
      <c r="J318" s="3" t="s">
        <v>2738</v>
      </c>
      <c r="K318" s="3" t="s">
        <v>2735</v>
      </c>
    </row>
    <row r="319" customFormat="false" ht="15" hidden="false" customHeight="true" outlineLevel="0" collapsed="false">
      <c r="A319" s="3" t="s">
        <v>976</v>
      </c>
      <c r="B319" s="3" t="s">
        <v>2686</v>
      </c>
      <c r="C319" s="3" t="s">
        <v>2729</v>
      </c>
      <c r="D319" s="3" t="s">
        <v>2741</v>
      </c>
      <c r="E319" s="3" t="s">
        <v>2742</v>
      </c>
      <c r="F319" s="3" t="s">
        <v>2743</v>
      </c>
      <c r="G319" s="3" t="s">
        <v>2691</v>
      </c>
      <c r="H319" s="3" t="s">
        <v>2730</v>
      </c>
      <c r="I319" s="3" t="s">
        <v>2712</v>
      </c>
      <c r="J319" s="3" t="s">
        <v>2694</v>
      </c>
      <c r="K319" s="3" t="s">
        <v>2718</v>
      </c>
    </row>
    <row r="320" customFormat="false" ht="15" hidden="false" customHeight="true" outlineLevel="0" collapsed="false">
      <c r="A320" s="3" t="s">
        <v>979</v>
      </c>
      <c r="B320" s="3" t="s">
        <v>2724</v>
      </c>
      <c r="C320" s="3" t="s">
        <v>2729</v>
      </c>
      <c r="D320" s="3" t="s">
        <v>2708</v>
      </c>
      <c r="E320" s="3" t="s">
        <v>2764</v>
      </c>
      <c r="F320" s="3" t="s">
        <v>2765</v>
      </c>
      <c r="G320" s="3" t="s">
        <v>2701</v>
      </c>
      <c r="H320" s="3" t="s">
        <v>2702</v>
      </c>
      <c r="I320" s="3" t="s">
        <v>2706</v>
      </c>
      <c r="J320" s="3" t="s">
        <v>2694</v>
      </c>
      <c r="K320" s="3" t="s">
        <v>2695</v>
      </c>
    </row>
    <row r="321" customFormat="false" ht="15" hidden="false" customHeight="true" outlineLevel="0" collapsed="false">
      <c r="A321" s="3" t="s">
        <v>982</v>
      </c>
      <c r="B321" s="3" t="s">
        <v>2696</v>
      </c>
      <c r="C321" s="3" t="s">
        <v>2697</v>
      </c>
      <c r="D321" s="3" t="s">
        <v>2708</v>
      </c>
      <c r="E321" s="3" t="s">
        <v>2760</v>
      </c>
      <c r="F321" s="3" t="s">
        <v>2761</v>
      </c>
      <c r="G321" s="3" t="s">
        <v>2722</v>
      </c>
      <c r="H321" s="3" t="s">
        <v>2758</v>
      </c>
      <c r="I321" s="3" t="s">
        <v>2712</v>
      </c>
      <c r="J321" s="3" t="s">
        <v>2694</v>
      </c>
      <c r="K321" s="3" t="s">
        <v>2695</v>
      </c>
    </row>
    <row r="322" customFormat="false" ht="15" hidden="false" customHeight="true" outlineLevel="0" collapsed="false">
      <c r="A322" s="3" t="s">
        <v>985</v>
      </c>
      <c r="B322" s="3" t="s">
        <v>2755</v>
      </c>
      <c r="C322" s="3" t="s">
        <v>2687</v>
      </c>
      <c r="D322" s="3" t="s">
        <v>2714</v>
      </c>
      <c r="E322" s="3" t="s">
        <v>2762</v>
      </c>
      <c r="F322" s="3" t="s">
        <v>2763</v>
      </c>
      <c r="G322" s="3" t="s">
        <v>2691</v>
      </c>
      <c r="H322" s="3" t="s">
        <v>2752</v>
      </c>
      <c r="I322" s="3" t="s">
        <v>2706</v>
      </c>
      <c r="J322" s="3" t="s">
        <v>2694</v>
      </c>
      <c r="K322" s="3" t="s">
        <v>2695</v>
      </c>
    </row>
    <row r="323" customFormat="false" ht="15" hidden="false" customHeight="true" outlineLevel="0" collapsed="false">
      <c r="A323" s="3" t="s">
        <v>988</v>
      </c>
      <c r="B323" s="3" t="s">
        <v>2745</v>
      </c>
      <c r="C323" s="3" t="s">
        <v>2731</v>
      </c>
      <c r="D323" s="3" t="s">
        <v>2698</v>
      </c>
      <c r="E323" s="3" t="s">
        <v>2732</v>
      </c>
      <c r="F323" s="3" t="s">
        <v>2733</v>
      </c>
      <c r="G323" s="3" t="s">
        <v>2691</v>
      </c>
      <c r="H323" s="3" t="s">
        <v>2705</v>
      </c>
      <c r="I323" s="3" t="s">
        <v>2693</v>
      </c>
      <c r="J323" s="3" t="s">
        <v>2738</v>
      </c>
      <c r="K323" s="3" t="s">
        <v>2735</v>
      </c>
    </row>
    <row r="324" customFormat="false" ht="15" hidden="false" customHeight="true" outlineLevel="0" collapsed="false">
      <c r="A324" s="3" t="s">
        <v>991</v>
      </c>
      <c r="B324" s="3" t="s">
        <v>2724</v>
      </c>
      <c r="C324" s="3" t="s">
        <v>2697</v>
      </c>
      <c r="D324" s="3" t="s">
        <v>2714</v>
      </c>
      <c r="E324" s="3" t="s">
        <v>2766</v>
      </c>
      <c r="F324" s="3" t="s">
        <v>2767</v>
      </c>
      <c r="G324" s="3" t="s">
        <v>2722</v>
      </c>
      <c r="H324" s="3" t="s">
        <v>2723</v>
      </c>
      <c r="I324" s="3" t="s">
        <v>2703</v>
      </c>
      <c r="J324" s="3" t="s">
        <v>2753</v>
      </c>
      <c r="K324" s="3" t="s">
        <v>2718</v>
      </c>
    </row>
    <row r="325" customFormat="false" ht="15" hidden="false" customHeight="true" outlineLevel="0" collapsed="false">
      <c r="A325" s="3" t="s">
        <v>994</v>
      </c>
      <c r="B325" s="3" t="s">
        <v>2704</v>
      </c>
      <c r="C325" s="3" t="s">
        <v>2687</v>
      </c>
      <c r="D325" s="3" t="s">
        <v>2741</v>
      </c>
      <c r="E325" s="3" t="s">
        <v>2747</v>
      </c>
      <c r="F325" s="3" t="s">
        <v>2748</v>
      </c>
      <c r="G325" s="3" t="s">
        <v>2722</v>
      </c>
      <c r="H325" s="3" t="s">
        <v>2758</v>
      </c>
      <c r="I325" s="3" t="s">
        <v>2693</v>
      </c>
      <c r="J325" s="3" t="s">
        <v>2694</v>
      </c>
      <c r="K325" s="3" t="s">
        <v>2695</v>
      </c>
    </row>
    <row r="326" customFormat="false" ht="15" hidden="false" customHeight="true" outlineLevel="0" collapsed="false">
      <c r="A326" s="3" t="s">
        <v>997</v>
      </c>
      <c r="B326" s="3" t="s">
        <v>2704</v>
      </c>
      <c r="C326" s="3" t="s">
        <v>2697</v>
      </c>
      <c r="D326" s="3" t="s">
        <v>2714</v>
      </c>
      <c r="E326" s="3" t="s">
        <v>2766</v>
      </c>
      <c r="F326" s="3" t="s">
        <v>2767</v>
      </c>
      <c r="G326" s="3" t="s">
        <v>2701</v>
      </c>
      <c r="H326" s="3" t="s">
        <v>2711</v>
      </c>
      <c r="I326" s="3" t="s">
        <v>2712</v>
      </c>
      <c r="J326" s="3" t="s">
        <v>2694</v>
      </c>
      <c r="K326" s="3" t="s">
        <v>2695</v>
      </c>
    </row>
    <row r="327" customFormat="false" ht="15" hidden="false" customHeight="true" outlineLevel="0" collapsed="false">
      <c r="A327" s="3" t="s">
        <v>999</v>
      </c>
      <c r="B327" s="3" t="s">
        <v>2749</v>
      </c>
      <c r="C327" s="3" t="s">
        <v>2731</v>
      </c>
      <c r="D327" s="3" t="s">
        <v>2708</v>
      </c>
      <c r="E327" s="3" t="s">
        <v>2726</v>
      </c>
      <c r="F327" s="3" t="s">
        <v>2727</v>
      </c>
      <c r="G327" s="3" t="s">
        <v>2691</v>
      </c>
      <c r="H327" s="3" t="s">
        <v>2730</v>
      </c>
      <c r="I327" s="3" t="s">
        <v>2703</v>
      </c>
      <c r="J327" s="3" t="s">
        <v>2694</v>
      </c>
      <c r="K327" s="3" t="s">
        <v>2735</v>
      </c>
    </row>
    <row r="328" customFormat="false" ht="15" hidden="false" customHeight="true" outlineLevel="0" collapsed="false">
      <c r="A328" s="3" t="s">
        <v>1002</v>
      </c>
      <c r="B328" s="3" t="s">
        <v>2746</v>
      </c>
      <c r="C328" s="3" t="s">
        <v>2731</v>
      </c>
      <c r="D328" s="3" t="s">
        <v>2698</v>
      </c>
      <c r="E328" s="3" t="s">
        <v>2732</v>
      </c>
      <c r="F328" s="3" t="s">
        <v>2733</v>
      </c>
      <c r="G328" s="3" t="s">
        <v>2722</v>
      </c>
      <c r="H328" s="3" t="s">
        <v>2725</v>
      </c>
      <c r="I328" s="3" t="s">
        <v>2693</v>
      </c>
      <c r="J328" s="3" t="s">
        <v>2694</v>
      </c>
      <c r="K328" s="3" t="s">
        <v>2695</v>
      </c>
    </row>
    <row r="329" customFormat="false" ht="15" hidden="false" customHeight="true" outlineLevel="0" collapsed="false">
      <c r="A329" s="3" t="s">
        <v>1005</v>
      </c>
      <c r="B329" s="3" t="s">
        <v>2746</v>
      </c>
      <c r="C329" s="3" t="s">
        <v>2729</v>
      </c>
      <c r="D329" s="3" t="s">
        <v>2698</v>
      </c>
      <c r="E329" s="3" t="s">
        <v>2770</v>
      </c>
      <c r="F329" s="3" t="s">
        <v>2771</v>
      </c>
      <c r="G329" s="3" t="s">
        <v>2701</v>
      </c>
      <c r="H329" s="3" t="s">
        <v>2711</v>
      </c>
      <c r="I329" s="3" t="s">
        <v>2703</v>
      </c>
      <c r="J329" s="3" t="s">
        <v>2694</v>
      </c>
      <c r="K329" s="3" t="s">
        <v>2695</v>
      </c>
    </row>
    <row r="330" customFormat="false" ht="15" hidden="false" customHeight="true" outlineLevel="0" collapsed="false">
      <c r="A330" s="3" t="s">
        <v>1008</v>
      </c>
      <c r="B330" s="3" t="s">
        <v>2704</v>
      </c>
      <c r="C330" s="3" t="s">
        <v>2687</v>
      </c>
      <c r="D330" s="3" t="s">
        <v>2714</v>
      </c>
      <c r="E330" s="3" t="s">
        <v>2689</v>
      </c>
      <c r="F330" s="3" t="s">
        <v>2737</v>
      </c>
      <c r="G330" s="3" t="s">
        <v>2722</v>
      </c>
      <c r="H330" s="3" t="s">
        <v>2723</v>
      </c>
      <c r="I330" s="3" t="s">
        <v>2693</v>
      </c>
      <c r="J330" s="3" t="s">
        <v>2738</v>
      </c>
      <c r="K330" s="3" t="s">
        <v>2718</v>
      </c>
    </row>
    <row r="331" customFormat="false" ht="15" hidden="false" customHeight="true" outlineLevel="0" collapsed="false">
      <c r="A331" s="3" t="s">
        <v>1011</v>
      </c>
      <c r="B331" s="3" t="s">
        <v>2755</v>
      </c>
      <c r="C331" s="3" t="s">
        <v>2687</v>
      </c>
      <c r="D331" s="3" t="s">
        <v>2714</v>
      </c>
      <c r="E331" s="3" t="s">
        <v>2715</v>
      </c>
      <c r="F331" s="3" t="s">
        <v>2716</v>
      </c>
      <c r="G331" s="3" t="s">
        <v>2691</v>
      </c>
      <c r="H331" s="3" t="s">
        <v>2744</v>
      </c>
      <c r="I331" s="3" t="s">
        <v>2706</v>
      </c>
      <c r="J331" s="3" t="s">
        <v>2694</v>
      </c>
      <c r="K331" s="3" t="s">
        <v>2695</v>
      </c>
    </row>
    <row r="332" customFormat="false" ht="15" hidden="false" customHeight="true" outlineLevel="0" collapsed="false">
      <c r="A332" s="3" t="s">
        <v>1014</v>
      </c>
      <c r="B332" s="3" t="s">
        <v>2724</v>
      </c>
      <c r="C332" s="3" t="s">
        <v>2697</v>
      </c>
      <c r="D332" s="3" t="s">
        <v>2714</v>
      </c>
      <c r="E332" s="3" t="s">
        <v>2715</v>
      </c>
      <c r="F332" s="3" t="s">
        <v>2716</v>
      </c>
      <c r="G332" s="3" t="s">
        <v>2691</v>
      </c>
      <c r="H332" s="3" t="s">
        <v>2744</v>
      </c>
      <c r="I332" s="3" t="s">
        <v>2712</v>
      </c>
      <c r="J332" s="3" t="s">
        <v>2694</v>
      </c>
      <c r="K332" s="3" t="s">
        <v>2695</v>
      </c>
    </row>
    <row r="333" customFormat="false" ht="15" hidden="false" customHeight="true" outlineLevel="0" collapsed="false">
      <c r="A333" s="3" t="s">
        <v>1017</v>
      </c>
      <c r="B333" s="3" t="s">
        <v>2707</v>
      </c>
      <c r="C333" s="3" t="s">
        <v>2731</v>
      </c>
      <c r="D333" s="3" t="s">
        <v>2741</v>
      </c>
      <c r="E333" s="3" t="s">
        <v>2742</v>
      </c>
      <c r="F333" s="3" t="s">
        <v>2743</v>
      </c>
      <c r="G333" s="3" t="s">
        <v>2722</v>
      </c>
      <c r="H333" s="3" t="s">
        <v>2723</v>
      </c>
      <c r="I333" s="3" t="s">
        <v>2703</v>
      </c>
      <c r="J333" s="3" t="s">
        <v>2753</v>
      </c>
      <c r="K333" s="3" t="s">
        <v>2718</v>
      </c>
    </row>
    <row r="334" customFormat="false" ht="15" hidden="false" customHeight="true" outlineLevel="0" collapsed="false">
      <c r="A334" s="3" t="s">
        <v>1020</v>
      </c>
      <c r="B334" s="3" t="s">
        <v>2746</v>
      </c>
      <c r="C334" s="3" t="s">
        <v>2731</v>
      </c>
      <c r="D334" s="3" t="s">
        <v>2698</v>
      </c>
      <c r="E334" s="3" t="s">
        <v>2699</v>
      </c>
      <c r="F334" s="3" t="s">
        <v>2700</v>
      </c>
      <c r="G334" s="3" t="s">
        <v>2691</v>
      </c>
      <c r="H334" s="3" t="s">
        <v>2752</v>
      </c>
      <c r="I334" s="3" t="s">
        <v>2693</v>
      </c>
      <c r="J334" s="3" t="s">
        <v>2694</v>
      </c>
      <c r="K334" s="3" t="s">
        <v>2735</v>
      </c>
    </row>
    <row r="335" customFormat="false" ht="15" hidden="false" customHeight="true" outlineLevel="0" collapsed="false">
      <c r="A335" s="3" t="s">
        <v>1023</v>
      </c>
      <c r="B335" s="3" t="s">
        <v>2745</v>
      </c>
      <c r="C335" s="3" t="s">
        <v>2687</v>
      </c>
      <c r="D335" s="3" t="s">
        <v>2708</v>
      </c>
      <c r="E335" s="3" t="s">
        <v>2726</v>
      </c>
      <c r="F335" s="3" t="s">
        <v>2727</v>
      </c>
      <c r="G335" s="3" t="s">
        <v>2722</v>
      </c>
      <c r="H335" s="3" t="s">
        <v>2810</v>
      </c>
      <c r="I335" s="3" t="s">
        <v>2693</v>
      </c>
      <c r="J335" s="3" t="s">
        <v>2694</v>
      </c>
      <c r="K335" s="3" t="s">
        <v>2695</v>
      </c>
    </row>
    <row r="336" customFormat="false" ht="15" hidden="false" customHeight="true" outlineLevel="0" collapsed="false">
      <c r="A336" s="3" t="s">
        <v>1026</v>
      </c>
      <c r="B336" s="3" t="s">
        <v>2749</v>
      </c>
      <c r="C336" s="3" t="s">
        <v>2731</v>
      </c>
      <c r="D336" s="3" t="s">
        <v>2768</v>
      </c>
      <c r="E336" s="3" t="s">
        <v>2782</v>
      </c>
      <c r="F336" s="3" t="s">
        <v>2783</v>
      </c>
      <c r="G336" s="3" t="s">
        <v>2722</v>
      </c>
      <c r="H336" s="3" t="s">
        <v>2758</v>
      </c>
      <c r="I336" s="3" t="s">
        <v>2706</v>
      </c>
      <c r="J336" s="3" t="s">
        <v>2694</v>
      </c>
      <c r="K336" s="3" t="s">
        <v>2695</v>
      </c>
    </row>
    <row r="337" customFormat="false" ht="15" hidden="false" customHeight="true" outlineLevel="0" collapsed="false">
      <c r="A337" s="3" t="s">
        <v>1029</v>
      </c>
      <c r="B337" s="3" t="s">
        <v>2713</v>
      </c>
      <c r="C337" s="3" t="s">
        <v>2687</v>
      </c>
      <c r="D337" s="3" t="s">
        <v>2698</v>
      </c>
      <c r="E337" s="3" t="s">
        <v>2770</v>
      </c>
      <c r="F337" s="3" t="s">
        <v>2771</v>
      </c>
      <c r="G337" s="3" t="s">
        <v>2691</v>
      </c>
      <c r="H337" s="3" t="s">
        <v>2744</v>
      </c>
      <c r="I337" s="3" t="s">
        <v>2706</v>
      </c>
      <c r="J337" s="3" t="s">
        <v>2694</v>
      </c>
      <c r="K337" s="3" t="s">
        <v>2695</v>
      </c>
    </row>
    <row r="338" customFormat="false" ht="15" hidden="false" customHeight="true" outlineLevel="0" collapsed="false">
      <c r="A338" s="3" t="s">
        <v>1032</v>
      </c>
      <c r="B338" s="3" t="s">
        <v>2740</v>
      </c>
      <c r="C338" s="3" t="s">
        <v>2731</v>
      </c>
      <c r="D338" s="3" t="s">
        <v>2714</v>
      </c>
      <c r="E338" s="3" t="s">
        <v>2720</v>
      </c>
      <c r="F338" s="3" t="s">
        <v>2721</v>
      </c>
      <c r="G338" s="3" t="s">
        <v>2691</v>
      </c>
      <c r="H338" s="3" t="s">
        <v>2692</v>
      </c>
      <c r="I338" s="3" t="s">
        <v>2706</v>
      </c>
      <c r="J338" s="3" t="s">
        <v>2694</v>
      </c>
      <c r="K338" s="3" t="s">
        <v>2695</v>
      </c>
    </row>
    <row r="339" customFormat="false" ht="15" hidden="false" customHeight="true" outlineLevel="0" collapsed="false">
      <c r="A339" s="3" t="s">
        <v>1035</v>
      </c>
      <c r="B339" s="3" t="s">
        <v>2745</v>
      </c>
      <c r="C339" s="3" t="s">
        <v>2687</v>
      </c>
      <c r="D339" s="3" t="s">
        <v>2741</v>
      </c>
      <c r="E339" s="3" t="s">
        <v>2689</v>
      </c>
      <c r="F339" s="3" t="s">
        <v>2690</v>
      </c>
      <c r="G339" s="3" t="s">
        <v>2722</v>
      </c>
      <c r="H339" s="3" t="s">
        <v>2725</v>
      </c>
      <c r="I339" s="3" t="s">
        <v>2706</v>
      </c>
      <c r="J339" s="3" t="s">
        <v>2694</v>
      </c>
      <c r="K339" s="3" t="s">
        <v>2695</v>
      </c>
    </row>
    <row r="340" customFormat="false" ht="15" hidden="false" customHeight="true" outlineLevel="0" collapsed="false">
      <c r="A340" s="3" t="s">
        <v>1037</v>
      </c>
      <c r="B340" s="3" t="s">
        <v>2713</v>
      </c>
      <c r="C340" s="3" t="s">
        <v>2687</v>
      </c>
      <c r="D340" s="3" t="s">
        <v>2698</v>
      </c>
      <c r="E340" s="3" t="s">
        <v>2756</v>
      </c>
      <c r="F340" s="3" t="s">
        <v>2757</v>
      </c>
      <c r="G340" s="3" t="s">
        <v>2691</v>
      </c>
      <c r="H340" s="3" t="s">
        <v>2730</v>
      </c>
      <c r="I340" s="3" t="s">
        <v>2703</v>
      </c>
      <c r="J340" s="3" t="s">
        <v>2694</v>
      </c>
      <c r="K340" s="3" t="s">
        <v>2695</v>
      </c>
    </row>
    <row r="341" customFormat="false" ht="15" hidden="false" customHeight="true" outlineLevel="0" collapsed="false">
      <c r="A341" s="3" t="s">
        <v>1040</v>
      </c>
      <c r="B341" s="3" t="s">
        <v>2707</v>
      </c>
      <c r="C341" s="3" t="s">
        <v>2697</v>
      </c>
      <c r="D341" s="3" t="s">
        <v>2708</v>
      </c>
      <c r="E341" s="3" t="s">
        <v>2726</v>
      </c>
      <c r="F341" s="3" t="s">
        <v>2727</v>
      </c>
      <c r="G341" s="3" t="s">
        <v>2722</v>
      </c>
      <c r="H341" s="3" t="s">
        <v>2723</v>
      </c>
      <c r="I341" s="3" t="s">
        <v>2706</v>
      </c>
      <c r="J341" s="3" t="s">
        <v>2694</v>
      </c>
      <c r="K341" s="3" t="s">
        <v>2695</v>
      </c>
    </row>
    <row r="342" customFormat="false" ht="15" hidden="false" customHeight="true" outlineLevel="0" collapsed="false">
      <c r="A342" s="3" t="s">
        <v>1043</v>
      </c>
      <c r="B342" s="3" t="s">
        <v>2724</v>
      </c>
      <c r="C342" s="3" t="s">
        <v>2729</v>
      </c>
      <c r="D342" s="3" t="s">
        <v>2698</v>
      </c>
      <c r="E342" s="3" t="s">
        <v>2770</v>
      </c>
      <c r="F342" s="3" t="s">
        <v>2771</v>
      </c>
      <c r="G342" s="3" t="s">
        <v>2701</v>
      </c>
      <c r="H342" s="3" t="s">
        <v>2754</v>
      </c>
      <c r="I342" s="3" t="s">
        <v>2712</v>
      </c>
      <c r="J342" s="3" t="s">
        <v>2694</v>
      </c>
      <c r="K342" s="3" t="s">
        <v>2695</v>
      </c>
    </row>
    <row r="343" customFormat="false" ht="15" hidden="false" customHeight="true" outlineLevel="0" collapsed="false">
      <c r="A343" s="3" t="s">
        <v>1046</v>
      </c>
      <c r="B343" s="3" t="s">
        <v>2724</v>
      </c>
      <c r="C343" s="3" t="s">
        <v>2687</v>
      </c>
      <c r="D343" s="3" t="s">
        <v>2708</v>
      </c>
      <c r="E343" s="3" t="s">
        <v>2760</v>
      </c>
      <c r="F343" s="3" t="s">
        <v>2761</v>
      </c>
      <c r="G343" s="3" t="s">
        <v>2691</v>
      </c>
      <c r="H343" s="3" t="s">
        <v>2752</v>
      </c>
      <c r="I343" s="3" t="s">
        <v>2712</v>
      </c>
      <c r="J343" s="3" t="s">
        <v>2694</v>
      </c>
      <c r="K343" s="3" t="s">
        <v>2695</v>
      </c>
    </row>
    <row r="344" customFormat="false" ht="15" hidden="false" customHeight="true" outlineLevel="0" collapsed="false">
      <c r="A344" s="3" t="s">
        <v>1049</v>
      </c>
      <c r="B344" s="3" t="s">
        <v>2749</v>
      </c>
      <c r="C344" s="3" t="s">
        <v>2731</v>
      </c>
      <c r="D344" s="3" t="s">
        <v>2714</v>
      </c>
      <c r="E344" s="3" t="s">
        <v>2762</v>
      </c>
      <c r="F344" s="3" t="s">
        <v>2763</v>
      </c>
      <c r="G344" s="3" t="s">
        <v>2701</v>
      </c>
      <c r="H344" s="3" t="s">
        <v>2717</v>
      </c>
      <c r="I344" s="3" t="s">
        <v>2693</v>
      </c>
      <c r="J344" s="3" t="s">
        <v>2694</v>
      </c>
      <c r="K344" s="3" t="s">
        <v>2695</v>
      </c>
    </row>
    <row r="345" customFormat="false" ht="15" hidden="false" customHeight="true" outlineLevel="0" collapsed="false">
      <c r="A345" s="3" t="s">
        <v>1052</v>
      </c>
      <c r="B345" s="3" t="s">
        <v>2778</v>
      </c>
      <c r="C345" s="3" t="s">
        <v>2697</v>
      </c>
      <c r="D345" s="3" t="s">
        <v>2698</v>
      </c>
      <c r="E345" s="3" t="s">
        <v>2770</v>
      </c>
      <c r="F345" s="3" t="s">
        <v>2771</v>
      </c>
      <c r="G345" s="3" t="s">
        <v>2691</v>
      </c>
      <c r="H345" s="3" t="s">
        <v>2752</v>
      </c>
      <c r="I345" s="3" t="s">
        <v>2706</v>
      </c>
      <c r="J345" s="3" t="s">
        <v>2694</v>
      </c>
      <c r="K345" s="3" t="s">
        <v>2695</v>
      </c>
    </row>
    <row r="346" customFormat="false" ht="15" hidden="false" customHeight="true" outlineLevel="0" collapsed="false">
      <c r="A346" s="3" t="s">
        <v>1055</v>
      </c>
      <c r="B346" s="3" t="s">
        <v>2745</v>
      </c>
      <c r="C346" s="3" t="s">
        <v>2729</v>
      </c>
      <c r="D346" s="3" t="s">
        <v>2714</v>
      </c>
      <c r="E346" s="3" t="s">
        <v>2720</v>
      </c>
      <c r="F346" s="3" t="s">
        <v>2721</v>
      </c>
      <c r="G346" s="3" t="s">
        <v>2722</v>
      </c>
      <c r="H346" s="3" t="s">
        <v>2779</v>
      </c>
      <c r="I346" s="3" t="s">
        <v>2703</v>
      </c>
      <c r="J346" s="3" t="s">
        <v>2694</v>
      </c>
      <c r="K346" s="3" t="s">
        <v>2695</v>
      </c>
    </row>
    <row r="347" customFormat="false" ht="15" hidden="false" customHeight="true" outlineLevel="0" collapsed="false">
      <c r="A347" s="3" t="s">
        <v>1058</v>
      </c>
      <c r="B347" s="3" t="s">
        <v>2739</v>
      </c>
      <c r="C347" s="3" t="s">
        <v>2687</v>
      </c>
      <c r="D347" s="3" t="s">
        <v>2741</v>
      </c>
      <c r="E347" s="3" t="s">
        <v>2742</v>
      </c>
      <c r="F347" s="3" t="s">
        <v>2743</v>
      </c>
      <c r="G347" s="3" t="s">
        <v>2701</v>
      </c>
      <c r="H347" s="3" t="s">
        <v>2754</v>
      </c>
      <c r="I347" s="3" t="s">
        <v>2703</v>
      </c>
      <c r="J347" s="3" t="s">
        <v>2738</v>
      </c>
      <c r="K347" s="3" t="s">
        <v>2735</v>
      </c>
    </row>
    <row r="348" customFormat="false" ht="15" hidden="false" customHeight="true" outlineLevel="0" collapsed="false">
      <c r="A348" s="3" t="s">
        <v>1061</v>
      </c>
      <c r="B348" s="3" t="s">
        <v>2686</v>
      </c>
      <c r="C348" s="3" t="s">
        <v>2687</v>
      </c>
      <c r="D348" s="3" t="s">
        <v>2714</v>
      </c>
      <c r="E348" s="3" t="s">
        <v>2720</v>
      </c>
      <c r="F348" s="3" t="s">
        <v>2721</v>
      </c>
      <c r="G348" s="3" t="s">
        <v>2701</v>
      </c>
      <c r="H348" s="3" t="s">
        <v>2711</v>
      </c>
      <c r="I348" s="3" t="s">
        <v>2693</v>
      </c>
      <c r="J348" s="3" t="s">
        <v>2694</v>
      </c>
      <c r="K348" s="3" t="s">
        <v>2695</v>
      </c>
    </row>
    <row r="349" customFormat="false" ht="15" hidden="false" customHeight="true" outlineLevel="0" collapsed="false">
      <c r="A349" s="3" t="s">
        <v>1064</v>
      </c>
      <c r="B349" s="3" t="s">
        <v>2740</v>
      </c>
      <c r="C349" s="3" t="s">
        <v>2729</v>
      </c>
      <c r="D349" s="3" t="s">
        <v>2708</v>
      </c>
      <c r="E349" s="3" t="s">
        <v>2764</v>
      </c>
      <c r="F349" s="3" t="s">
        <v>2765</v>
      </c>
      <c r="G349" s="3" t="s">
        <v>2701</v>
      </c>
      <c r="H349" s="3" t="s">
        <v>2717</v>
      </c>
      <c r="I349" s="3" t="s">
        <v>2693</v>
      </c>
      <c r="J349" s="3" t="s">
        <v>2694</v>
      </c>
      <c r="K349" s="3" t="s">
        <v>2695</v>
      </c>
    </row>
    <row r="350" customFormat="false" ht="15" hidden="false" customHeight="true" outlineLevel="0" collapsed="false">
      <c r="A350" s="3" t="s">
        <v>1067</v>
      </c>
      <c r="B350" s="3" t="s">
        <v>2745</v>
      </c>
      <c r="C350" s="3" t="s">
        <v>2697</v>
      </c>
      <c r="D350" s="3" t="s">
        <v>2714</v>
      </c>
      <c r="E350" s="3" t="s">
        <v>2766</v>
      </c>
      <c r="F350" s="3" t="s">
        <v>2767</v>
      </c>
      <c r="G350" s="3" t="s">
        <v>2701</v>
      </c>
      <c r="H350" s="3" t="s">
        <v>2717</v>
      </c>
      <c r="I350" s="3" t="s">
        <v>2693</v>
      </c>
      <c r="J350" s="3" t="s">
        <v>2734</v>
      </c>
      <c r="K350" s="3" t="s">
        <v>2735</v>
      </c>
    </row>
    <row r="351" customFormat="false" ht="15" hidden="false" customHeight="true" outlineLevel="0" collapsed="false">
      <c r="A351" s="3" t="s">
        <v>1070</v>
      </c>
      <c r="B351" s="3" t="s">
        <v>2745</v>
      </c>
      <c r="C351" s="3" t="s">
        <v>2729</v>
      </c>
      <c r="D351" s="3" t="s">
        <v>2708</v>
      </c>
      <c r="E351" s="3" t="s">
        <v>2760</v>
      </c>
      <c r="F351" s="3" t="s">
        <v>2761</v>
      </c>
      <c r="G351" s="3" t="s">
        <v>2722</v>
      </c>
      <c r="H351" s="3" t="s">
        <v>2758</v>
      </c>
      <c r="I351" s="3" t="s">
        <v>2703</v>
      </c>
      <c r="J351" s="3" t="s">
        <v>2694</v>
      </c>
      <c r="K351" s="3" t="s">
        <v>2695</v>
      </c>
    </row>
    <row r="352" customFormat="false" ht="15" hidden="false" customHeight="true" outlineLevel="0" collapsed="false">
      <c r="A352" s="3" t="s">
        <v>1073</v>
      </c>
      <c r="B352" s="3" t="s">
        <v>2778</v>
      </c>
      <c r="C352" s="3" t="s">
        <v>2731</v>
      </c>
      <c r="D352" s="3" t="s">
        <v>2698</v>
      </c>
      <c r="E352" s="3" t="s">
        <v>2770</v>
      </c>
      <c r="F352" s="3" t="s">
        <v>2771</v>
      </c>
      <c r="G352" s="3" t="s">
        <v>2701</v>
      </c>
      <c r="H352" s="3" t="s">
        <v>2711</v>
      </c>
      <c r="I352" s="3" t="s">
        <v>2693</v>
      </c>
      <c r="J352" s="3" t="s">
        <v>2694</v>
      </c>
      <c r="K352" s="3" t="s">
        <v>2695</v>
      </c>
    </row>
    <row r="353" customFormat="false" ht="15" hidden="false" customHeight="true" outlineLevel="0" collapsed="false">
      <c r="A353" s="3" t="s">
        <v>1076</v>
      </c>
      <c r="B353" s="3" t="s">
        <v>2746</v>
      </c>
      <c r="C353" s="3" t="s">
        <v>2697</v>
      </c>
      <c r="D353" s="3" t="s">
        <v>2698</v>
      </c>
      <c r="E353" s="3" t="s">
        <v>2770</v>
      </c>
      <c r="F353" s="3" t="s">
        <v>2771</v>
      </c>
      <c r="G353" s="3" t="s">
        <v>2701</v>
      </c>
      <c r="H353" s="3" t="s">
        <v>2711</v>
      </c>
      <c r="I353" s="3" t="s">
        <v>2693</v>
      </c>
      <c r="J353" s="3" t="s">
        <v>2734</v>
      </c>
      <c r="K353" s="3" t="s">
        <v>2735</v>
      </c>
    </row>
    <row r="354" customFormat="false" ht="15" hidden="false" customHeight="true" outlineLevel="0" collapsed="false">
      <c r="A354" s="3" t="s">
        <v>1079</v>
      </c>
      <c r="B354" s="3" t="s">
        <v>2719</v>
      </c>
      <c r="C354" s="3" t="s">
        <v>2697</v>
      </c>
      <c r="D354" s="3" t="s">
        <v>2708</v>
      </c>
      <c r="E354" s="3" t="s">
        <v>2709</v>
      </c>
      <c r="F354" s="3" t="s">
        <v>2710</v>
      </c>
      <c r="G354" s="3" t="s">
        <v>2691</v>
      </c>
      <c r="H354" s="3" t="s">
        <v>2744</v>
      </c>
      <c r="I354" s="3" t="s">
        <v>2706</v>
      </c>
      <c r="J354" s="3" t="s">
        <v>2738</v>
      </c>
      <c r="K354" s="3" t="s">
        <v>2718</v>
      </c>
    </row>
    <row r="355" customFormat="false" ht="15" hidden="false" customHeight="true" outlineLevel="0" collapsed="false">
      <c r="A355" s="3" t="s">
        <v>1082</v>
      </c>
      <c r="B355" s="3" t="s">
        <v>2755</v>
      </c>
      <c r="C355" s="3" t="s">
        <v>2697</v>
      </c>
      <c r="D355" s="3" t="s">
        <v>2698</v>
      </c>
      <c r="E355" s="3" t="s">
        <v>2756</v>
      </c>
      <c r="F355" s="3" t="s">
        <v>2757</v>
      </c>
      <c r="G355" s="3" t="s">
        <v>2722</v>
      </c>
      <c r="H355" s="3" t="s">
        <v>2725</v>
      </c>
      <c r="I355" s="3" t="s">
        <v>2706</v>
      </c>
      <c r="J355" s="3" t="s">
        <v>2694</v>
      </c>
      <c r="K355" s="3" t="s">
        <v>2695</v>
      </c>
    </row>
    <row r="356" customFormat="false" ht="15" hidden="false" customHeight="true" outlineLevel="0" collapsed="false">
      <c r="A356" s="3" t="s">
        <v>1085</v>
      </c>
      <c r="B356" s="3" t="s">
        <v>2713</v>
      </c>
      <c r="C356" s="3" t="s">
        <v>2687</v>
      </c>
      <c r="D356" s="3" t="s">
        <v>2741</v>
      </c>
      <c r="E356" s="3" t="s">
        <v>2689</v>
      </c>
      <c r="F356" s="3" t="s">
        <v>2690</v>
      </c>
      <c r="G356" s="3" t="s">
        <v>2691</v>
      </c>
      <c r="H356" s="3" t="s">
        <v>2705</v>
      </c>
      <c r="I356" s="3" t="s">
        <v>2703</v>
      </c>
      <c r="J356" s="3" t="s">
        <v>2694</v>
      </c>
      <c r="K356" s="3" t="s">
        <v>2695</v>
      </c>
    </row>
    <row r="357" customFormat="false" ht="15" hidden="false" customHeight="true" outlineLevel="0" collapsed="false">
      <c r="A357" s="3" t="s">
        <v>1088</v>
      </c>
      <c r="B357" s="3" t="s">
        <v>2778</v>
      </c>
      <c r="C357" s="3" t="s">
        <v>2811</v>
      </c>
      <c r="D357" s="3" t="s">
        <v>2741</v>
      </c>
      <c r="E357" s="3" t="s">
        <v>2742</v>
      </c>
      <c r="F357" s="3" t="s">
        <v>2743</v>
      </c>
      <c r="G357" s="3" t="s">
        <v>2701</v>
      </c>
      <c r="H357" s="3" t="s">
        <v>2711</v>
      </c>
      <c r="I357" s="3" t="s">
        <v>2712</v>
      </c>
      <c r="J357" s="3" t="s">
        <v>2738</v>
      </c>
      <c r="K357" s="3" t="s">
        <v>2718</v>
      </c>
    </row>
    <row r="358" customFormat="false" ht="15" hidden="false" customHeight="true" outlineLevel="0" collapsed="false">
      <c r="A358" s="3" t="s">
        <v>1091</v>
      </c>
      <c r="B358" s="3" t="s">
        <v>2739</v>
      </c>
      <c r="C358" s="3" t="s">
        <v>2729</v>
      </c>
      <c r="D358" s="3" t="s">
        <v>2714</v>
      </c>
      <c r="E358" s="3" t="s">
        <v>2689</v>
      </c>
      <c r="F358" s="3" t="s">
        <v>2737</v>
      </c>
      <c r="G358" s="3" t="s">
        <v>2701</v>
      </c>
      <c r="H358" s="3" t="s">
        <v>2702</v>
      </c>
      <c r="I358" s="3" t="s">
        <v>2712</v>
      </c>
      <c r="J358" s="3" t="s">
        <v>2738</v>
      </c>
      <c r="K358" s="3" t="s">
        <v>2718</v>
      </c>
    </row>
    <row r="359" customFormat="false" ht="15" hidden="false" customHeight="true" outlineLevel="0" collapsed="false">
      <c r="A359" s="3" t="s">
        <v>1094</v>
      </c>
      <c r="B359" s="3" t="s">
        <v>2749</v>
      </c>
      <c r="C359" s="3" t="s">
        <v>2731</v>
      </c>
      <c r="D359" s="3" t="s">
        <v>2708</v>
      </c>
      <c r="E359" s="3" t="s">
        <v>2709</v>
      </c>
      <c r="F359" s="3" t="s">
        <v>2710</v>
      </c>
      <c r="G359" s="3" t="s">
        <v>2701</v>
      </c>
      <c r="H359" s="3" t="s">
        <v>2717</v>
      </c>
      <c r="I359" s="3" t="s">
        <v>2706</v>
      </c>
      <c r="J359" s="3" t="s">
        <v>2738</v>
      </c>
      <c r="K359" s="3" t="s">
        <v>2735</v>
      </c>
    </row>
    <row r="360" customFormat="false" ht="15" hidden="false" customHeight="true" outlineLevel="0" collapsed="false">
      <c r="A360" s="3" t="s">
        <v>1097</v>
      </c>
      <c r="B360" s="3" t="s">
        <v>2696</v>
      </c>
      <c r="C360" s="3" t="s">
        <v>2731</v>
      </c>
      <c r="D360" s="3" t="s">
        <v>2708</v>
      </c>
      <c r="E360" s="3" t="s">
        <v>2726</v>
      </c>
      <c r="F360" s="3" t="s">
        <v>2727</v>
      </c>
      <c r="G360" s="3" t="s">
        <v>2722</v>
      </c>
      <c r="H360" s="3" t="s">
        <v>2779</v>
      </c>
      <c r="I360" s="3" t="s">
        <v>2693</v>
      </c>
      <c r="J360" s="3" t="s">
        <v>2694</v>
      </c>
      <c r="K360" s="3" t="s">
        <v>2718</v>
      </c>
    </row>
    <row r="361" customFormat="false" ht="15" hidden="false" customHeight="true" outlineLevel="0" collapsed="false">
      <c r="A361" s="3" t="s">
        <v>1100</v>
      </c>
      <c r="B361" s="3" t="s">
        <v>2719</v>
      </c>
      <c r="C361" s="3" t="s">
        <v>2731</v>
      </c>
      <c r="D361" s="3" t="s">
        <v>2714</v>
      </c>
      <c r="E361" s="3" t="s">
        <v>2762</v>
      </c>
      <c r="F361" s="3" t="s">
        <v>2763</v>
      </c>
      <c r="G361" s="3" t="s">
        <v>2701</v>
      </c>
      <c r="H361" s="3" t="s">
        <v>2754</v>
      </c>
      <c r="I361" s="3" t="s">
        <v>2693</v>
      </c>
      <c r="J361" s="3" t="s">
        <v>2738</v>
      </c>
      <c r="K361" s="3" t="s">
        <v>2735</v>
      </c>
    </row>
    <row r="362" customFormat="false" ht="15" hidden="false" customHeight="true" outlineLevel="0" collapsed="false">
      <c r="A362" s="3" t="s">
        <v>1103</v>
      </c>
      <c r="B362" s="3" t="s">
        <v>2704</v>
      </c>
      <c r="C362" s="3" t="s">
        <v>2687</v>
      </c>
      <c r="D362" s="3" t="s">
        <v>2708</v>
      </c>
      <c r="E362" s="3" t="s">
        <v>2774</v>
      </c>
      <c r="F362" s="3" t="s">
        <v>2775</v>
      </c>
      <c r="G362" s="3" t="s">
        <v>2722</v>
      </c>
      <c r="H362" s="3" t="s">
        <v>2758</v>
      </c>
      <c r="I362" s="3" t="s">
        <v>2703</v>
      </c>
      <c r="J362" s="3" t="s">
        <v>2694</v>
      </c>
      <c r="K362" s="3" t="s">
        <v>2695</v>
      </c>
    </row>
    <row r="363" customFormat="false" ht="15" hidden="false" customHeight="true" outlineLevel="0" collapsed="false">
      <c r="A363" s="3" t="s">
        <v>1106</v>
      </c>
      <c r="B363" s="3" t="s">
        <v>2746</v>
      </c>
      <c r="C363" s="3" t="s">
        <v>2697</v>
      </c>
      <c r="D363" s="3" t="s">
        <v>2714</v>
      </c>
      <c r="E363" s="3" t="s">
        <v>2762</v>
      </c>
      <c r="F363" s="3" t="s">
        <v>2763</v>
      </c>
      <c r="G363" s="3" t="s">
        <v>2701</v>
      </c>
      <c r="H363" s="3" t="s">
        <v>2711</v>
      </c>
      <c r="I363" s="3" t="s">
        <v>2712</v>
      </c>
      <c r="J363" s="3" t="s">
        <v>2734</v>
      </c>
      <c r="K363" s="3" t="s">
        <v>2718</v>
      </c>
    </row>
    <row r="364" customFormat="false" ht="15" hidden="false" customHeight="true" outlineLevel="0" collapsed="false">
      <c r="A364" s="3" t="s">
        <v>1109</v>
      </c>
      <c r="B364" s="3" t="s">
        <v>2749</v>
      </c>
      <c r="C364" s="3" t="s">
        <v>2729</v>
      </c>
      <c r="D364" s="3" t="s">
        <v>2698</v>
      </c>
      <c r="E364" s="3" t="s">
        <v>2699</v>
      </c>
      <c r="F364" s="3" t="s">
        <v>2700</v>
      </c>
      <c r="G364" s="3" t="s">
        <v>2701</v>
      </c>
      <c r="H364" s="3" t="s">
        <v>2717</v>
      </c>
      <c r="I364" s="3" t="s">
        <v>2693</v>
      </c>
      <c r="J364" s="3" t="s">
        <v>2738</v>
      </c>
      <c r="K364" s="3" t="s">
        <v>2735</v>
      </c>
    </row>
    <row r="365" customFormat="false" ht="15" hidden="false" customHeight="true" outlineLevel="0" collapsed="false">
      <c r="A365" s="3" t="s">
        <v>1112</v>
      </c>
      <c r="B365" s="3" t="s">
        <v>2719</v>
      </c>
      <c r="C365" s="3" t="s">
        <v>2687</v>
      </c>
      <c r="D365" s="3" t="s">
        <v>2714</v>
      </c>
      <c r="E365" s="3" t="s">
        <v>2766</v>
      </c>
      <c r="F365" s="3" t="s">
        <v>2767</v>
      </c>
      <c r="G365" s="3" t="s">
        <v>2722</v>
      </c>
      <c r="H365" s="3" t="s">
        <v>2779</v>
      </c>
      <c r="I365" s="3" t="s">
        <v>2703</v>
      </c>
      <c r="J365" s="3" t="s">
        <v>2694</v>
      </c>
      <c r="K365" s="3" t="s">
        <v>2695</v>
      </c>
    </row>
    <row r="366" customFormat="false" ht="15" hidden="false" customHeight="true" outlineLevel="0" collapsed="false">
      <c r="A366" s="3" t="s">
        <v>1115</v>
      </c>
      <c r="B366" s="3" t="s">
        <v>2755</v>
      </c>
      <c r="C366" s="3" t="s">
        <v>2729</v>
      </c>
      <c r="D366" s="3" t="s">
        <v>2698</v>
      </c>
      <c r="E366" s="3" t="s">
        <v>2732</v>
      </c>
      <c r="F366" s="3" t="s">
        <v>2733</v>
      </c>
      <c r="G366" s="3" t="s">
        <v>2701</v>
      </c>
      <c r="H366" s="3" t="s">
        <v>2702</v>
      </c>
      <c r="I366" s="3" t="s">
        <v>2693</v>
      </c>
      <c r="J366" s="3" t="s">
        <v>2694</v>
      </c>
      <c r="K366" s="3" t="s">
        <v>2695</v>
      </c>
    </row>
    <row r="367" customFormat="false" ht="15" hidden="false" customHeight="true" outlineLevel="0" collapsed="false">
      <c r="A367" s="3" t="s">
        <v>1118</v>
      </c>
      <c r="B367" s="3" t="s">
        <v>2745</v>
      </c>
      <c r="C367" s="3" t="s">
        <v>2697</v>
      </c>
      <c r="D367" s="3" t="s">
        <v>2708</v>
      </c>
      <c r="E367" s="3" t="s">
        <v>2726</v>
      </c>
      <c r="F367" s="3" t="s">
        <v>2727</v>
      </c>
      <c r="G367" s="3" t="s">
        <v>2701</v>
      </c>
      <c r="H367" s="3" t="s">
        <v>2717</v>
      </c>
      <c r="I367" s="3" t="s">
        <v>2693</v>
      </c>
      <c r="J367" s="3" t="s">
        <v>2694</v>
      </c>
      <c r="K367" s="3" t="s">
        <v>2695</v>
      </c>
    </row>
    <row r="368" customFormat="false" ht="15" hidden="false" customHeight="true" outlineLevel="0" collapsed="false">
      <c r="A368" s="3" t="s">
        <v>1121</v>
      </c>
      <c r="B368" s="3" t="s">
        <v>2728</v>
      </c>
      <c r="C368" s="3" t="s">
        <v>2729</v>
      </c>
      <c r="D368" s="3" t="s">
        <v>2714</v>
      </c>
      <c r="E368" s="3" t="s">
        <v>2766</v>
      </c>
      <c r="F368" s="3" t="s">
        <v>2767</v>
      </c>
      <c r="G368" s="3" t="s">
        <v>2722</v>
      </c>
      <c r="H368" s="3" t="s">
        <v>2723</v>
      </c>
      <c r="I368" s="3" t="s">
        <v>2706</v>
      </c>
      <c r="J368" s="3" t="s">
        <v>2694</v>
      </c>
      <c r="K368" s="3" t="s">
        <v>2695</v>
      </c>
    </row>
    <row r="369" customFormat="false" ht="15" hidden="false" customHeight="true" outlineLevel="0" collapsed="false">
      <c r="A369" s="3" t="s">
        <v>1124</v>
      </c>
      <c r="B369" s="3" t="s">
        <v>2746</v>
      </c>
      <c r="C369" s="3" t="s">
        <v>2729</v>
      </c>
      <c r="D369" s="3" t="s">
        <v>2741</v>
      </c>
      <c r="E369" s="3" t="s">
        <v>2689</v>
      </c>
      <c r="F369" s="3" t="s">
        <v>2690</v>
      </c>
      <c r="G369" s="3" t="s">
        <v>2701</v>
      </c>
      <c r="H369" s="3" t="s">
        <v>2702</v>
      </c>
      <c r="I369" s="3" t="s">
        <v>2703</v>
      </c>
      <c r="J369" s="3" t="s">
        <v>2694</v>
      </c>
      <c r="K369" s="3" t="s">
        <v>2695</v>
      </c>
    </row>
    <row r="370" customFormat="false" ht="15" hidden="false" customHeight="true" outlineLevel="0" collapsed="false">
      <c r="A370" s="3" t="s">
        <v>1127</v>
      </c>
      <c r="B370" s="3" t="s">
        <v>2749</v>
      </c>
      <c r="C370" s="3" t="s">
        <v>2687</v>
      </c>
      <c r="D370" s="3" t="s">
        <v>2741</v>
      </c>
      <c r="E370" s="3" t="s">
        <v>2782</v>
      </c>
      <c r="F370" s="3" t="s">
        <v>2783</v>
      </c>
      <c r="G370" s="3" t="s">
        <v>2691</v>
      </c>
      <c r="H370" s="3" t="s">
        <v>2705</v>
      </c>
      <c r="I370" s="3" t="s">
        <v>2712</v>
      </c>
      <c r="J370" s="3" t="s">
        <v>2753</v>
      </c>
      <c r="K370" s="3" t="s">
        <v>2718</v>
      </c>
    </row>
    <row r="371" customFormat="false" ht="15" hidden="false" customHeight="true" outlineLevel="0" collapsed="false">
      <c r="A371" s="3" t="s">
        <v>1130</v>
      </c>
      <c r="B371" s="3" t="s">
        <v>2745</v>
      </c>
      <c r="C371" s="3" t="s">
        <v>2731</v>
      </c>
      <c r="D371" s="3" t="s">
        <v>2741</v>
      </c>
      <c r="E371" s="3" t="s">
        <v>2689</v>
      </c>
      <c r="F371" s="3" t="s">
        <v>2690</v>
      </c>
      <c r="G371" s="3" t="s">
        <v>2722</v>
      </c>
      <c r="H371" s="3" t="s">
        <v>2723</v>
      </c>
      <c r="I371" s="3" t="s">
        <v>2703</v>
      </c>
      <c r="J371" s="3" t="s">
        <v>2734</v>
      </c>
      <c r="K371" s="3" t="s">
        <v>2735</v>
      </c>
    </row>
    <row r="372" customFormat="false" ht="15" hidden="false" customHeight="true" outlineLevel="0" collapsed="false">
      <c r="A372" s="3" t="s">
        <v>1133</v>
      </c>
      <c r="B372" s="3" t="s">
        <v>2739</v>
      </c>
      <c r="C372" s="3" t="s">
        <v>2687</v>
      </c>
      <c r="D372" s="3" t="s">
        <v>2741</v>
      </c>
      <c r="E372" s="3" t="s">
        <v>2782</v>
      </c>
      <c r="F372" s="3" t="s">
        <v>2783</v>
      </c>
      <c r="G372" s="3" t="s">
        <v>2691</v>
      </c>
      <c r="H372" s="3" t="s">
        <v>2730</v>
      </c>
      <c r="I372" s="3" t="s">
        <v>2712</v>
      </c>
      <c r="J372" s="3" t="s">
        <v>2694</v>
      </c>
      <c r="K372" s="3" t="s">
        <v>2695</v>
      </c>
    </row>
    <row r="373" customFormat="false" ht="15" hidden="false" customHeight="true" outlineLevel="0" collapsed="false">
      <c r="A373" s="3" t="s">
        <v>1136</v>
      </c>
      <c r="B373" s="3" t="s">
        <v>2713</v>
      </c>
      <c r="C373" s="3" t="s">
        <v>2697</v>
      </c>
      <c r="D373" s="3" t="s">
        <v>2714</v>
      </c>
      <c r="E373" s="3" t="s">
        <v>2689</v>
      </c>
      <c r="F373" s="3" t="s">
        <v>2737</v>
      </c>
      <c r="G373" s="3" t="s">
        <v>2722</v>
      </c>
      <c r="H373" s="3" t="s">
        <v>2725</v>
      </c>
      <c r="I373" s="3" t="s">
        <v>2706</v>
      </c>
      <c r="J373" s="3" t="s">
        <v>2694</v>
      </c>
      <c r="K373" s="3" t="s">
        <v>2695</v>
      </c>
    </row>
    <row r="374" customFormat="false" ht="15" hidden="false" customHeight="true" outlineLevel="0" collapsed="false">
      <c r="A374" s="3" t="s">
        <v>1139</v>
      </c>
      <c r="B374" s="3" t="s">
        <v>2755</v>
      </c>
      <c r="C374" s="3" t="s">
        <v>2731</v>
      </c>
      <c r="D374" s="3" t="s">
        <v>2714</v>
      </c>
      <c r="E374" s="3" t="s">
        <v>2715</v>
      </c>
      <c r="F374" s="3" t="s">
        <v>2716</v>
      </c>
      <c r="G374" s="3" t="s">
        <v>2691</v>
      </c>
      <c r="H374" s="3" t="s">
        <v>2705</v>
      </c>
      <c r="I374" s="3" t="s">
        <v>2712</v>
      </c>
      <c r="J374" s="3" t="s">
        <v>2734</v>
      </c>
      <c r="K374" s="3" t="s">
        <v>2718</v>
      </c>
    </row>
    <row r="375" customFormat="false" ht="15" hidden="false" customHeight="true" outlineLevel="0" collapsed="false">
      <c r="A375" s="3" t="s">
        <v>1142</v>
      </c>
      <c r="B375" s="3" t="s">
        <v>2778</v>
      </c>
      <c r="C375" s="3" t="s">
        <v>2687</v>
      </c>
      <c r="D375" s="3" t="s">
        <v>2698</v>
      </c>
      <c r="E375" s="3" t="s">
        <v>2770</v>
      </c>
      <c r="F375" s="3" t="s">
        <v>2771</v>
      </c>
      <c r="G375" s="3" t="s">
        <v>2701</v>
      </c>
      <c r="H375" s="3" t="s">
        <v>2717</v>
      </c>
      <c r="I375" s="3" t="s">
        <v>2703</v>
      </c>
      <c r="J375" s="3" t="s">
        <v>2694</v>
      </c>
      <c r="K375" s="3" t="s">
        <v>2695</v>
      </c>
    </row>
    <row r="376" customFormat="false" ht="15" hidden="false" customHeight="true" outlineLevel="0" collapsed="false">
      <c r="A376" s="3" t="s">
        <v>1144</v>
      </c>
      <c r="B376" s="3" t="s">
        <v>2746</v>
      </c>
      <c r="C376" s="3" t="s">
        <v>2697</v>
      </c>
      <c r="D376" s="3" t="s">
        <v>2741</v>
      </c>
      <c r="E376" s="3" t="s">
        <v>2747</v>
      </c>
      <c r="F376" s="3" t="s">
        <v>2748</v>
      </c>
      <c r="G376" s="3" t="s">
        <v>2691</v>
      </c>
      <c r="H376" s="3" t="s">
        <v>2744</v>
      </c>
      <c r="I376" s="3" t="s">
        <v>2693</v>
      </c>
      <c r="J376" s="3" t="s">
        <v>2694</v>
      </c>
      <c r="K376" s="3" t="s">
        <v>2695</v>
      </c>
    </row>
    <row r="377" customFormat="false" ht="15" hidden="false" customHeight="true" outlineLevel="0" collapsed="false">
      <c r="A377" s="3" t="s">
        <v>1147</v>
      </c>
      <c r="B377" s="3" t="s">
        <v>2728</v>
      </c>
      <c r="C377" s="3" t="s">
        <v>2697</v>
      </c>
      <c r="D377" s="3" t="s">
        <v>2741</v>
      </c>
      <c r="E377" s="3" t="s">
        <v>2747</v>
      </c>
      <c r="F377" s="3" t="s">
        <v>2748</v>
      </c>
      <c r="G377" s="3" t="s">
        <v>2691</v>
      </c>
      <c r="H377" s="3" t="s">
        <v>2730</v>
      </c>
      <c r="I377" s="3" t="s">
        <v>2712</v>
      </c>
      <c r="J377" s="3" t="s">
        <v>2694</v>
      </c>
      <c r="K377" s="3" t="s">
        <v>2695</v>
      </c>
    </row>
    <row r="378" customFormat="false" ht="15" hidden="false" customHeight="true" outlineLevel="0" collapsed="false">
      <c r="A378" s="3" t="s">
        <v>1150</v>
      </c>
      <c r="B378" s="3" t="s">
        <v>2719</v>
      </c>
      <c r="C378" s="3" t="s">
        <v>2687</v>
      </c>
      <c r="D378" s="3" t="s">
        <v>2741</v>
      </c>
      <c r="E378" s="3" t="s">
        <v>2782</v>
      </c>
      <c r="F378" s="3" t="s">
        <v>2783</v>
      </c>
      <c r="G378" s="3" t="s">
        <v>2701</v>
      </c>
      <c r="H378" s="3" t="s">
        <v>2717</v>
      </c>
      <c r="I378" s="3" t="s">
        <v>2703</v>
      </c>
      <c r="J378" s="3" t="s">
        <v>2694</v>
      </c>
      <c r="K378" s="3" t="s">
        <v>2695</v>
      </c>
    </row>
    <row r="379" customFormat="false" ht="15" hidden="false" customHeight="true" outlineLevel="0" collapsed="false">
      <c r="A379" s="3" t="s">
        <v>1153</v>
      </c>
      <c r="B379" s="3" t="s">
        <v>2704</v>
      </c>
      <c r="C379" s="3" t="s">
        <v>2697</v>
      </c>
      <c r="D379" s="3" t="s">
        <v>2698</v>
      </c>
      <c r="E379" s="3" t="s">
        <v>2750</v>
      </c>
      <c r="F379" s="3" t="s">
        <v>2751</v>
      </c>
      <c r="G379" s="3" t="s">
        <v>2701</v>
      </c>
      <c r="H379" s="3" t="s">
        <v>2717</v>
      </c>
      <c r="I379" s="3" t="s">
        <v>2706</v>
      </c>
      <c r="J379" s="3" t="s">
        <v>2694</v>
      </c>
      <c r="K379" s="3" t="s">
        <v>2695</v>
      </c>
    </row>
    <row r="380" customFormat="false" ht="15" hidden="false" customHeight="true" outlineLevel="0" collapsed="false">
      <c r="A380" s="3" t="s">
        <v>1156</v>
      </c>
      <c r="B380" s="3" t="s">
        <v>2778</v>
      </c>
      <c r="C380" s="3" t="s">
        <v>2697</v>
      </c>
      <c r="D380" s="3" t="s">
        <v>2698</v>
      </c>
      <c r="E380" s="3" t="s">
        <v>2699</v>
      </c>
      <c r="F380" s="3" t="s">
        <v>2700</v>
      </c>
      <c r="G380" s="3" t="s">
        <v>2691</v>
      </c>
      <c r="H380" s="3" t="s">
        <v>2812</v>
      </c>
      <c r="I380" s="3" t="s">
        <v>2703</v>
      </c>
      <c r="J380" s="3" t="s">
        <v>2694</v>
      </c>
      <c r="K380" s="3" t="s">
        <v>2695</v>
      </c>
    </row>
    <row r="381" customFormat="false" ht="15" hidden="false" customHeight="true" outlineLevel="0" collapsed="false">
      <c r="A381" s="3" t="s">
        <v>1159</v>
      </c>
      <c r="B381" s="3" t="s">
        <v>2696</v>
      </c>
      <c r="C381" s="3" t="s">
        <v>2687</v>
      </c>
      <c r="D381" s="3" t="s">
        <v>2714</v>
      </c>
      <c r="E381" s="3" t="s">
        <v>2766</v>
      </c>
      <c r="F381" s="3" t="s">
        <v>2767</v>
      </c>
      <c r="G381" s="3" t="s">
        <v>2722</v>
      </c>
      <c r="H381" s="3" t="s">
        <v>2723</v>
      </c>
      <c r="I381" s="3" t="s">
        <v>2712</v>
      </c>
      <c r="J381" s="3" t="s">
        <v>2694</v>
      </c>
      <c r="K381" s="3" t="s">
        <v>2695</v>
      </c>
    </row>
    <row r="382" customFormat="false" ht="15" hidden="false" customHeight="true" outlineLevel="0" collapsed="false">
      <c r="A382" s="3" t="s">
        <v>1162</v>
      </c>
      <c r="B382" s="3" t="s">
        <v>2696</v>
      </c>
      <c r="C382" s="3" t="s">
        <v>2697</v>
      </c>
      <c r="D382" s="3" t="s">
        <v>2708</v>
      </c>
      <c r="E382" s="3" t="s">
        <v>2764</v>
      </c>
      <c r="F382" s="3" t="s">
        <v>2765</v>
      </c>
      <c r="G382" s="3" t="s">
        <v>2691</v>
      </c>
      <c r="H382" s="3" t="s">
        <v>2692</v>
      </c>
      <c r="I382" s="3" t="s">
        <v>2712</v>
      </c>
      <c r="J382" s="3" t="s">
        <v>2694</v>
      </c>
      <c r="K382" s="3" t="s">
        <v>2695</v>
      </c>
    </row>
    <row r="383" customFormat="false" ht="15" hidden="false" customHeight="true" outlineLevel="0" collapsed="false">
      <c r="A383" s="3" t="s">
        <v>1165</v>
      </c>
      <c r="B383" s="3" t="s">
        <v>2719</v>
      </c>
      <c r="C383" s="3" t="s">
        <v>2687</v>
      </c>
      <c r="D383" s="3" t="s">
        <v>2714</v>
      </c>
      <c r="E383" s="3" t="s">
        <v>2715</v>
      </c>
      <c r="F383" s="3" t="s">
        <v>2716</v>
      </c>
      <c r="G383" s="3" t="s">
        <v>2701</v>
      </c>
      <c r="H383" s="3" t="s">
        <v>2754</v>
      </c>
      <c r="I383" s="3" t="s">
        <v>2703</v>
      </c>
      <c r="J383" s="3" t="s">
        <v>2694</v>
      </c>
      <c r="K383" s="3" t="s">
        <v>2735</v>
      </c>
    </row>
    <row r="384" customFormat="false" ht="15" hidden="false" customHeight="true" outlineLevel="0" collapsed="false">
      <c r="A384" s="3" t="s">
        <v>1168</v>
      </c>
      <c r="B384" s="3" t="s">
        <v>2707</v>
      </c>
      <c r="C384" s="3" t="s">
        <v>2813</v>
      </c>
      <c r="D384" s="3" t="s">
        <v>2741</v>
      </c>
      <c r="E384" s="3" t="s">
        <v>2782</v>
      </c>
      <c r="F384" s="3" t="s">
        <v>2783</v>
      </c>
      <c r="G384" s="3" t="s">
        <v>2691</v>
      </c>
      <c r="H384" s="3" t="s">
        <v>2752</v>
      </c>
      <c r="I384" s="3" t="s">
        <v>2712</v>
      </c>
      <c r="J384" s="3" t="s">
        <v>2753</v>
      </c>
      <c r="K384" s="3" t="s">
        <v>2718</v>
      </c>
    </row>
    <row r="385" customFormat="false" ht="15" hidden="false" customHeight="true" outlineLevel="0" collapsed="false">
      <c r="A385" s="3" t="s">
        <v>1171</v>
      </c>
      <c r="B385" s="3" t="s">
        <v>2707</v>
      </c>
      <c r="C385" s="3" t="s">
        <v>2697</v>
      </c>
      <c r="D385" s="3" t="s">
        <v>2698</v>
      </c>
      <c r="E385" s="3" t="s">
        <v>2750</v>
      </c>
      <c r="F385" s="3" t="s">
        <v>2751</v>
      </c>
      <c r="G385" s="3" t="s">
        <v>2814</v>
      </c>
      <c r="H385" s="3" t="s">
        <v>2758</v>
      </c>
      <c r="I385" s="3" t="s">
        <v>2706</v>
      </c>
      <c r="J385" s="3" t="s">
        <v>2694</v>
      </c>
      <c r="K385" s="3" t="s">
        <v>2695</v>
      </c>
    </row>
    <row r="386" customFormat="false" ht="15" hidden="false" customHeight="true" outlineLevel="0" collapsed="false">
      <c r="A386" s="3" t="s">
        <v>1173</v>
      </c>
      <c r="B386" s="3" t="s">
        <v>2719</v>
      </c>
      <c r="C386" s="3" t="s">
        <v>2729</v>
      </c>
      <c r="D386" s="3" t="s">
        <v>2698</v>
      </c>
      <c r="E386" s="3" t="s">
        <v>2732</v>
      </c>
      <c r="F386" s="3" t="s">
        <v>2733</v>
      </c>
      <c r="G386" s="3" t="s">
        <v>2691</v>
      </c>
      <c r="H386" s="3" t="s">
        <v>2705</v>
      </c>
      <c r="I386" s="3" t="s">
        <v>2706</v>
      </c>
      <c r="J386" s="3" t="s">
        <v>2694</v>
      </c>
      <c r="K386" s="3" t="s">
        <v>2718</v>
      </c>
    </row>
    <row r="387" customFormat="false" ht="15" hidden="false" customHeight="true" outlineLevel="0" collapsed="false">
      <c r="A387" s="3" t="s">
        <v>1176</v>
      </c>
      <c r="B387" s="3" t="s">
        <v>2749</v>
      </c>
      <c r="C387" s="3" t="s">
        <v>2687</v>
      </c>
      <c r="D387" s="3" t="s">
        <v>2698</v>
      </c>
      <c r="E387" s="3" t="s">
        <v>2770</v>
      </c>
      <c r="F387" s="3" t="s">
        <v>2771</v>
      </c>
      <c r="G387" s="3" t="s">
        <v>2722</v>
      </c>
      <c r="H387" s="3" t="s">
        <v>2725</v>
      </c>
      <c r="I387" s="3" t="s">
        <v>2712</v>
      </c>
      <c r="J387" s="3" t="s">
        <v>2694</v>
      </c>
      <c r="K387" s="3" t="s">
        <v>2735</v>
      </c>
    </row>
    <row r="388" customFormat="false" ht="15" hidden="false" customHeight="true" outlineLevel="0" collapsed="false">
      <c r="A388" s="3" t="s">
        <v>1179</v>
      </c>
      <c r="B388" s="3" t="s">
        <v>2707</v>
      </c>
      <c r="C388" s="3" t="s">
        <v>2687</v>
      </c>
      <c r="D388" s="3" t="s">
        <v>2741</v>
      </c>
      <c r="E388" s="3" t="s">
        <v>2772</v>
      </c>
      <c r="F388" s="3" t="s">
        <v>2773</v>
      </c>
      <c r="G388" s="3" t="s">
        <v>2691</v>
      </c>
      <c r="H388" s="3" t="s">
        <v>2730</v>
      </c>
      <c r="I388" s="3" t="s">
        <v>2712</v>
      </c>
      <c r="J388" s="3" t="s">
        <v>2694</v>
      </c>
      <c r="K388" s="3" t="s">
        <v>2695</v>
      </c>
    </row>
    <row r="389" customFormat="false" ht="15" hidden="false" customHeight="true" outlineLevel="0" collapsed="false">
      <c r="A389" s="3" t="s">
        <v>1182</v>
      </c>
      <c r="B389" s="3" t="s">
        <v>2746</v>
      </c>
      <c r="C389" s="3" t="s">
        <v>2687</v>
      </c>
      <c r="D389" s="3" t="s">
        <v>2714</v>
      </c>
      <c r="E389" s="3" t="s">
        <v>2715</v>
      </c>
      <c r="F389" s="3" t="s">
        <v>2716</v>
      </c>
      <c r="G389" s="3" t="s">
        <v>2701</v>
      </c>
      <c r="H389" s="3" t="s">
        <v>2711</v>
      </c>
      <c r="I389" s="3" t="s">
        <v>2693</v>
      </c>
      <c r="J389" s="3" t="s">
        <v>2694</v>
      </c>
      <c r="K389" s="3" t="s">
        <v>2695</v>
      </c>
    </row>
    <row r="390" customFormat="false" ht="15" hidden="false" customHeight="true" outlineLevel="0" collapsed="false">
      <c r="A390" s="3" t="s">
        <v>1185</v>
      </c>
      <c r="B390" s="3" t="s">
        <v>2739</v>
      </c>
      <c r="C390" s="3" t="s">
        <v>2697</v>
      </c>
      <c r="D390" s="3" t="s">
        <v>2714</v>
      </c>
      <c r="E390" s="3" t="s">
        <v>2720</v>
      </c>
      <c r="F390" s="3" t="s">
        <v>2721</v>
      </c>
      <c r="G390" s="3" t="s">
        <v>2701</v>
      </c>
      <c r="H390" s="3" t="s">
        <v>2717</v>
      </c>
      <c r="I390" s="3" t="s">
        <v>2712</v>
      </c>
      <c r="J390" s="3" t="s">
        <v>2738</v>
      </c>
      <c r="K390" s="3" t="s">
        <v>2718</v>
      </c>
    </row>
    <row r="391" customFormat="false" ht="15" hidden="false" customHeight="true" outlineLevel="0" collapsed="false">
      <c r="A391" s="3" t="s">
        <v>1188</v>
      </c>
      <c r="B391" s="3" t="s">
        <v>2704</v>
      </c>
      <c r="C391" s="3" t="s">
        <v>2697</v>
      </c>
      <c r="D391" s="3" t="s">
        <v>2714</v>
      </c>
      <c r="E391" s="3" t="s">
        <v>2762</v>
      </c>
      <c r="F391" s="3" t="s">
        <v>2763</v>
      </c>
      <c r="G391" s="3" t="s">
        <v>2701</v>
      </c>
      <c r="H391" s="3" t="s">
        <v>2717</v>
      </c>
      <c r="I391" s="3" t="s">
        <v>2712</v>
      </c>
      <c r="J391" s="3" t="s">
        <v>2694</v>
      </c>
      <c r="K391" s="3" t="s">
        <v>2695</v>
      </c>
    </row>
    <row r="392" customFormat="false" ht="15" hidden="false" customHeight="true" outlineLevel="0" collapsed="false">
      <c r="A392" s="3" t="s">
        <v>1191</v>
      </c>
      <c r="B392" s="3" t="s">
        <v>2755</v>
      </c>
      <c r="C392" s="3" t="s">
        <v>2729</v>
      </c>
      <c r="D392" s="3" t="s">
        <v>2714</v>
      </c>
      <c r="E392" s="3" t="s">
        <v>2762</v>
      </c>
      <c r="F392" s="3" t="s">
        <v>2763</v>
      </c>
      <c r="G392" s="3" t="s">
        <v>2722</v>
      </c>
      <c r="H392" s="3" t="s">
        <v>2779</v>
      </c>
      <c r="I392" s="3" t="s">
        <v>2693</v>
      </c>
      <c r="J392" s="3" t="s">
        <v>2738</v>
      </c>
      <c r="K392" s="3" t="s">
        <v>2718</v>
      </c>
    </row>
    <row r="393" customFormat="false" ht="15" hidden="false" customHeight="true" outlineLevel="0" collapsed="false">
      <c r="A393" s="3" t="s">
        <v>1194</v>
      </c>
      <c r="B393" s="3" t="s">
        <v>2704</v>
      </c>
      <c r="C393" s="3" t="s">
        <v>2687</v>
      </c>
      <c r="D393" s="3" t="s">
        <v>2714</v>
      </c>
      <c r="E393" s="3" t="s">
        <v>2762</v>
      </c>
      <c r="F393" s="3" t="s">
        <v>2763</v>
      </c>
      <c r="G393" s="3" t="s">
        <v>2701</v>
      </c>
      <c r="H393" s="3" t="s">
        <v>2711</v>
      </c>
      <c r="I393" s="3" t="s">
        <v>2712</v>
      </c>
      <c r="J393" s="3" t="s">
        <v>2694</v>
      </c>
      <c r="K393" s="3" t="s">
        <v>2695</v>
      </c>
    </row>
    <row r="394" customFormat="false" ht="15" hidden="false" customHeight="true" outlineLevel="0" collapsed="false">
      <c r="A394" s="3" t="s">
        <v>1197</v>
      </c>
      <c r="B394" s="3" t="s">
        <v>2755</v>
      </c>
      <c r="C394" s="3" t="s">
        <v>2687</v>
      </c>
      <c r="D394" s="3" t="s">
        <v>2708</v>
      </c>
      <c r="E394" s="3" t="s">
        <v>2760</v>
      </c>
      <c r="F394" s="3" t="s">
        <v>2761</v>
      </c>
      <c r="G394" s="3" t="s">
        <v>2691</v>
      </c>
      <c r="H394" s="3" t="s">
        <v>2744</v>
      </c>
      <c r="I394" s="3" t="s">
        <v>2706</v>
      </c>
      <c r="J394" s="3" t="s">
        <v>2694</v>
      </c>
      <c r="K394" s="3" t="s">
        <v>2695</v>
      </c>
    </row>
    <row r="395" customFormat="false" ht="15" hidden="false" customHeight="true" outlineLevel="0" collapsed="false">
      <c r="A395" s="3" t="s">
        <v>1200</v>
      </c>
      <c r="B395" s="3" t="s">
        <v>2728</v>
      </c>
      <c r="C395" s="3" t="s">
        <v>2697</v>
      </c>
      <c r="D395" s="3" t="s">
        <v>2708</v>
      </c>
      <c r="E395" s="3" t="s">
        <v>2764</v>
      </c>
      <c r="F395" s="3" t="s">
        <v>2765</v>
      </c>
      <c r="G395" s="3" t="s">
        <v>2701</v>
      </c>
      <c r="H395" s="3" t="s">
        <v>2711</v>
      </c>
      <c r="I395" s="3" t="s">
        <v>2703</v>
      </c>
      <c r="J395" s="3" t="s">
        <v>2694</v>
      </c>
      <c r="K395" s="3" t="s">
        <v>2695</v>
      </c>
    </row>
    <row r="396" customFormat="false" ht="15" hidden="false" customHeight="true" outlineLevel="0" collapsed="false">
      <c r="A396" s="3" t="s">
        <v>1203</v>
      </c>
      <c r="B396" s="3" t="s">
        <v>2696</v>
      </c>
      <c r="C396" s="3" t="s">
        <v>2729</v>
      </c>
      <c r="D396" s="3" t="s">
        <v>2741</v>
      </c>
      <c r="E396" s="3" t="s">
        <v>2747</v>
      </c>
      <c r="F396" s="3" t="s">
        <v>2748</v>
      </c>
      <c r="G396" s="3" t="s">
        <v>2691</v>
      </c>
      <c r="H396" s="3" t="s">
        <v>2730</v>
      </c>
      <c r="I396" s="3" t="s">
        <v>2703</v>
      </c>
      <c r="J396" s="3" t="s">
        <v>2694</v>
      </c>
      <c r="K396" s="3" t="s">
        <v>2695</v>
      </c>
    </row>
    <row r="397" customFormat="false" ht="15" hidden="false" customHeight="true" outlineLevel="0" collapsed="false">
      <c r="A397" s="3" t="s">
        <v>1206</v>
      </c>
      <c r="B397" s="3" t="s">
        <v>2778</v>
      </c>
      <c r="C397" s="3" t="s">
        <v>2687</v>
      </c>
      <c r="D397" s="3" t="s">
        <v>2714</v>
      </c>
      <c r="E397" s="3" t="s">
        <v>2715</v>
      </c>
      <c r="F397" s="3" t="s">
        <v>2716</v>
      </c>
      <c r="G397" s="3" t="s">
        <v>2701</v>
      </c>
      <c r="H397" s="3" t="s">
        <v>2711</v>
      </c>
      <c r="I397" s="3" t="s">
        <v>2706</v>
      </c>
      <c r="J397" s="3" t="s">
        <v>2694</v>
      </c>
      <c r="K397" s="3" t="s">
        <v>2695</v>
      </c>
    </row>
    <row r="398" customFormat="false" ht="15" hidden="false" customHeight="true" outlineLevel="0" collapsed="false">
      <c r="A398" s="3" t="s">
        <v>1209</v>
      </c>
      <c r="B398" s="3" t="s">
        <v>2740</v>
      </c>
      <c r="C398" s="3" t="s">
        <v>2731</v>
      </c>
      <c r="D398" s="3" t="s">
        <v>2708</v>
      </c>
      <c r="E398" s="3" t="s">
        <v>2774</v>
      </c>
      <c r="F398" s="3" t="s">
        <v>2775</v>
      </c>
      <c r="G398" s="3" t="s">
        <v>2701</v>
      </c>
      <c r="H398" s="3" t="s">
        <v>2702</v>
      </c>
      <c r="I398" s="3" t="s">
        <v>2703</v>
      </c>
      <c r="J398" s="3" t="s">
        <v>2694</v>
      </c>
      <c r="K398" s="3" t="s">
        <v>2695</v>
      </c>
    </row>
    <row r="399" customFormat="false" ht="15" hidden="false" customHeight="true" outlineLevel="0" collapsed="false">
      <c r="A399" s="3" t="s">
        <v>1212</v>
      </c>
      <c r="B399" s="3" t="s">
        <v>2728</v>
      </c>
      <c r="C399" s="3" t="s">
        <v>2697</v>
      </c>
      <c r="D399" s="3" t="s">
        <v>2708</v>
      </c>
      <c r="E399" s="3" t="s">
        <v>2760</v>
      </c>
      <c r="F399" s="3" t="s">
        <v>2761</v>
      </c>
      <c r="G399" s="3" t="s">
        <v>2722</v>
      </c>
      <c r="H399" s="3" t="s">
        <v>2779</v>
      </c>
      <c r="I399" s="3" t="s">
        <v>2712</v>
      </c>
      <c r="J399" s="3" t="s">
        <v>2694</v>
      </c>
      <c r="K399" s="3" t="s">
        <v>2695</v>
      </c>
    </row>
    <row r="400" customFormat="false" ht="15" hidden="false" customHeight="true" outlineLevel="0" collapsed="false">
      <c r="A400" s="3" t="s">
        <v>1215</v>
      </c>
      <c r="B400" s="3" t="s">
        <v>2746</v>
      </c>
      <c r="C400" s="3" t="s">
        <v>2697</v>
      </c>
      <c r="D400" s="3" t="s">
        <v>2741</v>
      </c>
      <c r="E400" s="3" t="s">
        <v>2747</v>
      </c>
      <c r="F400" s="3" t="s">
        <v>2748</v>
      </c>
      <c r="G400" s="3" t="s">
        <v>2701</v>
      </c>
      <c r="H400" s="3" t="s">
        <v>2702</v>
      </c>
      <c r="I400" s="3" t="s">
        <v>2693</v>
      </c>
      <c r="J400" s="3" t="s">
        <v>2694</v>
      </c>
      <c r="K400" s="3" t="s">
        <v>2695</v>
      </c>
    </row>
    <row r="401" customFormat="false" ht="15" hidden="false" customHeight="true" outlineLevel="0" collapsed="false">
      <c r="A401" s="3" t="s">
        <v>1218</v>
      </c>
      <c r="B401" s="3" t="s">
        <v>2719</v>
      </c>
      <c r="C401" s="3" t="s">
        <v>2815</v>
      </c>
      <c r="D401" s="3" t="s">
        <v>2741</v>
      </c>
      <c r="E401" s="3" t="s">
        <v>2742</v>
      </c>
      <c r="F401" s="3" t="s">
        <v>2743</v>
      </c>
      <c r="G401" s="3" t="s">
        <v>2722</v>
      </c>
      <c r="H401" s="3" t="s">
        <v>2779</v>
      </c>
      <c r="I401" s="3" t="s">
        <v>2703</v>
      </c>
      <c r="J401" s="3" t="s">
        <v>2694</v>
      </c>
      <c r="K401" s="3" t="s">
        <v>2695</v>
      </c>
    </row>
    <row r="402" customFormat="false" ht="15" hidden="false" customHeight="true" outlineLevel="0" collapsed="false">
      <c r="A402" s="3" t="s">
        <v>1221</v>
      </c>
      <c r="B402" s="3" t="s">
        <v>2755</v>
      </c>
      <c r="C402" s="3" t="s">
        <v>2697</v>
      </c>
      <c r="D402" s="3" t="s">
        <v>2708</v>
      </c>
      <c r="E402" s="3" t="s">
        <v>2726</v>
      </c>
      <c r="F402" s="3" t="s">
        <v>2727</v>
      </c>
      <c r="G402" s="3" t="s">
        <v>2691</v>
      </c>
      <c r="H402" s="3" t="s">
        <v>2692</v>
      </c>
      <c r="I402" s="3" t="s">
        <v>2703</v>
      </c>
      <c r="J402" s="3" t="s">
        <v>2694</v>
      </c>
      <c r="K402" s="3" t="s">
        <v>2695</v>
      </c>
    </row>
    <row r="403" customFormat="false" ht="15" hidden="false" customHeight="true" outlineLevel="0" collapsed="false">
      <c r="A403" s="3" t="s">
        <v>1224</v>
      </c>
      <c r="B403" s="3" t="s">
        <v>2746</v>
      </c>
      <c r="C403" s="3" t="s">
        <v>2697</v>
      </c>
      <c r="D403" s="3" t="s">
        <v>2741</v>
      </c>
      <c r="E403" s="3" t="s">
        <v>2747</v>
      </c>
      <c r="F403" s="3" t="s">
        <v>2748</v>
      </c>
      <c r="G403" s="3" t="s">
        <v>2691</v>
      </c>
      <c r="H403" s="3" t="s">
        <v>2692</v>
      </c>
      <c r="I403" s="3" t="s">
        <v>2703</v>
      </c>
      <c r="J403" s="3" t="s">
        <v>2694</v>
      </c>
      <c r="K403" s="3" t="s">
        <v>2695</v>
      </c>
    </row>
    <row r="404" customFormat="false" ht="15" hidden="false" customHeight="true" outlineLevel="0" collapsed="false">
      <c r="A404" s="3" t="s">
        <v>1227</v>
      </c>
      <c r="B404" s="3" t="s">
        <v>2707</v>
      </c>
      <c r="C404" s="3" t="s">
        <v>2697</v>
      </c>
      <c r="D404" s="3" t="s">
        <v>2698</v>
      </c>
      <c r="E404" s="3" t="s">
        <v>2770</v>
      </c>
      <c r="F404" s="3" t="s">
        <v>2771</v>
      </c>
      <c r="G404" s="3" t="s">
        <v>2701</v>
      </c>
      <c r="H404" s="3" t="s">
        <v>2702</v>
      </c>
      <c r="I404" s="3" t="s">
        <v>2703</v>
      </c>
      <c r="J404" s="3" t="s">
        <v>2694</v>
      </c>
      <c r="K404" s="3" t="s">
        <v>2695</v>
      </c>
    </row>
    <row r="405" customFormat="false" ht="15" hidden="false" customHeight="true" outlineLevel="0" collapsed="false">
      <c r="A405" s="3" t="s">
        <v>1230</v>
      </c>
      <c r="B405" s="3" t="s">
        <v>2739</v>
      </c>
      <c r="C405" s="3" t="s">
        <v>2697</v>
      </c>
      <c r="D405" s="3" t="s">
        <v>2708</v>
      </c>
      <c r="E405" s="3" t="s">
        <v>2760</v>
      </c>
      <c r="F405" s="3" t="s">
        <v>2761</v>
      </c>
      <c r="G405" s="3" t="s">
        <v>2701</v>
      </c>
      <c r="H405" s="3" t="s">
        <v>2702</v>
      </c>
      <c r="I405" s="3" t="s">
        <v>2768</v>
      </c>
      <c r="J405" s="3" t="s">
        <v>2694</v>
      </c>
      <c r="K405" s="3" t="s">
        <v>2695</v>
      </c>
    </row>
    <row r="406" customFormat="false" ht="15" hidden="false" customHeight="true" outlineLevel="0" collapsed="false">
      <c r="A406" s="3" t="s">
        <v>1233</v>
      </c>
      <c r="B406" s="3" t="s">
        <v>2707</v>
      </c>
      <c r="C406" s="3" t="s">
        <v>2697</v>
      </c>
      <c r="D406" s="3" t="s">
        <v>2708</v>
      </c>
      <c r="E406" s="3" t="s">
        <v>2764</v>
      </c>
      <c r="F406" s="3" t="s">
        <v>2765</v>
      </c>
      <c r="G406" s="3" t="s">
        <v>2691</v>
      </c>
      <c r="H406" s="3" t="s">
        <v>2816</v>
      </c>
      <c r="I406" s="3" t="s">
        <v>2703</v>
      </c>
      <c r="J406" s="3" t="s">
        <v>2694</v>
      </c>
      <c r="K406" s="3" t="s">
        <v>2735</v>
      </c>
    </row>
    <row r="407" customFormat="false" ht="15" hidden="false" customHeight="true" outlineLevel="0" collapsed="false">
      <c r="A407" s="3" t="s">
        <v>1236</v>
      </c>
      <c r="B407" s="3" t="s">
        <v>2728</v>
      </c>
      <c r="C407" s="3" t="s">
        <v>2729</v>
      </c>
      <c r="D407" s="3" t="s">
        <v>2714</v>
      </c>
      <c r="E407" s="3" t="s">
        <v>2689</v>
      </c>
      <c r="F407" s="3" t="s">
        <v>2737</v>
      </c>
      <c r="G407" s="3" t="s">
        <v>2701</v>
      </c>
      <c r="H407" s="3" t="s">
        <v>2717</v>
      </c>
      <c r="I407" s="3" t="s">
        <v>2703</v>
      </c>
      <c r="J407" s="3" t="s">
        <v>2694</v>
      </c>
      <c r="K407" s="3" t="s">
        <v>2799</v>
      </c>
    </row>
    <row r="408" customFormat="false" ht="15" hidden="false" customHeight="true" outlineLevel="0" collapsed="false">
      <c r="A408" s="3" t="s">
        <v>1239</v>
      </c>
      <c r="B408" s="3" t="s">
        <v>2728</v>
      </c>
      <c r="C408" s="3" t="s">
        <v>2731</v>
      </c>
      <c r="D408" s="3" t="s">
        <v>2714</v>
      </c>
      <c r="E408" s="3" t="s">
        <v>2762</v>
      </c>
      <c r="F408" s="3" t="s">
        <v>2763</v>
      </c>
      <c r="G408" s="3" t="s">
        <v>2701</v>
      </c>
      <c r="H408" s="3" t="s">
        <v>2754</v>
      </c>
      <c r="I408" s="3" t="s">
        <v>2768</v>
      </c>
      <c r="J408" s="3" t="s">
        <v>2694</v>
      </c>
      <c r="K408" s="3" t="s">
        <v>2695</v>
      </c>
    </row>
    <row r="409" customFormat="false" ht="15" hidden="false" customHeight="true" outlineLevel="0" collapsed="false">
      <c r="A409" s="3" t="s">
        <v>1242</v>
      </c>
      <c r="B409" s="3" t="s">
        <v>2778</v>
      </c>
      <c r="C409" s="3" t="s">
        <v>2697</v>
      </c>
      <c r="D409" s="3" t="s">
        <v>2714</v>
      </c>
      <c r="E409" s="3" t="s">
        <v>2766</v>
      </c>
      <c r="F409" s="3" t="s">
        <v>2767</v>
      </c>
      <c r="G409" s="3" t="s">
        <v>2701</v>
      </c>
      <c r="H409" s="3" t="s">
        <v>2711</v>
      </c>
      <c r="I409" s="3" t="s">
        <v>2712</v>
      </c>
      <c r="J409" s="3" t="s">
        <v>2738</v>
      </c>
      <c r="K409" s="3" t="s">
        <v>2735</v>
      </c>
    </row>
    <row r="410" customFormat="false" ht="15" hidden="false" customHeight="true" outlineLevel="0" collapsed="false">
      <c r="A410" s="3" t="s">
        <v>1245</v>
      </c>
      <c r="B410" s="3" t="s">
        <v>2740</v>
      </c>
      <c r="C410" s="3" t="s">
        <v>2729</v>
      </c>
      <c r="D410" s="3" t="s">
        <v>2714</v>
      </c>
      <c r="E410" s="3" t="s">
        <v>2766</v>
      </c>
      <c r="F410" s="3" t="s">
        <v>2767</v>
      </c>
      <c r="G410" s="3" t="s">
        <v>2691</v>
      </c>
      <c r="H410" s="3" t="s">
        <v>2730</v>
      </c>
      <c r="I410" s="3" t="s">
        <v>2693</v>
      </c>
      <c r="J410" s="3" t="s">
        <v>2694</v>
      </c>
      <c r="K410" s="3" t="s">
        <v>2695</v>
      </c>
    </row>
    <row r="411" customFormat="false" ht="15" hidden="false" customHeight="true" outlineLevel="0" collapsed="false">
      <c r="A411" s="3" t="s">
        <v>1248</v>
      </c>
      <c r="B411" s="3" t="s">
        <v>2746</v>
      </c>
      <c r="C411" s="3" t="s">
        <v>2687</v>
      </c>
      <c r="D411" s="3" t="s">
        <v>2714</v>
      </c>
      <c r="E411" s="3" t="s">
        <v>2715</v>
      </c>
      <c r="F411" s="3" t="s">
        <v>2716</v>
      </c>
      <c r="G411" s="3" t="s">
        <v>2701</v>
      </c>
      <c r="H411" s="3" t="s">
        <v>2717</v>
      </c>
      <c r="I411" s="3" t="s">
        <v>2706</v>
      </c>
      <c r="J411" s="3" t="s">
        <v>2753</v>
      </c>
      <c r="K411" s="3" t="s">
        <v>2735</v>
      </c>
    </row>
    <row r="412" customFormat="false" ht="15" hidden="false" customHeight="true" outlineLevel="0" collapsed="false">
      <c r="A412" s="3" t="s">
        <v>1251</v>
      </c>
      <c r="B412" s="3" t="s">
        <v>2686</v>
      </c>
      <c r="C412" s="3" t="s">
        <v>2687</v>
      </c>
      <c r="D412" s="3" t="s">
        <v>2698</v>
      </c>
      <c r="E412" s="3" t="s">
        <v>2756</v>
      </c>
      <c r="F412" s="3" t="s">
        <v>2757</v>
      </c>
      <c r="G412" s="3" t="s">
        <v>2722</v>
      </c>
      <c r="H412" s="3" t="s">
        <v>2723</v>
      </c>
      <c r="I412" s="3" t="s">
        <v>2703</v>
      </c>
      <c r="J412" s="3" t="s">
        <v>2734</v>
      </c>
      <c r="K412" s="3" t="s">
        <v>2735</v>
      </c>
    </row>
    <row r="413" customFormat="false" ht="15" hidden="false" customHeight="true" outlineLevel="0" collapsed="false">
      <c r="A413" s="3" t="s">
        <v>1254</v>
      </c>
      <c r="B413" s="3" t="s">
        <v>2755</v>
      </c>
      <c r="C413" s="3" t="s">
        <v>2687</v>
      </c>
      <c r="D413" s="3" t="s">
        <v>2714</v>
      </c>
      <c r="E413" s="3" t="s">
        <v>2766</v>
      </c>
      <c r="F413" s="3" t="s">
        <v>2767</v>
      </c>
      <c r="G413" s="3" t="s">
        <v>2701</v>
      </c>
      <c r="H413" s="3" t="s">
        <v>2702</v>
      </c>
      <c r="I413" s="3" t="s">
        <v>2706</v>
      </c>
      <c r="J413" s="3" t="s">
        <v>2694</v>
      </c>
      <c r="K413" s="3" t="s">
        <v>2695</v>
      </c>
    </row>
    <row r="414" customFormat="false" ht="15" hidden="false" customHeight="true" outlineLevel="0" collapsed="false">
      <c r="A414" s="3" t="s">
        <v>1257</v>
      </c>
      <c r="B414" s="3" t="s">
        <v>2707</v>
      </c>
      <c r="C414" s="3" t="s">
        <v>2731</v>
      </c>
      <c r="D414" s="3" t="s">
        <v>2714</v>
      </c>
      <c r="E414" s="3" t="s">
        <v>2689</v>
      </c>
      <c r="F414" s="3" t="s">
        <v>2737</v>
      </c>
      <c r="G414" s="3" t="s">
        <v>2701</v>
      </c>
      <c r="H414" s="3" t="s">
        <v>2702</v>
      </c>
      <c r="I414" s="3" t="s">
        <v>2706</v>
      </c>
      <c r="J414" s="3" t="s">
        <v>2753</v>
      </c>
      <c r="K414" s="3" t="s">
        <v>2735</v>
      </c>
    </row>
    <row r="415" customFormat="false" ht="15" hidden="false" customHeight="true" outlineLevel="0" collapsed="false">
      <c r="A415" s="3" t="s">
        <v>1260</v>
      </c>
      <c r="B415" s="3" t="s">
        <v>2704</v>
      </c>
      <c r="C415" s="3" t="s">
        <v>2729</v>
      </c>
      <c r="D415" s="3" t="s">
        <v>2708</v>
      </c>
      <c r="E415" s="3" t="s">
        <v>2760</v>
      </c>
      <c r="F415" s="3" t="s">
        <v>2761</v>
      </c>
      <c r="G415" s="3" t="s">
        <v>2701</v>
      </c>
      <c r="H415" s="3" t="s">
        <v>2717</v>
      </c>
      <c r="I415" s="3" t="s">
        <v>2703</v>
      </c>
      <c r="J415" s="3" t="s">
        <v>2694</v>
      </c>
      <c r="K415" s="3" t="s">
        <v>2695</v>
      </c>
    </row>
    <row r="416" customFormat="false" ht="15" hidden="false" customHeight="true" outlineLevel="0" collapsed="false">
      <c r="A416" s="3" t="s">
        <v>1263</v>
      </c>
      <c r="B416" s="3" t="s">
        <v>2724</v>
      </c>
      <c r="C416" s="3" t="s">
        <v>2731</v>
      </c>
      <c r="D416" s="3" t="s">
        <v>2714</v>
      </c>
      <c r="E416" s="3" t="s">
        <v>2720</v>
      </c>
      <c r="F416" s="3" t="s">
        <v>2721</v>
      </c>
      <c r="G416" s="3" t="s">
        <v>2722</v>
      </c>
      <c r="H416" s="3" t="s">
        <v>2723</v>
      </c>
      <c r="I416" s="3" t="s">
        <v>2693</v>
      </c>
      <c r="J416" s="3" t="s">
        <v>2738</v>
      </c>
      <c r="K416" s="3" t="s">
        <v>2718</v>
      </c>
    </row>
    <row r="417" customFormat="false" ht="15" hidden="false" customHeight="true" outlineLevel="0" collapsed="false">
      <c r="A417" s="3" t="s">
        <v>1266</v>
      </c>
      <c r="B417" s="3" t="s">
        <v>2707</v>
      </c>
      <c r="C417" s="3" t="s">
        <v>2731</v>
      </c>
      <c r="D417" s="3" t="s">
        <v>2698</v>
      </c>
      <c r="E417" s="3" t="s">
        <v>2756</v>
      </c>
      <c r="F417" s="3" t="s">
        <v>2757</v>
      </c>
      <c r="G417" s="3" t="s">
        <v>2691</v>
      </c>
      <c r="H417" s="3" t="s">
        <v>2744</v>
      </c>
      <c r="I417" s="3" t="s">
        <v>2706</v>
      </c>
      <c r="J417" s="3" t="s">
        <v>2694</v>
      </c>
      <c r="K417" s="3" t="s">
        <v>2695</v>
      </c>
    </row>
    <row r="418" customFormat="false" ht="15" hidden="false" customHeight="true" outlineLevel="0" collapsed="false">
      <c r="A418" s="3" t="s">
        <v>1269</v>
      </c>
      <c r="B418" s="3" t="s">
        <v>2745</v>
      </c>
      <c r="C418" s="3" t="s">
        <v>2729</v>
      </c>
      <c r="D418" s="3" t="s">
        <v>2708</v>
      </c>
      <c r="E418" s="3" t="s">
        <v>2760</v>
      </c>
      <c r="F418" s="3" t="s">
        <v>2761</v>
      </c>
      <c r="G418" s="3" t="s">
        <v>2691</v>
      </c>
      <c r="H418" s="3" t="s">
        <v>2744</v>
      </c>
      <c r="I418" s="3" t="s">
        <v>2703</v>
      </c>
      <c r="J418" s="3" t="s">
        <v>2694</v>
      </c>
      <c r="K418" s="3" t="s">
        <v>2735</v>
      </c>
    </row>
    <row r="419" customFormat="false" ht="15" hidden="false" customHeight="true" outlineLevel="0" collapsed="false">
      <c r="A419" s="3" t="s">
        <v>1272</v>
      </c>
      <c r="B419" s="3" t="s">
        <v>2724</v>
      </c>
      <c r="C419" s="3" t="s">
        <v>2687</v>
      </c>
      <c r="D419" s="3" t="s">
        <v>2708</v>
      </c>
      <c r="E419" s="3" t="s">
        <v>2709</v>
      </c>
      <c r="F419" s="3" t="s">
        <v>2710</v>
      </c>
      <c r="G419" s="3" t="s">
        <v>2792</v>
      </c>
      <c r="H419" s="3" t="s">
        <v>2711</v>
      </c>
      <c r="I419" s="3" t="s">
        <v>2706</v>
      </c>
      <c r="J419" s="3" t="s">
        <v>2694</v>
      </c>
      <c r="K419" s="3" t="s">
        <v>2695</v>
      </c>
    </row>
    <row r="420" customFormat="false" ht="15" hidden="false" customHeight="true" outlineLevel="0" collapsed="false">
      <c r="A420" s="3" t="s">
        <v>1275</v>
      </c>
      <c r="B420" s="3" t="s">
        <v>2696</v>
      </c>
      <c r="C420" s="3" t="s">
        <v>2687</v>
      </c>
      <c r="D420" s="3" t="s">
        <v>2714</v>
      </c>
      <c r="E420" s="3" t="s">
        <v>2762</v>
      </c>
      <c r="F420" s="3" t="s">
        <v>2763</v>
      </c>
      <c r="G420" s="3" t="s">
        <v>2691</v>
      </c>
      <c r="H420" s="3" t="s">
        <v>2705</v>
      </c>
      <c r="I420" s="3" t="s">
        <v>2706</v>
      </c>
      <c r="J420" s="3" t="s">
        <v>2694</v>
      </c>
      <c r="K420" s="3" t="s">
        <v>2695</v>
      </c>
    </row>
    <row r="421" customFormat="false" ht="15" hidden="false" customHeight="true" outlineLevel="0" collapsed="false">
      <c r="A421" s="3" t="s">
        <v>1278</v>
      </c>
      <c r="B421" s="3" t="s">
        <v>2746</v>
      </c>
      <c r="C421" s="3" t="s">
        <v>2729</v>
      </c>
      <c r="D421" s="3" t="s">
        <v>2698</v>
      </c>
      <c r="E421" s="3" t="s">
        <v>2699</v>
      </c>
      <c r="F421" s="3" t="s">
        <v>2700</v>
      </c>
      <c r="G421" s="3" t="s">
        <v>2722</v>
      </c>
      <c r="H421" s="3" t="s">
        <v>2725</v>
      </c>
      <c r="I421" s="3" t="s">
        <v>2712</v>
      </c>
      <c r="J421" s="3" t="s">
        <v>2753</v>
      </c>
      <c r="K421" s="3" t="s">
        <v>2718</v>
      </c>
    </row>
    <row r="422" customFormat="false" ht="15" hidden="false" customHeight="true" outlineLevel="0" collapsed="false">
      <c r="A422" s="3" t="s">
        <v>1281</v>
      </c>
      <c r="B422" s="3" t="s">
        <v>2746</v>
      </c>
      <c r="C422" s="3" t="s">
        <v>2731</v>
      </c>
      <c r="D422" s="3" t="s">
        <v>2741</v>
      </c>
      <c r="E422" s="3" t="s">
        <v>2772</v>
      </c>
      <c r="F422" s="3" t="s">
        <v>2773</v>
      </c>
      <c r="G422" s="3" t="s">
        <v>2722</v>
      </c>
      <c r="H422" s="3" t="s">
        <v>2758</v>
      </c>
      <c r="I422" s="3" t="s">
        <v>2703</v>
      </c>
      <c r="J422" s="3" t="s">
        <v>2694</v>
      </c>
      <c r="K422" s="3" t="s">
        <v>2695</v>
      </c>
    </row>
    <row r="423" customFormat="false" ht="15" hidden="false" customHeight="true" outlineLevel="0" collapsed="false">
      <c r="A423" s="3" t="s">
        <v>1284</v>
      </c>
      <c r="B423" s="3" t="s">
        <v>2704</v>
      </c>
      <c r="C423" s="3" t="s">
        <v>2729</v>
      </c>
      <c r="D423" s="3" t="s">
        <v>2708</v>
      </c>
      <c r="E423" s="3" t="s">
        <v>2774</v>
      </c>
      <c r="F423" s="3" t="s">
        <v>2775</v>
      </c>
      <c r="G423" s="3" t="s">
        <v>2722</v>
      </c>
      <c r="H423" s="3" t="s">
        <v>2779</v>
      </c>
      <c r="I423" s="3" t="s">
        <v>2712</v>
      </c>
      <c r="J423" s="3" t="s">
        <v>2738</v>
      </c>
      <c r="K423" s="3" t="s">
        <v>2718</v>
      </c>
    </row>
    <row r="424" customFormat="false" ht="15" hidden="false" customHeight="true" outlineLevel="0" collapsed="false">
      <c r="A424" s="3" t="s">
        <v>1287</v>
      </c>
      <c r="B424" s="3" t="s">
        <v>2749</v>
      </c>
      <c r="C424" s="3" t="s">
        <v>2697</v>
      </c>
      <c r="D424" s="3" t="s">
        <v>2741</v>
      </c>
      <c r="E424" s="3" t="s">
        <v>2782</v>
      </c>
      <c r="F424" s="3" t="s">
        <v>2783</v>
      </c>
      <c r="G424" s="3" t="s">
        <v>2691</v>
      </c>
      <c r="H424" s="3" t="s">
        <v>2752</v>
      </c>
      <c r="I424" s="3" t="s">
        <v>2703</v>
      </c>
      <c r="J424" s="3" t="s">
        <v>2738</v>
      </c>
      <c r="K424" s="3" t="s">
        <v>2735</v>
      </c>
    </row>
    <row r="425" customFormat="false" ht="15" hidden="false" customHeight="true" outlineLevel="0" collapsed="false">
      <c r="A425" s="3" t="s">
        <v>1290</v>
      </c>
      <c r="B425" s="3" t="s">
        <v>2778</v>
      </c>
      <c r="C425" s="3" t="s">
        <v>2687</v>
      </c>
      <c r="D425" s="3" t="s">
        <v>2714</v>
      </c>
      <c r="E425" s="3" t="s">
        <v>2720</v>
      </c>
      <c r="F425" s="3" t="s">
        <v>2721</v>
      </c>
      <c r="G425" s="3" t="s">
        <v>2722</v>
      </c>
      <c r="H425" s="3" t="s">
        <v>2725</v>
      </c>
      <c r="I425" s="3" t="s">
        <v>2703</v>
      </c>
      <c r="J425" s="3" t="s">
        <v>2694</v>
      </c>
      <c r="K425" s="3" t="s">
        <v>2695</v>
      </c>
    </row>
    <row r="426" customFormat="false" ht="15" hidden="false" customHeight="true" outlineLevel="0" collapsed="false">
      <c r="A426" s="3" t="s">
        <v>1293</v>
      </c>
      <c r="B426" s="3" t="s">
        <v>2755</v>
      </c>
      <c r="C426" s="3" t="s">
        <v>2687</v>
      </c>
      <c r="D426" s="3" t="s">
        <v>2708</v>
      </c>
      <c r="E426" s="3" t="s">
        <v>2764</v>
      </c>
      <c r="F426" s="3" t="s">
        <v>2765</v>
      </c>
      <c r="G426" s="3" t="s">
        <v>2722</v>
      </c>
      <c r="H426" s="3" t="s">
        <v>2723</v>
      </c>
      <c r="I426" s="3" t="s">
        <v>2817</v>
      </c>
      <c r="J426" s="3" t="s">
        <v>2694</v>
      </c>
      <c r="K426" s="3" t="s">
        <v>2695</v>
      </c>
    </row>
    <row r="427" customFormat="false" ht="15" hidden="false" customHeight="true" outlineLevel="0" collapsed="false">
      <c r="A427" s="3" t="s">
        <v>1296</v>
      </c>
      <c r="B427" s="3" t="s">
        <v>2724</v>
      </c>
      <c r="C427" s="3" t="s">
        <v>2729</v>
      </c>
      <c r="D427" s="3" t="s">
        <v>2741</v>
      </c>
      <c r="E427" s="3" t="s">
        <v>2742</v>
      </c>
      <c r="F427" s="3" t="s">
        <v>2743</v>
      </c>
      <c r="G427" s="3" t="s">
        <v>2722</v>
      </c>
      <c r="H427" s="3" t="s">
        <v>2758</v>
      </c>
      <c r="I427" s="3" t="s">
        <v>2712</v>
      </c>
      <c r="J427" s="3" t="s">
        <v>2694</v>
      </c>
      <c r="K427" s="3" t="s">
        <v>2695</v>
      </c>
    </row>
    <row r="428" customFormat="false" ht="15" hidden="false" customHeight="true" outlineLevel="0" collapsed="false">
      <c r="A428" s="3" t="s">
        <v>1299</v>
      </c>
      <c r="B428" s="3" t="s">
        <v>2704</v>
      </c>
      <c r="C428" s="3" t="s">
        <v>2731</v>
      </c>
      <c r="D428" s="3" t="s">
        <v>2741</v>
      </c>
      <c r="E428" s="3" t="s">
        <v>2782</v>
      </c>
      <c r="F428" s="3" t="s">
        <v>2783</v>
      </c>
      <c r="G428" s="3" t="s">
        <v>2691</v>
      </c>
      <c r="H428" s="3" t="s">
        <v>2730</v>
      </c>
      <c r="I428" s="3" t="s">
        <v>2706</v>
      </c>
      <c r="J428" s="3" t="s">
        <v>2734</v>
      </c>
      <c r="K428" s="3" t="s">
        <v>2718</v>
      </c>
    </row>
    <row r="429" customFormat="false" ht="15" hidden="false" customHeight="true" outlineLevel="0" collapsed="false">
      <c r="A429" s="3" t="s">
        <v>1302</v>
      </c>
      <c r="B429" s="3" t="s">
        <v>2728</v>
      </c>
      <c r="C429" s="3" t="s">
        <v>2687</v>
      </c>
      <c r="D429" s="3" t="s">
        <v>2741</v>
      </c>
      <c r="E429" s="3" t="s">
        <v>2772</v>
      </c>
      <c r="F429" s="3" t="s">
        <v>2773</v>
      </c>
      <c r="G429" s="3" t="s">
        <v>2722</v>
      </c>
      <c r="H429" s="3" t="s">
        <v>2725</v>
      </c>
      <c r="I429" s="3" t="s">
        <v>2703</v>
      </c>
      <c r="J429" s="3" t="s">
        <v>2694</v>
      </c>
      <c r="K429" s="3" t="s">
        <v>2695</v>
      </c>
    </row>
    <row r="430" customFormat="false" ht="15" hidden="false" customHeight="true" outlineLevel="0" collapsed="false">
      <c r="A430" s="3" t="s">
        <v>1305</v>
      </c>
      <c r="B430" s="3" t="s">
        <v>2704</v>
      </c>
      <c r="C430" s="3" t="s">
        <v>2729</v>
      </c>
      <c r="D430" s="3" t="s">
        <v>2768</v>
      </c>
      <c r="E430" s="3" t="s">
        <v>2770</v>
      </c>
      <c r="F430" s="3" t="s">
        <v>2771</v>
      </c>
      <c r="G430" s="3" t="s">
        <v>2722</v>
      </c>
      <c r="H430" s="3" t="s">
        <v>2723</v>
      </c>
      <c r="I430" s="3" t="s">
        <v>2769</v>
      </c>
      <c r="J430" s="3" t="s">
        <v>2694</v>
      </c>
      <c r="K430" s="3" t="s">
        <v>2695</v>
      </c>
    </row>
    <row r="431" customFormat="false" ht="15" hidden="false" customHeight="true" outlineLevel="0" collapsed="false">
      <c r="A431" s="3" t="s">
        <v>1308</v>
      </c>
      <c r="B431" s="3" t="s">
        <v>2686</v>
      </c>
      <c r="C431" s="3" t="s">
        <v>2697</v>
      </c>
      <c r="D431" s="3" t="s">
        <v>2698</v>
      </c>
      <c r="E431" s="3" t="s">
        <v>2732</v>
      </c>
      <c r="F431" s="3" t="s">
        <v>2733</v>
      </c>
      <c r="G431" s="3" t="s">
        <v>2722</v>
      </c>
      <c r="H431" s="3" t="s">
        <v>2758</v>
      </c>
      <c r="I431" s="3" t="s">
        <v>2703</v>
      </c>
      <c r="J431" s="3" t="s">
        <v>2738</v>
      </c>
      <c r="K431" s="3" t="s">
        <v>2718</v>
      </c>
    </row>
    <row r="432" customFormat="false" ht="15" hidden="false" customHeight="true" outlineLevel="0" collapsed="false">
      <c r="A432" s="3" t="s">
        <v>1311</v>
      </c>
      <c r="B432" s="3" t="s">
        <v>2724</v>
      </c>
      <c r="C432" s="3" t="s">
        <v>2731</v>
      </c>
      <c r="D432" s="3" t="s">
        <v>2741</v>
      </c>
      <c r="E432" s="3" t="s">
        <v>2689</v>
      </c>
      <c r="F432" s="3" t="s">
        <v>2690</v>
      </c>
      <c r="G432" s="3" t="s">
        <v>2722</v>
      </c>
      <c r="H432" s="3" t="s">
        <v>2725</v>
      </c>
      <c r="I432" s="3" t="s">
        <v>2703</v>
      </c>
      <c r="J432" s="3" t="s">
        <v>2694</v>
      </c>
      <c r="K432" s="3" t="s">
        <v>2695</v>
      </c>
    </row>
    <row r="433" customFormat="false" ht="15" hidden="false" customHeight="true" outlineLevel="0" collapsed="false">
      <c r="A433" s="3" t="s">
        <v>1314</v>
      </c>
      <c r="B433" s="3" t="s">
        <v>2724</v>
      </c>
      <c r="C433" s="3" t="s">
        <v>2697</v>
      </c>
      <c r="D433" s="3" t="s">
        <v>2741</v>
      </c>
      <c r="E433" s="3" t="s">
        <v>2772</v>
      </c>
      <c r="F433" s="3" t="s">
        <v>2773</v>
      </c>
      <c r="G433" s="3" t="s">
        <v>2818</v>
      </c>
      <c r="H433" s="3" t="s">
        <v>2692</v>
      </c>
      <c r="I433" s="3" t="s">
        <v>2693</v>
      </c>
      <c r="J433" s="3" t="s">
        <v>2694</v>
      </c>
      <c r="K433" s="3" t="s">
        <v>2695</v>
      </c>
    </row>
    <row r="434" customFormat="false" ht="15" hidden="false" customHeight="true" outlineLevel="0" collapsed="false">
      <c r="A434" s="3" t="s">
        <v>1317</v>
      </c>
      <c r="B434" s="3" t="s">
        <v>2686</v>
      </c>
      <c r="C434" s="3" t="s">
        <v>2731</v>
      </c>
      <c r="D434" s="3" t="s">
        <v>2714</v>
      </c>
      <c r="E434" s="3" t="s">
        <v>2766</v>
      </c>
      <c r="F434" s="3" t="s">
        <v>2767</v>
      </c>
      <c r="G434" s="3" t="s">
        <v>2722</v>
      </c>
      <c r="H434" s="3" t="s">
        <v>2779</v>
      </c>
      <c r="I434" s="3" t="s">
        <v>2703</v>
      </c>
      <c r="J434" s="3" t="s">
        <v>2694</v>
      </c>
      <c r="K434" s="3" t="s">
        <v>2695</v>
      </c>
    </row>
    <row r="435" customFormat="false" ht="15" hidden="false" customHeight="true" outlineLevel="0" collapsed="false">
      <c r="A435" s="3" t="s">
        <v>1320</v>
      </c>
      <c r="B435" s="3" t="s">
        <v>2739</v>
      </c>
      <c r="C435" s="3" t="s">
        <v>2697</v>
      </c>
      <c r="D435" s="3" t="s">
        <v>2714</v>
      </c>
      <c r="E435" s="3" t="s">
        <v>2715</v>
      </c>
      <c r="F435" s="3" t="s">
        <v>2716</v>
      </c>
      <c r="G435" s="3" t="s">
        <v>2701</v>
      </c>
      <c r="H435" s="3" t="s">
        <v>2754</v>
      </c>
      <c r="I435" s="3" t="s">
        <v>2712</v>
      </c>
      <c r="J435" s="3" t="s">
        <v>2694</v>
      </c>
      <c r="K435" s="3" t="s">
        <v>2695</v>
      </c>
    </row>
    <row r="436" customFormat="false" ht="15" hidden="false" customHeight="true" outlineLevel="0" collapsed="false">
      <c r="A436" s="3" t="s">
        <v>1323</v>
      </c>
      <c r="B436" s="3" t="s">
        <v>2739</v>
      </c>
      <c r="C436" s="3" t="s">
        <v>2729</v>
      </c>
      <c r="D436" s="3" t="s">
        <v>2708</v>
      </c>
      <c r="E436" s="3" t="s">
        <v>2764</v>
      </c>
      <c r="F436" s="3" t="s">
        <v>2765</v>
      </c>
      <c r="G436" s="3" t="s">
        <v>2691</v>
      </c>
      <c r="H436" s="3" t="s">
        <v>2705</v>
      </c>
      <c r="I436" s="3" t="s">
        <v>2693</v>
      </c>
      <c r="J436" s="3" t="s">
        <v>2734</v>
      </c>
      <c r="K436" s="3" t="s">
        <v>2735</v>
      </c>
    </row>
    <row r="437" customFormat="false" ht="15" hidden="false" customHeight="true" outlineLevel="0" collapsed="false">
      <c r="A437" s="3" t="s">
        <v>1326</v>
      </c>
      <c r="B437" s="3" t="s">
        <v>2696</v>
      </c>
      <c r="C437" s="3" t="s">
        <v>2731</v>
      </c>
      <c r="D437" s="3" t="s">
        <v>2741</v>
      </c>
      <c r="E437" s="3" t="s">
        <v>2747</v>
      </c>
      <c r="F437" s="3" t="s">
        <v>2748</v>
      </c>
      <c r="G437" s="3" t="s">
        <v>2722</v>
      </c>
      <c r="H437" s="3" t="s">
        <v>2723</v>
      </c>
      <c r="I437" s="3" t="s">
        <v>2693</v>
      </c>
      <c r="J437" s="3" t="s">
        <v>2694</v>
      </c>
      <c r="K437" s="3" t="s">
        <v>2695</v>
      </c>
    </row>
    <row r="438" customFormat="false" ht="15" hidden="false" customHeight="true" outlineLevel="0" collapsed="false">
      <c r="A438" s="3" t="s">
        <v>1329</v>
      </c>
      <c r="B438" s="3" t="s">
        <v>2778</v>
      </c>
      <c r="C438" s="3" t="s">
        <v>2731</v>
      </c>
      <c r="D438" s="3" t="s">
        <v>2741</v>
      </c>
      <c r="E438" s="3" t="s">
        <v>2782</v>
      </c>
      <c r="F438" s="3" t="s">
        <v>2783</v>
      </c>
      <c r="G438" s="3" t="s">
        <v>2722</v>
      </c>
      <c r="H438" s="3" t="s">
        <v>2779</v>
      </c>
      <c r="I438" s="3" t="s">
        <v>2712</v>
      </c>
      <c r="J438" s="3" t="s">
        <v>2694</v>
      </c>
      <c r="K438" s="3" t="s">
        <v>2718</v>
      </c>
    </row>
    <row r="439" customFormat="false" ht="15" hidden="false" customHeight="true" outlineLevel="0" collapsed="false">
      <c r="A439" s="3" t="s">
        <v>1332</v>
      </c>
      <c r="B439" s="3" t="s">
        <v>2724</v>
      </c>
      <c r="C439" s="3" t="s">
        <v>2687</v>
      </c>
      <c r="D439" s="3" t="s">
        <v>2708</v>
      </c>
      <c r="E439" s="3" t="s">
        <v>2764</v>
      </c>
      <c r="F439" s="3" t="s">
        <v>2765</v>
      </c>
      <c r="G439" s="3" t="s">
        <v>2701</v>
      </c>
      <c r="H439" s="3" t="s">
        <v>2711</v>
      </c>
      <c r="I439" s="3" t="s">
        <v>2703</v>
      </c>
      <c r="J439" s="3" t="s">
        <v>2694</v>
      </c>
      <c r="K439" s="3" t="s">
        <v>2735</v>
      </c>
    </row>
    <row r="440" customFormat="false" ht="15" hidden="false" customHeight="true" outlineLevel="0" collapsed="false">
      <c r="A440" s="3" t="s">
        <v>1335</v>
      </c>
      <c r="B440" s="3" t="s">
        <v>2728</v>
      </c>
      <c r="C440" s="3" t="s">
        <v>2697</v>
      </c>
      <c r="D440" s="3" t="s">
        <v>2708</v>
      </c>
      <c r="E440" s="3" t="s">
        <v>2764</v>
      </c>
      <c r="F440" s="3" t="s">
        <v>2765</v>
      </c>
      <c r="G440" s="3" t="s">
        <v>2722</v>
      </c>
      <c r="H440" s="3" t="s">
        <v>2819</v>
      </c>
      <c r="I440" s="3" t="s">
        <v>2703</v>
      </c>
      <c r="J440" s="3" t="s">
        <v>2753</v>
      </c>
      <c r="K440" s="3" t="s">
        <v>2735</v>
      </c>
    </row>
    <row r="441" customFormat="false" ht="15" hidden="false" customHeight="true" outlineLevel="0" collapsed="false">
      <c r="A441" s="3" t="s">
        <v>1338</v>
      </c>
      <c r="B441" s="3" t="s">
        <v>2724</v>
      </c>
      <c r="C441" s="3" t="s">
        <v>2729</v>
      </c>
      <c r="D441" s="3" t="s">
        <v>2698</v>
      </c>
      <c r="E441" s="3" t="s">
        <v>2770</v>
      </c>
      <c r="F441" s="3" t="s">
        <v>2771</v>
      </c>
      <c r="G441" s="3" t="s">
        <v>2722</v>
      </c>
      <c r="H441" s="3" t="s">
        <v>2758</v>
      </c>
      <c r="I441" s="3" t="s">
        <v>2712</v>
      </c>
      <c r="J441" s="3" t="s">
        <v>2694</v>
      </c>
      <c r="K441" s="3" t="s">
        <v>2695</v>
      </c>
    </row>
    <row r="442" customFormat="false" ht="15" hidden="false" customHeight="true" outlineLevel="0" collapsed="false">
      <c r="A442" s="3" t="s">
        <v>1341</v>
      </c>
      <c r="B442" s="3" t="s">
        <v>2745</v>
      </c>
      <c r="C442" s="3" t="s">
        <v>2731</v>
      </c>
      <c r="D442" s="3" t="s">
        <v>2714</v>
      </c>
      <c r="E442" s="3" t="s">
        <v>2766</v>
      </c>
      <c r="F442" s="3" t="s">
        <v>2767</v>
      </c>
      <c r="G442" s="3" t="s">
        <v>2691</v>
      </c>
      <c r="H442" s="3" t="s">
        <v>2744</v>
      </c>
      <c r="I442" s="3" t="s">
        <v>2703</v>
      </c>
      <c r="J442" s="3" t="s">
        <v>2734</v>
      </c>
      <c r="K442" s="3" t="s">
        <v>2735</v>
      </c>
    </row>
    <row r="443" customFormat="false" ht="15" hidden="false" customHeight="true" outlineLevel="0" collapsed="false">
      <c r="A443" s="3" t="s">
        <v>1344</v>
      </c>
      <c r="B443" s="3" t="s">
        <v>2719</v>
      </c>
      <c r="C443" s="3" t="s">
        <v>2729</v>
      </c>
      <c r="D443" s="3" t="s">
        <v>2698</v>
      </c>
      <c r="E443" s="3" t="s">
        <v>2699</v>
      </c>
      <c r="F443" s="3" t="s">
        <v>2700</v>
      </c>
      <c r="G443" s="3" t="s">
        <v>2722</v>
      </c>
      <c r="H443" s="3" t="s">
        <v>2779</v>
      </c>
      <c r="I443" s="3" t="s">
        <v>2693</v>
      </c>
      <c r="J443" s="3" t="s">
        <v>2694</v>
      </c>
      <c r="K443" s="3" t="s">
        <v>2695</v>
      </c>
    </row>
    <row r="444" customFormat="false" ht="15" hidden="false" customHeight="true" outlineLevel="0" collapsed="false">
      <c r="A444" s="3" t="s">
        <v>1346</v>
      </c>
      <c r="B444" s="3" t="s">
        <v>2686</v>
      </c>
      <c r="C444" s="3" t="s">
        <v>2687</v>
      </c>
      <c r="D444" s="3" t="s">
        <v>2698</v>
      </c>
      <c r="E444" s="3" t="s">
        <v>2750</v>
      </c>
      <c r="F444" s="3" t="s">
        <v>2751</v>
      </c>
      <c r="G444" s="3" t="s">
        <v>2701</v>
      </c>
      <c r="H444" s="3" t="s">
        <v>2754</v>
      </c>
      <c r="I444" s="3" t="s">
        <v>2712</v>
      </c>
      <c r="J444" s="3" t="s">
        <v>2694</v>
      </c>
      <c r="K444" s="3" t="s">
        <v>2718</v>
      </c>
    </row>
    <row r="445" customFormat="false" ht="15" hidden="false" customHeight="true" outlineLevel="0" collapsed="false">
      <c r="A445" s="3" t="s">
        <v>1349</v>
      </c>
      <c r="B445" s="3" t="s">
        <v>2745</v>
      </c>
      <c r="C445" s="3" t="s">
        <v>2687</v>
      </c>
      <c r="D445" s="3" t="s">
        <v>2698</v>
      </c>
      <c r="E445" s="3" t="s">
        <v>2770</v>
      </c>
      <c r="F445" s="3" t="s">
        <v>2771</v>
      </c>
      <c r="G445" s="3" t="s">
        <v>2701</v>
      </c>
      <c r="H445" s="3" t="s">
        <v>2702</v>
      </c>
      <c r="I445" s="3" t="s">
        <v>2706</v>
      </c>
      <c r="J445" s="3" t="s">
        <v>2694</v>
      </c>
      <c r="K445" s="3" t="s">
        <v>2695</v>
      </c>
    </row>
    <row r="446" customFormat="false" ht="15" hidden="false" customHeight="true" outlineLevel="0" collapsed="false">
      <c r="A446" s="3" t="s">
        <v>1352</v>
      </c>
      <c r="B446" s="3" t="s">
        <v>2749</v>
      </c>
      <c r="C446" s="3" t="s">
        <v>2731</v>
      </c>
      <c r="D446" s="3" t="s">
        <v>2698</v>
      </c>
      <c r="E446" s="3" t="s">
        <v>2699</v>
      </c>
      <c r="F446" s="3" t="s">
        <v>2700</v>
      </c>
      <c r="G446" s="3" t="s">
        <v>2701</v>
      </c>
      <c r="H446" s="3" t="s">
        <v>2711</v>
      </c>
      <c r="I446" s="3" t="s">
        <v>2706</v>
      </c>
      <c r="J446" s="3" t="s">
        <v>2694</v>
      </c>
      <c r="K446" s="3" t="s">
        <v>2695</v>
      </c>
    </row>
    <row r="447" customFormat="false" ht="15" hidden="false" customHeight="true" outlineLevel="0" collapsed="false">
      <c r="A447" s="3" t="s">
        <v>1355</v>
      </c>
      <c r="B447" s="3" t="s">
        <v>2713</v>
      </c>
      <c r="C447" s="3" t="s">
        <v>2687</v>
      </c>
      <c r="D447" s="3" t="s">
        <v>2698</v>
      </c>
      <c r="E447" s="3" t="s">
        <v>2756</v>
      </c>
      <c r="F447" s="3" t="s">
        <v>2757</v>
      </c>
      <c r="G447" s="3" t="s">
        <v>2722</v>
      </c>
      <c r="H447" s="3" t="s">
        <v>2723</v>
      </c>
      <c r="I447" s="3" t="s">
        <v>2703</v>
      </c>
      <c r="J447" s="3" t="s">
        <v>2694</v>
      </c>
      <c r="K447" s="3" t="s">
        <v>2695</v>
      </c>
    </row>
    <row r="448" customFormat="false" ht="15" hidden="false" customHeight="true" outlineLevel="0" collapsed="false">
      <c r="A448" s="3" t="s">
        <v>1358</v>
      </c>
      <c r="B448" s="3" t="s">
        <v>2707</v>
      </c>
      <c r="C448" s="3" t="s">
        <v>2687</v>
      </c>
      <c r="D448" s="3" t="s">
        <v>2698</v>
      </c>
      <c r="E448" s="3" t="s">
        <v>2756</v>
      </c>
      <c r="F448" s="3" t="s">
        <v>2757</v>
      </c>
      <c r="G448" s="3" t="s">
        <v>2701</v>
      </c>
      <c r="H448" s="3" t="s">
        <v>2754</v>
      </c>
      <c r="I448" s="3" t="s">
        <v>2703</v>
      </c>
      <c r="J448" s="3" t="s">
        <v>2694</v>
      </c>
      <c r="K448" s="3" t="s">
        <v>2695</v>
      </c>
    </row>
    <row r="449" customFormat="false" ht="15" hidden="false" customHeight="true" outlineLevel="0" collapsed="false">
      <c r="A449" s="3" t="s">
        <v>1361</v>
      </c>
      <c r="B449" s="3" t="s">
        <v>2746</v>
      </c>
      <c r="C449" s="3" t="s">
        <v>2731</v>
      </c>
      <c r="D449" s="3" t="s">
        <v>2708</v>
      </c>
      <c r="E449" s="3" t="s">
        <v>2726</v>
      </c>
      <c r="F449" s="3" t="s">
        <v>2727</v>
      </c>
      <c r="G449" s="3" t="s">
        <v>2691</v>
      </c>
      <c r="H449" s="3" t="s">
        <v>2744</v>
      </c>
      <c r="I449" s="3" t="s">
        <v>2703</v>
      </c>
      <c r="J449" s="3" t="s">
        <v>2694</v>
      </c>
      <c r="K449" s="3" t="s">
        <v>2695</v>
      </c>
    </row>
    <row r="450" customFormat="false" ht="15" hidden="false" customHeight="true" outlineLevel="0" collapsed="false">
      <c r="A450" s="3" t="s">
        <v>1364</v>
      </c>
      <c r="B450" s="3" t="s">
        <v>2749</v>
      </c>
      <c r="C450" s="3" t="s">
        <v>2731</v>
      </c>
      <c r="D450" s="3" t="s">
        <v>2708</v>
      </c>
      <c r="E450" s="3" t="s">
        <v>2709</v>
      </c>
      <c r="F450" s="3" t="s">
        <v>2710</v>
      </c>
      <c r="G450" s="3" t="s">
        <v>2701</v>
      </c>
      <c r="H450" s="3" t="s">
        <v>2754</v>
      </c>
      <c r="I450" s="3" t="s">
        <v>2712</v>
      </c>
      <c r="J450" s="3" t="s">
        <v>2738</v>
      </c>
      <c r="K450" s="3" t="s">
        <v>2735</v>
      </c>
    </row>
    <row r="451" customFormat="false" ht="15" hidden="false" customHeight="true" outlineLevel="0" collapsed="false">
      <c r="A451" s="3" t="s">
        <v>1367</v>
      </c>
      <c r="B451" s="3" t="s">
        <v>2696</v>
      </c>
      <c r="C451" s="3" t="s">
        <v>2697</v>
      </c>
      <c r="D451" s="3" t="s">
        <v>2708</v>
      </c>
      <c r="E451" s="3" t="s">
        <v>2726</v>
      </c>
      <c r="F451" s="3" t="s">
        <v>2727</v>
      </c>
      <c r="G451" s="3" t="s">
        <v>2701</v>
      </c>
      <c r="H451" s="3" t="s">
        <v>2717</v>
      </c>
      <c r="I451" s="3" t="s">
        <v>2706</v>
      </c>
      <c r="J451" s="3" t="s">
        <v>2694</v>
      </c>
      <c r="K451" s="3" t="s">
        <v>2695</v>
      </c>
    </row>
    <row r="452" customFormat="false" ht="15" hidden="false" customHeight="true" outlineLevel="0" collapsed="false">
      <c r="A452" s="3" t="s">
        <v>1370</v>
      </c>
      <c r="B452" s="3" t="s">
        <v>2728</v>
      </c>
      <c r="C452" s="3" t="s">
        <v>2729</v>
      </c>
      <c r="D452" s="3" t="s">
        <v>2698</v>
      </c>
      <c r="E452" s="3" t="s">
        <v>2756</v>
      </c>
      <c r="F452" s="3" t="s">
        <v>2757</v>
      </c>
      <c r="G452" s="3" t="s">
        <v>2722</v>
      </c>
      <c r="H452" s="3" t="s">
        <v>2779</v>
      </c>
      <c r="I452" s="3" t="s">
        <v>2693</v>
      </c>
      <c r="J452" s="3" t="s">
        <v>2694</v>
      </c>
      <c r="K452" s="3" t="s">
        <v>2695</v>
      </c>
    </row>
    <row r="453" customFormat="false" ht="15" hidden="false" customHeight="true" outlineLevel="0" collapsed="false">
      <c r="A453" s="3" t="s">
        <v>1372</v>
      </c>
      <c r="B453" s="3" t="s">
        <v>2713</v>
      </c>
      <c r="C453" s="3" t="s">
        <v>2729</v>
      </c>
      <c r="D453" s="3" t="s">
        <v>2741</v>
      </c>
      <c r="E453" s="3" t="s">
        <v>2782</v>
      </c>
      <c r="F453" s="3" t="s">
        <v>2783</v>
      </c>
      <c r="G453" s="3" t="s">
        <v>2701</v>
      </c>
      <c r="H453" s="3" t="s">
        <v>2717</v>
      </c>
      <c r="I453" s="3" t="s">
        <v>2712</v>
      </c>
      <c r="J453" s="3" t="s">
        <v>2694</v>
      </c>
      <c r="K453" s="3" t="s">
        <v>2695</v>
      </c>
    </row>
    <row r="454" customFormat="false" ht="15" hidden="false" customHeight="true" outlineLevel="0" collapsed="false">
      <c r="A454" s="3" t="s">
        <v>1375</v>
      </c>
      <c r="B454" s="3" t="s">
        <v>2749</v>
      </c>
      <c r="C454" s="3" t="s">
        <v>2697</v>
      </c>
      <c r="D454" s="3" t="s">
        <v>2741</v>
      </c>
      <c r="E454" s="3" t="s">
        <v>2772</v>
      </c>
      <c r="F454" s="3" t="s">
        <v>2773</v>
      </c>
      <c r="G454" s="3" t="s">
        <v>2691</v>
      </c>
      <c r="H454" s="3" t="s">
        <v>2692</v>
      </c>
      <c r="I454" s="3" t="s">
        <v>2693</v>
      </c>
      <c r="J454" s="3" t="s">
        <v>2694</v>
      </c>
      <c r="K454" s="3" t="s">
        <v>2718</v>
      </c>
    </row>
    <row r="455" customFormat="false" ht="15" hidden="false" customHeight="true" outlineLevel="0" collapsed="false">
      <c r="A455" s="3" t="s">
        <v>1378</v>
      </c>
      <c r="B455" s="3" t="s">
        <v>2755</v>
      </c>
      <c r="C455" s="3" t="s">
        <v>2731</v>
      </c>
      <c r="D455" s="3" t="s">
        <v>2698</v>
      </c>
      <c r="E455" s="3" t="s">
        <v>2770</v>
      </c>
      <c r="F455" s="3" t="s">
        <v>2771</v>
      </c>
      <c r="G455" s="3" t="s">
        <v>2722</v>
      </c>
      <c r="H455" s="3" t="s">
        <v>2723</v>
      </c>
      <c r="I455" s="3" t="s">
        <v>2693</v>
      </c>
      <c r="J455" s="3" t="s">
        <v>2694</v>
      </c>
      <c r="K455" s="3" t="s">
        <v>2695</v>
      </c>
    </row>
    <row r="456" customFormat="false" ht="15" hidden="false" customHeight="true" outlineLevel="0" collapsed="false">
      <c r="A456" s="3" t="s">
        <v>1381</v>
      </c>
      <c r="B456" s="3" t="s">
        <v>2749</v>
      </c>
      <c r="C456" s="3" t="s">
        <v>2780</v>
      </c>
      <c r="D456" s="3" t="s">
        <v>2714</v>
      </c>
      <c r="E456" s="3" t="s">
        <v>2720</v>
      </c>
      <c r="F456" s="3" t="s">
        <v>2721</v>
      </c>
      <c r="G456" s="3" t="s">
        <v>2691</v>
      </c>
      <c r="H456" s="3" t="s">
        <v>2730</v>
      </c>
      <c r="I456" s="3" t="s">
        <v>2703</v>
      </c>
      <c r="J456" s="3" t="s">
        <v>2694</v>
      </c>
      <c r="K456" s="3" t="s">
        <v>2695</v>
      </c>
    </row>
    <row r="457" customFormat="false" ht="15" hidden="false" customHeight="true" outlineLevel="0" collapsed="false">
      <c r="A457" s="3" t="s">
        <v>1384</v>
      </c>
      <c r="B457" s="3" t="s">
        <v>2719</v>
      </c>
      <c r="C457" s="3" t="s">
        <v>2697</v>
      </c>
      <c r="D457" s="3" t="s">
        <v>2741</v>
      </c>
      <c r="E457" s="3" t="s">
        <v>2689</v>
      </c>
      <c r="F457" s="3" t="s">
        <v>2690</v>
      </c>
      <c r="G457" s="3" t="s">
        <v>2701</v>
      </c>
      <c r="H457" s="3" t="s">
        <v>2711</v>
      </c>
      <c r="I457" s="3" t="s">
        <v>2712</v>
      </c>
      <c r="J457" s="3" t="s">
        <v>2694</v>
      </c>
      <c r="K457" s="3" t="s">
        <v>2695</v>
      </c>
    </row>
    <row r="458" customFormat="false" ht="15" hidden="false" customHeight="true" outlineLevel="0" collapsed="false">
      <c r="A458" s="3" t="s">
        <v>1387</v>
      </c>
      <c r="B458" s="3" t="s">
        <v>2724</v>
      </c>
      <c r="C458" s="3" t="s">
        <v>2697</v>
      </c>
      <c r="D458" s="3" t="s">
        <v>2708</v>
      </c>
      <c r="E458" s="3" t="s">
        <v>2709</v>
      </c>
      <c r="F458" s="3" t="s">
        <v>2710</v>
      </c>
      <c r="G458" s="3" t="s">
        <v>2691</v>
      </c>
      <c r="H458" s="3" t="s">
        <v>2705</v>
      </c>
      <c r="I458" s="3" t="s">
        <v>2712</v>
      </c>
      <c r="J458" s="3" t="s">
        <v>2694</v>
      </c>
      <c r="K458" s="3" t="s">
        <v>2695</v>
      </c>
    </row>
    <row r="459" customFormat="false" ht="15" hidden="false" customHeight="true" outlineLevel="0" collapsed="false">
      <c r="A459" s="3" t="s">
        <v>1390</v>
      </c>
      <c r="B459" s="3" t="s">
        <v>2724</v>
      </c>
      <c r="C459" s="3" t="s">
        <v>2729</v>
      </c>
      <c r="D459" s="3" t="s">
        <v>2741</v>
      </c>
      <c r="E459" s="3" t="s">
        <v>2747</v>
      </c>
      <c r="F459" s="3" t="s">
        <v>2748</v>
      </c>
      <c r="G459" s="3" t="s">
        <v>2722</v>
      </c>
      <c r="H459" s="3" t="s">
        <v>2723</v>
      </c>
      <c r="I459" s="3" t="s">
        <v>2703</v>
      </c>
      <c r="J459" s="3" t="s">
        <v>2694</v>
      </c>
      <c r="K459" s="3" t="s">
        <v>2735</v>
      </c>
    </row>
    <row r="460" customFormat="false" ht="15" hidden="false" customHeight="true" outlineLevel="0" collapsed="false">
      <c r="A460" s="3" t="s">
        <v>1393</v>
      </c>
      <c r="B460" s="3" t="s">
        <v>2696</v>
      </c>
      <c r="C460" s="3" t="s">
        <v>2697</v>
      </c>
      <c r="D460" s="3" t="s">
        <v>2714</v>
      </c>
      <c r="E460" s="3" t="s">
        <v>2766</v>
      </c>
      <c r="F460" s="3" t="s">
        <v>2767</v>
      </c>
      <c r="G460" s="3" t="s">
        <v>2701</v>
      </c>
      <c r="H460" s="3" t="s">
        <v>2702</v>
      </c>
      <c r="I460" s="3" t="s">
        <v>2712</v>
      </c>
      <c r="J460" s="3" t="s">
        <v>2694</v>
      </c>
      <c r="K460" s="3" t="s">
        <v>2695</v>
      </c>
    </row>
    <row r="461" customFormat="false" ht="15" hidden="false" customHeight="true" outlineLevel="0" collapsed="false">
      <c r="A461" s="3" t="s">
        <v>1396</v>
      </c>
      <c r="B461" s="3" t="s">
        <v>2686</v>
      </c>
      <c r="C461" s="3" t="s">
        <v>2729</v>
      </c>
      <c r="D461" s="3" t="s">
        <v>2741</v>
      </c>
      <c r="E461" s="3" t="s">
        <v>2689</v>
      </c>
      <c r="F461" s="3" t="s">
        <v>2690</v>
      </c>
      <c r="G461" s="3" t="s">
        <v>2722</v>
      </c>
      <c r="H461" s="3" t="s">
        <v>2758</v>
      </c>
      <c r="I461" s="3" t="s">
        <v>2693</v>
      </c>
      <c r="J461" s="3" t="s">
        <v>2694</v>
      </c>
      <c r="K461" s="3" t="s">
        <v>2695</v>
      </c>
    </row>
    <row r="462" customFormat="false" ht="15" hidden="false" customHeight="true" outlineLevel="0" collapsed="false">
      <c r="A462" s="3" t="s">
        <v>1399</v>
      </c>
      <c r="B462" s="3" t="s">
        <v>2713</v>
      </c>
      <c r="C462" s="3" t="s">
        <v>2731</v>
      </c>
      <c r="D462" s="3" t="s">
        <v>2714</v>
      </c>
      <c r="E462" s="3" t="s">
        <v>2766</v>
      </c>
      <c r="F462" s="3" t="s">
        <v>2767</v>
      </c>
      <c r="G462" s="3" t="s">
        <v>2691</v>
      </c>
      <c r="H462" s="3" t="s">
        <v>2692</v>
      </c>
      <c r="I462" s="3" t="s">
        <v>2706</v>
      </c>
      <c r="J462" s="3" t="s">
        <v>2694</v>
      </c>
      <c r="K462" s="3" t="s">
        <v>2695</v>
      </c>
    </row>
    <row r="463" customFormat="false" ht="15" hidden="false" customHeight="true" outlineLevel="0" collapsed="false">
      <c r="A463" s="3" t="s">
        <v>1402</v>
      </c>
      <c r="B463" s="3" t="s">
        <v>2745</v>
      </c>
      <c r="C463" s="3" t="s">
        <v>2729</v>
      </c>
      <c r="D463" s="3" t="s">
        <v>2768</v>
      </c>
      <c r="E463" s="3" t="s">
        <v>2689</v>
      </c>
      <c r="F463" s="3" t="s">
        <v>2690</v>
      </c>
      <c r="G463" s="3" t="s">
        <v>2722</v>
      </c>
      <c r="H463" s="3" t="s">
        <v>2725</v>
      </c>
      <c r="I463" s="3" t="s">
        <v>2693</v>
      </c>
      <c r="J463" s="3" t="s">
        <v>2694</v>
      </c>
      <c r="K463" s="3" t="s">
        <v>2695</v>
      </c>
    </row>
    <row r="464" customFormat="false" ht="15" hidden="false" customHeight="true" outlineLevel="0" collapsed="false">
      <c r="A464" s="3" t="s">
        <v>1405</v>
      </c>
      <c r="B464" s="3" t="s">
        <v>2724</v>
      </c>
      <c r="C464" s="3" t="s">
        <v>2729</v>
      </c>
      <c r="D464" s="3" t="s">
        <v>2708</v>
      </c>
      <c r="E464" s="3" t="s">
        <v>2726</v>
      </c>
      <c r="F464" s="3" t="s">
        <v>2727</v>
      </c>
      <c r="G464" s="3" t="s">
        <v>2691</v>
      </c>
      <c r="H464" s="3" t="s">
        <v>2692</v>
      </c>
      <c r="I464" s="3" t="s">
        <v>2712</v>
      </c>
      <c r="J464" s="3" t="s">
        <v>2694</v>
      </c>
      <c r="K464" s="3" t="s">
        <v>2695</v>
      </c>
    </row>
    <row r="465" customFormat="false" ht="15" hidden="false" customHeight="true" outlineLevel="0" collapsed="false">
      <c r="A465" s="3" t="s">
        <v>1408</v>
      </c>
      <c r="B465" s="3" t="s">
        <v>2745</v>
      </c>
      <c r="C465" s="3" t="s">
        <v>2731</v>
      </c>
      <c r="D465" s="3" t="s">
        <v>2741</v>
      </c>
      <c r="E465" s="3" t="s">
        <v>2782</v>
      </c>
      <c r="F465" s="3" t="s">
        <v>2783</v>
      </c>
      <c r="G465" s="3" t="s">
        <v>2691</v>
      </c>
      <c r="H465" s="3" t="s">
        <v>2752</v>
      </c>
      <c r="I465" s="3" t="s">
        <v>2706</v>
      </c>
      <c r="J465" s="3" t="s">
        <v>2694</v>
      </c>
      <c r="K465" s="3" t="s">
        <v>2695</v>
      </c>
    </row>
    <row r="466" customFormat="false" ht="15" hidden="false" customHeight="true" outlineLevel="0" collapsed="false">
      <c r="A466" s="3" t="s">
        <v>1411</v>
      </c>
      <c r="B466" s="3" t="s">
        <v>2707</v>
      </c>
      <c r="C466" s="3" t="s">
        <v>2729</v>
      </c>
      <c r="D466" s="3" t="s">
        <v>2714</v>
      </c>
      <c r="E466" s="3" t="s">
        <v>2720</v>
      </c>
      <c r="F466" s="3" t="s">
        <v>2721</v>
      </c>
      <c r="G466" s="3" t="s">
        <v>2722</v>
      </c>
      <c r="H466" s="3" t="s">
        <v>2758</v>
      </c>
      <c r="I466" s="3" t="s">
        <v>2712</v>
      </c>
      <c r="J466" s="3" t="s">
        <v>2694</v>
      </c>
      <c r="K466" s="3" t="s">
        <v>2695</v>
      </c>
    </row>
    <row r="467" customFormat="false" ht="15" hidden="false" customHeight="true" outlineLevel="0" collapsed="false">
      <c r="A467" s="3" t="s">
        <v>1414</v>
      </c>
      <c r="B467" s="3" t="s">
        <v>2707</v>
      </c>
      <c r="C467" s="3" t="s">
        <v>2729</v>
      </c>
      <c r="D467" s="3" t="s">
        <v>2698</v>
      </c>
      <c r="E467" s="3" t="s">
        <v>2750</v>
      </c>
      <c r="F467" s="3" t="s">
        <v>2751</v>
      </c>
      <c r="G467" s="3" t="s">
        <v>2691</v>
      </c>
      <c r="H467" s="3" t="s">
        <v>2692</v>
      </c>
      <c r="I467" s="3" t="s">
        <v>2703</v>
      </c>
      <c r="J467" s="3" t="s">
        <v>2738</v>
      </c>
      <c r="K467" s="3" t="s">
        <v>2718</v>
      </c>
    </row>
    <row r="468" customFormat="false" ht="15" hidden="false" customHeight="true" outlineLevel="0" collapsed="false">
      <c r="A468" s="3" t="s">
        <v>1417</v>
      </c>
      <c r="B468" s="3" t="s">
        <v>2745</v>
      </c>
      <c r="C468" s="3" t="s">
        <v>2697</v>
      </c>
      <c r="D468" s="3" t="s">
        <v>2714</v>
      </c>
      <c r="E468" s="3" t="s">
        <v>2720</v>
      </c>
      <c r="F468" s="3" t="s">
        <v>2721</v>
      </c>
      <c r="G468" s="3" t="s">
        <v>2691</v>
      </c>
      <c r="H468" s="3" t="s">
        <v>2730</v>
      </c>
      <c r="I468" s="3" t="s">
        <v>2712</v>
      </c>
      <c r="J468" s="3" t="s">
        <v>2694</v>
      </c>
      <c r="K468" s="3" t="s">
        <v>2695</v>
      </c>
    </row>
    <row r="469" customFormat="false" ht="15" hidden="false" customHeight="true" outlineLevel="0" collapsed="false">
      <c r="A469" s="3" t="s">
        <v>1420</v>
      </c>
      <c r="B469" s="3" t="s">
        <v>2696</v>
      </c>
      <c r="C469" s="3" t="s">
        <v>2697</v>
      </c>
      <c r="D469" s="3" t="s">
        <v>2698</v>
      </c>
      <c r="E469" s="3" t="s">
        <v>2750</v>
      </c>
      <c r="F469" s="3" t="s">
        <v>2751</v>
      </c>
      <c r="G469" s="3" t="s">
        <v>2722</v>
      </c>
      <c r="H469" s="3" t="s">
        <v>2723</v>
      </c>
      <c r="I469" s="3" t="s">
        <v>2703</v>
      </c>
      <c r="J469" s="3" t="s">
        <v>2694</v>
      </c>
      <c r="K469" s="3" t="s">
        <v>2695</v>
      </c>
    </row>
    <row r="470" customFormat="false" ht="15" hidden="false" customHeight="true" outlineLevel="0" collapsed="false">
      <c r="A470" s="3" t="s">
        <v>1423</v>
      </c>
      <c r="B470" s="3" t="s">
        <v>2728</v>
      </c>
      <c r="C470" s="3" t="s">
        <v>2729</v>
      </c>
      <c r="D470" s="3" t="s">
        <v>2698</v>
      </c>
      <c r="E470" s="3" t="s">
        <v>2699</v>
      </c>
      <c r="F470" s="3" t="s">
        <v>2700</v>
      </c>
      <c r="G470" s="3" t="s">
        <v>2722</v>
      </c>
      <c r="H470" s="3" t="s">
        <v>2725</v>
      </c>
      <c r="I470" s="3" t="s">
        <v>2706</v>
      </c>
      <c r="J470" s="3" t="s">
        <v>2734</v>
      </c>
      <c r="K470" s="3" t="s">
        <v>2718</v>
      </c>
    </row>
    <row r="471" customFormat="false" ht="15" hidden="false" customHeight="true" outlineLevel="0" collapsed="false">
      <c r="A471" s="3" t="s">
        <v>1426</v>
      </c>
      <c r="B471" s="3" t="s">
        <v>2745</v>
      </c>
      <c r="C471" s="3" t="s">
        <v>2731</v>
      </c>
      <c r="D471" s="3" t="s">
        <v>2698</v>
      </c>
      <c r="E471" s="3" t="s">
        <v>2732</v>
      </c>
      <c r="F471" s="3" t="s">
        <v>2733</v>
      </c>
      <c r="G471" s="3" t="s">
        <v>2691</v>
      </c>
      <c r="H471" s="3" t="s">
        <v>2752</v>
      </c>
      <c r="I471" s="3" t="s">
        <v>2693</v>
      </c>
      <c r="J471" s="3" t="s">
        <v>2694</v>
      </c>
      <c r="K471" s="3" t="s">
        <v>2695</v>
      </c>
    </row>
    <row r="472" customFormat="false" ht="15" hidden="false" customHeight="true" outlineLevel="0" collapsed="false">
      <c r="A472" s="3" t="s">
        <v>1429</v>
      </c>
      <c r="B472" s="3" t="s">
        <v>2728</v>
      </c>
      <c r="C472" s="3" t="s">
        <v>2729</v>
      </c>
      <c r="D472" s="3" t="s">
        <v>2714</v>
      </c>
      <c r="E472" s="3" t="s">
        <v>2766</v>
      </c>
      <c r="F472" s="3" t="s">
        <v>2767</v>
      </c>
      <c r="G472" s="3" t="s">
        <v>2722</v>
      </c>
      <c r="H472" s="3" t="s">
        <v>2725</v>
      </c>
      <c r="I472" s="3" t="s">
        <v>2706</v>
      </c>
      <c r="J472" s="3" t="s">
        <v>2694</v>
      </c>
      <c r="K472" s="3" t="s">
        <v>2695</v>
      </c>
    </row>
    <row r="473" customFormat="false" ht="15" hidden="false" customHeight="true" outlineLevel="0" collapsed="false">
      <c r="A473" s="3" t="s">
        <v>1432</v>
      </c>
      <c r="B473" s="3" t="s">
        <v>2728</v>
      </c>
      <c r="C473" s="3" t="s">
        <v>2687</v>
      </c>
      <c r="D473" s="3" t="s">
        <v>2741</v>
      </c>
      <c r="E473" s="3" t="s">
        <v>2689</v>
      </c>
      <c r="F473" s="3" t="s">
        <v>2690</v>
      </c>
      <c r="G473" s="3" t="s">
        <v>2701</v>
      </c>
      <c r="H473" s="3" t="s">
        <v>2702</v>
      </c>
      <c r="I473" s="3" t="s">
        <v>2703</v>
      </c>
      <c r="J473" s="3" t="s">
        <v>2694</v>
      </c>
      <c r="K473" s="3" t="s">
        <v>2695</v>
      </c>
    </row>
    <row r="474" customFormat="false" ht="15" hidden="false" customHeight="true" outlineLevel="0" collapsed="false">
      <c r="A474" s="3" t="s">
        <v>1435</v>
      </c>
      <c r="B474" s="3" t="s">
        <v>2778</v>
      </c>
      <c r="C474" s="3" t="s">
        <v>2687</v>
      </c>
      <c r="D474" s="3" t="s">
        <v>2708</v>
      </c>
      <c r="E474" s="3" t="s">
        <v>2709</v>
      </c>
      <c r="F474" s="3" t="s">
        <v>2710</v>
      </c>
      <c r="G474" s="3" t="s">
        <v>2691</v>
      </c>
      <c r="H474" s="3" t="s">
        <v>2752</v>
      </c>
      <c r="I474" s="3" t="s">
        <v>2712</v>
      </c>
      <c r="J474" s="3" t="s">
        <v>2694</v>
      </c>
      <c r="K474" s="3" t="s">
        <v>2695</v>
      </c>
    </row>
    <row r="475" customFormat="false" ht="15" hidden="false" customHeight="true" outlineLevel="0" collapsed="false">
      <c r="A475" s="3" t="s">
        <v>1438</v>
      </c>
      <c r="B475" s="3" t="s">
        <v>2749</v>
      </c>
      <c r="C475" s="3" t="s">
        <v>2729</v>
      </c>
      <c r="D475" s="3" t="s">
        <v>2698</v>
      </c>
      <c r="E475" s="3" t="s">
        <v>2699</v>
      </c>
      <c r="F475" s="3" t="s">
        <v>2700</v>
      </c>
      <c r="G475" s="3" t="s">
        <v>2691</v>
      </c>
      <c r="H475" s="3" t="s">
        <v>2744</v>
      </c>
      <c r="I475" s="3" t="s">
        <v>2712</v>
      </c>
      <c r="J475" s="3" t="s">
        <v>2694</v>
      </c>
      <c r="K475" s="3" t="s">
        <v>2695</v>
      </c>
    </row>
    <row r="476" customFormat="false" ht="15" hidden="false" customHeight="true" outlineLevel="0" collapsed="false">
      <c r="A476" s="3" t="s">
        <v>1441</v>
      </c>
      <c r="B476" s="3" t="s">
        <v>2739</v>
      </c>
      <c r="C476" s="3" t="s">
        <v>2687</v>
      </c>
      <c r="D476" s="3" t="s">
        <v>2714</v>
      </c>
      <c r="E476" s="3" t="s">
        <v>2766</v>
      </c>
      <c r="F476" s="3" t="s">
        <v>2767</v>
      </c>
      <c r="G476" s="3" t="s">
        <v>2722</v>
      </c>
      <c r="H476" s="3" t="s">
        <v>2725</v>
      </c>
      <c r="I476" s="3" t="s">
        <v>2712</v>
      </c>
      <c r="J476" s="3" t="s">
        <v>2694</v>
      </c>
      <c r="K476" s="3" t="s">
        <v>2695</v>
      </c>
    </row>
    <row r="477" customFormat="false" ht="15" hidden="false" customHeight="true" outlineLevel="0" collapsed="false">
      <c r="A477" s="3" t="s">
        <v>1444</v>
      </c>
      <c r="B477" s="3" t="s">
        <v>2755</v>
      </c>
      <c r="C477" s="3" t="s">
        <v>2729</v>
      </c>
      <c r="D477" s="3" t="s">
        <v>2741</v>
      </c>
      <c r="E477" s="3" t="s">
        <v>2742</v>
      </c>
      <c r="F477" s="3" t="s">
        <v>2743</v>
      </c>
      <c r="G477" s="3" t="s">
        <v>2701</v>
      </c>
      <c r="H477" s="3" t="s">
        <v>2711</v>
      </c>
      <c r="I477" s="3" t="s">
        <v>2712</v>
      </c>
      <c r="J477" s="3" t="s">
        <v>2694</v>
      </c>
      <c r="K477" s="3" t="s">
        <v>2695</v>
      </c>
    </row>
    <row r="478" customFormat="false" ht="15" hidden="false" customHeight="true" outlineLevel="0" collapsed="false">
      <c r="A478" s="3" t="s">
        <v>1447</v>
      </c>
      <c r="B478" s="3" t="s">
        <v>2719</v>
      </c>
      <c r="C478" s="3" t="s">
        <v>2687</v>
      </c>
      <c r="D478" s="3" t="s">
        <v>2698</v>
      </c>
      <c r="E478" s="3" t="s">
        <v>2732</v>
      </c>
      <c r="F478" s="3" t="s">
        <v>2733</v>
      </c>
      <c r="G478" s="3" t="s">
        <v>2701</v>
      </c>
      <c r="H478" s="3" t="s">
        <v>2717</v>
      </c>
      <c r="I478" s="3" t="s">
        <v>2703</v>
      </c>
      <c r="J478" s="3" t="s">
        <v>2738</v>
      </c>
      <c r="K478" s="3" t="s">
        <v>2735</v>
      </c>
    </row>
    <row r="479" customFormat="false" ht="15" hidden="false" customHeight="true" outlineLevel="0" collapsed="false">
      <c r="A479" s="3" t="s">
        <v>1450</v>
      </c>
      <c r="B479" s="3" t="s">
        <v>2746</v>
      </c>
      <c r="C479" s="3" t="s">
        <v>2697</v>
      </c>
      <c r="D479" s="3" t="s">
        <v>2741</v>
      </c>
      <c r="E479" s="3" t="s">
        <v>2689</v>
      </c>
      <c r="F479" s="3" t="s">
        <v>2690</v>
      </c>
      <c r="G479" s="3" t="s">
        <v>2691</v>
      </c>
      <c r="H479" s="3" t="s">
        <v>2744</v>
      </c>
      <c r="I479" s="3" t="s">
        <v>2706</v>
      </c>
      <c r="J479" s="3" t="s">
        <v>2694</v>
      </c>
      <c r="K479" s="3" t="s">
        <v>2695</v>
      </c>
    </row>
    <row r="480" customFormat="false" ht="15" hidden="false" customHeight="true" outlineLevel="0" collapsed="false">
      <c r="A480" s="3" t="s">
        <v>1453</v>
      </c>
      <c r="B480" s="3" t="s">
        <v>2719</v>
      </c>
      <c r="C480" s="3" t="s">
        <v>2729</v>
      </c>
      <c r="D480" s="3" t="s">
        <v>2714</v>
      </c>
      <c r="E480" s="3" t="s">
        <v>2762</v>
      </c>
      <c r="F480" s="3" t="s">
        <v>2763</v>
      </c>
      <c r="G480" s="3" t="s">
        <v>2701</v>
      </c>
      <c r="H480" s="3" t="s">
        <v>2717</v>
      </c>
      <c r="I480" s="3" t="s">
        <v>2712</v>
      </c>
      <c r="J480" s="3" t="s">
        <v>2694</v>
      </c>
      <c r="K480" s="3" t="s">
        <v>2718</v>
      </c>
    </row>
    <row r="481" customFormat="false" ht="15" hidden="false" customHeight="true" outlineLevel="0" collapsed="false">
      <c r="A481" s="3" t="s">
        <v>1456</v>
      </c>
      <c r="B481" s="3" t="s">
        <v>2696</v>
      </c>
      <c r="C481" s="3" t="s">
        <v>2731</v>
      </c>
      <c r="D481" s="3" t="s">
        <v>2768</v>
      </c>
      <c r="E481" s="3" t="s">
        <v>2747</v>
      </c>
      <c r="F481" s="3" t="s">
        <v>2748</v>
      </c>
      <c r="G481" s="3" t="s">
        <v>2722</v>
      </c>
      <c r="H481" s="3" t="s">
        <v>2779</v>
      </c>
      <c r="I481" s="3" t="s">
        <v>2703</v>
      </c>
      <c r="J481" s="3" t="s">
        <v>2734</v>
      </c>
      <c r="K481" s="3" t="s">
        <v>2735</v>
      </c>
    </row>
    <row r="482" customFormat="false" ht="15" hidden="false" customHeight="true" outlineLevel="0" collapsed="false">
      <c r="A482" s="3" t="s">
        <v>1459</v>
      </c>
      <c r="B482" s="3" t="s">
        <v>2707</v>
      </c>
      <c r="C482" s="3" t="s">
        <v>2729</v>
      </c>
      <c r="D482" s="3" t="s">
        <v>2698</v>
      </c>
      <c r="E482" s="3" t="s">
        <v>2699</v>
      </c>
      <c r="F482" s="3" t="s">
        <v>2700</v>
      </c>
      <c r="G482" s="3" t="s">
        <v>2701</v>
      </c>
      <c r="H482" s="3" t="s">
        <v>2717</v>
      </c>
      <c r="I482" s="3" t="s">
        <v>2693</v>
      </c>
      <c r="J482" s="3" t="s">
        <v>2694</v>
      </c>
      <c r="K482" s="3" t="s">
        <v>2695</v>
      </c>
    </row>
    <row r="483" customFormat="false" ht="15" hidden="false" customHeight="true" outlineLevel="0" collapsed="false">
      <c r="A483" s="3" t="s">
        <v>1462</v>
      </c>
      <c r="B483" s="3" t="s">
        <v>2724</v>
      </c>
      <c r="C483" s="3" t="s">
        <v>2697</v>
      </c>
      <c r="D483" s="3" t="s">
        <v>2708</v>
      </c>
      <c r="E483" s="3" t="s">
        <v>2774</v>
      </c>
      <c r="F483" s="3" t="s">
        <v>2775</v>
      </c>
      <c r="G483" s="3" t="s">
        <v>2691</v>
      </c>
      <c r="H483" s="3" t="s">
        <v>2744</v>
      </c>
      <c r="I483" s="3" t="s">
        <v>2768</v>
      </c>
      <c r="J483" s="3" t="s">
        <v>2694</v>
      </c>
      <c r="K483" s="3" t="s">
        <v>2695</v>
      </c>
    </row>
    <row r="484" customFormat="false" ht="15" hidden="false" customHeight="true" outlineLevel="0" collapsed="false">
      <c r="A484" s="3" t="s">
        <v>1465</v>
      </c>
      <c r="B484" s="3" t="s">
        <v>2704</v>
      </c>
      <c r="C484" s="3" t="s">
        <v>2687</v>
      </c>
      <c r="D484" s="3" t="s">
        <v>2741</v>
      </c>
      <c r="E484" s="3" t="s">
        <v>2747</v>
      </c>
      <c r="F484" s="3" t="s">
        <v>2748</v>
      </c>
      <c r="G484" s="3" t="s">
        <v>2722</v>
      </c>
      <c r="H484" s="3" t="s">
        <v>2779</v>
      </c>
      <c r="I484" s="3" t="s">
        <v>2703</v>
      </c>
      <c r="J484" s="3" t="s">
        <v>2694</v>
      </c>
      <c r="K484" s="3" t="s">
        <v>2695</v>
      </c>
    </row>
    <row r="485" customFormat="false" ht="15" hidden="false" customHeight="true" outlineLevel="0" collapsed="false">
      <c r="A485" s="3" t="s">
        <v>1468</v>
      </c>
      <c r="B485" s="3" t="s">
        <v>2739</v>
      </c>
      <c r="C485" s="3" t="s">
        <v>2687</v>
      </c>
      <c r="D485" s="3" t="s">
        <v>2708</v>
      </c>
      <c r="E485" s="3" t="s">
        <v>2760</v>
      </c>
      <c r="F485" s="3" t="s">
        <v>2761</v>
      </c>
      <c r="G485" s="3" t="s">
        <v>2722</v>
      </c>
      <c r="H485" s="3" t="s">
        <v>2723</v>
      </c>
      <c r="I485" s="3" t="s">
        <v>2693</v>
      </c>
      <c r="J485" s="3" t="s">
        <v>2694</v>
      </c>
      <c r="K485" s="3" t="s">
        <v>2695</v>
      </c>
    </row>
    <row r="486" customFormat="false" ht="15" hidden="false" customHeight="true" outlineLevel="0" collapsed="false">
      <c r="A486" s="3" t="s">
        <v>1471</v>
      </c>
      <c r="B486" s="3" t="s">
        <v>2696</v>
      </c>
      <c r="C486" s="3" t="s">
        <v>2729</v>
      </c>
      <c r="D486" s="3" t="s">
        <v>2698</v>
      </c>
      <c r="E486" s="3" t="s">
        <v>2750</v>
      </c>
      <c r="F486" s="3" t="s">
        <v>2751</v>
      </c>
      <c r="G486" s="3" t="s">
        <v>2722</v>
      </c>
      <c r="H486" s="3" t="s">
        <v>2725</v>
      </c>
      <c r="I486" s="3" t="s">
        <v>2712</v>
      </c>
      <c r="J486" s="3" t="s">
        <v>2694</v>
      </c>
      <c r="K486" s="3" t="s">
        <v>2695</v>
      </c>
    </row>
    <row r="487" customFormat="false" ht="15" hidden="false" customHeight="true" outlineLevel="0" collapsed="false">
      <c r="A487" s="3" t="s">
        <v>1474</v>
      </c>
      <c r="B487" s="3" t="s">
        <v>2696</v>
      </c>
      <c r="C487" s="3" t="s">
        <v>2697</v>
      </c>
      <c r="D487" s="3" t="s">
        <v>2708</v>
      </c>
      <c r="E487" s="3" t="s">
        <v>2726</v>
      </c>
      <c r="F487" s="3" t="s">
        <v>2727</v>
      </c>
      <c r="G487" s="3" t="s">
        <v>2701</v>
      </c>
      <c r="H487" s="3" t="s">
        <v>2711</v>
      </c>
      <c r="I487" s="3" t="s">
        <v>2706</v>
      </c>
      <c r="J487" s="3" t="s">
        <v>2694</v>
      </c>
      <c r="K487" s="3" t="s">
        <v>2695</v>
      </c>
    </row>
    <row r="488" customFormat="false" ht="15" hidden="false" customHeight="true" outlineLevel="0" collapsed="false">
      <c r="A488" s="3" t="s">
        <v>1477</v>
      </c>
      <c r="B488" s="3" t="s">
        <v>2740</v>
      </c>
      <c r="C488" s="3" t="s">
        <v>2729</v>
      </c>
      <c r="D488" s="3" t="s">
        <v>2714</v>
      </c>
      <c r="E488" s="3" t="s">
        <v>2766</v>
      </c>
      <c r="F488" s="3" t="s">
        <v>2767</v>
      </c>
      <c r="G488" s="3" t="s">
        <v>2701</v>
      </c>
      <c r="H488" s="3" t="s">
        <v>2754</v>
      </c>
      <c r="I488" s="3" t="s">
        <v>2712</v>
      </c>
      <c r="J488" s="3" t="s">
        <v>2694</v>
      </c>
      <c r="K488" s="3" t="s">
        <v>2695</v>
      </c>
    </row>
    <row r="489" customFormat="false" ht="15" hidden="false" customHeight="true" outlineLevel="0" collapsed="false">
      <c r="A489" s="3" t="s">
        <v>1480</v>
      </c>
      <c r="B489" s="3" t="s">
        <v>2740</v>
      </c>
      <c r="C489" s="3" t="s">
        <v>2729</v>
      </c>
      <c r="D489" s="3" t="s">
        <v>2714</v>
      </c>
      <c r="E489" s="3" t="s">
        <v>2766</v>
      </c>
      <c r="F489" s="3" t="s">
        <v>2767</v>
      </c>
      <c r="G489" s="3" t="s">
        <v>2701</v>
      </c>
      <c r="H489" s="3" t="s">
        <v>2702</v>
      </c>
      <c r="I489" s="3" t="s">
        <v>2712</v>
      </c>
      <c r="J489" s="3" t="s">
        <v>2694</v>
      </c>
      <c r="K489" s="3" t="s">
        <v>2695</v>
      </c>
    </row>
    <row r="490" customFormat="false" ht="15" hidden="false" customHeight="true" outlineLevel="0" collapsed="false">
      <c r="A490" s="3" t="s">
        <v>1483</v>
      </c>
      <c r="B490" s="3" t="s">
        <v>2740</v>
      </c>
      <c r="C490" s="3" t="s">
        <v>2729</v>
      </c>
      <c r="D490" s="3" t="s">
        <v>2708</v>
      </c>
      <c r="E490" s="3" t="s">
        <v>2709</v>
      </c>
      <c r="F490" s="3" t="s">
        <v>2710</v>
      </c>
      <c r="G490" s="3" t="s">
        <v>2701</v>
      </c>
      <c r="H490" s="3" t="s">
        <v>2711</v>
      </c>
      <c r="I490" s="3" t="s">
        <v>2712</v>
      </c>
      <c r="J490" s="3" t="s">
        <v>2734</v>
      </c>
      <c r="K490" s="3" t="s">
        <v>2735</v>
      </c>
    </row>
    <row r="491" customFormat="false" ht="15" hidden="false" customHeight="true" outlineLevel="0" collapsed="false">
      <c r="A491" s="3" t="s">
        <v>1486</v>
      </c>
      <c r="B491" s="3" t="s">
        <v>2728</v>
      </c>
      <c r="C491" s="3" t="s">
        <v>2697</v>
      </c>
      <c r="D491" s="3" t="s">
        <v>2820</v>
      </c>
      <c r="E491" s="3" t="s">
        <v>2689</v>
      </c>
      <c r="F491" s="3" t="s">
        <v>2690</v>
      </c>
      <c r="G491" s="3" t="s">
        <v>2701</v>
      </c>
      <c r="H491" s="3" t="s">
        <v>2702</v>
      </c>
      <c r="I491" s="3" t="s">
        <v>2703</v>
      </c>
      <c r="J491" s="3" t="s">
        <v>2694</v>
      </c>
      <c r="K491" s="3" t="s">
        <v>2695</v>
      </c>
    </row>
    <row r="492" customFormat="false" ht="15" hidden="false" customHeight="true" outlineLevel="0" collapsed="false">
      <c r="A492" s="3" t="s">
        <v>1489</v>
      </c>
      <c r="B492" s="3" t="s">
        <v>2707</v>
      </c>
      <c r="C492" s="3" t="s">
        <v>2731</v>
      </c>
      <c r="D492" s="3" t="s">
        <v>2698</v>
      </c>
      <c r="E492" s="3" t="s">
        <v>2732</v>
      </c>
      <c r="F492" s="3" t="s">
        <v>2733</v>
      </c>
      <c r="G492" s="3" t="s">
        <v>2722</v>
      </c>
      <c r="H492" s="3" t="s">
        <v>2723</v>
      </c>
      <c r="I492" s="3" t="s">
        <v>2693</v>
      </c>
      <c r="J492" s="3" t="s">
        <v>2694</v>
      </c>
      <c r="K492" s="3" t="s">
        <v>2695</v>
      </c>
    </row>
    <row r="493" customFormat="false" ht="15" hidden="false" customHeight="true" outlineLevel="0" collapsed="false">
      <c r="A493" s="3" t="s">
        <v>1492</v>
      </c>
      <c r="B493" s="3" t="s">
        <v>2728</v>
      </c>
      <c r="C493" s="3" t="s">
        <v>2687</v>
      </c>
      <c r="D493" s="3" t="s">
        <v>2714</v>
      </c>
      <c r="E493" s="3" t="s">
        <v>2689</v>
      </c>
      <c r="F493" s="3" t="s">
        <v>2737</v>
      </c>
      <c r="G493" s="3" t="s">
        <v>2691</v>
      </c>
      <c r="H493" s="3" t="s">
        <v>2752</v>
      </c>
      <c r="I493" s="3" t="s">
        <v>2706</v>
      </c>
      <c r="J493" s="3" t="s">
        <v>2694</v>
      </c>
      <c r="K493" s="3" t="s">
        <v>2695</v>
      </c>
    </row>
    <row r="494" customFormat="false" ht="15" hidden="false" customHeight="true" outlineLevel="0" collapsed="false">
      <c r="A494" s="3" t="s">
        <v>1495</v>
      </c>
      <c r="B494" s="3" t="s">
        <v>2696</v>
      </c>
      <c r="C494" s="3" t="s">
        <v>2729</v>
      </c>
      <c r="D494" s="3" t="s">
        <v>2708</v>
      </c>
      <c r="E494" s="3" t="s">
        <v>2764</v>
      </c>
      <c r="F494" s="3" t="s">
        <v>2765</v>
      </c>
      <c r="G494" s="3" t="s">
        <v>2722</v>
      </c>
      <c r="H494" s="3" t="s">
        <v>2723</v>
      </c>
      <c r="I494" s="3" t="s">
        <v>2712</v>
      </c>
      <c r="J494" s="3" t="s">
        <v>2694</v>
      </c>
      <c r="K494" s="3" t="s">
        <v>2695</v>
      </c>
    </row>
    <row r="495" customFormat="false" ht="15" hidden="false" customHeight="true" outlineLevel="0" collapsed="false">
      <c r="A495" s="3" t="s">
        <v>1498</v>
      </c>
      <c r="B495" s="3" t="s">
        <v>2713</v>
      </c>
      <c r="C495" s="3" t="s">
        <v>2729</v>
      </c>
      <c r="D495" s="3" t="s">
        <v>2708</v>
      </c>
      <c r="E495" s="3" t="s">
        <v>2726</v>
      </c>
      <c r="F495" s="3" t="s">
        <v>2727</v>
      </c>
      <c r="G495" s="3" t="s">
        <v>2691</v>
      </c>
      <c r="H495" s="3" t="s">
        <v>2744</v>
      </c>
      <c r="I495" s="3" t="s">
        <v>2693</v>
      </c>
      <c r="J495" s="3" t="s">
        <v>2694</v>
      </c>
      <c r="K495" s="3" t="s">
        <v>2695</v>
      </c>
    </row>
    <row r="496" customFormat="false" ht="15" hidden="false" customHeight="true" outlineLevel="0" collapsed="false">
      <c r="A496" s="3" t="s">
        <v>1501</v>
      </c>
      <c r="B496" s="3" t="s">
        <v>2778</v>
      </c>
      <c r="C496" s="3" t="s">
        <v>2729</v>
      </c>
      <c r="D496" s="3" t="s">
        <v>2698</v>
      </c>
      <c r="E496" s="3" t="s">
        <v>2699</v>
      </c>
      <c r="F496" s="3" t="s">
        <v>2700</v>
      </c>
      <c r="G496" s="3" t="s">
        <v>2691</v>
      </c>
      <c r="H496" s="3" t="s">
        <v>2692</v>
      </c>
      <c r="I496" s="3" t="s">
        <v>2693</v>
      </c>
      <c r="J496" s="3" t="s">
        <v>2694</v>
      </c>
      <c r="K496" s="3" t="s">
        <v>2821</v>
      </c>
    </row>
    <row r="497" customFormat="false" ht="15" hidden="false" customHeight="true" outlineLevel="0" collapsed="false">
      <c r="A497" s="3" t="s">
        <v>1504</v>
      </c>
      <c r="B497" s="3" t="s">
        <v>2704</v>
      </c>
      <c r="C497" s="3" t="s">
        <v>2687</v>
      </c>
      <c r="D497" s="3" t="s">
        <v>2714</v>
      </c>
      <c r="E497" s="3" t="s">
        <v>2720</v>
      </c>
      <c r="F497" s="3" t="s">
        <v>2721</v>
      </c>
      <c r="G497" s="3" t="s">
        <v>2722</v>
      </c>
      <c r="H497" s="3" t="s">
        <v>2758</v>
      </c>
      <c r="I497" s="3" t="s">
        <v>2712</v>
      </c>
      <c r="J497" s="3" t="s">
        <v>2753</v>
      </c>
      <c r="K497" s="3" t="s">
        <v>2718</v>
      </c>
    </row>
    <row r="498" customFormat="false" ht="15" hidden="false" customHeight="true" outlineLevel="0" collapsed="false">
      <c r="A498" s="3" t="s">
        <v>1507</v>
      </c>
      <c r="B498" s="3" t="s">
        <v>2696</v>
      </c>
      <c r="C498" s="3" t="s">
        <v>2697</v>
      </c>
      <c r="D498" s="3" t="s">
        <v>2698</v>
      </c>
      <c r="E498" s="3" t="s">
        <v>2756</v>
      </c>
      <c r="F498" s="3" t="s">
        <v>2757</v>
      </c>
      <c r="G498" s="3" t="s">
        <v>2722</v>
      </c>
      <c r="H498" s="3" t="s">
        <v>2758</v>
      </c>
      <c r="I498" s="3" t="s">
        <v>2693</v>
      </c>
      <c r="J498" s="3" t="s">
        <v>2734</v>
      </c>
      <c r="K498" s="3" t="s">
        <v>2735</v>
      </c>
    </row>
    <row r="499" customFormat="false" ht="15" hidden="false" customHeight="true" outlineLevel="0" collapsed="false">
      <c r="A499" s="3" t="s">
        <v>1510</v>
      </c>
      <c r="B499" s="3" t="s">
        <v>2778</v>
      </c>
      <c r="C499" s="3" t="s">
        <v>2697</v>
      </c>
      <c r="D499" s="3" t="s">
        <v>2698</v>
      </c>
      <c r="E499" s="3" t="s">
        <v>2770</v>
      </c>
      <c r="F499" s="3" t="s">
        <v>2771</v>
      </c>
      <c r="G499" s="3" t="s">
        <v>2701</v>
      </c>
      <c r="H499" s="3" t="s">
        <v>2717</v>
      </c>
      <c r="I499" s="3" t="s">
        <v>2693</v>
      </c>
      <c r="J499" s="3" t="s">
        <v>2694</v>
      </c>
      <c r="K499" s="3" t="s">
        <v>2695</v>
      </c>
    </row>
    <row r="500" customFormat="false" ht="15" hidden="false" customHeight="true" outlineLevel="0" collapsed="false">
      <c r="A500" s="3" t="s">
        <v>1513</v>
      </c>
      <c r="B500" s="3" t="s">
        <v>2746</v>
      </c>
      <c r="C500" s="3" t="s">
        <v>2697</v>
      </c>
      <c r="D500" s="3" t="s">
        <v>2790</v>
      </c>
      <c r="E500" s="3" t="s">
        <v>2747</v>
      </c>
      <c r="F500" s="3" t="s">
        <v>2748</v>
      </c>
      <c r="G500" s="3" t="s">
        <v>2722</v>
      </c>
      <c r="H500" s="3" t="s">
        <v>2723</v>
      </c>
      <c r="I500" s="3" t="s">
        <v>2693</v>
      </c>
      <c r="J500" s="3" t="s">
        <v>2694</v>
      </c>
      <c r="K500" s="3" t="s">
        <v>2718</v>
      </c>
    </row>
    <row r="501" customFormat="false" ht="15" hidden="false" customHeight="true" outlineLevel="0" collapsed="false">
      <c r="A501" s="3" t="s">
        <v>1516</v>
      </c>
      <c r="B501" s="3" t="s">
        <v>2686</v>
      </c>
      <c r="C501" s="3" t="s">
        <v>2687</v>
      </c>
      <c r="D501" s="3" t="s">
        <v>2741</v>
      </c>
      <c r="E501" s="3" t="s">
        <v>2742</v>
      </c>
      <c r="F501" s="3" t="s">
        <v>2743</v>
      </c>
      <c r="G501" s="3" t="s">
        <v>2701</v>
      </c>
      <c r="H501" s="3" t="s">
        <v>2717</v>
      </c>
      <c r="I501" s="3" t="s">
        <v>2703</v>
      </c>
      <c r="J501" s="3" t="s">
        <v>2734</v>
      </c>
      <c r="K501" s="3" t="s">
        <v>2822</v>
      </c>
    </row>
    <row r="502" customFormat="false" ht="15" hidden="false" customHeight="true" outlineLevel="0" collapsed="false">
      <c r="A502" s="3" t="s">
        <v>1519</v>
      </c>
      <c r="B502" s="3" t="s">
        <v>2740</v>
      </c>
      <c r="C502" s="3" t="s">
        <v>2731</v>
      </c>
      <c r="D502" s="3" t="s">
        <v>2741</v>
      </c>
      <c r="E502" s="3" t="s">
        <v>2747</v>
      </c>
      <c r="F502" s="3" t="s">
        <v>2748</v>
      </c>
      <c r="G502" s="3" t="s">
        <v>2701</v>
      </c>
      <c r="H502" s="3" t="s">
        <v>2717</v>
      </c>
      <c r="I502" s="3" t="s">
        <v>2712</v>
      </c>
      <c r="J502" s="3" t="s">
        <v>2694</v>
      </c>
      <c r="K502" s="3" t="s">
        <v>2718</v>
      </c>
    </row>
    <row r="503" customFormat="false" ht="15" hidden="false" customHeight="true" outlineLevel="0" collapsed="false">
      <c r="A503" s="3" t="s">
        <v>1522</v>
      </c>
      <c r="B503" s="3" t="s">
        <v>2746</v>
      </c>
      <c r="C503" s="3" t="s">
        <v>2687</v>
      </c>
      <c r="D503" s="3" t="s">
        <v>2708</v>
      </c>
      <c r="E503" s="3" t="s">
        <v>2764</v>
      </c>
      <c r="F503" s="3" t="s">
        <v>2765</v>
      </c>
      <c r="G503" s="3" t="s">
        <v>2722</v>
      </c>
      <c r="H503" s="3" t="s">
        <v>2758</v>
      </c>
      <c r="I503" s="3" t="s">
        <v>2703</v>
      </c>
      <c r="J503" s="3" t="s">
        <v>2694</v>
      </c>
      <c r="K503" s="3" t="s">
        <v>2695</v>
      </c>
    </row>
    <row r="504" customFormat="false" ht="15" hidden="false" customHeight="true" outlineLevel="0" collapsed="false">
      <c r="A504" s="3" t="s">
        <v>1525</v>
      </c>
      <c r="B504" s="3" t="s">
        <v>2724</v>
      </c>
      <c r="C504" s="3" t="s">
        <v>2687</v>
      </c>
      <c r="D504" s="3" t="s">
        <v>2698</v>
      </c>
      <c r="E504" s="3" t="s">
        <v>2770</v>
      </c>
      <c r="F504" s="3" t="s">
        <v>2771</v>
      </c>
      <c r="G504" s="3" t="s">
        <v>2691</v>
      </c>
      <c r="H504" s="3" t="s">
        <v>2705</v>
      </c>
      <c r="I504" s="3" t="s">
        <v>2693</v>
      </c>
      <c r="J504" s="3" t="s">
        <v>2694</v>
      </c>
      <c r="K504" s="3" t="s">
        <v>2695</v>
      </c>
    </row>
    <row r="505" customFormat="false" ht="15" hidden="false" customHeight="true" outlineLevel="0" collapsed="false">
      <c r="A505" s="3" t="s">
        <v>1527</v>
      </c>
      <c r="B505" s="3" t="s">
        <v>2739</v>
      </c>
      <c r="C505" s="3" t="s">
        <v>2697</v>
      </c>
      <c r="D505" s="3" t="s">
        <v>2823</v>
      </c>
      <c r="E505" s="3" t="s">
        <v>2699</v>
      </c>
      <c r="F505" s="3" t="s">
        <v>2700</v>
      </c>
      <c r="G505" s="3" t="s">
        <v>2722</v>
      </c>
      <c r="H505" s="3" t="s">
        <v>2725</v>
      </c>
      <c r="I505" s="3" t="s">
        <v>2693</v>
      </c>
      <c r="J505" s="3" t="s">
        <v>2694</v>
      </c>
      <c r="K505" s="3" t="s">
        <v>2695</v>
      </c>
    </row>
    <row r="506" customFormat="false" ht="15" hidden="false" customHeight="true" outlineLevel="0" collapsed="false">
      <c r="A506" s="3" t="s">
        <v>1530</v>
      </c>
      <c r="B506" s="3" t="s">
        <v>2745</v>
      </c>
      <c r="C506" s="3" t="s">
        <v>2687</v>
      </c>
      <c r="D506" s="3" t="s">
        <v>2708</v>
      </c>
      <c r="E506" s="3" t="s">
        <v>2774</v>
      </c>
      <c r="F506" s="3" t="s">
        <v>2775</v>
      </c>
      <c r="G506" s="3" t="s">
        <v>2722</v>
      </c>
      <c r="H506" s="3" t="s">
        <v>2758</v>
      </c>
      <c r="I506" s="3" t="s">
        <v>2712</v>
      </c>
      <c r="J506" s="3" t="s">
        <v>2694</v>
      </c>
      <c r="K506" s="3" t="s">
        <v>2695</v>
      </c>
    </row>
    <row r="507" customFormat="false" ht="15" hidden="false" customHeight="true" outlineLevel="0" collapsed="false">
      <c r="A507" s="3" t="s">
        <v>1533</v>
      </c>
      <c r="B507" s="3" t="s">
        <v>2707</v>
      </c>
      <c r="C507" s="3" t="s">
        <v>2729</v>
      </c>
      <c r="D507" s="3" t="s">
        <v>2714</v>
      </c>
      <c r="E507" s="3" t="s">
        <v>2762</v>
      </c>
      <c r="F507" s="3" t="s">
        <v>2763</v>
      </c>
      <c r="G507" s="3" t="s">
        <v>2691</v>
      </c>
      <c r="H507" s="3" t="s">
        <v>2705</v>
      </c>
      <c r="I507" s="3" t="s">
        <v>2712</v>
      </c>
      <c r="J507" s="3" t="s">
        <v>2694</v>
      </c>
      <c r="K507" s="3" t="s">
        <v>2695</v>
      </c>
    </row>
    <row r="508" customFormat="false" ht="15" hidden="false" customHeight="true" outlineLevel="0" collapsed="false">
      <c r="A508" s="3" t="s">
        <v>1536</v>
      </c>
      <c r="B508" s="3" t="s">
        <v>2724</v>
      </c>
      <c r="C508" s="3" t="s">
        <v>2729</v>
      </c>
      <c r="D508" s="3" t="s">
        <v>2714</v>
      </c>
      <c r="E508" s="3" t="s">
        <v>2720</v>
      </c>
      <c r="F508" s="3" t="s">
        <v>2721</v>
      </c>
      <c r="G508" s="3" t="s">
        <v>2691</v>
      </c>
      <c r="H508" s="3" t="s">
        <v>2705</v>
      </c>
      <c r="I508" s="3" t="s">
        <v>2706</v>
      </c>
      <c r="J508" s="3" t="s">
        <v>2694</v>
      </c>
      <c r="K508" s="3" t="s">
        <v>2718</v>
      </c>
    </row>
    <row r="509" customFormat="false" ht="15" hidden="false" customHeight="true" outlineLevel="0" collapsed="false">
      <c r="A509" s="3" t="s">
        <v>1539</v>
      </c>
      <c r="B509" s="3" t="s">
        <v>2745</v>
      </c>
      <c r="C509" s="3" t="s">
        <v>2697</v>
      </c>
      <c r="D509" s="3" t="s">
        <v>2741</v>
      </c>
      <c r="E509" s="3" t="s">
        <v>2742</v>
      </c>
      <c r="F509" s="3" t="s">
        <v>2743</v>
      </c>
      <c r="G509" s="3" t="s">
        <v>2701</v>
      </c>
      <c r="H509" s="3" t="s">
        <v>2711</v>
      </c>
      <c r="I509" s="3" t="s">
        <v>2706</v>
      </c>
      <c r="J509" s="3" t="s">
        <v>2734</v>
      </c>
      <c r="K509" s="3" t="s">
        <v>2735</v>
      </c>
    </row>
    <row r="510" customFormat="false" ht="15" hidden="false" customHeight="true" outlineLevel="0" collapsed="false">
      <c r="A510" s="3" t="s">
        <v>1542</v>
      </c>
      <c r="B510" s="3" t="s">
        <v>2704</v>
      </c>
      <c r="C510" s="3" t="s">
        <v>2697</v>
      </c>
      <c r="D510" s="3" t="s">
        <v>2741</v>
      </c>
      <c r="E510" s="3" t="s">
        <v>2772</v>
      </c>
      <c r="F510" s="3" t="s">
        <v>2773</v>
      </c>
      <c r="G510" s="3" t="s">
        <v>2691</v>
      </c>
      <c r="H510" s="3" t="s">
        <v>2752</v>
      </c>
      <c r="I510" s="3" t="s">
        <v>2703</v>
      </c>
      <c r="J510" s="3" t="s">
        <v>2694</v>
      </c>
      <c r="K510" s="3" t="s">
        <v>2695</v>
      </c>
    </row>
    <row r="511" customFormat="false" ht="15" hidden="false" customHeight="true" outlineLevel="0" collapsed="false">
      <c r="A511" s="3" t="s">
        <v>1545</v>
      </c>
      <c r="B511" s="3" t="s">
        <v>2704</v>
      </c>
      <c r="C511" s="3" t="s">
        <v>2697</v>
      </c>
      <c r="D511" s="3" t="s">
        <v>2741</v>
      </c>
      <c r="E511" s="3" t="s">
        <v>2772</v>
      </c>
      <c r="F511" s="3" t="s">
        <v>2773</v>
      </c>
      <c r="G511" s="3" t="s">
        <v>2722</v>
      </c>
      <c r="H511" s="3" t="s">
        <v>2779</v>
      </c>
      <c r="I511" s="3" t="s">
        <v>2693</v>
      </c>
      <c r="J511" s="3" t="s">
        <v>2694</v>
      </c>
      <c r="K511" s="3" t="s">
        <v>2695</v>
      </c>
    </row>
    <row r="512" customFormat="false" ht="15" hidden="false" customHeight="true" outlineLevel="0" collapsed="false">
      <c r="A512" s="3" t="s">
        <v>1548</v>
      </c>
      <c r="B512" s="3" t="s">
        <v>2724</v>
      </c>
      <c r="C512" s="3" t="s">
        <v>2687</v>
      </c>
      <c r="D512" s="3" t="s">
        <v>2714</v>
      </c>
      <c r="E512" s="3" t="s">
        <v>2762</v>
      </c>
      <c r="F512" s="3" t="s">
        <v>2763</v>
      </c>
      <c r="G512" s="3" t="s">
        <v>2722</v>
      </c>
      <c r="H512" s="3" t="s">
        <v>2779</v>
      </c>
      <c r="I512" s="3" t="s">
        <v>2703</v>
      </c>
      <c r="J512" s="3" t="s">
        <v>2694</v>
      </c>
      <c r="K512" s="3" t="s">
        <v>2695</v>
      </c>
    </row>
    <row r="513" customFormat="false" ht="15" hidden="false" customHeight="true" outlineLevel="0" collapsed="false">
      <c r="A513" s="3" t="s">
        <v>1551</v>
      </c>
      <c r="B513" s="3" t="s">
        <v>2824</v>
      </c>
      <c r="C513" s="3" t="s">
        <v>2687</v>
      </c>
      <c r="D513" s="3" t="s">
        <v>2708</v>
      </c>
      <c r="E513" s="3" t="s">
        <v>2760</v>
      </c>
      <c r="F513" s="3" t="s">
        <v>2761</v>
      </c>
      <c r="G513" s="3" t="s">
        <v>2691</v>
      </c>
      <c r="H513" s="3" t="s">
        <v>2744</v>
      </c>
      <c r="I513" s="3" t="s">
        <v>2693</v>
      </c>
      <c r="J513" s="3" t="s">
        <v>2694</v>
      </c>
      <c r="K513" s="3" t="s">
        <v>2695</v>
      </c>
    </row>
    <row r="514" customFormat="false" ht="15" hidden="false" customHeight="true" outlineLevel="0" collapsed="false">
      <c r="A514" s="3" t="s">
        <v>1554</v>
      </c>
      <c r="B514" s="3" t="s">
        <v>2746</v>
      </c>
      <c r="C514" s="3" t="s">
        <v>2687</v>
      </c>
      <c r="D514" s="3" t="s">
        <v>2714</v>
      </c>
      <c r="E514" s="3" t="s">
        <v>2720</v>
      </c>
      <c r="F514" s="3" t="s">
        <v>2721</v>
      </c>
      <c r="G514" s="3" t="s">
        <v>2701</v>
      </c>
      <c r="H514" s="3" t="s">
        <v>2754</v>
      </c>
      <c r="I514" s="3" t="s">
        <v>2712</v>
      </c>
      <c r="J514" s="3" t="s">
        <v>2694</v>
      </c>
      <c r="K514" s="3" t="s">
        <v>2695</v>
      </c>
    </row>
    <row r="515" customFormat="false" ht="15" hidden="false" customHeight="true" outlineLevel="0" collapsed="false">
      <c r="A515" s="3" t="s">
        <v>1557</v>
      </c>
      <c r="B515" s="3" t="s">
        <v>2704</v>
      </c>
      <c r="C515" s="3" t="s">
        <v>2729</v>
      </c>
      <c r="D515" s="3" t="s">
        <v>2708</v>
      </c>
      <c r="E515" s="3" t="s">
        <v>2764</v>
      </c>
      <c r="F515" s="3" t="s">
        <v>2765</v>
      </c>
      <c r="G515" s="3" t="s">
        <v>2691</v>
      </c>
      <c r="H515" s="3" t="s">
        <v>2730</v>
      </c>
      <c r="I515" s="3" t="s">
        <v>2693</v>
      </c>
      <c r="J515" s="3" t="s">
        <v>2694</v>
      </c>
      <c r="K515" s="3" t="s">
        <v>2695</v>
      </c>
    </row>
    <row r="516" customFormat="false" ht="15" hidden="false" customHeight="true" outlineLevel="0" collapsed="false">
      <c r="A516" s="3" t="s">
        <v>1559</v>
      </c>
      <c r="B516" s="3" t="s">
        <v>2745</v>
      </c>
      <c r="C516" s="3" t="s">
        <v>2729</v>
      </c>
      <c r="D516" s="3" t="s">
        <v>2708</v>
      </c>
      <c r="E516" s="3" t="s">
        <v>2764</v>
      </c>
      <c r="F516" s="3" t="s">
        <v>2765</v>
      </c>
      <c r="G516" s="3" t="s">
        <v>2722</v>
      </c>
      <c r="H516" s="3" t="s">
        <v>2825</v>
      </c>
      <c r="I516" s="3" t="s">
        <v>2706</v>
      </c>
      <c r="J516" s="3" t="s">
        <v>2694</v>
      </c>
      <c r="K516" s="3" t="s">
        <v>2695</v>
      </c>
    </row>
    <row r="517" customFormat="false" ht="15" hidden="false" customHeight="true" outlineLevel="0" collapsed="false">
      <c r="A517" s="3" t="s">
        <v>1562</v>
      </c>
      <c r="B517" s="3" t="s">
        <v>2686</v>
      </c>
      <c r="C517" s="3" t="s">
        <v>2731</v>
      </c>
      <c r="D517" s="3" t="s">
        <v>2708</v>
      </c>
      <c r="E517" s="3" t="s">
        <v>2764</v>
      </c>
      <c r="F517" s="3" t="s">
        <v>2765</v>
      </c>
      <c r="G517" s="3" t="s">
        <v>2722</v>
      </c>
      <c r="H517" s="3" t="s">
        <v>2723</v>
      </c>
      <c r="I517" s="3" t="s">
        <v>2712</v>
      </c>
      <c r="J517" s="3" t="s">
        <v>2694</v>
      </c>
      <c r="K517" s="3" t="s">
        <v>2695</v>
      </c>
    </row>
    <row r="518" customFormat="false" ht="15" hidden="false" customHeight="true" outlineLevel="0" collapsed="false">
      <c r="A518" s="3" t="s">
        <v>1565</v>
      </c>
      <c r="B518" s="3" t="s">
        <v>2740</v>
      </c>
      <c r="C518" s="3" t="s">
        <v>2729</v>
      </c>
      <c r="D518" s="3" t="s">
        <v>2741</v>
      </c>
      <c r="E518" s="3" t="s">
        <v>2782</v>
      </c>
      <c r="F518" s="3" t="s">
        <v>2783</v>
      </c>
      <c r="G518" s="3" t="s">
        <v>2691</v>
      </c>
      <c r="H518" s="3" t="s">
        <v>2692</v>
      </c>
      <c r="I518" s="3" t="s">
        <v>2712</v>
      </c>
      <c r="J518" s="3" t="s">
        <v>2694</v>
      </c>
      <c r="K518" s="3" t="s">
        <v>2695</v>
      </c>
    </row>
    <row r="519" customFormat="false" ht="15" hidden="false" customHeight="true" outlineLevel="0" collapsed="false">
      <c r="A519" s="3" t="s">
        <v>1568</v>
      </c>
      <c r="B519" s="3" t="s">
        <v>2778</v>
      </c>
      <c r="C519" s="3" t="s">
        <v>2731</v>
      </c>
      <c r="D519" s="3" t="s">
        <v>2741</v>
      </c>
      <c r="E519" s="3" t="s">
        <v>2782</v>
      </c>
      <c r="F519" s="3" t="s">
        <v>2783</v>
      </c>
      <c r="G519" s="3" t="s">
        <v>2722</v>
      </c>
      <c r="H519" s="3" t="s">
        <v>2725</v>
      </c>
      <c r="I519" s="3" t="s">
        <v>2712</v>
      </c>
      <c r="J519" s="3" t="s">
        <v>2753</v>
      </c>
      <c r="K519" s="3" t="s">
        <v>2735</v>
      </c>
    </row>
    <row r="520" customFormat="false" ht="15" hidden="false" customHeight="true" outlineLevel="0" collapsed="false">
      <c r="A520" s="3" t="s">
        <v>1571</v>
      </c>
      <c r="B520" s="3" t="s">
        <v>2740</v>
      </c>
      <c r="C520" s="3" t="s">
        <v>2687</v>
      </c>
      <c r="D520" s="3" t="s">
        <v>2698</v>
      </c>
      <c r="E520" s="3" t="s">
        <v>2699</v>
      </c>
      <c r="F520" s="3" t="s">
        <v>2700</v>
      </c>
      <c r="G520" s="3" t="s">
        <v>2701</v>
      </c>
      <c r="H520" s="3" t="s">
        <v>2711</v>
      </c>
      <c r="I520" s="3" t="s">
        <v>2693</v>
      </c>
      <c r="J520" s="3" t="s">
        <v>2734</v>
      </c>
      <c r="K520" s="3" t="s">
        <v>2735</v>
      </c>
    </row>
    <row r="521" customFormat="false" ht="15" hidden="false" customHeight="true" outlineLevel="0" collapsed="false">
      <c r="A521" s="3" t="s">
        <v>1574</v>
      </c>
      <c r="B521" s="3" t="s">
        <v>2755</v>
      </c>
      <c r="C521" s="3" t="s">
        <v>2729</v>
      </c>
      <c r="D521" s="3" t="s">
        <v>2698</v>
      </c>
      <c r="E521" s="3" t="s">
        <v>2699</v>
      </c>
      <c r="F521" s="3" t="s">
        <v>2700</v>
      </c>
      <c r="G521" s="3" t="s">
        <v>2701</v>
      </c>
      <c r="H521" s="3" t="s">
        <v>2702</v>
      </c>
      <c r="I521" s="3" t="s">
        <v>2706</v>
      </c>
      <c r="J521" s="3" t="s">
        <v>2694</v>
      </c>
      <c r="K521" s="3" t="s">
        <v>2718</v>
      </c>
    </row>
    <row r="522" customFormat="false" ht="15" hidden="false" customHeight="true" outlineLevel="0" collapsed="false">
      <c r="A522" s="3" t="s">
        <v>1577</v>
      </c>
      <c r="B522" s="3" t="s">
        <v>2739</v>
      </c>
      <c r="C522" s="3" t="s">
        <v>2687</v>
      </c>
      <c r="D522" s="3" t="s">
        <v>2741</v>
      </c>
      <c r="E522" s="3" t="s">
        <v>2747</v>
      </c>
      <c r="F522" s="3" t="s">
        <v>2748</v>
      </c>
      <c r="G522" s="3" t="s">
        <v>2701</v>
      </c>
      <c r="H522" s="3" t="s">
        <v>2702</v>
      </c>
      <c r="I522" s="3" t="s">
        <v>2712</v>
      </c>
      <c r="J522" s="3" t="s">
        <v>2738</v>
      </c>
      <c r="K522" s="3" t="s">
        <v>2718</v>
      </c>
    </row>
    <row r="523" customFormat="false" ht="15" hidden="false" customHeight="true" outlineLevel="0" collapsed="false">
      <c r="A523" s="3" t="s">
        <v>1580</v>
      </c>
      <c r="B523" s="3" t="s">
        <v>2745</v>
      </c>
      <c r="C523" s="3" t="s">
        <v>2731</v>
      </c>
      <c r="D523" s="3" t="s">
        <v>2708</v>
      </c>
      <c r="E523" s="3" t="s">
        <v>2760</v>
      </c>
      <c r="F523" s="3" t="s">
        <v>2761</v>
      </c>
      <c r="G523" s="3" t="s">
        <v>2722</v>
      </c>
      <c r="H523" s="3" t="s">
        <v>2779</v>
      </c>
      <c r="I523" s="3" t="s">
        <v>2703</v>
      </c>
      <c r="J523" s="3" t="s">
        <v>2694</v>
      </c>
      <c r="K523" s="3" t="s">
        <v>2695</v>
      </c>
    </row>
    <row r="524" customFormat="false" ht="15" hidden="false" customHeight="true" outlineLevel="0" collapsed="false">
      <c r="A524" s="3" t="s">
        <v>1583</v>
      </c>
      <c r="B524" s="3" t="s">
        <v>2755</v>
      </c>
      <c r="C524" s="3" t="s">
        <v>2687</v>
      </c>
      <c r="D524" s="3" t="s">
        <v>2741</v>
      </c>
      <c r="E524" s="3" t="s">
        <v>2742</v>
      </c>
      <c r="F524" s="3" t="s">
        <v>2743</v>
      </c>
      <c r="G524" s="3" t="s">
        <v>2691</v>
      </c>
      <c r="H524" s="3" t="s">
        <v>2730</v>
      </c>
      <c r="I524" s="3" t="s">
        <v>2693</v>
      </c>
      <c r="J524" s="3" t="s">
        <v>2694</v>
      </c>
      <c r="K524" s="3" t="s">
        <v>2695</v>
      </c>
    </row>
    <row r="525" customFormat="false" ht="15" hidden="false" customHeight="true" outlineLevel="0" collapsed="false">
      <c r="A525" s="3" t="s">
        <v>1586</v>
      </c>
      <c r="B525" s="3" t="s">
        <v>2724</v>
      </c>
      <c r="C525" s="3" t="s">
        <v>2697</v>
      </c>
      <c r="D525" s="3" t="s">
        <v>2698</v>
      </c>
      <c r="E525" s="3" t="s">
        <v>2770</v>
      </c>
      <c r="F525" s="3" t="s">
        <v>2771</v>
      </c>
      <c r="G525" s="3" t="s">
        <v>2722</v>
      </c>
      <c r="H525" s="3" t="s">
        <v>2758</v>
      </c>
      <c r="I525" s="3" t="s">
        <v>2706</v>
      </c>
      <c r="J525" s="3" t="s">
        <v>2694</v>
      </c>
      <c r="K525" s="3" t="s">
        <v>2695</v>
      </c>
    </row>
    <row r="526" customFormat="false" ht="15" hidden="false" customHeight="true" outlineLevel="0" collapsed="false">
      <c r="A526" s="3" t="s">
        <v>1589</v>
      </c>
      <c r="B526" s="3" t="s">
        <v>2778</v>
      </c>
      <c r="C526" s="3" t="s">
        <v>2731</v>
      </c>
      <c r="D526" s="3" t="s">
        <v>2714</v>
      </c>
      <c r="E526" s="3" t="s">
        <v>2766</v>
      </c>
      <c r="F526" s="3" t="s">
        <v>2767</v>
      </c>
      <c r="G526" s="3" t="s">
        <v>2691</v>
      </c>
      <c r="H526" s="3" t="s">
        <v>2692</v>
      </c>
      <c r="I526" s="3" t="s">
        <v>2693</v>
      </c>
      <c r="J526" s="3" t="s">
        <v>2694</v>
      </c>
      <c r="K526" s="3" t="s">
        <v>2735</v>
      </c>
    </row>
    <row r="527" customFormat="false" ht="15" hidden="false" customHeight="true" outlineLevel="0" collapsed="false">
      <c r="A527" s="3" t="s">
        <v>1592</v>
      </c>
      <c r="B527" s="3" t="s">
        <v>2713</v>
      </c>
      <c r="C527" s="3" t="s">
        <v>2729</v>
      </c>
      <c r="D527" s="3" t="s">
        <v>2714</v>
      </c>
      <c r="E527" s="3" t="s">
        <v>2762</v>
      </c>
      <c r="F527" s="3" t="s">
        <v>2763</v>
      </c>
      <c r="G527" s="3" t="s">
        <v>2701</v>
      </c>
      <c r="H527" s="3" t="s">
        <v>2717</v>
      </c>
      <c r="I527" s="3" t="s">
        <v>2706</v>
      </c>
      <c r="J527" s="3" t="s">
        <v>2694</v>
      </c>
      <c r="K527" s="3" t="s">
        <v>2695</v>
      </c>
    </row>
    <row r="528" customFormat="false" ht="15" hidden="false" customHeight="true" outlineLevel="0" collapsed="false">
      <c r="A528" s="3" t="s">
        <v>1595</v>
      </c>
      <c r="B528" s="3" t="s">
        <v>2739</v>
      </c>
      <c r="C528" s="3" t="s">
        <v>2731</v>
      </c>
      <c r="D528" s="3" t="s">
        <v>2698</v>
      </c>
      <c r="E528" s="3" t="s">
        <v>2732</v>
      </c>
      <c r="F528" s="3" t="s">
        <v>2733</v>
      </c>
      <c r="G528" s="3" t="s">
        <v>2701</v>
      </c>
      <c r="H528" s="3" t="s">
        <v>2717</v>
      </c>
      <c r="I528" s="3" t="s">
        <v>2712</v>
      </c>
      <c r="J528" s="3" t="s">
        <v>2694</v>
      </c>
      <c r="K528" s="3" t="s">
        <v>2695</v>
      </c>
    </row>
    <row r="529" customFormat="false" ht="15" hidden="false" customHeight="true" outlineLevel="0" collapsed="false">
      <c r="A529" s="3" t="s">
        <v>1598</v>
      </c>
      <c r="B529" s="3" t="s">
        <v>2739</v>
      </c>
      <c r="C529" s="3" t="s">
        <v>2687</v>
      </c>
      <c r="D529" s="3" t="s">
        <v>2698</v>
      </c>
      <c r="E529" s="3" t="s">
        <v>2699</v>
      </c>
      <c r="F529" s="3" t="s">
        <v>2700</v>
      </c>
      <c r="G529" s="3" t="s">
        <v>2701</v>
      </c>
      <c r="H529" s="3" t="s">
        <v>2702</v>
      </c>
      <c r="I529" s="3" t="s">
        <v>2693</v>
      </c>
      <c r="J529" s="3" t="s">
        <v>2694</v>
      </c>
      <c r="K529" s="3" t="s">
        <v>2695</v>
      </c>
    </row>
    <row r="530" customFormat="false" ht="15" hidden="false" customHeight="true" outlineLevel="0" collapsed="false">
      <c r="A530" s="3" t="s">
        <v>1601</v>
      </c>
      <c r="B530" s="3" t="s">
        <v>2728</v>
      </c>
      <c r="C530" s="3" t="s">
        <v>2731</v>
      </c>
      <c r="D530" s="3" t="s">
        <v>2741</v>
      </c>
      <c r="E530" s="3" t="s">
        <v>2772</v>
      </c>
      <c r="F530" s="3" t="s">
        <v>2773</v>
      </c>
      <c r="G530" s="3" t="s">
        <v>2691</v>
      </c>
      <c r="H530" s="3" t="s">
        <v>2692</v>
      </c>
      <c r="I530" s="3" t="s">
        <v>2706</v>
      </c>
      <c r="J530" s="3" t="s">
        <v>2694</v>
      </c>
      <c r="K530" s="3" t="s">
        <v>2695</v>
      </c>
    </row>
    <row r="531" customFormat="false" ht="15" hidden="false" customHeight="true" outlineLevel="0" collapsed="false">
      <c r="A531" s="3" t="s">
        <v>1604</v>
      </c>
      <c r="B531" s="3" t="s">
        <v>2755</v>
      </c>
      <c r="C531" s="3" t="s">
        <v>2687</v>
      </c>
      <c r="D531" s="3" t="s">
        <v>2708</v>
      </c>
      <c r="E531" s="3" t="s">
        <v>2774</v>
      </c>
      <c r="F531" s="3" t="s">
        <v>2775</v>
      </c>
      <c r="G531" s="3" t="s">
        <v>2691</v>
      </c>
      <c r="H531" s="3" t="s">
        <v>2752</v>
      </c>
      <c r="I531" s="3" t="s">
        <v>2712</v>
      </c>
      <c r="J531" s="3" t="s">
        <v>2738</v>
      </c>
      <c r="K531" s="3" t="s">
        <v>2735</v>
      </c>
    </row>
    <row r="532" customFormat="false" ht="15" hidden="false" customHeight="true" outlineLevel="0" collapsed="false">
      <c r="A532" s="3" t="s">
        <v>1607</v>
      </c>
      <c r="B532" s="3" t="s">
        <v>2686</v>
      </c>
      <c r="C532" s="3" t="s">
        <v>2687</v>
      </c>
      <c r="D532" s="3" t="s">
        <v>2698</v>
      </c>
      <c r="E532" s="3" t="s">
        <v>2770</v>
      </c>
      <c r="F532" s="3" t="s">
        <v>2771</v>
      </c>
      <c r="G532" s="3" t="s">
        <v>2701</v>
      </c>
      <c r="H532" s="3" t="s">
        <v>2754</v>
      </c>
      <c r="I532" s="3" t="s">
        <v>2693</v>
      </c>
      <c r="J532" s="3" t="s">
        <v>2694</v>
      </c>
      <c r="K532" s="3" t="s">
        <v>2695</v>
      </c>
    </row>
    <row r="533" customFormat="false" ht="15" hidden="false" customHeight="true" outlineLevel="0" collapsed="false">
      <c r="A533" s="3" t="s">
        <v>1609</v>
      </c>
      <c r="B533" s="3" t="s">
        <v>2740</v>
      </c>
      <c r="C533" s="3" t="s">
        <v>2731</v>
      </c>
      <c r="D533" s="3" t="s">
        <v>2708</v>
      </c>
      <c r="E533" s="3" t="s">
        <v>2774</v>
      </c>
      <c r="F533" s="3" t="s">
        <v>2775</v>
      </c>
      <c r="G533" s="3" t="s">
        <v>2691</v>
      </c>
      <c r="H533" s="3" t="s">
        <v>2752</v>
      </c>
      <c r="I533" s="3" t="s">
        <v>2712</v>
      </c>
      <c r="J533" s="3" t="s">
        <v>2694</v>
      </c>
      <c r="K533" s="3" t="s">
        <v>2695</v>
      </c>
    </row>
    <row r="534" customFormat="false" ht="15" hidden="false" customHeight="true" outlineLevel="0" collapsed="false">
      <c r="A534" s="3" t="s">
        <v>1612</v>
      </c>
      <c r="B534" s="3" t="s">
        <v>2755</v>
      </c>
      <c r="C534" s="3" t="s">
        <v>2697</v>
      </c>
      <c r="D534" s="3" t="s">
        <v>2714</v>
      </c>
      <c r="E534" s="3" t="s">
        <v>2715</v>
      </c>
      <c r="F534" s="3" t="s">
        <v>2716</v>
      </c>
      <c r="G534" s="3" t="s">
        <v>2691</v>
      </c>
      <c r="H534" s="3" t="s">
        <v>2744</v>
      </c>
      <c r="I534" s="3" t="s">
        <v>2768</v>
      </c>
      <c r="J534" s="3" t="s">
        <v>2694</v>
      </c>
      <c r="K534" s="3" t="s">
        <v>2695</v>
      </c>
    </row>
    <row r="535" customFormat="false" ht="15" hidden="false" customHeight="true" outlineLevel="0" collapsed="false">
      <c r="A535" s="3" t="s">
        <v>1615</v>
      </c>
      <c r="B535" s="3" t="s">
        <v>2739</v>
      </c>
      <c r="C535" s="3" t="s">
        <v>2729</v>
      </c>
      <c r="D535" s="3" t="s">
        <v>2698</v>
      </c>
      <c r="E535" s="3" t="s">
        <v>2756</v>
      </c>
      <c r="F535" s="3" t="s">
        <v>2757</v>
      </c>
      <c r="G535" s="3" t="s">
        <v>2701</v>
      </c>
      <c r="H535" s="3" t="s">
        <v>2702</v>
      </c>
      <c r="I535" s="3" t="s">
        <v>2693</v>
      </c>
      <c r="J535" s="3" t="s">
        <v>2753</v>
      </c>
      <c r="K535" s="3" t="s">
        <v>2718</v>
      </c>
    </row>
    <row r="536" customFormat="false" ht="15" hidden="false" customHeight="true" outlineLevel="0" collapsed="false">
      <c r="A536" s="3" t="s">
        <v>1618</v>
      </c>
      <c r="B536" s="3" t="s">
        <v>2704</v>
      </c>
      <c r="C536" s="3" t="s">
        <v>2731</v>
      </c>
      <c r="D536" s="3" t="s">
        <v>2741</v>
      </c>
      <c r="E536" s="3" t="s">
        <v>2689</v>
      </c>
      <c r="F536" s="3" t="s">
        <v>2690</v>
      </c>
      <c r="G536" s="3" t="s">
        <v>2701</v>
      </c>
      <c r="H536" s="3" t="s">
        <v>2702</v>
      </c>
      <c r="I536" s="3" t="s">
        <v>2703</v>
      </c>
      <c r="J536" s="3" t="s">
        <v>2694</v>
      </c>
      <c r="K536" s="3" t="s">
        <v>2695</v>
      </c>
    </row>
    <row r="537" customFormat="false" ht="15" hidden="false" customHeight="true" outlineLevel="0" collapsed="false">
      <c r="A537" s="3" t="s">
        <v>1621</v>
      </c>
      <c r="B537" s="3" t="s">
        <v>2749</v>
      </c>
      <c r="C537" s="3" t="s">
        <v>2731</v>
      </c>
      <c r="D537" s="3" t="s">
        <v>2698</v>
      </c>
      <c r="E537" s="3" t="s">
        <v>2750</v>
      </c>
      <c r="F537" s="3" t="s">
        <v>2751</v>
      </c>
      <c r="G537" s="3" t="s">
        <v>2722</v>
      </c>
      <c r="H537" s="3" t="s">
        <v>2723</v>
      </c>
      <c r="I537" s="3" t="s">
        <v>2693</v>
      </c>
      <c r="J537" s="3" t="s">
        <v>2738</v>
      </c>
      <c r="K537" s="3" t="s">
        <v>2735</v>
      </c>
    </row>
    <row r="538" customFormat="false" ht="15" hidden="false" customHeight="true" outlineLevel="0" collapsed="false">
      <c r="A538" s="3" t="s">
        <v>1624</v>
      </c>
      <c r="B538" s="3" t="s">
        <v>2755</v>
      </c>
      <c r="C538" s="3" t="s">
        <v>2697</v>
      </c>
      <c r="D538" s="3" t="s">
        <v>2714</v>
      </c>
      <c r="E538" s="3" t="s">
        <v>2715</v>
      </c>
      <c r="F538" s="3" t="s">
        <v>2716</v>
      </c>
      <c r="G538" s="3" t="s">
        <v>2722</v>
      </c>
      <c r="H538" s="3" t="s">
        <v>2725</v>
      </c>
      <c r="I538" s="3" t="s">
        <v>2706</v>
      </c>
      <c r="J538" s="3" t="s">
        <v>2694</v>
      </c>
      <c r="K538" s="3" t="s">
        <v>2695</v>
      </c>
    </row>
    <row r="539" customFormat="false" ht="15" hidden="false" customHeight="true" outlineLevel="0" collapsed="false">
      <c r="A539" s="3" t="s">
        <v>1627</v>
      </c>
      <c r="B539" s="3" t="s">
        <v>2713</v>
      </c>
      <c r="C539" s="3" t="s">
        <v>2697</v>
      </c>
      <c r="D539" s="3" t="s">
        <v>2714</v>
      </c>
      <c r="E539" s="3" t="s">
        <v>2689</v>
      </c>
      <c r="F539" s="3" t="s">
        <v>2737</v>
      </c>
      <c r="G539" s="3" t="s">
        <v>2701</v>
      </c>
      <c r="H539" s="3" t="s">
        <v>2717</v>
      </c>
      <c r="I539" s="3" t="s">
        <v>2706</v>
      </c>
      <c r="J539" s="3" t="s">
        <v>2753</v>
      </c>
      <c r="K539" s="3" t="s">
        <v>2718</v>
      </c>
    </row>
    <row r="540" customFormat="false" ht="15" hidden="false" customHeight="true" outlineLevel="0" collapsed="false">
      <c r="A540" s="3" t="s">
        <v>1630</v>
      </c>
      <c r="B540" s="3" t="s">
        <v>2713</v>
      </c>
      <c r="C540" s="3" t="s">
        <v>2697</v>
      </c>
      <c r="D540" s="3" t="s">
        <v>2741</v>
      </c>
      <c r="E540" s="3" t="s">
        <v>2772</v>
      </c>
      <c r="F540" s="3" t="s">
        <v>2773</v>
      </c>
      <c r="G540" s="3" t="s">
        <v>2691</v>
      </c>
      <c r="H540" s="3" t="s">
        <v>2705</v>
      </c>
      <c r="I540" s="3" t="s">
        <v>2703</v>
      </c>
      <c r="J540" s="3" t="s">
        <v>2753</v>
      </c>
      <c r="K540" s="3" t="s">
        <v>2718</v>
      </c>
    </row>
    <row r="541" customFormat="false" ht="15" hidden="false" customHeight="true" outlineLevel="0" collapsed="false">
      <c r="A541" s="3" t="s">
        <v>1633</v>
      </c>
      <c r="B541" s="3" t="s">
        <v>2755</v>
      </c>
      <c r="C541" s="3" t="s">
        <v>2697</v>
      </c>
      <c r="D541" s="3" t="s">
        <v>2698</v>
      </c>
      <c r="E541" s="3" t="s">
        <v>2770</v>
      </c>
      <c r="F541" s="3" t="s">
        <v>2771</v>
      </c>
      <c r="G541" s="3" t="s">
        <v>2701</v>
      </c>
      <c r="H541" s="3" t="s">
        <v>2702</v>
      </c>
      <c r="I541" s="3" t="s">
        <v>2693</v>
      </c>
      <c r="J541" s="3" t="s">
        <v>2694</v>
      </c>
      <c r="K541" s="3" t="s">
        <v>2695</v>
      </c>
    </row>
    <row r="542" customFormat="false" ht="15" hidden="false" customHeight="true" outlineLevel="0" collapsed="false">
      <c r="A542" s="3" t="s">
        <v>1636</v>
      </c>
      <c r="B542" s="3" t="s">
        <v>2826</v>
      </c>
      <c r="C542" s="3" t="s">
        <v>2697</v>
      </c>
      <c r="D542" s="3" t="s">
        <v>2708</v>
      </c>
      <c r="E542" s="3" t="s">
        <v>2774</v>
      </c>
      <c r="F542" s="3" t="s">
        <v>2775</v>
      </c>
      <c r="G542" s="3" t="s">
        <v>2701</v>
      </c>
      <c r="H542" s="3" t="s">
        <v>2717</v>
      </c>
      <c r="I542" s="3" t="s">
        <v>2712</v>
      </c>
      <c r="J542" s="3" t="s">
        <v>2694</v>
      </c>
      <c r="K542" s="3" t="s">
        <v>2718</v>
      </c>
    </row>
    <row r="543" customFormat="false" ht="15" hidden="false" customHeight="true" outlineLevel="0" collapsed="false">
      <c r="A543" s="3" t="s">
        <v>1639</v>
      </c>
      <c r="B543" s="3" t="s">
        <v>2778</v>
      </c>
      <c r="C543" s="3" t="s">
        <v>2687</v>
      </c>
      <c r="D543" s="3" t="s">
        <v>2714</v>
      </c>
      <c r="E543" s="3" t="s">
        <v>2762</v>
      </c>
      <c r="F543" s="3" t="s">
        <v>2763</v>
      </c>
      <c r="G543" s="3" t="s">
        <v>2701</v>
      </c>
      <c r="H543" s="3" t="s">
        <v>2711</v>
      </c>
      <c r="I543" s="3" t="s">
        <v>2712</v>
      </c>
      <c r="J543" s="3" t="s">
        <v>2694</v>
      </c>
      <c r="K543" s="3" t="s">
        <v>2695</v>
      </c>
    </row>
    <row r="544" customFormat="false" ht="15" hidden="false" customHeight="true" outlineLevel="0" collapsed="false">
      <c r="A544" s="3" t="s">
        <v>1642</v>
      </c>
      <c r="B544" s="3" t="s">
        <v>2746</v>
      </c>
      <c r="C544" s="3" t="s">
        <v>2687</v>
      </c>
      <c r="D544" s="3" t="s">
        <v>2714</v>
      </c>
      <c r="E544" s="3" t="s">
        <v>2715</v>
      </c>
      <c r="F544" s="3" t="s">
        <v>2716</v>
      </c>
      <c r="G544" s="3" t="s">
        <v>2722</v>
      </c>
      <c r="H544" s="3" t="s">
        <v>2725</v>
      </c>
      <c r="I544" s="3" t="s">
        <v>2703</v>
      </c>
      <c r="J544" s="3" t="s">
        <v>2694</v>
      </c>
      <c r="K544" s="3" t="s">
        <v>2735</v>
      </c>
    </row>
    <row r="545" customFormat="false" ht="15" hidden="false" customHeight="true" outlineLevel="0" collapsed="false">
      <c r="A545" s="3" t="s">
        <v>1645</v>
      </c>
      <c r="B545" s="3" t="s">
        <v>2740</v>
      </c>
      <c r="C545" s="3" t="s">
        <v>2731</v>
      </c>
      <c r="D545" s="3" t="s">
        <v>2708</v>
      </c>
      <c r="E545" s="3" t="s">
        <v>2764</v>
      </c>
      <c r="F545" s="3" t="s">
        <v>2765</v>
      </c>
      <c r="G545" s="3" t="s">
        <v>2701</v>
      </c>
      <c r="H545" s="3" t="s">
        <v>2754</v>
      </c>
      <c r="I545" s="3" t="s">
        <v>2693</v>
      </c>
      <c r="J545" s="3" t="s">
        <v>2694</v>
      </c>
      <c r="K545" s="3" t="s">
        <v>2827</v>
      </c>
    </row>
    <row r="546" customFormat="false" ht="15" hidden="false" customHeight="true" outlineLevel="0" collapsed="false">
      <c r="A546" s="3" t="s">
        <v>1648</v>
      </c>
      <c r="B546" s="3" t="s">
        <v>2696</v>
      </c>
      <c r="C546" s="3" t="s">
        <v>2687</v>
      </c>
      <c r="D546" s="3" t="s">
        <v>2698</v>
      </c>
      <c r="E546" s="3" t="s">
        <v>2750</v>
      </c>
      <c r="F546" s="3" t="s">
        <v>2751</v>
      </c>
      <c r="G546" s="3" t="s">
        <v>2722</v>
      </c>
      <c r="H546" s="3" t="s">
        <v>2725</v>
      </c>
      <c r="I546" s="3" t="s">
        <v>2703</v>
      </c>
      <c r="J546" s="3" t="s">
        <v>2694</v>
      </c>
      <c r="K546" s="3" t="s">
        <v>2695</v>
      </c>
    </row>
    <row r="547" customFormat="false" ht="15" hidden="false" customHeight="true" outlineLevel="0" collapsed="false">
      <c r="A547" s="3" t="s">
        <v>1651</v>
      </c>
      <c r="B547" s="3" t="s">
        <v>2713</v>
      </c>
      <c r="C547" s="3" t="s">
        <v>2687</v>
      </c>
      <c r="D547" s="3" t="s">
        <v>2708</v>
      </c>
      <c r="E547" s="3" t="s">
        <v>2764</v>
      </c>
      <c r="F547" s="3" t="s">
        <v>2765</v>
      </c>
      <c r="G547" s="3" t="s">
        <v>2691</v>
      </c>
      <c r="H547" s="3" t="s">
        <v>2705</v>
      </c>
      <c r="I547" s="3" t="s">
        <v>2703</v>
      </c>
      <c r="J547" s="3" t="s">
        <v>2694</v>
      </c>
      <c r="K547" s="3" t="s">
        <v>2718</v>
      </c>
    </row>
    <row r="548" customFormat="false" ht="15" hidden="false" customHeight="true" outlineLevel="0" collapsed="false">
      <c r="A548" s="3" t="s">
        <v>1654</v>
      </c>
      <c r="B548" s="3" t="s">
        <v>2778</v>
      </c>
      <c r="C548" s="3" t="s">
        <v>2697</v>
      </c>
      <c r="D548" s="3" t="s">
        <v>2698</v>
      </c>
      <c r="E548" s="3" t="s">
        <v>2770</v>
      </c>
      <c r="F548" s="3" t="s">
        <v>2771</v>
      </c>
      <c r="G548" s="3" t="s">
        <v>2691</v>
      </c>
      <c r="H548" s="3" t="s">
        <v>2744</v>
      </c>
      <c r="I548" s="3" t="s">
        <v>2703</v>
      </c>
      <c r="J548" s="3" t="s">
        <v>2694</v>
      </c>
      <c r="K548" s="3" t="s">
        <v>2695</v>
      </c>
    </row>
    <row r="549" customFormat="false" ht="15" hidden="false" customHeight="true" outlineLevel="0" collapsed="false">
      <c r="A549" s="3" t="s">
        <v>1657</v>
      </c>
      <c r="B549" s="3" t="s">
        <v>2707</v>
      </c>
      <c r="C549" s="3" t="s">
        <v>2729</v>
      </c>
      <c r="D549" s="3" t="s">
        <v>2714</v>
      </c>
      <c r="E549" s="3" t="s">
        <v>2762</v>
      </c>
      <c r="F549" s="3" t="s">
        <v>2763</v>
      </c>
      <c r="G549" s="3" t="s">
        <v>2828</v>
      </c>
      <c r="H549" s="3" t="s">
        <v>2692</v>
      </c>
      <c r="I549" s="3" t="s">
        <v>2706</v>
      </c>
      <c r="J549" s="3" t="s">
        <v>2694</v>
      </c>
      <c r="K549" s="3" t="s">
        <v>2695</v>
      </c>
    </row>
    <row r="550" customFormat="false" ht="15" hidden="false" customHeight="true" outlineLevel="0" collapsed="false">
      <c r="A550" s="3" t="s">
        <v>1660</v>
      </c>
      <c r="B550" s="3" t="s">
        <v>2724</v>
      </c>
      <c r="C550" s="3" t="s">
        <v>2697</v>
      </c>
      <c r="D550" s="3" t="s">
        <v>2741</v>
      </c>
      <c r="E550" s="3" t="s">
        <v>2747</v>
      </c>
      <c r="F550" s="3" t="s">
        <v>2748</v>
      </c>
      <c r="G550" s="3" t="s">
        <v>2722</v>
      </c>
      <c r="H550" s="3" t="s">
        <v>2725</v>
      </c>
      <c r="I550" s="3" t="s">
        <v>2712</v>
      </c>
      <c r="J550" s="3" t="s">
        <v>2694</v>
      </c>
      <c r="K550" s="3" t="s">
        <v>2695</v>
      </c>
    </row>
    <row r="551" customFormat="false" ht="15" hidden="false" customHeight="true" outlineLevel="0" collapsed="false">
      <c r="A551" s="3" t="s">
        <v>1663</v>
      </c>
      <c r="B551" s="3" t="s">
        <v>2749</v>
      </c>
      <c r="C551" s="3" t="s">
        <v>2729</v>
      </c>
      <c r="D551" s="3" t="s">
        <v>2698</v>
      </c>
      <c r="E551" s="3" t="s">
        <v>2750</v>
      </c>
      <c r="F551" s="3" t="s">
        <v>2751</v>
      </c>
      <c r="G551" s="3" t="s">
        <v>2701</v>
      </c>
      <c r="H551" s="3" t="s">
        <v>2754</v>
      </c>
      <c r="I551" s="3" t="s">
        <v>2703</v>
      </c>
      <c r="J551" s="3" t="s">
        <v>2738</v>
      </c>
      <c r="K551" s="3" t="s">
        <v>2718</v>
      </c>
    </row>
    <row r="552" customFormat="false" ht="15" hidden="false" customHeight="true" outlineLevel="0" collapsed="false">
      <c r="A552" s="3" t="s">
        <v>1666</v>
      </c>
      <c r="B552" s="3" t="s">
        <v>2696</v>
      </c>
      <c r="C552" s="3" t="s">
        <v>2729</v>
      </c>
      <c r="D552" s="3" t="s">
        <v>2708</v>
      </c>
      <c r="E552" s="3" t="s">
        <v>2709</v>
      </c>
      <c r="F552" s="3" t="s">
        <v>2710</v>
      </c>
      <c r="G552" s="3" t="s">
        <v>2691</v>
      </c>
      <c r="H552" s="3" t="s">
        <v>2705</v>
      </c>
      <c r="I552" s="3" t="s">
        <v>2693</v>
      </c>
      <c r="J552" s="3" t="s">
        <v>2694</v>
      </c>
      <c r="K552" s="3" t="s">
        <v>2695</v>
      </c>
    </row>
    <row r="553" customFormat="false" ht="15" hidden="false" customHeight="true" outlineLevel="0" collapsed="false">
      <c r="A553" s="3" t="s">
        <v>1669</v>
      </c>
      <c r="B553" s="3" t="s">
        <v>2696</v>
      </c>
      <c r="C553" s="3" t="s">
        <v>2731</v>
      </c>
      <c r="D553" s="3" t="s">
        <v>2698</v>
      </c>
      <c r="E553" s="3" t="s">
        <v>2699</v>
      </c>
      <c r="F553" s="3" t="s">
        <v>2700</v>
      </c>
      <c r="G553" s="3" t="s">
        <v>2722</v>
      </c>
      <c r="H553" s="3" t="s">
        <v>2723</v>
      </c>
      <c r="I553" s="3" t="s">
        <v>2712</v>
      </c>
      <c r="J553" s="3" t="s">
        <v>2694</v>
      </c>
      <c r="K553" s="3" t="s">
        <v>2695</v>
      </c>
    </row>
    <row r="554" customFormat="false" ht="15" hidden="false" customHeight="true" outlineLevel="0" collapsed="false">
      <c r="A554" s="3" t="s">
        <v>1672</v>
      </c>
      <c r="B554" s="3" t="s">
        <v>2746</v>
      </c>
      <c r="C554" s="3" t="s">
        <v>2687</v>
      </c>
      <c r="D554" s="3" t="s">
        <v>2698</v>
      </c>
      <c r="E554" s="3" t="s">
        <v>2770</v>
      </c>
      <c r="F554" s="3" t="s">
        <v>2771</v>
      </c>
      <c r="G554" s="3" t="s">
        <v>2701</v>
      </c>
      <c r="H554" s="3" t="s">
        <v>2717</v>
      </c>
      <c r="I554" s="3" t="s">
        <v>2693</v>
      </c>
      <c r="J554" s="3" t="s">
        <v>2694</v>
      </c>
      <c r="K554" s="3" t="s">
        <v>2695</v>
      </c>
    </row>
    <row r="555" customFormat="false" ht="15" hidden="false" customHeight="true" outlineLevel="0" collapsed="false">
      <c r="A555" s="3" t="s">
        <v>1675</v>
      </c>
      <c r="B555" s="3" t="s">
        <v>2713</v>
      </c>
      <c r="C555" s="3" t="s">
        <v>2729</v>
      </c>
      <c r="D555" s="3" t="s">
        <v>2698</v>
      </c>
      <c r="E555" s="3" t="s">
        <v>2732</v>
      </c>
      <c r="F555" s="3" t="s">
        <v>2733</v>
      </c>
      <c r="G555" s="3" t="s">
        <v>2722</v>
      </c>
      <c r="H555" s="3" t="s">
        <v>2725</v>
      </c>
      <c r="I555" s="3" t="s">
        <v>2712</v>
      </c>
      <c r="J555" s="3" t="s">
        <v>2694</v>
      </c>
      <c r="K555" s="3" t="s">
        <v>2695</v>
      </c>
    </row>
    <row r="556" customFormat="false" ht="15" hidden="false" customHeight="true" outlineLevel="0" collapsed="false">
      <c r="A556" s="3" t="s">
        <v>1678</v>
      </c>
      <c r="B556" s="3" t="s">
        <v>2745</v>
      </c>
      <c r="C556" s="3" t="s">
        <v>2697</v>
      </c>
      <c r="D556" s="3" t="s">
        <v>2714</v>
      </c>
      <c r="E556" s="3" t="s">
        <v>2762</v>
      </c>
      <c r="F556" s="3" t="s">
        <v>2763</v>
      </c>
      <c r="G556" s="3" t="s">
        <v>2691</v>
      </c>
      <c r="H556" s="3" t="s">
        <v>2744</v>
      </c>
      <c r="I556" s="3" t="s">
        <v>2706</v>
      </c>
      <c r="J556" s="3" t="s">
        <v>2694</v>
      </c>
      <c r="K556" s="3" t="s">
        <v>2695</v>
      </c>
    </row>
    <row r="557" customFormat="false" ht="15" hidden="false" customHeight="true" outlineLevel="0" collapsed="false">
      <c r="A557" s="3" t="s">
        <v>1681</v>
      </c>
      <c r="B557" s="3" t="s">
        <v>2707</v>
      </c>
      <c r="C557" s="3" t="s">
        <v>2687</v>
      </c>
      <c r="D557" s="3" t="s">
        <v>2768</v>
      </c>
      <c r="E557" s="3" t="s">
        <v>2770</v>
      </c>
      <c r="F557" s="3" t="s">
        <v>2771</v>
      </c>
      <c r="G557" s="3" t="s">
        <v>2701</v>
      </c>
      <c r="H557" s="3" t="s">
        <v>2711</v>
      </c>
      <c r="I557" s="3" t="s">
        <v>2712</v>
      </c>
      <c r="J557" s="3" t="s">
        <v>2694</v>
      </c>
      <c r="K557" s="3" t="s">
        <v>2695</v>
      </c>
    </row>
    <row r="558" customFormat="false" ht="15" hidden="false" customHeight="true" outlineLevel="0" collapsed="false">
      <c r="A558" s="3" t="s">
        <v>1684</v>
      </c>
      <c r="B558" s="3" t="s">
        <v>2713</v>
      </c>
      <c r="C558" s="3" t="s">
        <v>2697</v>
      </c>
      <c r="D558" s="3" t="s">
        <v>2708</v>
      </c>
      <c r="E558" s="3" t="s">
        <v>2709</v>
      </c>
      <c r="F558" s="3" t="s">
        <v>2710</v>
      </c>
      <c r="G558" s="3" t="s">
        <v>2691</v>
      </c>
      <c r="H558" s="3" t="s">
        <v>2744</v>
      </c>
      <c r="I558" s="3" t="s">
        <v>2712</v>
      </c>
      <c r="J558" s="3" t="s">
        <v>2694</v>
      </c>
      <c r="K558" s="3" t="s">
        <v>2695</v>
      </c>
    </row>
    <row r="559" customFormat="false" ht="15" hidden="false" customHeight="true" outlineLevel="0" collapsed="false">
      <c r="A559" s="3" t="s">
        <v>1687</v>
      </c>
      <c r="B559" s="3" t="s">
        <v>2724</v>
      </c>
      <c r="C559" s="3" t="s">
        <v>2687</v>
      </c>
      <c r="D559" s="3" t="s">
        <v>2741</v>
      </c>
      <c r="E559" s="3" t="s">
        <v>2772</v>
      </c>
      <c r="F559" s="3" t="s">
        <v>2773</v>
      </c>
      <c r="G559" s="3" t="s">
        <v>2701</v>
      </c>
      <c r="H559" s="3" t="s">
        <v>2702</v>
      </c>
      <c r="I559" s="3" t="s">
        <v>2706</v>
      </c>
      <c r="J559" s="3" t="s">
        <v>2694</v>
      </c>
      <c r="K559" s="3" t="s">
        <v>2735</v>
      </c>
    </row>
    <row r="560" customFormat="false" ht="15" hidden="false" customHeight="true" outlineLevel="0" collapsed="false">
      <c r="A560" s="3" t="s">
        <v>1690</v>
      </c>
      <c r="B560" s="3" t="s">
        <v>2719</v>
      </c>
      <c r="C560" s="3" t="s">
        <v>2731</v>
      </c>
      <c r="D560" s="3" t="s">
        <v>2741</v>
      </c>
      <c r="E560" s="3" t="s">
        <v>2772</v>
      </c>
      <c r="F560" s="3" t="s">
        <v>2773</v>
      </c>
      <c r="G560" s="3" t="s">
        <v>2722</v>
      </c>
      <c r="H560" s="3" t="s">
        <v>2758</v>
      </c>
      <c r="I560" s="3" t="s">
        <v>2706</v>
      </c>
      <c r="J560" s="3" t="s">
        <v>2694</v>
      </c>
      <c r="K560" s="3" t="s">
        <v>2718</v>
      </c>
    </row>
    <row r="561" customFormat="false" ht="15" hidden="false" customHeight="true" outlineLevel="0" collapsed="false">
      <c r="A561" s="3" t="s">
        <v>1693</v>
      </c>
      <c r="B561" s="3" t="s">
        <v>2728</v>
      </c>
      <c r="C561" s="3" t="s">
        <v>2729</v>
      </c>
      <c r="D561" s="3" t="s">
        <v>2741</v>
      </c>
      <c r="E561" s="3" t="s">
        <v>2742</v>
      </c>
      <c r="F561" s="3" t="s">
        <v>2743</v>
      </c>
      <c r="G561" s="3" t="s">
        <v>2722</v>
      </c>
      <c r="H561" s="3" t="s">
        <v>2779</v>
      </c>
      <c r="I561" s="3" t="s">
        <v>2706</v>
      </c>
      <c r="J561" s="3" t="s">
        <v>2694</v>
      </c>
      <c r="K561" s="3" t="s">
        <v>2695</v>
      </c>
    </row>
    <row r="562" customFormat="false" ht="15" hidden="false" customHeight="true" outlineLevel="0" collapsed="false">
      <c r="A562" s="3" t="s">
        <v>1696</v>
      </c>
      <c r="B562" s="3" t="s">
        <v>2755</v>
      </c>
      <c r="C562" s="3" t="s">
        <v>2729</v>
      </c>
      <c r="D562" s="3" t="s">
        <v>2698</v>
      </c>
      <c r="E562" s="3" t="s">
        <v>2750</v>
      </c>
      <c r="F562" s="3" t="s">
        <v>2751</v>
      </c>
      <c r="G562" s="3" t="s">
        <v>2722</v>
      </c>
      <c r="H562" s="3" t="s">
        <v>2725</v>
      </c>
      <c r="I562" s="3" t="s">
        <v>2693</v>
      </c>
      <c r="J562" s="3" t="s">
        <v>2694</v>
      </c>
      <c r="K562" s="3" t="s">
        <v>2735</v>
      </c>
    </row>
    <row r="563" customFormat="false" ht="15" hidden="false" customHeight="true" outlineLevel="0" collapsed="false">
      <c r="A563" s="3" t="s">
        <v>1699</v>
      </c>
      <c r="B563" s="3" t="s">
        <v>2707</v>
      </c>
      <c r="C563" s="3" t="s">
        <v>2687</v>
      </c>
      <c r="D563" s="3" t="s">
        <v>2714</v>
      </c>
      <c r="E563" s="3" t="s">
        <v>2766</v>
      </c>
      <c r="F563" s="3" t="s">
        <v>2767</v>
      </c>
      <c r="G563" s="3" t="s">
        <v>2691</v>
      </c>
      <c r="H563" s="3" t="s">
        <v>2744</v>
      </c>
      <c r="I563" s="3" t="s">
        <v>2712</v>
      </c>
      <c r="J563" s="3" t="s">
        <v>2694</v>
      </c>
      <c r="K563" s="3" t="s">
        <v>2718</v>
      </c>
    </row>
    <row r="564" customFormat="false" ht="15" hidden="false" customHeight="true" outlineLevel="0" collapsed="false">
      <c r="A564" s="3" t="s">
        <v>1702</v>
      </c>
      <c r="B564" s="3" t="s">
        <v>2728</v>
      </c>
      <c r="C564" s="3" t="s">
        <v>2687</v>
      </c>
      <c r="D564" s="3" t="s">
        <v>2741</v>
      </c>
      <c r="E564" s="3" t="s">
        <v>2742</v>
      </c>
      <c r="F564" s="3" t="s">
        <v>2743</v>
      </c>
      <c r="G564" s="3" t="s">
        <v>2722</v>
      </c>
      <c r="H564" s="3" t="s">
        <v>2725</v>
      </c>
      <c r="I564" s="3" t="s">
        <v>2706</v>
      </c>
      <c r="J564" s="3" t="s">
        <v>2738</v>
      </c>
      <c r="K564" s="3" t="s">
        <v>2735</v>
      </c>
    </row>
    <row r="565" customFormat="false" ht="15" hidden="false" customHeight="true" outlineLevel="0" collapsed="false">
      <c r="A565" s="3" t="s">
        <v>1705</v>
      </c>
      <c r="B565" s="3" t="s">
        <v>2686</v>
      </c>
      <c r="C565" s="3" t="s">
        <v>2687</v>
      </c>
      <c r="D565" s="3" t="s">
        <v>2741</v>
      </c>
      <c r="E565" s="3" t="s">
        <v>2742</v>
      </c>
      <c r="F565" s="3" t="s">
        <v>2743</v>
      </c>
      <c r="G565" s="3" t="s">
        <v>2691</v>
      </c>
      <c r="H565" s="3" t="s">
        <v>2752</v>
      </c>
      <c r="I565" s="3" t="s">
        <v>2703</v>
      </c>
      <c r="J565" s="3" t="s">
        <v>2753</v>
      </c>
      <c r="K565" s="3" t="s">
        <v>2735</v>
      </c>
    </row>
    <row r="566" customFormat="false" ht="15" hidden="false" customHeight="true" outlineLevel="0" collapsed="false">
      <c r="A566" s="3" t="s">
        <v>1708</v>
      </c>
      <c r="B566" s="3" t="s">
        <v>2707</v>
      </c>
      <c r="C566" s="3" t="s">
        <v>2729</v>
      </c>
      <c r="D566" s="3" t="s">
        <v>2714</v>
      </c>
      <c r="E566" s="3" t="s">
        <v>2766</v>
      </c>
      <c r="F566" s="3" t="s">
        <v>2767</v>
      </c>
      <c r="G566" s="3" t="s">
        <v>2701</v>
      </c>
      <c r="H566" s="3" t="s">
        <v>2702</v>
      </c>
      <c r="I566" s="3" t="s">
        <v>2712</v>
      </c>
      <c r="J566" s="3" t="s">
        <v>2738</v>
      </c>
      <c r="K566" s="3" t="s">
        <v>2718</v>
      </c>
    </row>
    <row r="567" customFormat="false" ht="15" hidden="false" customHeight="true" outlineLevel="0" collapsed="false">
      <c r="A567" s="3" t="s">
        <v>1711</v>
      </c>
      <c r="B567" s="3" t="s">
        <v>2746</v>
      </c>
      <c r="C567" s="3" t="s">
        <v>2729</v>
      </c>
      <c r="D567" s="3" t="s">
        <v>2708</v>
      </c>
      <c r="E567" s="3" t="s">
        <v>2726</v>
      </c>
      <c r="F567" s="3" t="s">
        <v>2727</v>
      </c>
      <c r="G567" s="3" t="s">
        <v>2701</v>
      </c>
      <c r="H567" s="3" t="s">
        <v>2702</v>
      </c>
      <c r="I567" s="3" t="s">
        <v>2706</v>
      </c>
      <c r="J567" s="3" t="s">
        <v>2694</v>
      </c>
      <c r="K567" s="3" t="s">
        <v>2695</v>
      </c>
    </row>
    <row r="568" customFormat="false" ht="15" hidden="false" customHeight="true" outlineLevel="0" collapsed="false">
      <c r="A568" s="3" t="s">
        <v>1714</v>
      </c>
      <c r="B568" s="3" t="s">
        <v>2696</v>
      </c>
      <c r="C568" s="3" t="s">
        <v>2729</v>
      </c>
      <c r="D568" s="3" t="s">
        <v>2741</v>
      </c>
      <c r="E568" s="3" t="s">
        <v>2782</v>
      </c>
      <c r="F568" s="3" t="s">
        <v>2783</v>
      </c>
      <c r="G568" s="3" t="s">
        <v>2722</v>
      </c>
      <c r="H568" s="3" t="s">
        <v>2758</v>
      </c>
      <c r="I568" s="3" t="s">
        <v>2712</v>
      </c>
      <c r="J568" s="3" t="s">
        <v>2734</v>
      </c>
      <c r="K568" s="3" t="s">
        <v>2718</v>
      </c>
    </row>
    <row r="569" customFormat="false" ht="15" hidden="false" customHeight="true" outlineLevel="0" collapsed="false">
      <c r="A569" s="3" t="s">
        <v>1717</v>
      </c>
      <c r="B569" s="3" t="s">
        <v>2746</v>
      </c>
      <c r="C569" s="3" t="s">
        <v>2697</v>
      </c>
      <c r="D569" s="3" t="s">
        <v>2714</v>
      </c>
      <c r="E569" s="3" t="s">
        <v>2715</v>
      </c>
      <c r="F569" s="3" t="s">
        <v>2716</v>
      </c>
      <c r="G569" s="3" t="s">
        <v>2691</v>
      </c>
      <c r="H569" s="3" t="s">
        <v>2692</v>
      </c>
      <c r="I569" s="3" t="s">
        <v>2703</v>
      </c>
      <c r="J569" s="3" t="s">
        <v>2753</v>
      </c>
      <c r="K569" s="3" t="s">
        <v>2735</v>
      </c>
    </row>
    <row r="570" customFormat="false" ht="15" hidden="false" customHeight="true" outlineLevel="0" collapsed="false">
      <c r="A570" s="3" t="s">
        <v>1720</v>
      </c>
      <c r="B570" s="3" t="s">
        <v>2707</v>
      </c>
      <c r="C570" s="3" t="s">
        <v>2731</v>
      </c>
      <c r="D570" s="3" t="s">
        <v>2741</v>
      </c>
      <c r="E570" s="3" t="s">
        <v>2747</v>
      </c>
      <c r="F570" s="3" t="s">
        <v>2748</v>
      </c>
      <c r="G570" s="3" t="s">
        <v>2701</v>
      </c>
      <c r="H570" s="3" t="s">
        <v>2711</v>
      </c>
      <c r="I570" s="3" t="s">
        <v>2703</v>
      </c>
      <c r="J570" s="3" t="s">
        <v>2694</v>
      </c>
      <c r="K570" s="3" t="s">
        <v>2695</v>
      </c>
    </row>
    <row r="571" customFormat="false" ht="15" hidden="false" customHeight="true" outlineLevel="0" collapsed="false">
      <c r="A571" s="3" t="s">
        <v>1722</v>
      </c>
      <c r="B571" s="3" t="s">
        <v>2778</v>
      </c>
      <c r="C571" s="3" t="s">
        <v>2729</v>
      </c>
      <c r="D571" s="3" t="s">
        <v>2741</v>
      </c>
      <c r="E571" s="3" t="s">
        <v>2742</v>
      </c>
      <c r="F571" s="3" t="s">
        <v>2743</v>
      </c>
      <c r="G571" s="3" t="s">
        <v>2722</v>
      </c>
      <c r="H571" s="3" t="s">
        <v>2779</v>
      </c>
      <c r="I571" s="3" t="s">
        <v>2703</v>
      </c>
      <c r="J571" s="3" t="s">
        <v>2694</v>
      </c>
      <c r="K571" s="3" t="s">
        <v>2695</v>
      </c>
    </row>
    <row r="572" customFormat="false" ht="15" hidden="false" customHeight="true" outlineLevel="0" collapsed="false">
      <c r="A572" s="3" t="s">
        <v>1725</v>
      </c>
      <c r="B572" s="3" t="s">
        <v>2740</v>
      </c>
      <c r="C572" s="3" t="s">
        <v>2731</v>
      </c>
      <c r="D572" s="3" t="s">
        <v>2714</v>
      </c>
      <c r="E572" s="3" t="s">
        <v>2715</v>
      </c>
      <c r="F572" s="3" t="s">
        <v>2716</v>
      </c>
      <c r="G572" s="3" t="s">
        <v>2701</v>
      </c>
      <c r="H572" s="3" t="s">
        <v>2711</v>
      </c>
      <c r="I572" s="3" t="s">
        <v>2712</v>
      </c>
      <c r="J572" s="3" t="s">
        <v>2734</v>
      </c>
      <c r="K572" s="3" t="s">
        <v>2735</v>
      </c>
    </row>
    <row r="573" customFormat="false" ht="15" hidden="false" customHeight="true" outlineLevel="0" collapsed="false">
      <c r="A573" s="3" t="s">
        <v>1728</v>
      </c>
      <c r="B573" s="3" t="s">
        <v>2707</v>
      </c>
      <c r="C573" s="3" t="s">
        <v>2687</v>
      </c>
      <c r="D573" s="3" t="s">
        <v>2698</v>
      </c>
      <c r="E573" s="3" t="s">
        <v>2770</v>
      </c>
      <c r="F573" s="3" t="s">
        <v>2771</v>
      </c>
      <c r="G573" s="3" t="s">
        <v>2701</v>
      </c>
      <c r="H573" s="3" t="s">
        <v>2711</v>
      </c>
      <c r="I573" s="3" t="s">
        <v>2693</v>
      </c>
      <c r="J573" s="3" t="s">
        <v>2753</v>
      </c>
      <c r="K573" s="3" t="s">
        <v>2735</v>
      </c>
    </row>
    <row r="574" customFormat="false" ht="15" hidden="false" customHeight="true" outlineLevel="0" collapsed="false">
      <c r="A574" s="3" t="s">
        <v>1731</v>
      </c>
      <c r="B574" s="3" t="s">
        <v>2739</v>
      </c>
      <c r="C574" s="3" t="s">
        <v>2697</v>
      </c>
      <c r="D574" s="3" t="s">
        <v>2741</v>
      </c>
      <c r="E574" s="3" t="s">
        <v>2747</v>
      </c>
      <c r="F574" s="3" t="s">
        <v>2748</v>
      </c>
      <c r="G574" s="3" t="s">
        <v>2722</v>
      </c>
      <c r="H574" s="3" t="s">
        <v>2758</v>
      </c>
      <c r="I574" s="3" t="s">
        <v>2768</v>
      </c>
      <c r="J574" s="3" t="s">
        <v>2753</v>
      </c>
      <c r="K574" s="3" t="s">
        <v>2735</v>
      </c>
    </row>
    <row r="575" customFormat="false" ht="15" hidden="false" customHeight="true" outlineLevel="0" collapsed="false">
      <c r="A575" s="3" t="s">
        <v>1734</v>
      </c>
      <c r="B575" s="3" t="s">
        <v>2829</v>
      </c>
      <c r="C575" s="3" t="s">
        <v>2729</v>
      </c>
      <c r="D575" s="3" t="s">
        <v>2741</v>
      </c>
      <c r="E575" s="3" t="s">
        <v>2782</v>
      </c>
      <c r="F575" s="3" t="s">
        <v>2783</v>
      </c>
      <c r="G575" s="3" t="s">
        <v>2722</v>
      </c>
      <c r="H575" s="3" t="s">
        <v>2758</v>
      </c>
      <c r="I575" s="3" t="s">
        <v>2712</v>
      </c>
      <c r="J575" s="3" t="s">
        <v>2694</v>
      </c>
      <c r="K575" s="3" t="s">
        <v>2695</v>
      </c>
    </row>
    <row r="576" customFormat="false" ht="15" hidden="false" customHeight="true" outlineLevel="0" collapsed="false">
      <c r="A576" s="3" t="s">
        <v>1737</v>
      </c>
      <c r="B576" s="3" t="s">
        <v>2704</v>
      </c>
      <c r="C576" s="3" t="s">
        <v>2687</v>
      </c>
      <c r="D576" s="3" t="s">
        <v>2708</v>
      </c>
      <c r="E576" s="3" t="s">
        <v>2726</v>
      </c>
      <c r="F576" s="3" t="s">
        <v>2727</v>
      </c>
      <c r="G576" s="3" t="s">
        <v>2722</v>
      </c>
      <c r="H576" s="3" t="s">
        <v>2758</v>
      </c>
      <c r="I576" s="3" t="s">
        <v>2712</v>
      </c>
      <c r="J576" s="3" t="s">
        <v>2694</v>
      </c>
      <c r="K576" s="3" t="s">
        <v>2695</v>
      </c>
    </row>
    <row r="577" customFormat="false" ht="15" hidden="false" customHeight="true" outlineLevel="0" collapsed="false">
      <c r="A577" s="3" t="s">
        <v>1740</v>
      </c>
      <c r="B577" s="3" t="s">
        <v>2755</v>
      </c>
      <c r="C577" s="3" t="s">
        <v>2731</v>
      </c>
      <c r="D577" s="3" t="s">
        <v>2741</v>
      </c>
      <c r="E577" s="3" t="s">
        <v>2742</v>
      </c>
      <c r="F577" s="3" t="s">
        <v>2743</v>
      </c>
      <c r="G577" s="3" t="s">
        <v>2722</v>
      </c>
      <c r="H577" s="3" t="s">
        <v>2779</v>
      </c>
      <c r="I577" s="3" t="s">
        <v>2712</v>
      </c>
      <c r="J577" s="3" t="s">
        <v>2694</v>
      </c>
      <c r="K577" s="3" t="s">
        <v>2695</v>
      </c>
    </row>
    <row r="578" customFormat="false" ht="15" hidden="false" customHeight="true" outlineLevel="0" collapsed="false">
      <c r="A578" s="3" t="s">
        <v>1742</v>
      </c>
      <c r="B578" s="3" t="s">
        <v>2746</v>
      </c>
      <c r="C578" s="3" t="s">
        <v>2731</v>
      </c>
      <c r="D578" s="3" t="s">
        <v>2708</v>
      </c>
      <c r="E578" s="3" t="s">
        <v>2764</v>
      </c>
      <c r="F578" s="3" t="s">
        <v>2765</v>
      </c>
      <c r="G578" s="3" t="s">
        <v>2701</v>
      </c>
      <c r="H578" s="3" t="s">
        <v>2711</v>
      </c>
      <c r="I578" s="3" t="s">
        <v>2703</v>
      </c>
      <c r="J578" s="3" t="s">
        <v>2753</v>
      </c>
      <c r="K578" s="3" t="s">
        <v>2735</v>
      </c>
    </row>
    <row r="579" customFormat="false" ht="15" hidden="false" customHeight="true" outlineLevel="0" collapsed="false">
      <c r="A579" s="3" t="s">
        <v>1745</v>
      </c>
      <c r="B579" s="3" t="s">
        <v>2749</v>
      </c>
      <c r="C579" s="3" t="s">
        <v>2731</v>
      </c>
      <c r="D579" s="3" t="s">
        <v>2768</v>
      </c>
      <c r="E579" s="3" t="s">
        <v>2750</v>
      </c>
      <c r="F579" s="3" t="s">
        <v>2751</v>
      </c>
      <c r="G579" s="3" t="s">
        <v>2691</v>
      </c>
      <c r="H579" s="3" t="s">
        <v>2752</v>
      </c>
      <c r="I579" s="3" t="s">
        <v>2712</v>
      </c>
      <c r="J579" s="3" t="s">
        <v>2734</v>
      </c>
      <c r="K579" s="3" t="s">
        <v>2735</v>
      </c>
    </row>
    <row r="580" customFormat="false" ht="15" hidden="false" customHeight="true" outlineLevel="0" collapsed="false">
      <c r="A580" s="3" t="s">
        <v>1748</v>
      </c>
      <c r="B580" s="3" t="s">
        <v>2739</v>
      </c>
      <c r="C580" s="3" t="s">
        <v>2729</v>
      </c>
      <c r="D580" s="3" t="s">
        <v>2714</v>
      </c>
      <c r="E580" s="3" t="s">
        <v>2720</v>
      </c>
      <c r="F580" s="3" t="s">
        <v>2721</v>
      </c>
      <c r="G580" s="3" t="s">
        <v>2701</v>
      </c>
      <c r="H580" s="3" t="s">
        <v>2711</v>
      </c>
      <c r="I580" s="3" t="s">
        <v>2712</v>
      </c>
      <c r="J580" s="3" t="s">
        <v>2694</v>
      </c>
      <c r="K580" s="3" t="s">
        <v>2695</v>
      </c>
    </row>
    <row r="581" customFormat="false" ht="15" hidden="false" customHeight="true" outlineLevel="0" collapsed="false">
      <c r="A581" s="3" t="s">
        <v>1751</v>
      </c>
      <c r="B581" s="3" t="s">
        <v>2724</v>
      </c>
      <c r="C581" s="3" t="s">
        <v>2697</v>
      </c>
      <c r="D581" s="3" t="s">
        <v>2714</v>
      </c>
      <c r="E581" s="3" t="s">
        <v>2762</v>
      </c>
      <c r="F581" s="3" t="s">
        <v>2763</v>
      </c>
      <c r="G581" s="3" t="s">
        <v>2722</v>
      </c>
      <c r="H581" s="3" t="s">
        <v>2725</v>
      </c>
      <c r="I581" s="3" t="s">
        <v>2706</v>
      </c>
      <c r="J581" s="3" t="s">
        <v>2694</v>
      </c>
      <c r="K581" s="3" t="s">
        <v>2695</v>
      </c>
    </row>
    <row r="582" customFormat="false" ht="15" hidden="false" customHeight="true" outlineLevel="0" collapsed="false">
      <c r="A582" s="3" t="s">
        <v>1753</v>
      </c>
      <c r="B582" s="3" t="s">
        <v>2745</v>
      </c>
      <c r="C582" s="3" t="s">
        <v>2697</v>
      </c>
      <c r="D582" s="3" t="s">
        <v>2708</v>
      </c>
      <c r="E582" s="3" t="s">
        <v>2774</v>
      </c>
      <c r="F582" s="3" t="s">
        <v>2775</v>
      </c>
      <c r="G582" s="3" t="s">
        <v>2691</v>
      </c>
      <c r="H582" s="3" t="s">
        <v>2744</v>
      </c>
      <c r="I582" s="3" t="s">
        <v>2703</v>
      </c>
      <c r="J582" s="3" t="s">
        <v>2694</v>
      </c>
      <c r="K582" s="3" t="s">
        <v>2695</v>
      </c>
    </row>
    <row r="583" customFormat="false" ht="15" hidden="false" customHeight="true" outlineLevel="0" collapsed="false">
      <c r="A583" s="3" t="s">
        <v>1756</v>
      </c>
      <c r="B583" s="3" t="s">
        <v>2778</v>
      </c>
      <c r="C583" s="3" t="s">
        <v>2687</v>
      </c>
      <c r="D583" s="3" t="s">
        <v>2708</v>
      </c>
      <c r="E583" s="3" t="s">
        <v>2764</v>
      </c>
      <c r="F583" s="3" t="s">
        <v>2765</v>
      </c>
      <c r="G583" s="3" t="s">
        <v>2701</v>
      </c>
      <c r="H583" s="3" t="s">
        <v>2717</v>
      </c>
      <c r="I583" s="3" t="s">
        <v>2712</v>
      </c>
      <c r="J583" s="3" t="s">
        <v>2753</v>
      </c>
      <c r="K583" s="3" t="s">
        <v>2735</v>
      </c>
    </row>
    <row r="584" customFormat="false" ht="15" hidden="false" customHeight="true" outlineLevel="0" collapsed="false">
      <c r="A584" s="3" t="s">
        <v>1759</v>
      </c>
      <c r="B584" s="3" t="s">
        <v>2724</v>
      </c>
      <c r="C584" s="3" t="s">
        <v>2687</v>
      </c>
      <c r="D584" s="3" t="s">
        <v>2741</v>
      </c>
      <c r="E584" s="3" t="s">
        <v>2782</v>
      </c>
      <c r="F584" s="3" t="s">
        <v>2783</v>
      </c>
      <c r="G584" s="3" t="s">
        <v>2691</v>
      </c>
      <c r="H584" s="3" t="s">
        <v>2705</v>
      </c>
      <c r="I584" s="3" t="s">
        <v>2693</v>
      </c>
      <c r="J584" s="3" t="s">
        <v>2734</v>
      </c>
      <c r="K584" s="3" t="s">
        <v>2735</v>
      </c>
    </row>
    <row r="585" customFormat="false" ht="15" hidden="false" customHeight="true" outlineLevel="0" collapsed="false">
      <c r="A585" s="3" t="s">
        <v>1762</v>
      </c>
      <c r="B585" s="3" t="s">
        <v>2713</v>
      </c>
      <c r="C585" s="3" t="s">
        <v>2687</v>
      </c>
      <c r="D585" s="3" t="s">
        <v>2698</v>
      </c>
      <c r="E585" s="3" t="s">
        <v>2699</v>
      </c>
      <c r="F585" s="3" t="s">
        <v>2700</v>
      </c>
      <c r="G585" s="3" t="s">
        <v>2691</v>
      </c>
      <c r="H585" s="3" t="s">
        <v>2705</v>
      </c>
      <c r="I585" s="3" t="s">
        <v>2706</v>
      </c>
      <c r="J585" s="3" t="s">
        <v>2738</v>
      </c>
      <c r="K585" s="3" t="s">
        <v>2735</v>
      </c>
    </row>
    <row r="586" customFormat="false" ht="15" hidden="false" customHeight="true" outlineLevel="0" collapsed="false">
      <c r="A586" s="3" t="s">
        <v>1765</v>
      </c>
      <c r="B586" s="3" t="s">
        <v>2749</v>
      </c>
      <c r="C586" s="3" t="s">
        <v>2697</v>
      </c>
      <c r="D586" s="3" t="s">
        <v>2698</v>
      </c>
      <c r="E586" s="3" t="s">
        <v>2732</v>
      </c>
      <c r="F586" s="3" t="s">
        <v>2733</v>
      </c>
      <c r="G586" s="3" t="s">
        <v>2691</v>
      </c>
      <c r="H586" s="3" t="s">
        <v>2744</v>
      </c>
      <c r="I586" s="3" t="s">
        <v>2706</v>
      </c>
      <c r="J586" s="3" t="s">
        <v>2753</v>
      </c>
      <c r="K586" s="3" t="s">
        <v>2735</v>
      </c>
    </row>
    <row r="587" customFormat="false" ht="15" hidden="false" customHeight="true" outlineLevel="0" collapsed="false">
      <c r="A587" s="3" t="s">
        <v>1768</v>
      </c>
      <c r="B587" s="3" t="s">
        <v>2719</v>
      </c>
      <c r="C587" s="3" t="s">
        <v>2687</v>
      </c>
      <c r="D587" s="3" t="s">
        <v>2698</v>
      </c>
      <c r="E587" s="3" t="s">
        <v>2750</v>
      </c>
      <c r="F587" s="3" t="s">
        <v>2751</v>
      </c>
      <c r="G587" s="3" t="s">
        <v>2691</v>
      </c>
      <c r="H587" s="3" t="s">
        <v>2705</v>
      </c>
      <c r="I587" s="3" t="s">
        <v>2703</v>
      </c>
      <c r="J587" s="3" t="s">
        <v>2738</v>
      </c>
      <c r="K587" s="3" t="s">
        <v>2735</v>
      </c>
    </row>
    <row r="588" customFormat="false" ht="15" hidden="false" customHeight="true" outlineLevel="0" collapsed="false">
      <c r="A588" s="3" t="s">
        <v>1771</v>
      </c>
      <c r="B588" s="3" t="s">
        <v>2755</v>
      </c>
      <c r="C588" s="3" t="s">
        <v>2697</v>
      </c>
      <c r="D588" s="3" t="s">
        <v>2800</v>
      </c>
      <c r="E588" s="3" t="s">
        <v>2715</v>
      </c>
      <c r="F588" s="3" t="s">
        <v>2716</v>
      </c>
      <c r="G588" s="3" t="s">
        <v>2722</v>
      </c>
      <c r="H588" s="3" t="s">
        <v>2758</v>
      </c>
      <c r="I588" s="3" t="s">
        <v>2706</v>
      </c>
      <c r="J588" s="3" t="s">
        <v>2694</v>
      </c>
      <c r="K588" s="3" t="s">
        <v>2695</v>
      </c>
    </row>
    <row r="589" customFormat="false" ht="15" hidden="false" customHeight="true" outlineLevel="0" collapsed="false">
      <c r="A589" s="3" t="s">
        <v>1774</v>
      </c>
      <c r="B589" s="3" t="s">
        <v>2696</v>
      </c>
      <c r="C589" s="3" t="s">
        <v>2731</v>
      </c>
      <c r="D589" s="3" t="s">
        <v>2741</v>
      </c>
      <c r="E589" s="3" t="s">
        <v>2742</v>
      </c>
      <c r="F589" s="3" t="s">
        <v>2743</v>
      </c>
      <c r="G589" s="3" t="s">
        <v>2691</v>
      </c>
      <c r="H589" s="3" t="s">
        <v>2752</v>
      </c>
      <c r="I589" s="3" t="s">
        <v>2693</v>
      </c>
      <c r="J589" s="3" t="s">
        <v>2694</v>
      </c>
      <c r="K589" s="3" t="s">
        <v>2695</v>
      </c>
    </row>
    <row r="590" customFormat="false" ht="15" hidden="false" customHeight="true" outlineLevel="0" collapsed="false">
      <c r="A590" s="3" t="s">
        <v>1777</v>
      </c>
      <c r="B590" s="3" t="s">
        <v>2778</v>
      </c>
      <c r="C590" s="3" t="s">
        <v>2731</v>
      </c>
      <c r="D590" s="3" t="s">
        <v>2714</v>
      </c>
      <c r="E590" s="3" t="s">
        <v>2720</v>
      </c>
      <c r="F590" s="3" t="s">
        <v>2721</v>
      </c>
      <c r="G590" s="3" t="s">
        <v>2722</v>
      </c>
      <c r="H590" s="3" t="s">
        <v>2723</v>
      </c>
      <c r="I590" s="3" t="s">
        <v>2706</v>
      </c>
      <c r="J590" s="3" t="s">
        <v>2734</v>
      </c>
      <c r="K590" s="3" t="s">
        <v>2718</v>
      </c>
    </row>
    <row r="591" customFormat="false" ht="15" hidden="false" customHeight="true" outlineLevel="0" collapsed="false">
      <c r="A591" s="3" t="s">
        <v>1780</v>
      </c>
      <c r="B591" s="3" t="s">
        <v>2745</v>
      </c>
      <c r="C591" s="3" t="s">
        <v>2731</v>
      </c>
      <c r="D591" s="3" t="s">
        <v>2708</v>
      </c>
      <c r="E591" s="3" t="s">
        <v>2760</v>
      </c>
      <c r="F591" s="3" t="s">
        <v>2761</v>
      </c>
      <c r="G591" s="3" t="s">
        <v>2722</v>
      </c>
      <c r="H591" s="3" t="s">
        <v>2723</v>
      </c>
      <c r="I591" s="3" t="s">
        <v>2693</v>
      </c>
      <c r="J591" s="3" t="s">
        <v>2734</v>
      </c>
      <c r="K591" s="3" t="s">
        <v>2718</v>
      </c>
    </row>
    <row r="592" customFormat="false" ht="15" hidden="false" customHeight="true" outlineLevel="0" collapsed="false">
      <c r="A592" s="3" t="s">
        <v>1783</v>
      </c>
      <c r="B592" s="3" t="s">
        <v>2749</v>
      </c>
      <c r="C592" s="3" t="s">
        <v>2729</v>
      </c>
      <c r="D592" s="3" t="s">
        <v>2741</v>
      </c>
      <c r="E592" s="3" t="s">
        <v>2747</v>
      </c>
      <c r="F592" s="3" t="s">
        <v>2748</v>
      </c>
      <c r="G592" s="3" t="s">
        <v>2722</v>
      </c>
      <c r="H592" s="3" t="s">
        <v>2758</v>
      </c>
      <c r="I592" s="3" t="s">
        <v>2706</v>
      </c>
      <c r="J592" s="3" t="s">
        <v>2694</v>
      </c>
      <c r="K592" s="3" t="s">
        <v>2695</v>
      </c>
    </row>
    <row r="593" customFormat="false" ht="15" hidden="false" customHeight="true" outlineLevel="0" collapsed="false">
      <c r="A593" s="3" t="s">
        <v>1786</v>
      </c>
      <c r="B593" s="3" t="s">
        <v>2745</v>
      </c>
      <c r="C593" s="3" t="s">
        <v>2731</v>
      </c>
      <c r="D593" s="3" t="s">
        <v>2741</v>
      </c>
      <c r="E593" s="3" t="s">
        <v>2782</v>
      </c>
      <c r="F593" s="3" t="s">
        <v>2783</v>
      </c>
      <c r="G593" s="3" t="s">
        <v>2701</v>
      </c>
      <c r="H593" s="3" t="s">
        <v>2717</v>
      </c>
      <c r="I593" s="3" t="s">
        <v>2703</v>
      </c>
      <c r="J593" s="3" t="s">
        <v>2830</v>
      </c>
      <c r="K593" s="3" t="s">
        <v>2718</v>
      </c>
    </row>
    <row r="594" customFormat="false" ht="15" hidden="false" customHeight="true" outlineLevel="0" collapsed="false">
      <c r="A594" s="3" t="s">
        <v>1789</v>
      </c>
      <c r="B594" s="3" t="s">
        <v>2746</v>
      </c>
      <c r="C594" s="3" t="s">
        <v>2687</v>
      </c>
      <c r="D594" s="3" t="s">
        <v>2708</v>
      </c>
      <c r="E594" s="3" t="s">
        <v>2760</v>
      </c>
      <c r="F594" s="3" t="s">
        <v>2761</v>
      </c>
      <c r="G594" s="3" t="s">
        <v>2722</v>
      </c>
      <c r="H594" s="3" t="s">
        <v>2725</v>
      </c>
      <c r="I594" s="3" t="s">
        <v>2706</v>
      </c>
      <c r="J594" s="3" t="s">
        <v>2753</v>
      </c>
      <c r="K594" s="3" t="s">
        <v>2735</v>
      </c>
    </row>
    <row r="595" customFormat="false" ht="15" hidden="false" customHeight="true" outlineLevel="0" collapsed="false">
      <c r="A595" s="3" t="s">
        <v>1792</v>
      </c>
      <c r="B595" s="3" t="s">
        <v>2696</v>
      </c>
      <c r="C595" s="3" t="s">
        <v>2687</v>
      </c>
      <c r="D595" s="3" t="s">
        <v>2698</v>
      </c>
      <c r="E595" s="3" t="s">
        <v>2732</v>
      </c>
      <c r="F595" s="3" t="s">
        <v>2733</v>
      </c>
      <c r="G595" s="3" t="s">
        <v>2722</v>
      </c>
      <c r="H595" s="3" t="s">
        <v>2723</v>
      </c>
      <c r="I595" s="3" t="s">
        <v>2703</v>
      </c>
      <c r="J595" s="3" t="s">
        <v>2694</v>
      </c>
      <c r="K595" s="3" t="s">
        <v>2695</v>
      </c>
    </row>
    <row r="596" customFormat="false" ht="15" hidden="false" customHeight="true" outlineLevel="0" collapsed="false">
      <c r="A596" s="3" t="s">
        <v>1795</v>
      </c>
      <c r="B596" s="3" t="s">
        <v>2707</v>
      </c>
      <c r="C596" s="3" t="s">
        <v>2731</v>
      </c>
      <c r="D596" s="3" t="s">
        <v>2741</v>
      </c>
      <c r="E596" s="3" t="s">
        <v>2747</v>
      </c>
      <c r="F596" s="3" t="s">
        <v>2748</v>
      </c>
      <c r="G596" s="3" t="s">
        <v>2701</v>
      </c>
      <c r="H596" s="3" t="s">
        <v>2702</v>
      </c>
      <c r="I596" s="3" t="s">
        <v>2693</v>
      </c>
      <c r="J596" s="3" t="s">
        <v>2694</v>
      </c>
      <c r="K596" s="3" t="s">
        <v>2695</v>
      </c>
    </row>
    <row r="597" customFormat="false" ht="15" hidden="false" customHeight="true" outlineLevel="0" collapsed="false">
      <c r="A597" s="3" t="s">
        <v>1797</v>
      </c>
      <c r="B597" s="3" t="s">
        <v>2686</v>
      </c>
      <c r="C597" s="3" t="s">
        <v>2697</v>
      </c>
      <c r="D597" s="3" t="s">
        <v>2698</v>
      </c>
      <c r="E597" s="3" t="s">
        <v>2732</v>
      </c>
      <c r="F597" s="3" t="s">
        <v>2733</v>
      </c>
      <c r="G597" s="3" t="s">
        <v>2701</v>
      </c>
      <c r="H597" s="3" t="s">
        <v>2717</v>
      </c>
      <c r="I597" s="3" t="s">
        <v>2706</v>
      </c>
      <c r="J597" s="3" t="s">
        <v>2694</v>
      </c>
      <c r="K597" s="3" t="s">
        <v>2695</v>
      </c>
    </row>
    <row r="598" customFormat="false" ht="15" hidden="false" customHeight="true" outlineLevel="0" collapsed="false">
      <c r="A598" s="3" t="s">
        <v>1800</v>
      </c>
      <c r="B598" s="3" t="s">
        <v>2696</v>
      </c>
      <c r="C598" s="3" t="s">
        <v>2729</v>
      </c>
      <c r="D598" s="3" t="s">
        <v>2741</v>
      </c>
      <c r="E598" s="3" t="s">
        <v>2747</v>
      </c>
      <c r="F598" s="3" t="s">
        <v>2748</v>
      </c>
      <c r="G598" s="3" t="s">
        <v>2722</v>
      </c>
      <c r="H598" s="3" t="s">
        <v>2758</v>
      </c>
      <c r="I598" s="3" t="s">
        <v>2706</v>
      </c>
      <c r="J598" s="3" t="s">
        <v>2694</v>
      </c>
      <c r="K598" s="3" t="s">
        <v>2695</v>
      </c>
    </row>
    <row r="599" customFormat="false" ht="15" hidden="false" customHeight="true" outlineLevel="0" collapsed="false">
      <c r="A599" s="3" t="s">
        <v>1803</v>
      </c>
      <c r="B599" s="3" t="s">
        <v>2728</v>
      </c>
      <c r="C599" s="3" t="s">
        <v>2687</v>
      </c>
      <c r="D599" s="3" t="s">
        <v>2708</v>
      </c>
      <c r="E599" s="3" t="s">
        <v>2764</v>
      </c>
      <c r="F599" s="3" t="s">
        <v>2765</v>
      </c>
      <c r="G599" s="3" t="s">
        <v>2701</v>
      </c>
      <c r="H599" s="3" t="s">
        <v>2717</v>
      </c>
      <c r="I599" s="3" t="s">
        <v>2693</v>
      </c>
      <c r="J599" s="3" t="s">
        <v>2694</v>
      </c>
      <c r="K599" s="3" t="s">
        <v>2695</v>
      </c>
    </row>
    <row r="600" customFormat="false" ht="15" hidden="false" customHeight="true" outlineLevel="0" collapsed="false">
      <c r="A600" s="3" t="s">
        <v>1806</v>
      </c>
      <c r="B600" s="3" t="s">
        <v>2728</v>
      </c>
      <c r="C600" s="3" t="s">
        <v>2687</v>
      </c>
      <c r="D600" s="3" t="s">
        <v>2708</v>
      </c>
      <c r="E600" s="3" t="s">
        <v>2709</v>
      </c>
      <c r="F600" s="3" t="s">
        <v>2710</v>
      </c>
      <c r="G600" s="3" t="s">
        <v>2722</v>
      </c>
      <c r="H600" s="3" t="s">
        <v>2725</v>
      </c>
      <c r="I600" s="3" t="s">
        <v>2703</v>
      </c>
      <c r="J600" s="3" t="s">
        <v>2694</v>
      </c>
      <c r="K600" s="3" t="s">
        <v>2695</v>
      </c>
    </row>
    <row r="601" customFormat="false" ht="15" hidden="false" customHeight="true" outlineLevel="0" collapsed="false">
      <c r="A601" s="3" t="s">
        <v>1809</v>
      </c>
      <c r="B601" s="3" t="s">
        <v>2713</v>
      </c>
      <c r="C601" s="3" t="s">
        <v>2729</v>
      </c>
      <c r="D601" s="3" t="s">
        <v>2698</v>
      </c>
      <c r="E601" s="3" t="s">
        <v>2732</v>
      </c>
      <c r="F601" s="3" t="s">
        <v>2733</v>
      </c>
      <c r="G601" s="3" t="s">
        <v>2722</v>
      </c>
      <c r="H601" s="3" t="s">
        <v>2725</v>
      </c>
      <c r="I601" s="3" t="s">
        <v>2703</v>
      </c>
      <c r="J601" s="3" t="s">
        <v>2694</v>
      </c>
      <c r="K601" s="3" t="s">
        <v>2695</v>
      </c>
    </row>
    <row r="602" customFormat="false" ht="15" hidden="false" customHeight="true" outlineLevel="0" collapsed="false">
      <c r="A602" s="3" t="s">
        <v>1812</v>
      </c>
      <c r="B602" s="3" t="s">
        <v>2707</v>
      </c>
      <c r="C602" s="3" t="s">
        <v>2687</v>
      </c>
      <c r="D602" s="3" t="s">
        <v>2741</v>
      </c>
      <c r="E602" s="3" t="s">
        <v>2742</v>
      </c>
      <c r="F602" s="3" t="s">
        <v>2743</v>
      </c>
      <c r="G602" s="3" t="s">
        <v>2722</v>
      </c>
      <c r="H602" s="3" t="s">
        <v>2758</v>
      </c>
      <c r="I602" s="3" t="s">
        <v>2706</v>
      </c>
      <c r="J602" s="3" t="s">
        <v>2694</v>
      </c>
      <c r="K602" s="3" t="s">
        <v>2695</v>
      </c>
    </row>
    <row r="603" customFormat="false" ht="15" hidden="false" customHeight="true" outlineLevel="0" collapsed="false">
      <c r="A603" s="3" t="s">
        <v>1815</v>
      </c>
      <c r="B603" s="3" t="s">
        <v>2713</v>
      </c>
      <c r="C603" s="3" t="s">
        <v>2729</v>
      </c>
      <c r="D603" s="3" t="s">
        <v>2714</v>
      </c>
      <c r="E603" s="3" t="s">
        <v>2720</v>
      </c>
      <c r="F603" s="3" t="s">
        <v>2721</v>
      </c>
      <c r="G603" s="3" t="s">
        <v>2691</v>
      </c>
      <c r="H603" s="3" t="s">
        <v>2744</v>
      </c>
      <c r="I603" s="3" t="s">
        <v>2703</v>
      </c>
      <c r="J603" s="3" t="s">
        <v>2694</v>
      </c>
      <c r="K603" s="3" t="s">
        <v>2695</v>
      </c>
    </row>
    <row r="604" customFormat="false" ht="15" hidden="false" customHeight="true" outlineLevel="0" collapsed="false">
      <c r="A604" s="3" t="s">
        <v>1818</v>
      </c>
      <c r="B604" s="3" t="s">
        <v>2713</v>
      </c>
      <c r="C604" s="3" t="s">
        <v>2731</v>
      </c>
      <c r="D604" s="3" t="s">
        <v>2698</v>
      </c>
      <c r="E604" s="3" t="s">
        <v>2732</v>
      </c>
      <c r="F604" s="3" t="s">
        <v>2733</v>
      </c>
      <c r="G604" s="3" t="s">
        <v>2691</v>
      </c>
      <c r="H604" s="3" t="s">
        <v>2692</v>
      </c>
      <c r="I604" s="3" t="s">
        <v>2693</v>
      </c>
      <c r="J604" s="3" t="s">
        <v>2694</v>
      </c>
      <c r="K604" s="3" t="s">
        <v>2695</v>
      </c>
    </row>
    <row r="605" customFormat="false" ht="15" hidden="false" customHeight="true" outlineLevel="0" collapsed="false">
      <c r="A605" s="3" t="s">
        <v>1821</v>
      </c>
      <c r="B605" s="3" t="s">
        <v>2745</v>
      </c>
      <c r="C605" s="3" t="s">
        <v>2687</v>
      </c>
      <c r="D605" s="3" t="s">
        <v>2698</v>
      </c>
      <c r="E605" s="3" t="s">
        <v>2770</v>
      </c>
      <c r="F605" s="3" t="s">
        <v>2771</v>
      </c>
      <c r="G605" s="3" t="s">
        <v>2722</v>
      </c>
      <c r="H605" s="3" t="s">
        <v>2725</v>
      </c>
      <c r="I605" s="3" t="s">
        <v>2693</v>
      </c>
      <c r="J605" s="3" t="s">
        <v>2694</v>
      </c>
      <c r="K605" s="3" t="s">
        <v>2695</v>
      </c>
    </row>
    <row r="606" customFormat="false" ht="15" hidden="false" customHeight="true" outlineLevel="0" collapsed="false">
      <c r="A606" s="3" t="s">
        <v>1824</v>
      </c>
      <c r="B606" s="3" t="s">
        <v>2719</v>
      </c>
      <c r="C606" s="3" t="s">
        <v>2729</v>
      </c>
      <c r="D606" s="3" t="s">
        <v>2698</v>
      </c>
      <c r="E606" s="3" t="s">
        <v>2750</v>
      </c>
      <c r="F606" s="3" t="s">
        <v>2751</v>
      </c>
      <c r="G606" s="3" t="s">
        <v>2784</v>
      </c>
      <c r="H606" s="3" t="s">
        <v>2723</v>
      </c>
      <c r="I606" s="3" t="s">
        <v>2706</v>
      </c>
      <c r="J606" s="3" t="s">
        <v>2738</v>
      </c>
      <c r="K606" s="3" t="s">
        <v>2718</v>
      </c>
    </row>
    <row r="607" customFormat="false" ht="15" hidden="false" customHeight="true" outlineLevel="0" collapsed="false">
      <c r="A607" s="3" t="s">
        <v>1826</v>
      </c>
      <c r="B607" s="3" t="s">
        <v>2713</v>
      </c>
      <c r="C607" s="3" t="s">
        <v>2687</v>
      </c>
      <c r="D607" s="3" t="s">
        <v>2714</v>
      </c>
      <c r="E607" s="3" t="s">
        <v>2720</v>
      </c>
      <c r="F607" s="3" t="s">
        <v>2721</v>
      </c>
      <c r="G607" s="3" t="s">
        <v>2691</v>
      </c>
      <c r="H607" s="3" t="s">
        <v>2752</v>
      </c>
      <c r="I607" s="3" t="s">
        <v>2703</v>
      </c>
      <c r="J607" s="3" t="s">
        <v>2694</v>
      </c>
      <c r="K607" s="3" t="s">
        <v>2695</v>
      </c>
    </row>
    <row r="608" customFormat="false" ht="15" hidden="false" customHeight="true" outlineLevel="0" collapsed="false">
      <c r="A608" s="3" t="s">
        <v>1829</v>
      </c>
      <c r="B608" s="3" t="s">
        <v>2778</v>
      </c>
      <c r="C608" s="3" t="s">
        <v>2729</v>
      </c>
      <c r="D608" s="3" t="s">
        <v>2714</v>
      </c>
      <c r="E608" s="3" t="s">
        <v>2766</v>
      </c>
      <c r="F608" s="3" t="s">
        <v>2767</v>
      </c>
      <c r="G608" s="3" t="s">
        <v>2701</v>
      </c>
      <c r="H608" s="3" t="s">
        <v>2711</v>
      </c>
      <c r="I608" s="3" t="s">
        <v>2693</v>
      </c>
      <c r="J608" s="3" t="s">
        <v>2694</v>
      </c>
      <c r="K608" s="3" t="s">
        <v>2718</v>
      </c>
    </row>
    <row r="609" customFormat="false" ht="15" hidden="false" customHeight="true" outlineLevel="0" collapsed="false">
      <c r="A609" s="3" t="s">
        <v>1832</v>
      </c>
      <c r="B609" s="3" t="s">
        <v>2740</v>
      </c>
      <c r="C609" s="3" t="s">
        <v>2731</v>
      </c>
      <c r="D609" s="3" t="s">
        <v>2714</v>
      </c>
      <c r="E609" s="3" t="s">
        <v>2720</v>
      </c>
      <c r="F609" s="3" t="s">
        <v>2721</v>
      </c>
      <c r="G609" s="3" t="s">
        <v>2722</v>
      </c>
      <c r="H609" s="3" t="s">
        <v>2725</v>
      </c>
      <c r="I609" s="3" t="s">
        <v>2703</v>
      </c>
      <c r="J609" s="3" t="s">
        <v>2694</v>
      </c>
      <c r="K609" s="3" t="s">
        <v>2695</v>
      </c>
    </row>
    <row r="610" customFormat="false" ht="15" hidden="false" customHeight="true" outlineLevel="0" collapsed="false">
      <c r="A610" s="3" t="s">
        <v>1835</v>
      </c>
      <c r="B610" s="3" t="s">
        <v>2746</v>
      </c>
      <c r="C610" s="3" t="s">
        <v>2731</v>
      </c>
      <c r="D610" s="3" t="s">
        <v>2698</v>
      </c>
      <c r="E610" s="3" t="s">
        <v>2750</v>
      </c>
      <c r="F610" s="3" t="s">
        <v>2751</v>
      </c>
      <c r="G610" s="3" t="s">
        <v>2691</v>
      </c>
      <c r="H610" s="3" t="s">
        <v>2744</v>
      </c>
      <c r="I610" s="3" t="s">
        <v>2703</v>
      </c>
      <c r="J610" s="3" t="s">
        <v>2694</v>
      </c>
      <c r="K610" s="3" t="s">
        <v>2695</v>
      </c>
    </row>
    <row r="611" customFormat="false" ht="15" hidden="false" customHeight="true" outlineLevel="0" collapsed="false">
      <c r="A611" s="3" t="s">
        <v>1838</v>
      </c>
      <c r="B611" s="3" t="s">
        <v>2686</v>
      </c>
      <c r="C611" s="3" t="s">
        <v>2731</v>
      </c>
      <c r="D611" s="3" t="s">
        <v>2714</v>
      </c>
      <c r="E611" s="3" t="s">
        <v>2766</v>
      </c>
      <c r="F611" s="3" t="s">
        <v>2767</v>
      </c>
      <c r="G611" s="3" t="s">
        <v>2701</v>
      </c>
      <c r="H611" s="3" t="s">
        <v>2711</v>
      </c>
      <c r="I611" s="3" t="s">
        <v>2693</v>
      </c>
      <c r="J611" s="3" t="s">
        <v>2694</v>
      </c>
      <c r="K611" s="3" t="s">
        <v>2695</v>
      </c>
    </row>
    <row r="612" customFormat="false" ht="15" hidden="false" customHeight="true" outlineLevel="0" collapsed="false">
      <c r="A612" s="3" t="s">
        <v>1840</v>
      </c>
      <c r="B612" s="3" t="s">
        <v>2746</v>
      </c>
      <c r="C612" s="3" t="s">
        <v>2731</v>
      </c>
      <c r="D612" s="3" t="s">
        <v>2708</v>
      </c>
      <c r="E612" s="3" t="s">
        <v>2760</v>
      </c>
      <c r="F612" s="3" t="s">
        <v>2761</v>
      </c>
      <c r="G612" s="3" t="s">
        <v>2701</v>
      </c>
      <c r="H612" s="3" t="s">
        <v>2717</v>
      </c>
      <c r="I612" s="3" t="s">
        <v>2712</v>
      </c>
      <c r="J612" s="3" t="s">
        <v>2694</v>
      </c>
      <c r="K612" s="3" t="s">
        <v>2695</v>
      </c>
    </row>
    <row r="613" customFormat="false" ht="15" hidden="false" customHeight="true" outlineLevel="0" collapsed="false">
      <c r="A613" s="3" t="s">
        <v>1843</v>
      </c>
      <c r="B613" s="3" t="s">
        <v>2686</v>
      </c>
      <c r="C613" s="3" t="s">
        <v>2731</v>
      </c>
      <c r="D613" s="3" t="s">
        <v>2714</v>
      </c>
      <c r="E613" s="3" t="s">
        <v>2720</v>
      </c>
      <c r="F613" s="3" t="s">
        <v>2721</v>
      </c>
      <c r="G613" s="3" t="s">
        <v>2701</v>
      </c>
      <c r="H613" s="3" t="s">
        <v>2717</v>
      </c>
      <c r="I613" s="3" t="s">
        <v>2712</v>
      </c>
      <c r="J613" s="3" t="s">
        <v>2694</v>
      </c>
      <c r="K613" s="3" t="s">
        <v>2695</v>
      </c>
    </row>
    <row r="614" customFormat="false" ht="15" hidden="false" customHeight="true" outlineLevel="0" collapsed="false">
      <c r="A614" s="3" t="s">
        <v>1845</v>
      </c>
      <c r="B614" s="3" t="s">
        <v>2713</v>
      </c>
      <c r="C614" s="3" t="s">
        <v>2788</v>
      </c>
      <c r="D614" s="3" t="s">
        <v>2741</v>
      </c>
      <c r="E614" s="3" t="s">
        <v>2689</v>
      </c>
      <c r="F614" s="3" t="s">
        <v>2690</v>
      </c>
      <c r="G614" s="3" t="s">
        <v>2691</v>
      </c>
      <c r="H614" s="3" t="s">
        <v>2752</v>
      </c>
      <c r="I614" s="3" t="s">
        <v>2703</v>
      </c>
      <c r="J614" s="3" t="s">
        <v>2694</v>
      </c>
      <c r="K614" s="3" t="s">
        <v>2695</v>
      </c>
    </row>
    <row r="615" customFormat="false" ht="15" hidden="false" customHeight="true" outlineLevel="0" collapsed="false">
      <c r="A615" s="3" t="s">
        <v>1848</v>
      </c>
      <c r="B615" s="3" t="s">
        <v>2728</v>
      </c>
      <c r="C615" s="3" t="s">
        <v>2687</v>
      </c>
      <c r="D615" s="3" t="s">
        <v>2768</v>
      </c>
      <c r="E615" s="3" t="s">
        <v>2699</v>
      </c>
      <c r="F615" s="3" t="s">
        <v>2700</v>
      </c>
      <c r="G615" s="3" t="s">
        <v>2722</v>
      </c>
      <c r="H615" s="3" t="s">
        <v>2758</v>
      </c>
      <c r="I615" s="3" t="s">
        <v>2712</v>
      </c>
      <c r="J615" s="3" t="s">
        <v>2694</v>
      </c>
      <c r="K615" s="3" t="s">
        <v>2695</v>
      </c>
    </row>
    <row r="616" customFormat="false" ht="15" hidden="false" customHeight="true" outlineLevel="0" collapsed="false">
      <c r="A616" s="3" t="s">
        <v>1851</v>
      </c>
      <c r="B616" s="3" t="s">
        <v>2755</v>
      </c>
      <c r="C616" s="3" t="s">
        <v>2731</v>
      </c>
      <c r="D616" s="3" t="s">
        <v>2714</v>
      </c>
      <c r="E616" s="3" t="s">
        <v>2762</v>
      </c>
      <c r="F616" s="3" t="s">
        <v>2763</v>
      </c>
      <c r="G616" s="3" t="s">
        <v>2722</v>
      </c>
      <c r="H616" s="3" t="s">
        <v>2779</v>
      </c>
      <c r="I616" s="3" t="s">
        <v>2703</v>
      </c>
      <c r="J616" s="3" t="s">
        <v>2694</v>
      </c>
      <c r="K616" s="3" t="s">
        <v>2695</v>
      </c>
    </row>
    <row r="617" customFormat="false" ht="15" hidden="false" customHeight="true" outlineLevel="0" collapsed="false">
      <c r="A617" s="3" t="s">
        <v>1854</v>
      </c>
      <c r="B617" s="3" t="s">
        <v>2713</v>
      </c>
      <c r="C617" s="3" t="s">
        <v>2731</v>
      </c>
      <c r="D617" s="3" t="s">
        <v>2708</v>
      </c>
      <c r="E617" s="3" t="s">
        <v>2709</v>
      </c>
      <c r="F617" s="3" t="s">
        <v>2710</v>
      </c>
      <c r="G617" s="3" t="s">
        <v>2701</v>
      </c>
      <c r="H617" s="3" t="s">
        <v>2717</v>
      </c>
      <c r="I617" s="3" t="s">
        <v>2712</v>
      </c>
      <c r="J617" s="3" t="s">
        <v>2734</v>
      </c>
      <c r="K617" s="3" t="s">
        <v>2718</v>
      </c>
    </row>
    <row r="618" customFormat="false" ht="15" hidden="false" customHeight="true" outlineLevel="0" collapsed="false">
      <c r="A618" s="3" t="s">
        <v>1857</v>
      </c>
      <c r="B618" s="3" t="s">
        <v>2740</v>
      </c>
      <c r="C618" s="3" t="s">
        <v>2729</v>
      </c>
      <c r="D618" s="3" t="s">
        <v>2708</v>
      </c>
      <c r="E618" s="3" t="s">
        <v>2764</v>
      </c>
      <c r="F618" s="3" t="s">
        <v>2765</v>
      </c>
      <c r="G618" s="3" t="s">
        <v>2691</v>
      </c>
      <c r="H618" s="3" t="s">
        <v>2705</v>
      </c>
      <c r="I618" s="3" t="s">
        <v>2693</v>
      </c>
      <c r="J618" s="3" t="s">
        <v>2694</v>
      </c>
      <c r="K618" s="3" t="s">
        <v>2799</v>
      </c>
    </row>
    <row r="619" customFormat="false" ht="15" hidden="false" customHeight="true" outlineLevel="0" collapsed="false">
      <c r="A619" s="3" t="s">
        <v>1860</v>
      </c>
      <c r="B619" s="3" t="s">
        <v>2778</v>
      </c>
      <c r="C619" s="3" t="s">
        <v>2687</v>
      </c>
      <c r="D619" s="3" t="s">
        <v>2708</v>
      </c>
      <c r="E619" s="3" t="s">
        <v>2709</v>
      </c>
      <c r="F619" s="3" t="s">
        <v>2710</v>
      </c>
      <c r="G619" s="3" t="s">
        <v>2691</v>
      </c>
      <c r="H619" s="3" t="s">
        <v>2692</v>
      </c>
      <c r="I619" s="3" t="s">
        <v>2712</v>
      </c>
      <c r="J619" s="3" t="s">
        <v>2694</v>
      </c>
      <c r="K619" s="3" t="s">
        <v>2695</v>
      </c>
    </row>
    <row r="620" customFormat="false" ht="15" hidden="false" customHeight="true" outlineLevel="0" collapsed="false">
      <c r="A620" s="3" t="s">
        <v>1863</v>
      </c>
      <c r="B620" s="3" t="s">
        <v>2696</v>
      </c>
      <c r="C620" s="3" t="s">
        <v>2731</v>
      </c>
      <c r="D620" s="3" t="s">
        <v>2708</v>
      </c>
      <c r="E620" s="3" t="s">
        <v>2709</v>
      </c>
      <c r="F620" s="3" t="s">
        <v>2710</v>
      </c>
      <c r="G620" s="3" t="s">
        <v>2722</v>
      </c>
      <c r="H620" s="3" t="s">
        <v>2758</v>
      </c>
      <c r="I620" s="3" t="s">
        <v>2712</v>
      </c>
      <c r="J620" s="3" t="s">
        <v>2694</v>
      </c>
      <c r="K620" s="3" t="s">
        <v>2695</v>
      </c>
    </row>
    <row r="621" customFormat="false" ht="15" hidden="false" customHeight="true" outlineLevel="0" collapsed="false">
      <c r="A621" s="3" t="s">
        <v>1866</v>
      </c>
      <c r="B621" s="3" t="s">
        <v>2778</v>
      </c>
      <c r="C621" s="3" t="s">
        <v>2729</v>
      </c>
      <c r="D621" s="3" t="s">
        <v>2741</v>
      </c>
      <c r="E621" s="3" t="s">
        <v>2689</v>
      </c>
      <c r="F621" s="3" t="s">
        <v>2690</v>
      </c>
      <c r="G621" s="3" t="s">
        <v>2701</v>
      </c>
      <c r="H621" s="3" t="s">
        <v>2702</v>
      </c>
      <c r="I621" s="3" t="s">
        <v>2703</v>
      </c>
      <c r="J621" s="3" t="s">
        <v>2753</v>
      </c>
      <c r="K621" s="3" t="s">
        <v>2718</v>
      </c>
    </row>
    <row r="622" customFormat="false" ht="15" hidden="false" customHeight="true" outlineLevel="0" collapsed="false">
      <c r="A622" s="3" t="s">
        <v>1869</v>
      </c>
      <c r="B622" s="3" t="s">
        <v>2739</v>
      </c>
      <c r="C622" s="3" t="s">
        <v>2729</v>
      </c>
      <c r="D622" s="3" t="s">
        <v>2708</v>
      </c>
      <c r="E622" s="3" t="s">
        <v>2774</v>
      </c>
      <c r="F622" s="3" t="s">
        <v>2775</v>
      </c>
      <c r="G622" s="3" t="s">
        <v>2691</v>
      </c>
      <c r="H622" s="3" t="s">
        <v>2752</v>
      </c>
      <c r="I622" s="3" t="s">
        <v>2706</v>
      </c>
      <c r="J622" s="3" t="s">
        <v>2734</v>
      </c>
      <c r="K622" s="3" t="s">
        <v>2735</v>
      </c>
    </row>
    <row r="623" customFormat="false" ht="15" hidden="false" customHeight="true" outlineLevel="0" collapsed="false">
      <c r="A623" s="3" t="s">
        <v>1872</v>
      </c>
      <c r="B623" s="3" t="s">
        <v>2719</v>
      </c>
      <c r="C623" s="3" t="s">
        <v>2687</v>
      </c>
      <c r="D623" s="3" t="s">
        <v>2741</v>
      </c>
      <c r="E623" s="3" t="s">
        <v>2747</v>
      </c>
      <c r="F623" s="3" t="s">
        <v>2748</v>
      </c>
      <c r="G623" s="3" t="s">
        <v>2722</v>
      </c>
      <c r="H623" s="3" t="s">
        <v>2779</v>
      </c>
      <c r="I623" s="3" t="s">
        <v>2712</v>
      </c>
      <c r="J623" s="3" t="s">
        <v>2694</v>
      </c>
      <c r="K623" s="3" t="s">
        <v>2695</v>
      </c>
    </row>
    <row r="624" customFormat="false" ht="15" hidden="false" customHeight="true" outlineLevel="0" collapsed="false">
      <c r="A624" s="3" t="s">
        <v>1875</v>
      </c>
      <c r="B624" s="3" t="s">
        <v>2728</v>
      </c>
      <c r="C624" s="3" t="s">
        <v>2687</v>
      </c>
      <c r="D624" s="3" t="s">
        <v>2714</v>
      </c>
      <c r="E624" s="3" t="s">
        <v>2715</v>
      </c>
      <c r="F624" s="3" t="s">
        <v>2716</v>
      </c>
      <c r="G624" s="3" t="s">
        <v>2701</v>
      </c>
      <c r="H624" s="3" t="s">
        <v>2717</v>
      </c>
      <c r="I624" s="3" t="s">
        <v>2703</v>
      </c>
      <c r="J624" s="3" t="s">
        <v>2694</v>
      </c>
      <c r="K624" s="3" t="s">
        <v>2695</v>
      </c>
    </row>
    <row r="625" customFormat="false" ht="15" hidden="false" customHeight="true" outlineLevel="0" collapsed="false">
      <c r="A625" s="3" t="s">
        <v>1878</v>
      </c>
      <c r="B625" s="3" t="s">
        <v>2719</v>
      </c>
      <c r="C625" s="3" t="s">
        <v>2687</v>
      </c>
      <c r="D625" s="3" t="s">
        <v>2698</v>
      </c>
      <c r="E625" s="3" t="s">
        <v>2750</v>
      </c>
      <c r="F625" s="3" t="s">
        <v>2751</v>
      </c>
      <c r="G625" s="3" t="s">
        <v>2691</v>
      </c>
      <c r="H625" s="3" t="s">
        <v>2744</v>
      </c>
      <c r="I625" s="3" t="s">
        <v>2712</v>
      </c>
      <c r="J625" s="3" t="s">
        <v>2694</v>
      </c>
      <c r="K625" s="3" t="s">
        <v>2695</v>
      </c>
    </row>
    <row r="626" customFormat="false" ht="15" hidden="false" customHeight="true" outlineLevel="0" collapsed="false">
      <c r="A626" s="3" t="s">
        <v>1881</v>
      </c>
      <c r="B626" s="3" t="s">
        <v>2719</v>
      </c>
      <c r="C626" s="3" t="s">
        <v>2731</v>
      </c>
      <c r="D626" s="3" t="s">
        <v>2741</v>
      </c>
      <c r="E626" s="3" t="s">
        <v>2742</v>
      </c>
      <c r="F626" s="3" t="s">
        <v>2743</v>
      </c>
      <c r="G626" s="3" t="s">
        <v>2691</v>
      </c>
      <c r="H626" s="3" t="s">
        <v>2744</v>
      </c>
      <c r="I626" s="3" t="s">
        <v>2693</v>
      </c>
      <c r="J626" s="3" t="s">
        <v>2694</v>
      </c>
      <c r="K626" s="3" t="s">
        <v>2695</v>
      </c>
    </row>
    <row r="627" customFormat="false" ht="15" hidden="false" customHeight="true" outlineLevel="0" collapsed="false">
      <c r="A627" s="3" t="s">
        <v>1884</v>
      </c>
      <c r="B627" s="3" t="s">
        <v>2724</v>
      </c>
      <c r="C627" s="3" t="s">
        <v>2731</v>
      </c>
      <c r="D627" s="3" t="s">
        <v>2698</v>
      </c>
      <c r="E627" s="3" t="s">
        <v>2756</v>
      </c>
      <c r="F627" s="3" t="s">
        <v>2757</v>
      </c>
      <c r="G627" s="3" t="s">
        <v>2701</v>
      </c>
      <c r="H627" s="3" t="s">
        <v>2717</v>
      </c>
      <c r="I627" s="3" t="s">
        <v>2706</v>
      </c>
      <c r="J627" s="3" t="s">
        <v>2694</v>
      </c>
      <c r="K627" s="3" t="s">
        <v>2695</v>
      </c>
    </row>
    <row r="628" customFormat="false" ht="15" hidden="false" customHeight="true" outlineLevel="0" collapsed="false">
      <c r="A628" s="3" t="s">
        <v>1887</v>
      </c>
      <c r="B628" s="3" t="s">
        <v>2755</v>
      </c>
      <c r="C628" s="3" t="s">
        <v>2729</v>
      </c>
      <c r="D628" s="3" t="s">
        <v>2714</v>
      </c>
      <c r="E628" s="3" t="s">
        <v>2689</v>
      </c>
      <c r="F628" s="3" t="s">
        <v>2737</v>
      </c>
      <c r="G628" s="3" t="s">
        <v>2701</v>
      </c>
      <c r="H628" s="3" t="s">
        <v>2717</v>
      </c>
      <c r="I628" s="3" t="s">
        <v>2703</v>
      </c>
      <c r="J628" s="3" t="s">
        <v>2694</v>
      </c>
      <c r="K628" s="3" t="s">
        <v>2695</v>
      </c>
    </row>
    <row r="629" customFormat="false" ht="15" hidden="false" customHeight="true" outlineLevel="0" collapsed="false">
      <c r="A629" s="3" t="s">
        <v>1890</v>
      </c>
      <c r="B629" s="3" t="s">
        <v>2746</v>
      </c>
      <c r="C629" s="3" t="s">
        <v>2731</v>
      </c>
      <c r="D629" s="3" t="s">
        <v>2698</v>
      </c>
      <c r="E629" s="3" t="s">
        <v>2756</v>
      </c>
      <c r="F629" s="3" t="s">
        <v>2757</v>
      </c>
      <c r="G629" s="3" t="s">
        <v>2831</v>
      </c>
      <c r="H629" s="3" t="s">
        <v>2779</v>
      </c>
      <c r="I629" s="3" t="s">
        <v>2712</v>
      </c>
      <c r="J629" s="3" t="s">
        <v>2738</v>
      </c>
      <c r="K629" s="3" t="s">
        <v>2735</v>
      </c>
    </row>
    <row r="630" customFormat="false" ht="15" hidden="false" customHeight="true" outlineLevel="0" collapsed="false">
      <c r="A630" s="3" t="s">
        <v>1893</v>
      </c>
      <c r="B630" s="3" t="s">
        <v>2686</v>
      </c>
      <c r="C630" s="3" t="s">
        <v>2697</v>
      </c>
      <c r="D630" s="3" t="s">
        <v>2708</v>
      </c>
      <c r="E630" s="3" t="s">
        <v>2764</v>
      </c>
      <c r="F630" s="3" t="s">
        <v>2765</v>
      </c>
      <c r="G630" s="3" t="s">
        <v>2722</v>
      </c>
      <c r="H630" s="3" t="s">
        <v>2758</v>
      </c>
      <c r="I630" s="3" t="s">
        <v>2693</v>
      </c>
      <c r="J630" s="3" t="s">
        <v>2738</v>
      </c>
      <c r="K630" s="3" t="s">
        <v>2718</v>
      </c>
    </row>
    <row r="631" customFormat="false" ht="15" hidden="false" customHeight="true" outlineLevel="0" collapsed="false">
      <c r="A631" s="3" t="s">
        <v>1896</v>
      </c>
      <c r="B631" s="3" t="s">
        <v>2713</v>
      </c>
      <c r="C631" s="3" t="s">
        <v>2731</v>
      </c>
      <c r="D631" s="3" t="s">
        <v>2698</v>
      </c>
      <c r="E631" s="3" t="s">
        <v>2770</v>
      </c>
      <c r="F631" s="3" t="s">
        <v>2771</v>
      </c>
      <c r="G631" s="3" t="s">
        <v>2722</v>
      </c>
      <c r="H631" s="3" t="s">
        <v>2723</v>
      </c>
      <c r="I631" s="3" t="s">
        <v>2703</v>
      </c>
      <c r="J631" s="3" t="s">
        <v>2694</v>
      </c>
      <c r="K631" s="3" t="s">
        <v>2695</v>
      </c>
    </row>
    <row r="632" customFormat="false" ht="15" hidden="false" customHeight="true" outlineLevel="0" collapsed="false">
      <c r="A632" s="3" t="s">
        <v>1899</v>
      </c>
      <c r="B632" s="3" t="s">
        <v>2707</v>
      </c>
      <c r="C632" s="3" t="s">
        <v>2731</v>
      </c>
      <c r="D632" s="3" t="s">
        <v>2714</v>
      </c>
      <c r="E632" s="3" t="s">
        <v>2762</v>
      </c>
      <c r="F632" s="3" t="s">
        <v>2763</v>
      </c>
      <c r="G632" s="3" t="s">
        <v>2701</v>
      </c>
      <c r="H632" s="3" t="s">
        <v>2702</v>
      </c>
      <c r="I632" s="3" t="s">
        <v>2703</v>
      </c>
      <c r="J632" s="3" t="s">
        <v>2694</v>
      </c>
      <c r="K632" s="3" t="s">
        <v>2695</v>
      </c>
    </row>
    <row r="633" customFormat="false" ht="15" hidden="false" customHeight="true" outlineLevel="0" collapsed="false">
      <c r="A633" s="3" t="s">
        <v>1902</v>
      </c>
      <c r="B633" s="3" t="s">
        <v>2739</v>
      </c>
      <c r="C633" s="3" t="s">
        <v>2729</v>
      </c>
      <c r="D633" s="3" t="s">
        <v>2698</v>
      </c>
      <c r="E633" s="3" t="s">
        <v>2756</v>
      </c>
      <c r="F633" s="3" t="s">
        <v>2757</v>
      </c>
      <c r="G633" s="3" t="s">
        <v>2691</v>
      </c>
      <c r="H633" s="3" t="s">
        <v>2692</v>
      </c>
      <c r="I633" s="3" t="s">
        <v>2712</v>
      </c>
      <c r="J633" s="3" t="s">
        <v>2694</v>
      </c>
      <c r="K633" s="3" t="s">
        <v>2695</v>
      </c>
    </row>
    <row r="634" customFormat="false" ht="15" hidden="false" customHeight="true" outlineLevel="0" collapsed="false">
      <c r="A634" s="3" t="s">
        <v>1905</v>
      </c>
      <c r="B634" s="3" t="s">
        <v>2745</v>
      </c>
      <c r="C634" s="3" t="s">
        <v>2731</v>
      </c>
      <c r="D634" s="3" t="s">
        <v>2714</v>
      </c>
      <c r="E634" s="3" t="s">
        <v>2689</v>
      </c>
      <c r="F634" s="3" t="s">
        <v>2737</v>
      </c>
      <c r="G634" s="3" t="s">
        <v>2701</v>
      </c>
      <c r="H634" s="3" t="s">
        <v>2717</v>
      </c>
      <c r="I634" s="3" t="s">
        <v>2712</v>
      </c>
      <c r="J634" s="3" t="s">
        <v>2694</v>
      </c>
      <c r="K634" s="3" t="s">
        <v>2695</v>
      </c>
    </row>
    <row r="635" customFormat="false" ht="15" hidden="false" customHeight="true" outlineLevel="0" collapsed="false">
      <c r="A635" s="3" t="s">
        <v>1908</v>
      </c>
      <c r="B635" s="3" t="s">
        <v>2746</v>
      </c>
      <c r="C635" s="3" t="s">
        <v>2697</v>
      </c>
      <c r="D635" s="3" t="s">
        <v>2708</v>
      </c>
      <c r="E635" s="3" t="s">
        <v>2760</v>
      </c>
      <c r="F635" s="3" t="s">
        <v>2761</v>
      </c>
      <c r="G635" s="3" t="s">
        <v>2701</v>
      </c>
      <c r="H635" s="3" t="s">
        <v>2711</v>
      </c>
      <c r="I635" s="3" t="s">
        <v>2706</v>
      </c>
      <c r="J635" s="3" t="s">
        <v>2694</v>
      </c>
      <c r="K635" s="3" t="s">
        <v>2695</v>
      </c>
    </row>
    <row r="636" customFormat="false" ht="15" hidden="false" customHeight="true" outlineLevel="0" collapsed="false">
      <c r="A636" s="3" t="s">
        <v>1911</v>
      </c>
      <c r="B636" s="3" t="s">
        <v>2745</v>
      </c>
      <c r="C636" s="3" t="s">
        <v>2697</v>
      </c>
      <c r="D636" s="3" t="s">
        <v>2708</v>
      </c>
      <c r="E636" s="3" t="s">
        <v>2774</v>
      </c>
      <c r="F636" s="3" t="s">
        <v>2775</v>
      </c>
      <c r="G636" s="3" t="s">
        <v>2722</v>
      </c>
      <c r="H636" s="3" t="s">
        <v>2723</v>
      </c>
      <c r="I636" s="3" t="s">
        <v>2693</v>
      </c>
      <c r="J636" s="3" t="s">
        <v>2694</v>
      </c>
      <c r="K636" s="3" t="s">
        <v>2695</v>
      </c>
    </row>
    <row r="637" customFormat="false" ht="15" hidden="false" customHeight="true" outlineLevel="0" collapsed="false">
      <c r="A637" s="3" t="s">
        <v>1914</v>
      </c>
      <c r="B637" s="3" t="s">
        <v>2728</v>
      </c>
      <c r="C637" s="3" t="s">
        <v>2687</v>
      </c>
      <c r="D637" s="3" t="s">
        <v>2708</v>
      </c>
      <c r="E637" s="3" t="s">
        <v>2709</v>
      </c>
      <c r="F637" s="3" t="s">
        <v>2710</v>
      </c>
      <c r="G637" s="3" t="s">
        <v>2701</v>
      </c>
      <c r="H637" s="3" t="s">
        <v>2717</v>
      </c>
      <c r="I637" s="3" t="s">
        <v>2693</v>
      </c>
      <c r="J637" s="3" t="s">
        <v>2694</v>
      </c>
      <c r="K637" s="3" t="s">
        <v>2695</v>
      </c>
    </row>
    <row r="638" customFormat="false" ht="15" hidden="false" customHeight="true" outlineLevel="0" collapsed="false">
      <c r="A638" s="3" t="s">
        <v>1917</v>
      </c>
      <c r="B638" s="3" t="s">
        <v>2696</v>
      </c>
      <c r="C638" s="3" t="s">
        <v>2729</v>
      </c>
      <c r="D638" s="3" t="s">
        <v>2708</v>
      </c>
      <c r="E638" s="3" t="s">
        <v>2726</v>
      </c>
      <c r="F638" s="3" t="s">
        <v>2727</v>
      </c>
      <c r="G638" s="3" t="s">
        <v>2701</v>
      </c>
      <c r="H638" s="3" t="s">
        <v>2717</v>
      </c>
      <c r="I638" s="3" t="s">
        <v>2703</v>
      </c>
      <c r="J638" s="3" t="s">
        <v>2694</v>
      </c>
      <c r="K638" s="3" t="s">
        <v>2695</v>
      </c>
    </row>
    <row r="639" customFormat="false" ht="15" hidden="false" customHeight="true" outlineLevel="0" collapsed="false">
      <c r="A639" s="3" t="s">
        <v>1920</v>
      </c>
      <c r="B639" s="3" t="s">
        <v>2713</v>
      </c>
      <c r="C639" s="3" t="s">
        <v>2687</v>
      </c>
      <c r="D639" s="3" t="s">
        <v>2708</v>
      </c>
      <c r="E639" s="3" t="s">
        <v>2774</v>
      </c>
      <c r="F639" s="3" t="s">
        <v>2775</v>
      </c>
      <c r="G639" s="3" t="s">
        <v>2691</v>
      </c>
      <c r="H639" s="3" t="s">
        <v>2692</v>
      </c>
      <c r="I639" s="3" t="s">
        <v>2712</v>
      </c>
      <c r="J639" s="3" t="s">
        <v>2694</v>
      </c>
      <c r="K639" s="3" t="s">
        <v>2695</v>
      </c>
    </row>
    <row r="640" customFormat="false" ht="15" hidden="false" customHeight="true" outlineLevel="0" collapsed="false">
      <c r="A640" s="3" t="s">
        <v>1923</v>
      </c>
      <c r="B640" s="3" t="s">
        <v>2740</v>
      </c>
      <c r="C640" s="3" t="s">
        <v>2697</v>
      </c>
      <c r="D640" s="3" t="s">
        <v>2714</v>
      </c>
      <c r="E640" s="3" t="s">
        <v>2766</v>
      </c>
      <c r="F640" s="3" t="s">
        <v>2767</v>
      </c>
      <c r="G640" s="3" t="s">
        <v>2722</v>
      </c>
      <c r="H640" s="3" t="s">
        <v>2725</v>
      </c>
      <c r="I640" s="3" t="s">
        <v>2706</v>
      </c>
      <c r="J640" s="3" t="s">
        <v>2694</v>
      </c>
      <c r="K640" s="3" t="s">
        <v>2695</v>
      </c>
    </row>
    <row r="641" customFormat="false" ht="15" hidden="false" customHeight="true" outlineLevel="0" collapsed="false">
      <c r="A641" s="3" t="s">
        <v>1926</v>
      </c>
      <c r="B641" s="3" t="s">
        <v>2686</v>
      </c>
      <c r="C641" s="3" t="s">
        <v>2729</v>
      </c>
      <c r="D641" s="3" t="s">
        <v>2708</v>
      </c>
      <c r="E641" s="3" t="s">
        <v>2764</v>
      </c>
      <c r="F641" s="3" t="s">
        <v>2765</v>
      </c>
      <c r="G641" s="3" t="s">
        <v>2691</v>
      </c>
      <c r="H641" s="3" t="s">
        <v>2744</v>
      </c>
      <c r="I641" s="3" t="s">
        <v>2693</v>
      </c>
      <c r="J641" s="3" t="s">
        <v>2753</v>
      </c>
      <c r="K641" s="3" t="s">
        <v>2735</v>
      </c>
    </row>
    <row r="642" customFormat="false" ht="15" hidden="false" customHeight="true" outlineLevel="0" collapsed="false">
      <c r="A642" s="3" t="s">
        <v>1929</v>
      </c>
      <c r="B642" s="3" t="s">
        <v>2704</v>
      </c>
      <c r="C642" s="3" t="s">
        <v>2697</v>
      </c>
      <c r="D642" s="3" t="s">
        <v>2698</v>
      </c>
      <c r="E642" s="3" t="s">
        <v>2699</v>
      </c>
      <c r="F642" s="3" t="s">
        <v>2700</v>
      </c>
      <c r="G642" s="3" t="s">
        <v>2701</v>
      </c>
      <c r="H642" s="3" t="s">
        <v>2717</v>
      </c>
      <c r="I642" s="3" t="s">
        <v>2693</v>
      </c>
      <c r="J642" s="3" t="s">
        <v>2694</v>
      </c>
      <c r="K642" s="3" t="s">
        <v>2695</v>
      </c>
    </row>
    <row r="643" customFormat="false" ht="15" hidden="false" customHeight="true" outlineLevel="0" collapsed="false">
      <c r="A643" s="3" t="s">
        <v>1932</v>
      </c>
      <c r="B643" s="3" t="s">
        <v>2719</v>
      </c>
      <c r="C643" s="3" t="s">
        <v>2687</v>
      </c>
      <c r="D643" s="3" t="s">
        <v>2714</v>
      </c>
      <c r="E643" s="3" t="s">
        <v>2766</v>
      </c>
      <c r="F643" s="3" t="s">
        <v>2767</v>
      </c>
      <c r="G643" s="3" t="s">
        <v>2691</v>
      </c>
      <c r="H643" s="3" t="s">
        <v>2744</v>
      </c>
      <c r="I643" s="3" t="s">
        <v>2706</v>
      </c>
      <c r="J643" s="3" t="s">
        <v>2694</v>
      </c>
      <c r="K643" s="3" t="s">
        <v>2695</v>
      </c>
    </row>
    <row r="644" customFormat="false" ht="15" hidden="false" customHeight="true" outlineLevel="0" collapsed="false">
      <c r="A644" s="3" t="s">
        <v>1935</v>
      </c>
      <c r="B644" s="3" t="s">
        <v>2686</v>
      </c>
      <c r="C644" s="3" t="s">
        <v>2687</v>
      </c>
      <c r="D644" s="3" t="s">
        <v>2741</v>
      </c>
      <c r="E644" s="3" t="s">
        <v>2782</v>
      </c>
      <c r="F644" s="3" t="s">
        <v>2783</v>
      </c>
      <c r="G644" s="3" t="s">
        <v>2701</v>
      </c>
      <c r="H644" s="3" t="s">
        <v>2711</v>
      </c>
      <c r="I644" s="3" t="s">
        <v>2703</v>
      </c>
      <c r="J644" s="3" t="s">
        <v>2694</v>
      </c>
      <c r="K644" s="3" t="s">
        <v>2695</v>
      </c>
    </row>
    <row r="645" customFormat="false" ht="15" hidden="false" customHeight="true" outlineLevel="0" collapsed="false">
      <c r="A645" s="3" t="s">
        <v>1938</v>
      </c>
      <c r="B645" s="3" t="s">
        <v>2704</v>
      </c>
      <c r="C645" s="3" t="s">
        <v>2731</v>
      </c>
      <c r="D645" s="3" t="s">
        <v>2698</v>
      </c>
      <c r="E645" s="3" t="s">
        <v>2756</v>
      </c>
      <c r="F645" s="3" t="s">
        <v>2757</v>
      </c>
      <c r="G645" s="3" t="s">
        <v>2691</v>
      </c>
      <c r="H645" s="3" t="s">
        <v>2832</v>
      </c>
      <c r="I645" s="3" t="s">
        <v>2693</v>
      </c>
      <c r="J645" s="3" t="s">
        <v>2753</v>
      </c>
      <c r="K645" s="3" t="s">
        <v>2735</v>
      </c>
    </row>
    <row r="646" customFormat="false" ht="15" hidden="false" customHeight="true" outlineLevel="0" collapsed="false">
      <c r="A646" s="3" t="s">
        <v>1941</v>
      </c>
      <c r="B646" s="3" t="s">
        <v>2745</v>
      </c>
      <c r="C646" s="3" t="s">
        <v>2731</v>
      </c>
      <c r="D646" s="3" t="s">
        <v>2741</v>
      </c>
      <c r="E646" s="3" t="s">
        <v>2747</v>
      </c>
      <c r="F646" s="3" t="s">
        <v>2748</v>
      </c>
      <c r="G646" s="3" t="s">
        <v>2691</v>
      </c>
      <c r="H646" s="3" t="s">
        <v>2730</v>
      </c>
      <c r="I646" s="3" t="s">
        <v>2712</v>
      </c>
      <c r="J646" s="3" t="s">
        <v>2753</v>
      </c>
      <c r="K646" s="3" t="s">
        <v>2735</v>
      </c>
    </row>
    <row r="647" customFormat="false" ht="15" hidden="false" customHeight="true" outlineLevel="0" collapsed="false">
      <c r="A647" s="3" t="s">
        <v>1943</v>
      </c>
      <c r="B647" s="3" t="s">
        <v>2719</v>
      </c>
      <c r="C647" s="3" t="s">
        <v>2687</v>
      </c>
      <c r="D647" s="3" t="s">
        <v>2698</v>
      </c>
      <c r="E647" s="3" t="s">
        <v>2732</v>
      </c>
      <c r="F647" s="3" t="s">
        <v>2733</v>
      </c>
      <c r="G647" s="3" t="s">
        <v>2701</v>
      </c>
      <c r="H647" s="3" t="s">
        <v>2717</v>
      </c>
      <c r="I647" s="3" t="s">
        <v>2712</v>
      </c>
      <c r="J647" s="3" t="s">
        <v>2694</v>
      </c>
      <c r="K647" s="3" t="s">
        <v>2695</v>
      </c>
    </row>
    <row r="648" customFormat="false" ht="15" hidden="false" customHeight="true" outlineLevel="0" collapsed="false">
      <c r="A648" s="3" t="s">
        <v>1946</v>
      </c>
      <c r="B648" s="3" t="s">
        <v>2778</v>
      </c>
      <c r="C648" s="3" t="s">
        <v>2687</v>
      </c>
      <c r="D648" s="3" t="s">
        <v>2698</v>
      </c>
      <c r="E648" s="3" t="s">
        <v>2750</v>
      </c>
      <c r="F648" s="3" t="s">
        <v>2751</v>
      </c>
      <c r="G648" s="3" t="s">
        <v>2701</v>
      </c>
      <c r="H648" s="3" t="s">
        <v>2717</v>
      </c>
      <c r="I648" s="3" t="s">
        <v>2693</v>
      </c>
      <c r="J648" s="3" t="s">
        <v>2694</v>
      </c>
      <c r="K648" s="3" t="s">
        <v>2695</v>
      </c>
    </row>
    <row r="649" customFormat="false" ht="15" hidden="false" customHeight="true" outlineLevel="0" collapsed="false">
      <c r="A649" s="3" t="s">
        <v>1949</v>
      </c>
      <c r="B649" s="3" t="s">
        <v>2719</v>
      </c>
      <c r="C649" s="3" t="s">
        <v>2697</v>
      </c>
      <c r="D649" s="3" t="s">
        <v>2698</v>
      </c>
      <c r="E649" s="3" t="s">
        <v>2770</v>
      </c>
      <c r="F649" s="3" t="s">
        <v>2771</v>
      </c>
      <c r="G649" s="3" t="s">
        <v>2722</v>
      </c>
      <c r="H649" s="3" t="s">
        <v>2779</v>
      </c>
      <c r="I649" s="3" t="s">
        <v>2706</v>
      </c>
      <c r="J649" s="3" t="s">
        <v>2694</v>
      </c>
      <c r="K649" s="3" t="s">
        <v>2695</v>
      </c>
    </row>
    <row r="650" customFormat="false" ht="15" hidden="false" customHeight="true" outlineLevel="0" collapsed="false">
      <c r="A650" s="3" t="s">
        <v>1952</v>
      </c>
      <c r="B650" s="3" t="s">
        <v>2833</v>
      </c>
      <c r="C650" s="3" t="s">
        <v>2697</v>
      </c>
      <c r="D650" s="3" t="s">
        <v>2741</v>
      </c>
      <c r="E650" s="3" t="s">
        <v>2742</v>
      </c>
      <c r="F650" s="3" t="s">
        <v>2743</v>
      </c>
      <c r="G650" s="3" t="s">
        <v>2691</v>
      </c>
      <c r="H650" s="3" t="s">
        <v>2705</v>
      </c>
      <c r="I650" s="3" t="s">
        <v>2706</v>
      </c>
      <c r="J650" s="3" t="s">
        <v>2694</v>
      </c>
      <c r="K650" s="3" t="s">
        <v>2695</v>
      </c>
    </row>
    <row r="651" customFormat="false" ht="15" hidden="false" customHeight="true" outlineLevel="0" collapsed="false">
      <c r="A651" s="3" t="s">
        <v>1955</v>
      </c>
      <c r="B651" s="3" t="s">
        <v>2724</v>
      </c>
      <c r="C651" s="3" t="s">
        <v>2697</v>
      </c>
      <c r="D651" s="3" t="s">
        <v>2708</v>
      </c>
      <c r="E651" s="3" t="s">
        <v>2726</v>
      </c>
      <c r="F651" s="3" t="s">
        <v>2727</v>
      </c>
      <c r="G651" s="3" t="s">
        <v>2691</v>
      </c>
      <c r="H651" s="3" t="s">
        <v>2705</v>
      </c>
      <c r="I651" s="3" t="s">
        <v>2703</v>
      </c>
      <c r="J651" s="3" t="s">
        <v>2753</v>
      </c>
      <c r="K651" s="3" t="s">
        <v>2735</v>
      </c>
    </row>
    <row r="652" customFormat="false" ht="15" hidden="false" customHeight="true" outlineLevel="0" collapsed="false">
      <c r="A652" s="3" t="s">
        <v>1958</v>
      </c>
      <c r="B652" s="3" t="s">
        <v>2778</v>
      </c>
      <c r="C652" s="3" t="s">
        <v>2697</v>
      </c>
      <c r="D652" s="3" t="s">
        <v>2708</v>
      </c>
      <c r="E652" s="3" t="s">
        <v>2764</v>
      </c>
      <c r="F652" s="3" t="s">
        <v>2765</v>
      </c>
      <c r="G652" s="3" t="s">
        <v>2722</v>
      </c>
      <c r="H652" s="3" t="s">
        <v>2723</v>
      </c>
      <c r="I652" s="3" t="s">
        <v>2712</v>
      </c>
      <c r="J652" s="3" t="s">
        <v>2694</v>
      </c>
      <c r="K652" s="3" t="s">
        <v>2695</v>
      </c>
    </row>
    <row r="653" customFormat="false" ht="15" hidden="false" customHeight="true" outlineLevel="0" collapsed="false">
      <c r="A653" s="3" t="s">
        <v>1961</v>
      </c>
      <c r="B653" s="3" t="s">
        <v>2745</v>
      </c>
      <c r="C653" s="3" t="s">
        <v>2731</v>
      </c>
      <c r="D653" s="3" t="s">
        <v>2698</v>
      </c>
      <c r="E653" s="3" t="s">
        <v>2750</v>
      </c>
      <c r="F653" s="3" t="s">
        <v>2751</v>
      </c>
      <c r="G653" s="3" t="s">
        <v>2722</v>
      </c>
      <c r="H653" s="3" t="s">
        <v>2723</v>
      </c>
      <c r="I653" s="3" t="s">
        <v>2703</v>
      </c>
      <c r="J653" s="3" t="s">
        <v>2753</v>
      </c>
      <c r="K653" s="3" t="s">
        <v>2735</v>
      </c>
    </row>
    <row r="654" customFormat="false" ht="15" hidden="false" customHeight="true" outlineLevel="0" collapsed="false">
      <c r="A654" s="3" t="s">
        <v>1963</v>
      </c>
      <c r="B654" s="3" t="s">
        <v>2696</v>
      </c>
      <c r="C654" s="3" t="s">
        <v>2697</v>
      </c>
      <c r="D654" s="3" t="s">
        <v>2708</v>
      </c>
      <c r="E654" s="3" t="s">
        <v>2726</v>
      </c>
      <c r="F654" s="3" t="s">
        <v>2727</v>
      </c>
      <c r="G654" s="3" t="s">
        <v>2691</v>
      </c>
      <c r="H654" s="3" t="s">
        <v>2692</v>
      </c>
      <c r="I654" s="3" t="s">
        <v>2693</v>
      </c>
      <c r="J654" s="3" t="s">
        <v>2694</v>
      </c>
      <c r="K654" s="3" t="s">
        <v>2695</v>
      </c>
    </row>
    <row r="655" customFormat="false" ht="15" hidden="false" customHeight="true" outlineLevel="0" collapsed="false">
      <c r="A655" s="3" t="s">
        <v>1966</v>
      </c>
      <c r="B655" s="3" t="s">
        <v>2746</v>
      </c>
      <c r="C655" s="3" t="s">
        <v>2687</v>
      </c>
      <c r="D655" s="3" t="s">
        <v>2741</v>
      </c>
      <c r="E655" s="3" t="s">
        <v>2747</v>
      </c>
      <c r="F655" s="3" t="s">
        <v>2748</v>
      </c>
      <c r="G655" s="3" t="s">
        <v>2691</v>
      </c>
      <c r="H655" s="3" t="s">
        <v>2752</v>
      </c>
      <c r="I655" s="3" t="s">
        <v>2712</v>
      </c>
      <c r="J655" s="3" t="s">
        <v>2694</v>
      </c>
      <c r="K655" s="3" t="s">
        <v>2695</v>
      </c>
    </row>
    <row r="656" customFormat="false" ht="15" hidden="false" customHeight="true" outlineLevel="0" collapsed="false">
      <c r="A656" s="3" t="s">
        <v>1968</v>
      </c>
      <c r="B656" s="3" t="s">
        <v>2739</v>
      </c>
      <c r="C656" s="3" t="s">
        <v>2697</v>
      </c>
      <c r="D656" s="3" t="s">
        <v>2708</v>
      </c>
      <c r="E656" s="3" t="s">
        <v>2774</v>
      </c>
      <c r="F656" s="3" t="s">
        <v>2775</v>
      </c>
      <c r="G656" s="3" t="s">
        <v>2722</v>
      </c>
      <c r="H656" s="3" t="s">
        <v>2725</v>
      </c>
      <c r="I656" s="3" t="s">
        <v>2693</v>
      </c>
      <c r="J656" s="3" t="s">
        <v>2694</v>
      </c>
      <c r="K656" s="3" t="s">
        <v>2695</v>
      </c>
    </row>
    <row r="657" customFormat="false" ht="15" hidden="false" customHeight="true" outlineLevel="0" collapsed="false">
      <c r="A657" s="3" t="s">
        <v>1971</v>
      </c>
      <c r="B657" s="3" t="s">
        <v>2755</v>
      </c>
      <c r="C657" s="3" t="s">
        <v>2729</v>
      </c>
      <c r="D657" s="3" t="s">
        <v>2698</v>
      </c>
      <c r="E657" s="3" t="s">
        <v>2750</v>
      </c>
      <c r="F657" s="3" t="s">
        <v>2751</v>
      </c>
      <c r="G657" s="3" t="s">
        <v>2722</v>
      </c>
      <c r="H657" s="3" t="s">
        <v>2779</v>
      </c>
      <c r="I657" s="3" t="s">
        <v>2703</v>
      </c>
      <c r="J657" s="3" t="s">
        <v>2694</v>
      </c>
      <c r="K657" s="3" t="s">
        <v>2695</v>
      </c>
    </row>
    <row r="658" customFormat="false" ht="15" hidden="false" customHeight="true" outlineLevel="0" collapsed="false">
      <c r="A658" s="3" t="s">
        <v>1973</v>
      </c>
      <c r="B658" s="3" t="s">
        <v>2724</v>
      </c>
      <c r="C658" s="3" t="s">
        <v>2731</v>
      </c>
      <c r="D658" s="3" t="s">
        <v>2698</v>
      </c>
      <c r="E658" s="3" t="s">
        <v>2732</v>
      </c>
      <c r="F658" s="3" t="s">
        <v>2733</v>
      </c>
      <c r="G658" s="3" t="s">
        <v>2701</v>
      </c>
      <c r="H658" s="3" t="s">
        <v>2711</v>
      </c>
      <c r="I658" s="3" t="s">
        <v>2712</v>
      </c>
      <c r="J658" s="3" t="s">
        <v>2694</v>
      </c>
      <c r="K658" s="3" t="s">
        <v>2695</v>
      </c>
    </row>
    <row r="659" customFormat="false" ht="15" hidden="false" customHeight="true" outlineLevel="0" collapsed="false">
      <c r="A659" s="3" t="s">
        <v>1976</v>
      </c>
      <c r="B659" s="3" t="s">
        <v>2724</v>
      </c>
      <c r="C659" s="3" t="s">
        <v>2697</v>
      </c>
      <c r="D659" s="3" t="s">
        <v>2741</v>
      </c>
      <c r="E659" s="3" t="s">
        <v>2772</v>
      </c>
      <c r="F659" s="3" t="s">
        <v>2773</v>
      </c>
      <c r="G659" s="3" t="s">
        <v>2722</v>
      </c>
      <c r="H659" s="3" t="s">
        <v>2779</v>
      </c>
      <c r="I659" s="3" t="s">
        <v>2703</v>
      </c>
      <c r="J659" s="3" t="s">
        <v>2694</v>
      </c>
      <c r="K659" s="3" t="s">
        <v>2695</v>
      </c>
    </row>
    <row r="660" customFormat="false" ht="15" hidden="false" customHeight="true" outlineLevel="0" collapsed="false">
      <c r="A660" s="3" t="s">
        <v>1979</v>
      </c>
      <c r="B660" s="3" t="s">
        <v>2728</v>
      </c>
      <c r="C660" s="3" t="s">
        <v>2731</v>
      </c>
      <c r="D660" s="3" t="s">
        <v>2698</v>
      </c>
      <c r="E660" s="3" t="s">
        <v>2750</v>
      </c>
      <c r="F660" s="3" t="s">
        <v>2751</v>
      </c>
      <c r="G660" s="3" t="s">
        <v>2691</v>
      </c>
      <c r="H660" s="3" t="s">
        <v>2744</v>
      </c>
      <c r="I660" s="3" t="s">
        <v>2693</v>
      </c>
      <c r="J660" s="3" t="s">
        <v>2694</v>
      </c>
      <c r="K660" s="3" t="s">
        <v>2695</v>
      </c>
    </row>
    <row r="661" customFormat="false" ht="15" hidden="false" customHeight="true" outlineLevel="0" collapsed="false">
      <c r="A661" s="3" t="s">
        <v>1982</v>
      </c>
      <c r="B661" s="3" t="s">
        <v>2746</v>
      </c>
      <c r="C661" s="3" t="s">
        <v>2687</v>
      </c>
      <c r="D661" s="3" t="s">
        <v>2768</v>
      </c>
      <c r="E661" s="3" t="s">
        <v>2750</v>
      </c>
      <c r="F661" s="3" t="s">
        <v>2751</v>
      </c>
      <c r="G661" s="3" t="s">
        <v>2691</v>
      </c>
      <c r="H661" s="3" t="s">
        <v>2705</v>
      </c>
      <c r="I661" s="3" t="s">
        <v>2706</v>
      </c>
      <c r="J661" s="3" t="s">
        <v>2734</v>
      </c>
      <c r="K661" s="3" t="s">
        <v>2718</v>
      </c>
    </row>
    <row r="662" customFormat="false" ht="15" hidden="false" customHeight="true" outlineLevel="0" collapsed="false">
      <c r="A662" s="3" t="s">
        <v>1985</v>
      </c>
      <c r="B662" s="3" t="s">
        <v>2755</v>
      </c>
      <c r="C662" s="3" t="s">
        <v>2729</v>
      </c>
      <c r="D662" s="3" t="s">
        <v>2708</v>
      </c>
      <c r="E662" s="3" t="s">
        <v>2760</v>
      </c>
      <c r="F662" s="3" t="s">
        <v>2761</v>
      </c>
      <c r="G662" s="3" t="s">
        <v>2722</v>
      </c>
      <c r="H662" s="3" t="s">
        <v>2758</v>
      </c>
      <c r="I662" s="3" t="s">
        <v>2693</v>
      </c>
      <c r="J662" s="3" t="s">
        <v>2734</v>
      </c>
      <c r="K662" s="3" t="s">
        <v>2718</v>
      </c>
    </row>
    <row r="663" customFormat="false" ht="15" hidden="false" customHeight="true" outlineLevel="0" collapsed="false">
      <c r="A663" s="3" t="s">
        <v>1988</v>
      </c>
      <c r="B663" s="3" t="s">
        <v>2707</v>
      </c>
      <c r="C663" s="3" t="s">
        <v>2697</v>
      </c>
      <c r="D663" s="3" t="s">
        <v>2698</v>
      </c>
      <c r="E663" s="3" t="s">
        <v>2770</v>
      </c>
      <c r="F663" s="3" t="s">
        <v>2771</v>
      </c>
      <c r="G663" s="3" t="s">
        <v>2722</v>
      </c>
      <c r="H663" s="3" t="s">
        <v>2758</v>
      </c>
      <c r="I663" s="3" t="s">
        <v>2703</v>
      </c>
      <c r="J663" s="3" t="s">
        <v>2694</v>
      </c>
      <c r="K663" s="3" t="s">
        <v>2695</v>
      </c>
    </row>
    <row r="664" customFormat="false" ht="15" hidden="false" customHeight="true" outlineLevel="0" collapsed="false">
      <c r="A664" s="3" t="s">
        <v>1991</v>
      </c>
      <c r="B664" s="3" t="s">
        <v>2746</v>
      </c>
      <c r="C664" s="3" t="s">
        <v>2687</v>
      </c>
      <c r="D664" s="3" t="s">
        <v>2708</v>
      </c>
      <c r="E664" s="3" t="s">
        <v>2726</v>
      </c>
      <c r="F664" s="3" t="s">
        <v>2727</v>
      </c>
      <c r="G664" s="3" t="s">
        <v>2722</v>
      </c>
      <c r="H664" s="3" t="s">
        <v>2779</v>
      </c>
      <c r="I664" s="3" t="s">
        <v>2693</v>
      </c>
      <c r="J664" s="3" t="s">
        <v>2694</v>
      </c>
      <c r="K664" s="3" t="s">
        <v>2695</v>
      </c>
    </row>
    <row r="665" customFormat="false" ht="15" hidden="false" customHeight="true" outlineLevel="0" collapsed="false">
      <c r="A665" s="3" t="s">
        <v>1994</v>
      </c>
      <c r="B665" s="3" t="s">
        <v>2696</v>
      </c>
      <c r="C665" s="3" t="s">
        <v>2731</v>
      </c>
      <c r="D665" s="3" t="s">
        <v>2714</v>
      </c>
      <c r="E665" s="3" t="s">
        <v>2689</v>
      </c>
      <c r="F665" s="3" t="s">
        <v>2737</v>
      </c>
      <c r="G665" s="3" t="s">
        <v>2722</v>
      </c>
      <c r="H665" s="3" t="s">
        <v>2779</v>
      </c>
      <c r="I665" s="3" t="s">
        <v>2703</v>
      </c>
      <c r="J665" s="3" t="s">
        <v>2694</v>
      </c>
      <c r="K665" s="3" t="s">
        <v>2695</v>
      </c>
    </row>
    <row r="666" customFormat="false" ht="15" hidden="false" customHeight="true" outlineLevel="0" collapsed="false">
      <c r="A666" s="3" t="s">
        <v>1997</v>
      </c>
      <c r="B666" s="3" t="s">
        <v>2740</v>
      </c>
      <c r="C666" s="3" t="s">
        <v>2731</v>
      </c>
      <c r="D666" s="3" t="s">
        <v>2698</v>
      </c>
      <c r="E666" s="3" t="s">
        <v>2770</v>
      </c>
      <c r="F666" s="3" t="s">
        <v>2771</v>
      </c>
      <c r="G666" s="3" t="s">
        <v>2722</v>
      </c>
      <c r="H666" s="3" t="s">
        <v>2725</v>
      </c>
      <c r="I666" s="3" t="s">
        <v>2693</v>
      </c>
      <c r="J666" s="3" t="s">
        <v>2694</v>
      </c>
      <c r="K666" s="3" t="s">
        <v>2695</v>
      </c>
    </row>
    <row r="667" customFormat="false" ht="15" hidden="false" customHeight="true" outlineLevel="0" collapsed="false">
      <c r="A667" s="3" t="s">
        <v>2000</v>
      </c>
      <c r="B667" s="3" t="s">
        <v>2696</v>
      </c>
      <c r="C667" s="3" t="s">
        <v>2731</v>
      </c>
      <c r="D667" s="3" t="s">
        <v>2708</v>
      </c>
      <c r="E667" s="3" t="s">
        <v>2709</v>
      </c>
      <c r="F667" s="3" t="s">
        <v>2710</v>
      </c>
      <c r="G667" s="3" t="s">
        <v>2722</v>
      </c>
      <c r="H667" s="3" t="s">
        <v>2723</v>
      </c>
      <c r="I667" s="3" t="s">
        <v>2712</v>
      </c>
      <c r="J667" s="3" t="s">
        <v>2694</v>
      </c>
      <c r="K667" s="3" t="s">
        <v>2695</v>
      </c>
    </row>
    <row r="668" customFormat="false" ht="15" hidden="false" customHeight="true" outlineLevel="0" collapsed="false">
      <c r="A668" s="3" t="s">
        <v>2003</v>
      </c>
      <c r="B668" s="3" t="s">
        <v>2834</v>
      </c>
      <c r="C668" s="3" t="s">
        <v>2731</v>
      </c>
      <c r="D668" s="3" t="s">
        <v>2714</v>
      </c>
      <c r="E668" s="3" t="s">
        <v>2762</v>
      </c>
      <c r="F668" s="3" t="s">
        <v>2763</v>
      </c>
      <c r="G668" s="3" t="s">
        <v>2691</v>
      </c>
      <c r="H668" s="3" t="s">
        <v>2705</v>
      </c>
      <c r="I668" s="3" t="s">
        <v>2712</v>
      </c>
      <c r="J668" s="3" t="s">
        <v>2753</v>
      </c>
      <c r="K668" s="3" t="s">
        <v>2718</v>
      </c>
    </row>
    <row r="669" customFormat="false" ht="15" hidden="false" customHeight="true" outlineLevel="0" collapsed="false">
      <c r="A669" s="3" t="s">
        <v>2006</v>
      </c>
      <c r="B669" s="3" t="s">
        <v>2749</v>
      </c>
      <c r="C669" s="3" t="s">
        <v>2697</v>
      </c>
      <c r="D669" s="3" t="s">
        <v>2741</v>
      </c>
      <c r="E669" s="3" t="s">
        <v>2742</v>
      </c>
      <c r="F669" s="3" t="s">
        <v>2743</v>
      </c>
      <c r="G669" s="3" t="s">
        <v>2722</v>
      </c>
      <c r="H669" s="3" t="s">
        <v>2725</v>
      </c>
      <c r="I669" s="3" t="s">
        <v>2703</v>
      </c>
      <c r="J669" s="3" t="s">
        <v>2694</v>
      </c>
      <c r="K669" s="3" t="s">
        <v>2695</v>
      </c>
    </row>
    <row r="670" customFormat="false" ht="15" hidden="false" customHeight="true" outlineLevel="0" collapsed="false">
      <c r="A670" s="3" t="s">
        <v>2009</v>
      </c>
      <c r="B670" s="3" t="s">
        <v>2755</v>
      </c>
      <c r="C670" s="3" t="s">
        <v>2697</v>
      </c>
      <c r="D670" s="3" t="s">
        <v>2698</v>
      </c>
      <c r="E670" s="3" t="s">
        <v>2750</v>
      </c>
      <c r="F670" s="3" t="s">
        <v>2751</v>
      </c>
      <c r="G670" s="3" t="s">
        <v>2722</v>
      </c>
      <c r="H670" s="3" t="s">
        <v>2779</v>
      </c>
      <c r="I670" s="3" t="s">
        <v>2712</v>
      </c>
      <c r="J670" s="3" t="s">
        <v>2738</v>
      </c>
      <c r="K670" s="3" t="s">
        <v>2735</v>
      </c>
    </row>
    <row r="671" customFormat="false" ht="15" hidden="false" customHeight="true" outlineLevel="0" collapsed="false">
      <c r="A671" s="3" t="s">
        <v>2012</v>
      </c>
      <c r="B671" s="3" t="s">
        <v>2696</v>
      </c>
      <c r="C671" s="3" t="s">
        <v>2729</v>
      </c>
      <c r="D671" s="3" t="s">
        <v>2714</v>
      </c>
      <c r="E671" s="3" t="s">
        <v>2762</v>
      </c>
      <c r="F671" s="3" t="s">
        <v>2763</v>
      </c>
      <c r="G671" s="3" t="s">
        <v>2691</v>
      </c>
      <c r="H671" s="3" t="s">
        <v>2692</v>
      </c>
      <c r="I671" s="3" t="s">
        <v>2693</v>
      </c>
      <c r="J671" s="3" t="s">
        <v>2694</v>
      </c>
      <c r="K671" s="3" t="s">
        <v>2695</v>
      </c>
    </row>
    <row r="672" customFormat="false" ht="15" hidden="false" customHeight="true" outlineLevel="0" collapsed="false">
      <c r="A672" s="3" t="s">
        <v>2015</v>
      </c>
      <c r="B672" s="3" t="s">
        <v>2713</v>
      </c>
      <c r="C672" s="3" t="s">
        <v>2731</v>
      </c>
      <c r="D672" s="3" t="s">
        <v>2714</v>
      </c>
      <c r="E672" s="3" t="s">
        <v>2715</v>
      </c>
      <c r="F672" s="3" t="s">
        <v>2716</v>
      </c>
      <c r="G672" s="3" t="s">
        <v>2701</v>
      </c>
      <c r="H672" s="3" t="s">
        <v>2702</v>
      </c>
      <c r="I672" s="3" t="s">
        <v>2693</v>
      </c>
      <c r="J672" s="3" t="s">
        <v>2694</v>
      </c>
      <c r="K672" s="3" t="s">
        <v>2695</v>
      </c>
    </row>
    <row r="673" customFormat="false" ht="15" hidden="false" customHeight="true" outlineLevel="0" collapsed="false">
      <c r="A673" s="3" t="s">
        <v>2018</v>
      </c>
      <c r="B673" s="3" t="s">
        <v>2746</v>
      </c>
      <c r="C673" s="3" t="s">
        <v>2736</v>
      </c>
      <c r="D673" s="3" t="s">
        <v>2741</v>
      </c>
      <c r="E673" s="3" t="s">
        <v>2747</v>
      </c>
      <c r="F673" s="3" t="s">
        <v>2748</v>
      </c>
      <c r="G673" s="3" t="s">
        <v>2701</v>
      </c>
      <c r="H673" s="3" t="s">
        <v>2702</v>
      </c>
      <c r="I673" s="3" t="s">
        <v>2712</v>
      </c>
      <c r="J673" s="3" t="s">
        <v>2694</v>
      </c>
      <c r="K673" s="3" t="s">
        <v>2695</v>
      </c>
    </row>
    <row r="674" customFormat="false" ht="15" hidden="false" customHeight="true" outlineLevel="0" collapsed="false">
      <c r="A674" s="3" t="s">
        <v>2020</v>
      </c>
      <c r="B674" s="3" t="s">
        <v>2728</v>
      </c>
      <c r="C674" s="3" t="s">
        <v>2731</v>
      </c>
      <c r="D674" s="3" t="s">
        <v>2714</v>
      </c>
      <c r="E674" s="3" t="s">
        <v>2766</v>
      </c>
      <c r="F674" s="3" t="s">
        <v>2767</v>
      </c>
      <c r="G674" s="3" t="s">
        <v>2722</v>
      </c>
      <c r="H674" s="3" t="s">
        <v>2835</v>
      </c>
      <c r="I674" s="3" t="s">
        <v>2693</v>
      </c>
      <c r="J674" s="3" t="s">
        <v>2694</v>
      </c>
      <c r="K674" s="3" t="s">
        <v>2695</v>
      </c>
    </row>
    <row r="675" customFormat="false" ht="15" hidden="false" customHeight="true" outlineLevel="0" collapsed="false">
      <c r="A675" s="3" t="s">
        <v>2023</v>
      </c>
      <c r="B675" s="3" t="s">
        <v>2728</v>
      </c>
      <c r="C675" s="3" t="s">
        <v>2729</v>
      </c>
      <c r="D675" s="3" t="s">
        <v>2714</v>
      </c>
      <c r="E675" s="3" t="s">
        <v>2720</v>
      </c>
      <c r="F675" s="3" t="s">
        <v>2721</v>
      </c>
      <c r="G675" s="3" t="s">
        <v>2701</v>
      </c>
      <c r="H675" s="3" t="s">
        <v>2717</v>
      </c>
      <c r="I675" s="3" t="s">
        <v>2712</v>
      </c>
      <c r="J675" s="3" t="s">
        <v>2694</v>
      </c>
      <c r="K675" s="3" t="s">
        <v>2735</v>
      </c>
    </row>
    <row r="676" customFormat="false" ht="15" hidden="false" customHeight="true" outlineLevel="0" collapsed="false">
      <c r="A676" s="3" t="s">
        <v>2026</v>
      </c>
      <c r="B676" s="3" t="s">
        <v>2707</v>
      </c>
      <c r="C676" s="3" t="s">
        <v>2697</v>
      </c>
      <c r="D676" s="3" t="s">
        <v>2714</v>
      </c>
      <c r="E676" s="3" t="s">
        <v>2689</v>
      </c>
      <c r="F676" s="3" t="s">
        <v>2737</v>
      </c>
      <c r="G676" s="3" t="s">
        <v>2701</v>
      </c>
      <c r="H676" s="3" t="s">
        <v>2754</v>
      </c>
      <c r="I676" s="3" t="s">
        <v>2693</v>
      </c>
      <c r="J676" s="3" t="s">
        <v>2694</v>
      </c>
      <c r="K676" s="3" t="s">
        <v>2695</v>
      </c>
    </row>
    <row r="677" customFormat="false" ht="15" hidden="false" customHeight="true" outlineLevel="0" collapsed="false">
      <c r="A677" s="3" t="s">
        <v>2029</v>
      </c>
      <c r="B677" s="3" t="s">
        <v>2719</v>
      </c>
      <c r="C677" s="3" t="s">
        <v>2729</v>
      </c>
      <c r="D677" s="3" t="s">
        <v>2698</v>
      </c>
      <c r="E677" s="3" t="s">
        <v>2770</v>
      </c>
      <c r="F677" s="3" t="s">
        <v>2771</v>
      </c>
      <c r="G677" s="3" t="s">
        <v>2722</v>
      </c>
      <c r="H677" s="3" t="s">
        <v>2723</v>
      </c>
      <c r="I677" s="3" t="s">
        <v>2693</v>
      </c>
      <c r="J677" s="3" t="s">
        <v>2738</v>
      </c>
      <c r="K677" s="3" t="s">
        <v>2735</v>
      </c>
    </row>
    <row r="678" customFormat="false" ht="15" hidden="false" customHeight="true" outlineLevel="0" collapsed="false">
      <c r="A678" s="3" t="s">
        <v>2032</v>
      </c>
      <c r="B678" s="3" t="s">
        <v>2745</v>
      </c>
      <c r="C678" s="3" t="s">
        <v>2687</v>
      </c>
      <c r="D678" s="3" t="s">
        <v>2741</v>
      </c>
      <c r="E678" s="3" t="s">
        <v>2689</v>
      </c>
      <c r="F678" s="3" t="s">
        <v>2690</v>
      </c>
      <c r="G678" s="3" t="s">
        <v>2701</v>
      </c>
      <c r="H678" s="3" t="s">
        <v>2711</v>
      </c>
      <c r="I678" s="3" t="s">
        <v>2703</v>
      </c>
      <c r="J678" s="3" t="s">
        <v>2694</v>
      </c>
      <c r="K678" s="3" t="s">
        <v>2695</v>
      </c>
    </row>
    <row r="679" customFormat="false" ht="15" hidden="false" customHeight="true" outlineLevel="0" collapsed="false">
      <c r="A679" s="3" t="s">
        <v>2034</v>
      </c>
      <c r="B679" s="3" t="s">
        <v>2740</v>
      </c>
      <c r="C679" s="3" t="s">
        <v>2697</v>
      </c>
      <c r="D679" s="3" t="s">
        <v>2741</v>
      </c>
      <c r="E679" s="3" t="s">
        <v>2782</v>
      </c>
      <c r="F679" s="3" t="s">
        <v>2783</v>
      </c>
      <c r="G679" s="3" t="s">
        <v>2722</v>
      </c>
      <c r="H679" s="3" t="s">
        <v>2758</v>
      </c>
      <c r="I679" s="3" t="s">
        <v>2703</v>
      </c>
      <c r="J679" s="3" t="s">
        <v>2694</v>
      </c>
      <c r="K679" s="3" t="s">
        <v>2695</v>
      </c>
    </row>
    <row r="680" customFormat="false" ht="15" hidden="false" customHeight="true" outlineLevel="0" collapsed="false">
      <c r="A680" s="3" t="s">
        <v>2037</v>
      </c>
      <c r="B680" s="3" t="s">
        <v>2704</v>
      </c>
      <c r="C680" s="3" t="s">
        <v>2731</v>
      </c>
      <c r="D680" s="3" t="s">
        <v>2708</v>
      </c>
      <c r="E680" s="3" t="s">
        <v>2760</v>
      </c>
      <c r="F680" s="3" t="s">
        <v>2761</v>
      </c>
      <c r="G680" s="3" t="s">
        <v>2701</v>
      </c>
      <c r="H680" s="3" t="s">
        <v>2717</v>
      </c>
      <c r="I680" s="3" t="s">
        <v>2703</v>
      </c>
      <c r="J680" s="3" t="s">
        <v>2694</v>
      </c>
      <c r="K680" s="3" t="s">
        <v>2695</v>
      </c>
    </row>
    <row r="681" customFormat="false" ht="15" hidden="false" customHeight="true" outlineLevel="0" collapsed="false">
      <c r="A681" s="3" t="s">
        <v>2039</v>
      </c>
      <c r="B681" s="3" t="s">
        <v>2778</v>
      </c>
      <c r="C681" s="3" t="s">
        <v>2729</v>
      </c>
      <c r="D681" s="3" t="s">
        <v>2708</v>
      </c>
      <c r="E681" s="3" t="s">
        <v>2760</v>
      </c>
      <c r="F681" s="3" t="s">
        <v>2761</v>
      </c>
      <c r="G681" s="3" t="s">
        <v>2701</v>
      </c>
      <c r="H681" s="3" t="s">
        <v>2702</v>
      </c>
      <c r="I681" s="3" t="s">
        <v>2693</v>
      </c>
      <c r="J681" s="3" t="s">
        <v>2694</v>
      </c>
      <c r="K681" s="3" t="s">
        <v>2695</v>
      </c>
    </row>
    <row r="682" customFormat="false" ht="15" hidden="false" customHeight="true" outlineLevel="0" collapsed="false">
      <c r="A682" s="3" t="s">
        <v>2042</v>
      </c>
      <c r="B682" s="3" t="s">
        <v>2749</v>
      </c>
      <c r="C682" s="3" t="s">
        <v>2729</v>
      </c>
      <c r="D682" s="3" t="s">
        <v>2741</v>
      </c>
      <c r="E682" s="3" t="s">
        <v>2742</v>
      </c>
      <c r="F682" s="3" t="s">
        <v>2743</v>
      </c>
      <c r="G682" s="3" t="s">
        <v>2722</v>
      </c>
      <c r="H682" s="3" t="s">
        <v>2725</v>
      </c>
      <c r="I682" s="3" t="s">
        <v>2703</v>
      </c>
      <c r="J682" s="3" t="s">
        <v>2734</v>
      </c>
      <c r="K682" s="3" t="s">
        <v>2718</v>
      </c>
    </row>
    <row r="683" customFormat="false" ht="15" hidden="false" customHeight="true" outlineLevel="0" collapsed="false">
      <c r="A683" s="3" t="s">
        <v>2045</v>
      </c>
      <c r="B683" s="3" t="s">
        <v>2778</v>
      </c>
      <c r="C683" s="3" t="s">
        <v>2729</v>
      </c>
      <c r="D683" s="3" t="s">
        <v>2708</v>
      </c>
      <c r="E683" s="3" t="s">
        <v>2774</v>
      </c>
      <c r="F683" s="3" t="s">
        <v>2775</v>
      </c>
      <c r="G683" s="3" t="s">
        <v>2722</v>
      </c>
      <c r="H683" s="3" t="s">
        <v>2723</v>
      </c>
      <c r="I683" s="3" t="s">
        <v>2706</v>
      </c>
      <c r="J683" s="3" t="s">
        <v>2694</v>
      </c>
      <c r="K683" s="3" t="s">
        <v>2695</v>
      </c>
    </row>
    <row r="684" customFormat="false" ht="15" hidden="false" customHeight="true" outlineLevel="0" collapsed="false">
      <c r="A684" s="3" t="s">
        <v>2048</v>
      </c>
      <c r="B684" s="3" t="s">
        <v>2719</v>
      </c>
      <c r="C684" s="3" t="s">
        <v>2729</v>
      </c>
      <c r="D684" s="3" t="s">
        <v>2741</v>
      </c>
      <c r="E684" s="3" t="s">
        <v>2782</v>
      </c>
      <c r="F684" s="3" t="s">
        <v>2783</v>
      </c>
      <c r="G684" s="3" t="s">
        <v>2701</v>
      </c>
      <c r="H684" s="3" t="s">
        <v>2702</v>
      </c>
      <c r="I684" s="3" t="s">
        <v>2693</v>
      </c>
      <c r="J684" s="3" t="s">
        <v>2694</v>
      </c>
      <c r="K684" s="3" t="s">
        <v>2718</v>
      </c>
    </row>
    <row r="685" customFormat="false" ht="15" hidden="false" customHeight="true" outlineLevel="0" collapsed="false">
      <c r="A685" s="3" t="s">
        <v>2051</v>
      </c>
      <c r="B685" s="3" t="s">
        <v>2836</v>
      </c>
      <c r="C685" s="3" t="s">
        <v>2729</v>
      </c>
      <c r="D685" s="3" t="s">
        <v>2741</v>
      </c>
      <c r="E685" s="3" t="s">
        <v>2772</v>
      </c>
      <c r="F685" s="3" t="s">
        <v>2773</v>
      </c>
      <c r="G685" s="3" t="s">
        <v>2691</v>
      </c>
      <c r="H685" s="3" t="s">
        <v>2744</v>
      </c>
      <c r="I685" s="3" t="s">
        <v>2703</v>
      </c>
      <c r="J685" s="3" t="s">
        <v>2694</v>
      </c>
      <c r="K685" s="3" t="s">
        <v>2695</v>
      </c>
    </row>
    <row r="686" customFormat="false" ht="15" hidden="false" customHeight="true" outlineLevel="0" collapsed="false">
      <c r="A686" s="3" t="s">
        <v>2054</v>
      </c>
      <c r="B686" s="3" t="s">
        <v>2707</v>
      </c>
      <c r="C686" s="3" t="s">
        <v>2697</v>
      </c>
      <c r="D686" s="3" t="s">
        <v>2708</v>
      </c>
      <c r="E686" s="3" t="s">
        <v>2709</v>
      </c>
      <c r="F686" s="3" t="s">
        <v>2710</v>
      </c>
      <c r="G686" s="3" t="s">
        <v>2701</v>
      </c>
      <c r="H686" s="3" t="s">
        <v>2711</v>
      </c>
      <c r="I686" s="3" t="s">
        <v>2693</v>
      </c>
      <c r="J686" s="3" t="s">
        <v>2734</v>
      </c>
      <c r="K686" s="3" t="s">
        <v>2718</v>
      </c>
    </row>
    <row r="687" customFormat="false" ht="15" hidden="false" customHeight="true" outlineLevel="0" collapsed="false">
      <c r="A687" s="3" t="s">
        <v>2057</v>
      </c>
      <c r="B687" s="3" t="s">
        <v>2704</v>
      </c>
      <c r="C687" s="3" t="s">
        <v>2731</v>
      </c>
      <c r="D687" s="3" t="s">
        <v>2708</v>
      </c>
      <c r="E687" s="3" t="s">
        <v>2774</v>
      </c>
      <c r="F687" s="3" t="s">
        <v>2775</v>
      </c>
      <c r="G687" s="3" t="s">
        <v>2701</v>
      </c>
      <c r="H687" s="3" t="s">
        <v>2754</v>
      </c>
      <c r="I687" s="3" t="s">
        <v>2706</v>
      </c>
      <c r="J687" s="3" t="s">
        <v>2734</v>
      </c>
      <c r="K687" s="3" t="s">
        <v>2718</v>
      </c>
    </row>
    <row r="688" customFormat="false" ht="15" hidden="false" customHeight="true" outlineLevel="0" collapsed="false">
      <c r="A688" s="3" t="s">
        <v>2060</v>
      </c>
      <c r="B688" s="3" t="s">
        <v>2724</v>
      </c>
      <c r="C688" s="3" t="s">
        <v>2729</v>
      </c>
      <c r="D688" s="3" t="s">
        <v>2714</v>
      </c>
      <c r="E688" s="3" t="s">
        <v>2766</v>
      </c>
      <c r="F688" s="3" t="s">
        <v>2767</v>
      </c>
      <c r="G688" s="3" t="s">
        <v>2691</v>
      </c>
      <c r="H688" s="3" t="s">
        <v>2705</v>
      </c>
      <c r="I688" s="3" t="s">
        <v>2712</v>
      </c>
      <c r="J688" s="3" t="s">
        <v>2753</v>
      </c>
      <c r="K688" s="3" t="s">
        <v>2718</v>
      </c>
    </row>
    <row r="689" customFormat="false" ht="15" hidden="false" customHeight="true" outlineLevel="0" collapsed="false">
      <c r="A689" s="3" t="s">
        <v>2062</v>
      </c>
      <c r="B689" s="3" t="s">
        <v>2746</v>
      </c>
      <c r="C689" s="3" t="s">
        <v>2731</v>
      </c>
      <c r="D689" s="3" t="s">
        <v>2708</v>
      </c>
      <c r="E689" s="3" t="s">
        <v>2774</v>
      </c>
      <c r="F689" s="3" t="s">
        <v>2775</v>
      </c>
      <c r="G689" s="3" t="s">
        <v>2722</v>
      </c>
      <c r="H689" s="3" t="s">
        <v>2725</v>
      </c>
      <c r="I689" s="3" t="s">
        <v>2712</v>
      </c>
      <c r="J689" s="3" t="s">
        <v>2694</v>
      </c>
      <c r="K689" s="3" t="s">
        <v>2695</v>
      </c>
    </row>
    <row r="690" customFormat="false" ht="15" hidden="false" customHeight="true" outlineLevel="0" collapsed="false">
      <c r="A690" s="3" t="s">
        <v>2065</v>
      </c>
      <c r="B690" s="3" t="s">
        <v>2696</v>
      </c>
      <c r="C690" s="3" t="s">
        <v>2731</v>
      </c>
      <c r="D690" s="3" t="s">
        <v>2741</v>
      </c>
      <c r="E690" s="3" t="s">
        <v>2742</v>
      </c>
      <c r="F690" s="3" t="s">
        <v>2743</v>
      </c>
      <c r="G690" s="3" t="s">
        <v>2701</v>
      </c>
      <c r="H690" s="3" t="s">
        <v>2702</v>
      </c>
      <c r="I690" s="3" t="s">
        <v>2706</v>
      </c>
      <c r="J690" s="3" t="s">
        <v>2753</v>
      </c>
      <c r="K690" s="3" t="s">
        <v>2718</v>
      </c>
    </row>
    <row r="691" customFormat="false" ht="15" hidden="false" customHeight="true" outlineLevel="0" collapsed="false">
      <c r="A691" s="3" t="s">
        <v>2068</v>
      </c>
      <c r="B691" s="3" t="s">
        <v>2724</v>
      </c>
      <c r="C691" s="3" t="s">
        <v>2731</v>
      </c>
      <c r="D691" s="3" t="s">
        <v>2741</v>
      </c>
      <c r="E691" s="3" t="s">
        <v>2772</v>
      </c>
      <c r="F691" s="3" t="s">
        <v>2773</v>
      </c>
      <c r="G691" s="3" t="s">
        <v>2691</v>
      </c>
      <c r="H691" s="3" t="s">
        <v>2705</v>
      </c>
      <c r="I691" s="3" t="s">
        <v>2693</v>
      </c>
      <c r="J691" s="3" t="s">
        <v>2694</v>
      </c>
      <c r="K691" s="3" t="s">
        <v>2695</v>
      </c>
    </row>
    <row r="692" customFormat="false" ht="15" hidden="false" customHeight="true" outlineLevel="0" collapsed="false">
      <c r="A692" s="3" t="s">
        <v>2071</v>
      </c>
      <c r="B692" s="3" t="s">
        <v>2749</v>
      </c>
      <c r="C692" s="3" t="s">
        <v>2697</v>
      </c>
      <c r="D692" s="3" t="s">
        <v>2741</v>
      </c>
      <c r="E692" s="3" t="s">
        <v>2742</v>
      </c>
      <c r="F692" s="3" t="s">
        <v>2743</v>
      </c>
      <c r="G692" s="3" t="s">
        <v>2701</v>
      </c>
      <c r="H692" s="3" t="s">
        <v>2702</v>
      </c>
      <c r="I692" s="3" t="s">
        <v>2712</v>
      </c>
      <c r="J692" s="3" t="s">
        <v>2753</v>
      </c>
      <c r="K692" s="3" t="s">
        <v>2718</v>
      </c>
    </row>
    <row r="693" customFormat="false" ht="15" hidden="false" customHeight="true" outlineLevel="0" collapsed="false">
      <c r="A693" s="3" t="s">
        <v>2074</v>
      </c>
      <c r="B693" s="3" t="s">
        <v>2746</v>
      </c>
      <c r="C693" s="3" t="s">
        <v>2729</v>
      </c>
      <c r="D693" s="3" t="s">
        <v>2708</v>
      </c>
      <c r="E693" s="3" t="s">
        <v>2774</v>
      </c>
      <c r="F693" s="3" t="s">
        <v>2775</v>
      </c>
      <c r="G693" s="3" t="s">
        <v>2691</v>
      </c>
      <c r="H693" s="3" t="s">
        <v>2705</v>
      </c>
      <c r="I693" s="3" t="s">
        <v>2712</v>
      </c>
      <c r="J693" s="3" t="s">
        <v>2753</v>
      </c>
      <c r="K693" s="3" t="s">
        <v>2735</v>
      </c>
    </row>
    <row r="694" customFormat="false" ht="15" hidden="false" customHeight="true" outlineLevel="0" collapsed="false">
      <c r="A694" s="3" t="s">
        <v>2077</v>
      </c>
      <c r="B694" s="3" t="s">
        <v>2749</v>
      </c>
      <c r="C694" s="3" t="s">
        <v>2687</v>
      </c>
      <c r="D694" s="3" t="s">
        <v>2698</v>
      </c>
      <c r="E694" s="3" t="s">
        <v>2699</v>
      </c>
      <c r="F694" s="3" t="s">
        <v>2700</v>
      </c>
      <c r="G694" s="3" t="s">
        <v>2722</v>
      </c>
      <c r="H694" s="3" t="s">
        <v>2725</v>
      </c>
      <c r="I694" s="3" t="s">
        <v>2693</v>
      </c>
      <c r="J694" s="3" t="s">
        <v>2694</v>
      </c>
      <c r="K694" s="3" t="s">
        <v>2695</v>
      </c>
    </row>
    <row r="695" customFormat="false" ht="15" hidden="false" customHeight="true" outlineLevel="0" collapsed="false">
      <c r="A695" s="3" t="s">
        <v>2080</v>
      </c>
      <c r="B695" s="3" t="s">
        <v>2704</v>
      </c>
      <c r="C695" s="3" t="s">
        <v>2811</v>
      </c>
      <c r="D695" s="3" t="s">
        <v>2708</v>
      </c>
      <c r="E695" s="3" t="s">
        <v>2760</v>
      </c>
      <c r="F695" s="3" t="s">
        <v>2761</v>
      </c>
      <c r="G695" s="3" t="s">
        <v>2701</v>
      </c>
      <c r="H695" s="3" t="s">
        <v>2711</v>
      </c>
      <c r="I695" s="3" t="s">
        <v>2693</v>
      </c>
      <c r="J695" s="3" t="s">
        <v>2694</v>
      </c>
      <c r="K695" s="3" t="s">
        <v>2695</v>
      </c>
    </row>
    <row r="696" customFormat="false" ht="15" hidden="false" customHeight="true" outlineLevel="0" collapsed="false">
      <c r="A696" s="3" t="s">
        <v>2083</v>
      </c>
      <c r="B696" s="3" t="s">
        <v>2707</v>
      </c>
      <c r="C696" s="3" t="s">
        <v>2687</v>
      </c>
      <c r="D696" s="3" t="s">
        <v>2708</v>
      </c>
      <c r="E696" s="3" t="s">
        <v>2774</v>
      </c>
      <c r="F696" s="3" t="s">
        <v>2775</v>
      </c>
      <c r="G696" s="3" t="s">
        <v>2701</v>
      </c>
      <c r="H696" s="3" t="s">
        <v>2754</v>
      </c>
      <c r="I696" s="3" t="s">
        <v>2693</v>
      </c>
      <c r="J696" s="3" t="s">
        <v>2694</v>
      </c>
      <c r="K696" s="3" t="s">
        <v>2695</v>
      </c>
    </row>
    <row r="697" customFormat="false" ht="15" hidden="false" customHeight="true" outlineLevel="0" collapsed="false">
      <c r="A697" s="3" t="s">
        <v>2086</v>
      </c>
      <c r="B697" s="3" t="s">
        <v>2704</v>
      </c>
      <c r="C697" s="3" t="s">
        <v>2687</v>
      </c>
      <c r="D697" s="3" t="s">
        <v>2708</v>
      </c>
      <c r="E697" s="3" t="s">
        <v>2726</v>
      </c>
      <c r="F697" s="3" t="s">
        <v>2727</v>
      </c>
      <c r="G697" s="3" t="s">
        <v>2691</v>
      </c>
      <c r="H697" s="3" t="s">
        <v>2744</v>
      </c>
      <c r="I697" s="3" t="s">
        <v>2706</v>
      </c>
      <c r="J697" s="3" t="s">
        <v>2694</v>
      </c>
      <c r="K697" s="3" t="s">
        <v>2695</v>
      </c>
    </row>
    <row r="698" customFormat="false" ht="15" hidden="false" customHeight="true" outlineLevel="0" collapsed="false">
      <c r="A698" s="3" t="s">
        <v>2088</v>
      </c>
      <c r="B698" s="3" t="s">
        <v>2745</v>
      </c>
      <c r="C698" s="3" t="s">
        <v>2687</v>
      </c>
      <c r="D698" s="3" t="s">
        <v>2714</v>
      </c>
      <c r="E698" s="3" t="s">
        <v>2720</v>
      </c>
      <c r="F698" s="3" t="s">
        <v>2721</v>
      </c>
      <c r="G698" s="3" t="s">
        <v>2722</v>
      </c>
      <c r="H698" s="3" t="s">
        <v>2837</v>
      </c>
      <c r="I698" s="3" t="s">
        <v>2712</v>
      </c>
      <c r="J698" s="3" t="s">
        <v>2694</v>
      </c>
      <c r="K698" s="3" t="s">
        <v>2695</v>
      </c>
    </row>
    <row r="699" customFormat="false" ht="15" hidden="false" customHeight="true" outlineLevel="0" collapsed="false">
      <c r="A699" s="3" t="s">
        <v>2091</v>
      </c>
      <c r="B699" s="3" t="s">
        <v>2704</v>
      </c>
      <c r="C699" s="3" t="s">
        <v>2697</v>
      </c>
      <c r="D699" s="3" t="s">
        <v>2708</v>
      </c>
      <c r="E699" s="3" t="s">
        <v>2764</v>
      </c>
      <c r="F699" s="3" t="s">
        <v>2765</v>
      </c>
      <c r="G699" s="3" t="s">
        <v>2722</v>
      </c>
      <c r="H699" s="3" t="s">
        <v>2758</v>
      </c>
      <c r="I699" s="3" t="s">
        <v>2768</v>
      </c>
      <c r="J699" s="3" t="s">
        <v>2694</v>
      </c>
      <c r="K699" s="3" t="s">
        <v>2695</v>
      </c>
    </row>
    <row r="700" customFormat="false" ht="15" hidden="false" customHeight="true" outlineLevel="0" collapsed="false">
      <c r="A700" s="3" t="s">
        <v>2094</v>
      </c>
      <c r="B700" s="3" t="s">
        <v>2707</v>
      </c>
      <c r="C700" s="3" t="s">
        <v>2729</v>
      </c>
      <c r="D700" s="3" t="s">
        <v>2708</v>
      </c>
      <c r="E700" s="3" t="s">
        <v>2726</v>
      </c>
      <c r="F700" s="3" t="s">
        <v>2727</v>
      </c>
      <c r="G700" s="3" t="s">
        <v>2691</v>
      </c>
      <c r="H700" s="3" t="s">
        <v>2730</v>
      </c>
      <c r="I700" s="3" t="s">
        <v>2706</v>
      </c>
      <c r="J700" s="3" t="s">
        <v>2734</v>
      </c>
      <c r="K700" s="3" t="s">
        <v>2735</v>
      </c>
    </row>
    <row r="701" customFormat="false" ht="15" hidden="false" customHeight="true" outlineLevel="0" collapsed="false">
      <c r="A701" s="3" t="s">
        <v>2097</v>
      </c>
      <c r="B701" s="3" t="s">
        <v>2696</v>
      </c>
      <c r="C701" s="3" t="s">
        <v>2729</v>
      </c>
      <c r="D701" s="3" t="s">
        <v>2741</v>
      </c>
      <c r="E701" s="3" t="s">
        <v>2689</v>
      </c>
      <c r="F701" s="3" t="s">
        <v>2690</v>
      </c>
      <c r="G701" s="3" t="s">
        <v>2722</v>
      </c>
      <c r="H701" s="3" t="s">
        <v>2779</v>
      </c>
      <c r="I701" s="3" t="s">
        <v>2712</v>
      </c>
      <c r="J701" s="3" t="s">
        <v>2694</v>
      </c>
      <c r="K701" s="3" t="s">
        <v>2735</v>
      </c>
    </row>
    <row r="702" customFormat="false" ht="15" hidden="false" customHeight="true" outlineLevel="0" collapsed="false">
      <c r="A702" s="3" t="s">
        <v>2100</v>
      </c>
      <c r="B702" s="3" t="s">
        <v>2707</v>
      </c>
      <c r="C702" s="3" t="s">
        <v>2697</v>
      </c>
      <c r="D702" s="3" t="s">
        <v>2708</v>
      </c>
      <c r="E702" s="3" t="s">
        <v>2760</v>
      </c>
      <c r="F702" s="3" t="s">
        <v>2761</v>
      </c>
      <c r="G702" s="3" t="s">
        <v>2701</v>
      </c>
      <c r="H702" s="3" t="s">
        <v>2754</v>
      </c>
      <c r="I702" s="3" t="s">
        <v>2712</v>
      </c>
      <c r="J702" s="3" t="s">
        <v>2694</v>
      </c>
      <c r="K702" s="3" t="s">
        <v>2695</v>
      </c>
    </row>
    <row r="703" customFormat="false" ht="15" hidden="false" customHeight="true" outlineLevel="0" collapsed="false">
      <c r="A703" s="3" t="s">
        <v>2103</v>
      </c>
      <c r="B703" s="3" t="s">
        <v>2724</v>
      </c>
      <c r="C703" s="3" t="s">
        <v>2729</v>
      </c>
      <c r="D703" s="3" t="s">
        <v>2698</v>
      </c>
      <c r="E703" s="3" t="s">
        <v>2732</v>
      </c>
      <c r="F703" s="3" t="s">
        <v>2733</v>
      </c>
      <c r="G703" s="3" t="s">
        <v>2722</v>
      </c>
      <c r="H703" s="3" t="s">
        <v>2779</v>
      </c>
      <c r="I703" s="3" t="s">
        <v>2712</v>
      </c>
      <c r="J703" s="3" t="s">
        <v>2694</v>
      </c>
      <c r="K703" s="3" t="s">
        <v>2695</v>
      </c>
    </row>
    <row r="704" customFormat="false" ht="15" hidden="false" customHeight="true" outlineLevel="0" collapsed="false">
      <c r="A704" s="3" t="s">
        <v>2106</v>
      </c>
      <c r="B704" s="3" t="s">
        <v>2749</v>
      </c>
      <c r="C704" s="3" t="s">
        <v>2697</v>
      </c>
      <c r="D704" s="3" t="s">
        <v>2714</v>
      </c>
      <c r="E704" s="3" t="s">
        <v>2762</v>
      </c>
      <c r="F704" s="3" t="s">
        <v>2763</v>
      </c>
      <c r="G704" s="3" t="s">
        <v>2691</v>
      </c>
      <c r="H704" s="3" t="s">
        <v>2705</v>
      </c>
      <c r="I704" s="3" t="s">
        <v>2703</v>
      </c>
      <c r="J704" s="3" t="s">
        <v>2694</v>
      </c>
      <c r="K704" s="3" t="s">
        <v>2735</v>
      </c>
    </row>
    <row r="705" customFormat="false" ht="15" hidden="false" customHeight="true" outlineLevel="0" collapsed="false">
      <c r="A705" s="3" t="s">
        <v>2109</v>
      </c>
      <c r="B705" s="3" t="s">
        <v>2686</v>
      </c>
      <c r="C705" s="3" t="s">
        <v>2697</v>
      </c>
      <c r="D705" s="3" t="s">
        <v>2714</v>
      </c>
      <c r="E705" s="3" t="s">
        <v>2689</v>
      </c>
      <c r="F705" s="3" t="s">
        <v>2737</v>
      </c>
      <c r="G705" s="3" t="s">
        <v>2701</v>
      </c>
      <c r="H705" s="3" t="s">
        <v>2702</v>
      </c>
      <c r="I705" s="3" t="s">
        <v>2693</v>
      </c>
      <c r="J705" s="3" t="s">
        <v>2694</v>
      </c>
      <c r="K705" s="3" t="s">
        <v>2695</v>
      </c>
    </row>
    <row r="706" customFormat="false" ht="15" hidden="false" customHeight="true" outlineLevel="0" collapsed="false">
      <c r="A706" s="3" t="s">
        <v>2112</v>
      </c>
      <c r="B706" s="3" t="s">
        <v>2728</v>
      </c>
      <c r="C706" s="3" t="s">
        <v>2729</v>
      </c>
      <c r="D706" s="3" t="s">
        <v>2741</v>
      </c>
      <c r="E706" s="3" t="s">
        <v>2689</v>
      </c>
      <c r="F706" s="3" t="s">
        <v>2690</v>
      </c>
      <c r="G706" s="3" t="s">
        <v>2701</v>
      </c>
      <c r="H706" s="3" t="s">
        <v>2702</v>
      </c>
      <c r="I706" s="3" t="s">
        <v>2706</v>
      </c>
      <c r="J706" s="3" t="s">
        <v>2694</v>
      </c>
      <c r="K706" s="3" t="s">
        <v>2695</v>
      </c>
    </row>
    <row r="707" customFormat="false" ht="15" hidden="false" customHeight="true" outlineLevel="0" collapsed="false">
      <c r="A707" s="3" t="s">
        <v>2115</v>
      </c>
      <c r="B707" s="3" t="s">
        <v>2739</v>
      </c>
      <c r="C707" s="3" t="s">
        <v>2731</v>
      </c>
      <c r="D707" s="3" t="s">
        <v>2708</v>
      </c>
      <c r="E707" s="3" t="s">
        <v>2774</v>
      </c>
      <c r="F707" s="3" t="s">
        <v>2775</v>
      </c>
      <c r="G707" s="3" t="s">
        <v>2701</v>
      </c>
      <c r="H707" s="3" t="s">
        <v>2754</v>
      </c>
      <c r="I707" s="3" t="s">
        <v>2768</v>
      </c>
      <c r="J707" s="3" t="s">
        <v>2694</v>
      </c>
      <c r="K707" s="3" t="s">
        <v>2695</v>
      </c>
    </row>
    <row r="708" customFormat="false" ht="15" hidden="false" customHeight="true" outlineLevel="0" collapsed="false">
      <c r="A708" s="3" t="s">
        <v>2118</v>
      </c>
      <c r="B708" s="3" t="s">
        <v>2749</v>
      </c>
      <c r="C708" s="3" t="s">
        <v>2687</v>
      </c>
      <c r="D708" s="3" t="s">
        <v>2741</v>
      </c>
      <c r="E708" s="3" t="s">
        <v>2689</v>
      </c>
      <c r="F708" s="3" t="s">
        <v>2690</v>
      </c>
      <c r="G708" s="3" t="s">
        <v>2691</v>
      </c>
      <c r="H708" s="3" t="s">
        <v>2752</v>
      </c>
      <c r="I708" s="3" t="s">
        <v>2712</v>
      </c>
      <c r="J708" s="3" t="s">
        <v>2694</v>
      </c>
      <c r="K708" s="3" t="s">
        <v>2695</v>
      </c>
    </row>
    <row r="709" customFormat="false" ht="15" hidden="false" customHeight="true" outlineLevel="0" collapsed="false">
      <c r="A709" s="3" t="s">
        <v>2121</v>
      </c>
      <c r="B709" s="3" t="s">
        <v>2704</v>
      </c>
      <c r="C709" s="3" t="s">
        <v>2697</v>
      </c>
      <c r="D709" s="3" t="s">
        <v>2698</v>
      </c>
      <c r="E709" s="3" t="s">
        <v>2699</v>
      </c>
      <c r="F709" s="3" t="s">
        <v>2700</v>
      </c>
      <c r="G709" s="3" t="s">
        <v>2691</v>
      </c>
      <c r="H709" s="3" t="s">
        <v>2692</v>
      </c>
      <c r="I709" s="3" t="s">
        <v>2703</v>
      </c>
      <c r="J709" s="3" t="s">
        <v>2694</v>
      </c>
      <c r="K709" s="3" t="s">
        <v>2695</v>
      </c>
    </row>
    <row r="710" customFormat="false" ht="15" hidden="false" customHeight="true" outlineLevel="0" collapsed="false">
      <c r="A710" s="3" t="s">
        <v>2124</v>
      </c>
      <c r="B710" s="3" t="s">
        <v>2719</v>
      </c>
      <c r="C710" s="3" t="s">
        <v>2687</v>
      </c>
      <c r="D710" s="3" t="s">
        <v>2741</v>
      </c>
      <c r="E710" s="3" t="s">
        <v>2689</v>
      </c>
      <c r="F710" s="3" t="s">
        <v>2690</v>
      </c>
      <c r="G710" s="3" t="s">
        <v>2722</v>
      </c>
      <c r="H710" s="3" t="s">
        <v>2819</v>
      </c>
      <c r="I710" s="3" t="s">
        <v>2703</v>
      </c>
      <c r="J710" s="3" t="s">
        <v>2694</v>
      </c>
      <c r="K710" s="3" t="s">
        <v>2695</v>
      </c>
    </row>
    <row r="711" customFormat="false" ht="15" hidden="false" customHeight="true" outlineLevel="0" collapsed="false">
      <c r="A711" s="3" t="s">
        <v>2127</v>
      </c>
      <c r="B711" s="3" t="s">
        <v>2746</v>
      </c>
      <c r="C711" s="3" t="s">
        <v>2687</v>
      </c>
      <c r="D711" s="3" t="s">
        <v>2698</v>
      </c>
      <c r="E711" s="3" t="s">
        <v>2756</v>
      </c>
      <c r="F711" s="3" t="s">
        <v>2757</v>
      </c>
      <c r="G711" s="3" t="s">
        <v>2701</v>
      </c>
      <c r="H711" s="3" t="s">
        <v>2754</v>
      </c>
      <c r="I711" s="3" t="s">
        <v>2706</v>
      </c>
      <c r="J711" s="3" t="s">
        <v>2694</v>
      </c>
      <c r="K711" s="3" t="s">
        <v>2695</v>
      </c>
    </row>
    <row r="712" customFormat="false" ht="15" hidden="false" customHeight="true" outlineLevel="0" collapsed="false">
      <c r="A712" s="3" t="s">
        <v>2130</v>
      </c>
      <c r="B712" s="3" t="s">
        <v>2778</v>
      </c>
      <c r="C712" s="3" t="s">
        <v>2731</v>
      </c>
      <c r="D712" s="3" t="s">
        <v>2741</v>
      </c>
      <c r="E712" s="3" t="s">
        <v>2742</v>
      </c>
      <c r="F712" s="3" t="s">
        <v>2743</v>
      </c>
      <c r="G712" s="3" t="s">
        <v>2722</v>
      </c>
      <c r="H712" s="3" t="s">
        <v>2758</v>
      </c>
      <c r="I712" s="3" t="s">
        <v>2703</v>
      </c>
      <c r="J712" s="3" t="s">
        <v>2694</v>
      </c>
      <c r="K712" s="3" t="s">
        <v>2718</v>
      </c>
    </row>
    <row r="713" customFormat="false" ht="15" hidden="false" customHeight="true" outlineLevel="0" collapsed="false">
      <c r="A713" s="3" t="s">
        <v>2133</v>
      </c>
      <c r="B713" s="3" t="s">
        <v>2719</v>
      </c>
      <c r="C713" s="3" t="s">
        <v>2729</v>
      </c>
      <c r="D713" s="3" t="s">
        <v>2741</v>
      </c>
      <c r="E713" s="3" t="s">
        <v>2742</v>
      </c>
      <c r="F713" s="3" t="s">
        <v>2743</v>
      </c>
      <c r="G713" s="3" t="s">
        <v>2691</v>
      </c>
      <c r="H713" s="3" t="s">
        <v>2705</v>
      </c>
      <c r="I713" s="3" t="s">
        <v>2693</v>
      </c>
      <c r="J713" s="3" t="s">
        <v>2694</v>
      </c>
      <c r="K713" s="3" t="s">
        <v>2695</v>
      </c>
    </row>
    <row r="714" customFormat="false" ht="15" hidden="false" customHeight="true" outlineLevel="0" collapsed="false">
      <c r="A714" s="3" t="s">
        <v>2136</v>
      </c>
      <c r="B714" s="3" t="s">
        <v>2778</v>
      </c>
      <c r="C714" s="3" t="s">
        <v>2729</v>
      </c>
      <c r="D714" s="3" t="s">
        <v>2698</v>
      </c>
      <c r="E714" s="3" t="s">
        <v>2732</v>
      </c>
      <c r="F714" s="3" t="s">
        <v>2733</v>
      </c>
      <c r="G714" s="3" t="s">
        <v>2722</v>
      </c>
      <c r="H714" s="3" t="s">
        <v>2779</v>
      </c>
      <c r="I714" s="3" t="s">
        <v>2706</v>
      </c>
      <c r="J714" s="3" t="s">
        <v>2738</v>
      </c>
      <c r="K714" s="3" t="s">
        <v>2735</v>
      </c>
    </row>
    <row r="715" customFormat="false" ht="15" hidden="false" customHeight="true" outlineLevel="0" collapsed="false">
      <c r="A715" s="3" t="s">
        <v>2139</v>
      </c>
      <c r="B715" s="3" t="s">
        <v>2704</v>
      </c>
      <c r="C715" s="3" t="s">
        <v>2731</v>
      </c>
      <c r="D715" s="3" t="s">
        <v>2714</v>
      </c>
      <c r="E715" s="3" t="s">
        <v>2720</v>
      </c>
      <c r="F715" s="3" t="s">
        <v>2721</v>
      </c>
      <c r="G715" s="3" t="s">
        <v>2701</v>
      </c>
      <c r="H715" s="3" t="s">
        <v>2717</v>
      </c>
      <c r="I715" s="3" t="s">
        <v>2706</v>
      </c>
      <c r="J715" s="3" t="s">
        <v>2694</v>
      </c>
      <c r="K715" s="3" t="s">
        <v>2695</v>
      </c>
    </row>
    <row r="716" customFormat="false" ht="15" hidden="false" customHeight="true" outlineLevel="0" collapsed="false">
      <c r="A716" s="3" t="s">
        <v>2142</v>
      </c>
      <c r="B716" s="3" t="s">
        <v>2696</v>
      </c>
      <c r="C716" s="3" t="s">
        <v>2687</v>
      </c>
      <c r="D716" s="3" t="s">
        <v>2714</v>
      </c>
      <c r="E716" s="3" t="s">
        <v>2689</v>
      </c>
      <c r="F716" s="3" t="s">
        <v>2737</v>
      </c>
      <c r="G716" s="3" t="s">
        <v>2722</v>
      </c>
      <c r="H716" s="3" t="s">
        <v>2779</v>
      </c>
      <c r="I716" s="3" t="s">
        <v>2693</v>
      </c>
      <c r="J716" s="3" t="s">
        <v>2694</v>
      </c>
      <c r="K716" s="3" t="s">
        <v>2695</v>
      </c>
    </row>
    <row r="717" customFormat="false" ht="15" hidden="false" customHeight="true" outlineLevel="0" collapsed="false">
      <c r="A717" s="3" t="s">
        <v>2144</v>
      </c>
      <c r="B717" s="3" t="s">
        <v>2686</v>
      </c>
      <c r="C717" s="3" t="s">
        <v>2731</v>
      </c>
      <c r="D717" s="3" t="s">
        <v>2741</v>
      </c>
      <c r="E717" s="3" t="s">
        <v>2782</v>
      </c>
      <c r="F717" s="3" t="s">
        <v>2783</v>
      </c>
      <c r="G717" s="3" t="s">
        <v>2722</v>
      </c>
      <c r="H717" s="3" t="s">
        <v>2725</v>
      </c>
      <c r="I717" s="3" t="s">
        <v>2712</v>
      </c>
      <c r="J717" s="3" t="s">
        <v>2694</v>
      </c>
      <c r="K717" s="3" t="s">
        <v>2695</v>
      </c>
    </row>
    <row r="718" customFormat="false" ht="15" hidden="false" customHeight="true" outlineLevel="0" collapsed="false">
      <c r="A718" s="3" t="s">
        <v>2147</v>
      </c>
      <c r="B718" s="3" t="s">
        <v>2739</v>
      </c>
      <c r="C718" s="3" t="s">
        <v>2687</v>
      </c>
      <c r="D718" s="3" t="s">
        <v>2741</v>
      </c>
      <c r="E718" s="3" t="s">
        <v>2772</v>
      </c>
      <c r="F718" s="3" t="s">
        <v>2773</v>
      </c>
      <c r="G718" s="3" t="s">
        <v>2701</v>
      </c>
      <c r="H718" s="3" t="s">
        <v>2717</v>
      </c>
      <c r="I718" s="3" t="s">
        <v>2693</v>
      </c>
      <c r="J718" s="3" t="s">
        <v>2734</v>
      </c>
      <c r="K718" s="3" t="s">
        <v>2718</v>
      </c>
    </row>
    <row r="719" customFormat="false" ht="15" hidden="false" customHeight="true" outlineLevel="0" collapsed="false">
      <c r="A719" s="3" t="s">
        <v>2150</v>
      </c>
      <c r="B719" s="3" t="s">
        <v>2755</v>
      </c>
      <c r="C719" s="3" t="s">
        <v>2697</v>
      </c>
      <c r="D719" s="3" t="s">
        <v>2741</v>
      </c>
      <c r="E719" s="3" t="s">
        <v>2772</v>
      </c>
      <c r="F719" s="3" t="s">
        <v>2773</v>
      </c>
      <c r="G719" s="3" t="s">
        <v>2722</v>
      </c>
      <c r="H719" s="3" t="s">
        <v>2758</v>
      </c>
      <c r="I719" s="3" t="s">
        <v>2706</v>
      </c>
      <c r="J719" s="3" t="s">
        <v>2694</v>
      </c>
      <c r="K719" s="3" t="s">
        <v>2695</v>
      </c>
    </row>
    <row r="720" customFormat="false" ht="15" hidden="false" customHeight="true" outlineLevel="0" collapsed="false">
      <c r="A720" s="3" t="s">
        <v>2153</v>
      </c>
      <c r="B720" s="3" t="s">
        <v>2778</v>
      </c>
      <c r="C720" s="3" t="s">
        <v>2697</v>
      </c>
      <c r="D720" s="3" t="s">
        <v>2741</v>
      </c>
      <c r="E720" s="3" t="s">
        <v>2772</v>
      </c>
      <c r="F720" s="3" t="s">
        <v>2773</v>
      </c>
      <c r="G720" s="3" t="s">
        <v>2722</v>
      </c>
      <c r="H720" s="3" t="s">
        <v>2779</v>
      </c>
      <c r="I720" s="3" t="s">
        <v>2712</v>
      </c>
      <c r="J720" s="3" t="s">
        <v>2738</v>
      </c>
      <c r="K720" s="3" t="s">
        <v>2718</v>
      </c>
    </row>
    <row r="721" customFormat="false" ht="15" hidden="false" customHeight="true" outlineLevel="0" collapsed="false">
      <c r="A721" s="3" t="s">
        <v>2156</v>
      </c>
      <c r="B721" s="3" t="s">
        <v>2696</v>
      </c>
      <c r="C721" s="3" t="s">
        <v>2687</v>
      </c>
      <c r="D721" s="3" t="s">
        <v>2714</v>
      </c>
      <c r="E721" s="3" t="s">
        <v>2715</v>
      </c>
      <c r="F721" s="3" t="s">
        <v>2716</v>
      </c>
      <c r="G721" s="3" t="s">
        <v>2691</v>
      </c>
      <c r="H721" s="3" t="s">
        <v>2705</v>
      </c>
      <c r="I721" s="3" t="s">
        <v>2703</v>
      </c>
      <c r="J721" s="3" t="s">
        <v>2694</v>
      </c>
      <c r="K721" s="3" t="s">
        <v>2695</v>
      </c>
    </row>
    <row r="722" customFormat="false" ht="15" hidden="false" customHeight="true" outlineLevel="0" collapsed="false">
      <c r="A722" s="3" t="s">
        <v>2159</v>
      </c>
      <c r="B722" s="3" t="s">
        <v>2778</v>
      </c>
      <c r="C722" s="3" t="s">
        <v>2729</v>
      </c>
      <c r="D722" s="3" t="s">
        <v>2714</v>
      </c>
      <c r="E722" s="3" t="s">
        <v>2762</v>
      </c>
      <c r="F722" s="3" t="s">
        <v>2763</v>
      </c>
      <c r="G722" s="3" t="s">
        <v>2691</v>
      </c>
      <c r="H722" s="3" t="s">
        <v>2705</v>
      </c>
      <c r="I722" s="3" t="s">
        <v>2703</v>
      </c>
      <c r="J722" s="3" t="s">
        <v>2694</v>
      </c>
      <c r="K722" s="3" t="s">
        <v>2695</v>
      </c>
    </row>
    <row r="723" customFormat="false" ht="15" hidden="false" customHeight="true" outlineLevel="0" collapsed="false">
      <c r="A723" s="3" t="s">
        <v>2161</v>
      </c>
      <c r="B723" s="3" t="s">
        <v>2728</v>
      </c>
      <c r="C723" s="3" t="s">
        <v>2731</v>
      </c>
      <c r="D723" s="3" t="s">
        <v>2714</v>
      </c>
      <c r="E723" s="3" t="s">
        <v>2720</v>
      </c>
      <c r="F723" s="3" t="s">
        <v>2721</v>
      </c>
      <c r="G723" s="3" t="s">
        <v>2722</v>
      </c>
      <c r="H723" s="3" t="s">
        <v>2725</v>
      </c>
      <c r="I723" s="3" t="s">
        <v>2703</v>
      </c>
      <c r="J723" s="3" t="s">
        <v>2694</v>
      </c>
      <c r="K723" s="3" t="s">
        <v>2695</v>
      </c>
    </row>
    <row r="724" customFormat="false" ht="15" hidden="false" customHeight="true" outlineLevel="0" collapsed="false">
      <c r="A724" s="3" t="s">
        <v>2164</v>
      </c>
      <c r="B724" s="3" t="s">
        <v>2746</v>
      </c>
      <c r="C724" s="3" t="s">
        <v>2687</v>
      </c>
      <c r="D724" s="3" t="s">
        <v>2708</v>
      </c>
      <c r="E724" s="3" t="s">
        <v>2760</v>
      </c>
      <c r="F724" s="3" t="s">
        <v>2761</v>
      </c>
      <c r="G724" s="3" t="s">
        <v>2722</v>
      </c>
      <c r="H724" s="3" t="s">
        <v>2725</v>
      </c>
      <c r="I724" s="3" t="s">
        <v>2706</v>
      </c>
      <c r="J724" s="3" t="s">
        <v>2694</v>
      </c>
      <c r="K724" s="3" t="s">
        <v>2695</v>
      </c>
    </row>
    <row r="725" customFormat="false" ht="15" hidden="false" customHeight="true" outlineLevel="0" collapsed="false">
      <c r="A725" s="3" t="s">
        <v>2167</v>
      </c>
      <c r="B725" s="3" t="s">
        <v>2719</v>
      </c>
      <c r="C725" s="3" t="s">
        <v>2687</v>
      </c>
      <c r="D725" s="3" t="s">
        <v>2698</v>
      </c>
      <c r="E725" s="3" t="s">
        <v>2732</v>
      </c>
      <c r="F725" s="3" t="s">
        <v>2733</v>
      </c>
      <c r="G725" s="3" t="s">
        <v>2701</v>
      </c>
      <c r="H725" s="3" t="s">
        <v>2717</v>
      </c>
      <c r="I725" s="3" t="s">
        <v>2693</v>
      </c>
      <c r="J725" s="3" t="s">
        <v>2734</v>
      </c>
      <c r="K725" s="3" t="s">
        <v>2718</v>
      </c>
    </row>
    <row r="726" customFormat="false" ht="15" hidden="false" customHeight="true" outlineLevel="0" collapsed="false">
      <c r="A726" s="3" t="s">
        <v>2170</v>
      </c>
      <c r="B726" s="3" t="s">
        <v>2778</v>
      </c>
      <c r="C726" s="3" t="s">
        <v>2731</v>
      </c>
      <c r="D726" s="3" t="s">
        <v>2698</v>
      </c>
      <c r="E726" s="3" t="s">
        <v>2770</v>
      </c>
      <c r="F726" s="3" t="s">
        <v>2771</v>
      </c>
      <c r="G726" s="3" t="s">
        <v>2722</v>
      </c>
      <c r="H726" s="3" t="s">
        <v>2723</v>
      </c>
      <c r="I726" s="3" t="s">
        <v>2712</v>
      </c>
      <c r="J726" s="3" t="s">
        <v>2753</v>
      </c>
      <c r="K726" s="3" t="s">
        <v>2735</v>
      </c>
    </row>
    <row r="727" customFormat="false" ht="15" hidden="false" customHeight="true" outlineLevel="0" collapsed="false">
      <c r="A727" s="3" t="s">
        <v>2173</v>
      </c>
      <c r="B727" s="3" t="s">
        <v>2686</v>
      </c>
      <c r="C727" s="3" t="s">
        <v>2687</v>
      </c>
      <c r="D727" s="3" t="s">
        <v>2714</v>
      </c>
      <c r="E727" s="3" t="s">
        <v>2766</v>
      </c>
      <c r="F727" s="3" t="s">
        <v>2767</v>
      </c>
      <c r="G727" s="3" t="s">
        <v>2701</v>
      </c>
      <c r="H727" s="3" t="s">
        <v>2711</v>
      </c>
      <c r="I727" s="3" t="s">
        <v>2693</v>
      </c>
      <c r="J727" s="3" t="s">
        <v>2694</v>
      </c>
      <c r="K727" s="3" t="s">
        <v>2695</v>
      </c>
    </row>
    <row r="728" customFormat="false" ht="15" hidden="false" customHeight="true" outlineLevel="0" collapsed="false">
      <c r="A728" s="3" t="s">
        <v>2176</v>
      </c>
      <c r="B728" s="3" t="s">
        <v>2739</v>
      </c>
      <c r="C728" s="3" t="s">
        <v>2729</v>
      </c>
      <c r="D728" s="3" t="s">
        <v>2708</v>
      </c>
      <c r="E728" s="3" t="s">
        <v>2760</v>
      </c>
      <c r="F728" s="3" t="s">
        <v>2761</v>
      </c>
      <c r="G728" s="3" t="s">
        <v>2701</v>
      </c>
      <c r="H728" s="3" t="s">
        <v>2702</v>
      </c>
      <c r="I728" s="3" t="s">
        <v>2693</v>
      </c>
      <c r="J728" s="3" t="s">
        <v>2694</v>
      </c>
      <c r="K728" s="3" t="s">
        <v>2695</v>
      </c>
    </row>
    <row r="729" customFormat="false" ht="15" hidden="false" customHeight="true" outlineLevel="0" collapsed="false">
      <c r="A729" s="3" t="s">
        <v>2179</v>
      </c>
      <c r="B729" s="3" t="s">
        <v>2778</v>
      </c>
      <c r="C729" s="3" t="s">
        <v>2731</v>
      </c>
      <c r="D729" s="3" t="s">
        <v>2714</v>
      </c>
      <c r="E729" s="3" t="s">
        <v>2762</v>
      </c>
      <c r="F729" s="3" t="s">
        <v>2763</v>
      </c>
      <c r="G729" s="3" t="s">
        <v>2722</v>
      </c>
      <c r="H729" s="3" t="s">
        <v>2758</v>
      </c>
      <c r="I729" s="3" t="s">
        <v>2712</v>
      </c>
      <c r="J729" s="3" t="s">
        <v>2738</v>
      </c>
      <c r="K729" s="3" t="s">
        <v>2735</v>
      </c>
    </row>
    <row r="730" customFormat="false" ht="15" hidden="false" customHeight="true" outlineLevel="0" collapsed="false">
      <c r="A730" s="3" t="s">
        <v>2182</v>
      </c>
      <c r="B730" s="3" t="s">
        <v>2745</v>
      </c>
      <c r="C730" s="3" t="s">
        <v>2697</v>
      </c>
      <c r="D730" s="3" t="s">
        <v>2698</v>
      </c>
      <c r="E730" s="3" t="s">
        <v>2756</v>
      </c>
      <c r="F730" s="3" t="s">
        <v>2757</v>
      </c>
      <c r="G730" s="3" t="s">
        <v>2722</v>
      </c>
      <c r="H730" s="3" t="s">
        <v>2723</v>
      </c>
      <c r="I730" s="3" t="s">
        <v>2693</v>
      </c>
      <c r="J730" s="3" t="s">
        <v>2694</v>
      </c>
      <c r="K730" s="3" t="s">
        <v>2695</v>
      </c>
    </row>
    <row r="731" customFormat="false" ht="15" hidden="false" customHeight="true" outlineLevel="0" collapsed="false">
      <c r="A731" s="3" t="s">
        <v>2185</v>
      </c>
      <c r="B731" s="3" t="s">
        <v>2746</v>
      </c>
      <c r="C731" s="3" t="s">
        <v>2697</v>
      </c>
      <c r="D731" s="3" t="s">
        <v>2708</v>
      </c>
      <c r="E731" s="3" t="s">
        <v>2760</v>
      </c>
      <c r="F731" s="3" t="s">
        <v>2761</v>
      </c>
      <c r="G731" s="3" t="s">
        <v>2722</v>
      </c>
      <c r="H731" s="3" t="s">
        <v>2779</v>
      </c>
      <c r="I731" s="3" t="s">
        <v>2706</v>
      </c>
      <c r="J731" s="3" t="s">
        <v>2694</v>
      </c>
      <c r="K731" s="3" t="s">
        <v>2695</v>
      </c>
    </row>
    <row r="732" customFormat="false" ht="15" hidden="false" customHeight="true" outlineLevel="0" collapsed="false">
      <c r="A732" s="3" t="s">
        <v>2188</v>
      </c>
      <c r="B732" s="3" t="s">
        <v>2713</v>
      </c>
      <c r="C732" s="3" t="s">
        <v>2729</v>
      </c>
      <c r="D732" s="3" t="s">
        <v>2708</v>
      </c>
      <c r="E732" s="3" t="s">
        <v>2774</v>
      </c>
      <c r="F732" s="3" t="s">
        <v>2775</v>
      </c>
      <c r="G732" s="3" t="s">
        <v>2722</v>
      </c>
      <c r="H732" s="3" t="s">
        <v>2779</v>
      </c>
      <c r="I732" s="3" t="s">
        <v>2703</v>
      </c>
      <c r="J732" s="3" t="s">
        <v>2694</v>
      </c>
      <c r="K732" s="3" t="s">
        <v>2695</v>
      </c>
    </row>
    <row r="733" customFormat="false" ht="15" hidden="false" customHeight="true" outlineLevel="0" collapsed="false">
      <c r="A733" s="3" t="s">
        <v>2191</v>
      </c>
      <c r="B733" s="3" t="s">
        <v>2707</v>
      </c>
      <c r="C733" s="3" t="s">
        <v>2687</v>
      </c>
      <c r="D733" s="3" t="s">
        <v>2698</v>
      </c>
      <c r="E733" s="3" t="s">
        <v>2732</v>
      </c>
      <c r="F733" s="3" t="s">
        <v>2733</v>
      </c>
      <c r="G733" s="3" t="s">
        <v>2691</v>
      </c>
      <c r="H733" s="3" t="s">
        <v>2705</v>
      </c>
      <c r="I733" s="3" t="s">
        <v>2693</v>
      </c>
      <c r="J733" s="3" t="s">
        <v>2734</v>
      </c>
      <c r="K733" s="3" t="s">
        <v>2735</v>
      </c>
    </row>
    <row r="734" customFormat="false" ht="15" hidden="false" customHeight="true" outlineLevel="0" collapsed="false">
      <c r="A734" s="3" t="s">
        <v>2194</v>
      </c>
      <c r="B734" s="3" t="s">
        <v>2713</v>
      </c>
      <c r="C734" s="3" t="s">
        <v>2729</v>
      </c>
      <c r="D734" s="3" t="s">
        <v>2698</v>
      </c>
      <c r="E734" s="3" t="s">
        <v>2699</v>
      </c>
      <c r="F734" s="3" t="s">
        <v>2700</v>
      </c>
      <c r="G734" s="3" t="s">
        <v>2691</v>
      </c>
      <c r="H734" s="3" t="s">
        <v>2752</v>
      </c>
      <c r="I734" s="3" t="s">
        <v>2706</v>
      </c>
      <c r="J734" s="3" t="s">
        <v>2694</v>
      </c>
      <c r="K734" s="3" t="s">
        <v>2695</v>
      </c>
    </row>
    <row r="735" customFormat="false" ht="15" hidden="false" customHeight="true" outlineLevel="0" collapsed="false">
      <c r="A735" s="3" t="s">
        <v>2197</v>
      </c>
      <c r="B735" s="3" t="s">
        <v>2707</v>
      </c>
      <c r="C735" s="3" t="s">
        <v>2697</v>
      </c>
      <c r="D735" s="3" t="s">
        <v>2741</v>
      </c>
      <c r="E735" s="3" t="s">
        <v>2742</v>
      </c>
      <c r="F735" s="3" t="s">
        <v>2743</v>
      </c>
      <c r="G735" s="3" t="s">
        <v>2722</v>
      </c>
      <c r="H735" s="3" t="s">
        <v>2758</v>
      </c>
      <c r="I735" s="3" t="s">
        <v>2712</v>
      </c>
      <c r="J735" s="3" t="s">
        <v>2694</v>
      </c>
      <c r="K735" s="3" t="s">
        <v>2695</v>
      </c>
    </row>
    <row r="736" customFormat="false" ht="15" hidden="false" customHeight="true" outlineLevel="0" collapsed="false">
      <c r="A736" s="3" t="s">
        <v>2200</v>
      </c>
      <c r="B736" s="3" t="s">
        <v>2745</v>
      </c>
      <c r="C736" s="3" t="s">
        <v>2731</v>
      </c>
      <c r="D736" s="3" t="s">
        <v>2741</v>
      </c>
      <c r="E736" s="3" t="s">
        <v>2689</v>
      </c>
      <c r="F736" s="3" t="s">
        <v>2690</v>
      </c>
      <c r="G736" s="3" t="s">
        <v>2701</v>
      </c>
      <c r="H736" s="3" t="s">
        <v>2711</v>
      </c>
      <c r="I736" s="3" t="s">
        <v>2706</v>
      </c>
      <c r="J736" s="3" t="s">
        <v>2694</v>
      </c>
      <c r="K736" s="3" t="s">
        <v>2695</v>
      </c>
    </row>
    <row r="737" customFormat="false" ht="15" hidden="false" customHeight="true" outlineLevel="0" collapsed="false">
      <c r="A737" s="3" t="s">
        <v>2203</v>
      </c>
      <c r="B737" s="3" t="s">
        <v>2713</v>
      </c>
      <c r="C737" s="3" t="s">
        <v>2697</v>
      </c>
      <c r="D737" s="3" t="s">
        <v>2741</v>
      </c>
      <c r="E737" s="3" t="s">
        <v>2689</v>
      </c>
      <c r="F737" s="3" t="s">
        <v>2690</v>
      </c>
      <c r="G737" s="3" t="s">
        <v>2722</v>
      </c>
      <c r="H737" s="3" t="s">
        <v>2723</v>
      </c>
      <c r="I737" s="3" t="s">
        <v>2706</v>
      </c>
      <c r="J737" s="3" t="s">
        <v>2694</v>
      </c>
      <c r="K737" s="3" t="s">
        <v>2695</v>
      </c>
    </row>
    <row r="738" customFormat="false" ht="15" hidden="false" customHeight="true" outlineLevel="0" collapsed="false">
      <c r="A738" s="3" t="s">
        <v>2206</v>
      </c>
      <c r="B738" s="3" t="s">
        <v>2696</v>
      </c>
      <c r="C738" s="3" t="s">
        <v>2687</v>
      </c>
      <c r="D738" s="3" t="s">
        <v>2714</v>
      </c>
      <c r="E738" s="3" t="s">
        <v>2715</v>
      </c>
      <c r="F738" s="3" t="s">
        <v>2716</v>
      </c>
      <c r="G738" s="3" t="s">
        <v>2701</v>
      </c>
      <c r="H738" s="3" t="s">
        <v>2702</v>
      </c>
      <c r="I738" s="3" t="s">
        <v>2712</v>
      </c>
      <c r="J738" s="3" t="s">
        <v>2694</v>
      </c>
      <c r="K738" s="3" t="s">
        <v>2695</v>
      </c>
    </row>
    <row r="739" customFormat="false" ht="15" hidden="false" customHeight="true" outlineLevel="0" collapsed="false">
      <c r="A739" s="3" t="s">
        <v>2209</v>
      </c>
      <c r="B739" s="3" t="s">
        <v>2728</v>
      </c>
      <c r="C739" s="3" t="s">
        <v>2687</v>
      </c>
      <c r="D739" s="3" t="s">
        <v>2714</v>
      </c>
      <c r="E739" s="3" t="s">
        <v>2715</v>
      </c>
      <c r="F739" s="3" t="s">
        <v>2716</v>
      </c>
      <c r="G739" s="3" t="s">
        <v>2701</v>
      </c>
      <c r="H739" s="3" t="s">
        <v>2717</v>
      </c>
      <c r="I739" s="3" t="s">
        <v>2693</v>
      </c>
      <c r="J739" s="3" t="s">
        <v>2694</v>
      </c>
      <c r="K739" s="3" t="s">
        <v>2695</v>
      </c>
    </row>
    <row r="740" customFormat="false" ht="15" hidden="false" customHeight="true" outlineLevel="0" collapsed="false">
      <c r="A740" s="3" t="s">
        <v>2212</v>
      </c>
      <c r="B740" s="3" t="s">
        <v>2704</v>
      </c>
      <c r="C740" s="3" t="s">
        <v>2838</v>
      </c>
      <c r="D740" s="3" t="s">
        <v>2714</v>
      </c>
      <c r="E740" s="3" t="s">
        <v>2715</v>
      </c>
      <c r="F740" s="3" t="s">
        <v>2716</v>
      </c>
      <c r="G740" s="3" t="s">
        <v>2701</v>
      </c>
      <c r="H740" s="3" t="s">
        <v>2717</v>
      </c>
      <c r="I740" s="3" t="s">
        <v>2703</v>
      </c>
      <c r="J740" s="3" t="s">
        <v>2694</v>
      </c>
      <c r="K740" s="3" t="s">
        <v>2695</v>
      </c>
    </row>
    <row r="741" customFormat="false" ht="15" hidden="false" customHeight="true" outlineLevel="0" collapsed="false">
      <c r="A741" s="3" t="s">
        <v>2215</v>
      </c>
      <c r="B741" s="3" t="s">
        <v>2739</v>
      </c>
      <c r="C741" s="3" t="s">
        <v>2729</v>
      </c>
      <c r="D741" s="3" t="s">
        <v>2708</v>
      </c>
      <c r="E741" s="3" t="s">
        <v>2764</v>
      </c>
      <c r="F741" s="3" t="s">
        <v>2765</v>
      </c>
      <c r="G741" s="3" t="s">
        <v>2691</v>
      </c>
      <c r="H741" s="3" t="s">
        <v>2692</v>
      </c>
      <c r="I741" s="3" t="s">
        <v>2706</v>
      </c>
      <c r="J741" s="3" t="s">
        <v>2694</v>
      </c>
      <c r="K741" s="3" t="s">
        <v>2695</v>
      </c>
    </row>
    <row r="742" customFormat="false" ht="15" hidden="false" customHeight="true" outlineLevel="0" collapsed="false">
      <c r="A742" s="3" t="s">
        <v>2218</v>
      </c>
      <c r="B742" s="3" t="s">
        <v>2724</v>
      </c>
      <c r="C742" s="3" t="s">
        <v>2729</v>
      </c>
      <c r="D742" s="3" t="s">
        <v>2741</v>
      </c>
      <c r="E742" s="3" t="s">
        <v>2689</v>
      </c>
      <c r="F742" s="3" t="s">
        <v>2690</v>
      </c>
      <c r="G742" s="3" t="s">
        <v>2722</v>
      </c>
      <c r="H742" s="3" t="s">
        <v>2758</v>
      </c>
      <c r="I742" s="3" t="s">
        <v>2712</v>
      </c>
      <c r="J742" s="3" t="s">
        <v>2694</v>
      </c>
      <c r="K742" s="3" t="s">
        <v>2695</v>
      </c>
    </row>
    <row r="743" customFormat="false" ht="15" hidden="false" customHeight="true" outlineLevel="0" collapsed="false">
      <c r="A743" s="3" t="s">
        <v>2221</v>
      </c>
      <c r="B743" s="3" t="s">
        <v>2746</v>
      </c>
      <c r="C743" s="3" t="s">
        <v>2697</v>
      </c>
      <c r="D743" s="3" t="s">
        <v>2714</v>
      </c>
      <c r="E743" s="3" t="s">
        <v>2715</v>
      </c>
      <c r="F743" s="3" t="s">
        <v>2716</v>
      </c>
      <c r="G743" s="3" t="s">
        <v>2701</v>
      </c>
      <c r="H743" s="3" t="s">
        <v>2717</v>
      </c>
      <c r="I743" s="3" t="s">
        <v>2706</v>
      </c>
      <c r="J743" s="3" t="s">
        <v>2694</v>
      </c>
      <c r="K743" s="3" t="s">
        <v>2695</v>
      </c>
    </row>
    <row r="744" customFormat="false" ht="15" hidden="false" customHeight="true" outlineLevel="0" collapsed="false">
      <c r="A744" s="3" t="s">
        <v>2223</v>
      </c>
      <c r="B744" s="3" t="s">
        <v>2704</v>
      </c>
      <c r="C744" s="3" t="s">
        <v>2731</v>
      </c>
      <c r="D744" s="3" t="s">
        <v>2708</v>
      </c>
      <c r="E744" s="3" t="s">
        <v>2774</v>
      </c>
      <c r="F744" s="3" t="s">
        <v>2775</v>
      </c>
      <c r="G744" s="3" t="s">
        <v>2701</v>
      </c>
      <c r="H744" s="3" t="s">
        <v>2717</v>
      </c>
      <c r="I744" s="3" t="s">
        <v>2693</v>
      </c>
      <c r="J744" s="3" t="s">
        <v>2694</v>
      </c>
      <c r="K744" s="3" t="s">
        <v>2718</v>
      </c>
    </row>
    <row r="745" customFormat="false" ht="15" hidden="false" customHeight="true" outlineLevel="0" collapsed="false">
      <c r="A745" s="3" t="s">
        <v>2226</v>
      </c>
      <c r="B745" s="3" t="s">
        <v>2686</v>
      </c>
      <c r="C745" s="3" t="s">
        <v>2729</v>
      </c>
      <c r="D745" s="3" t="s">
        <v>2839</v>
      </c>
      <c r="E745" s="3" t="s">
        <v>2699</v>
      </c>
      <c r="F745" s="3" t="s">
        <v>2700</v>
      </c>
      <c r="G745" s="3" t="s">
        <v>2691</v>
      </c>
      <c r="H745" s="3" t="s">
        <v>2692</v>
      </c>
      <c r="I745" s="3" t="s">
        <v>2712</v>
      </c>
      <c r="J745" s="3" t="s">
        <v>2694</v>
      </c>
      <c r="K745" s="3" t="s">
        <v>2695</v>
      </c>
    </row>
    <row r="746" customFormat="false" ht="15" hidden="false" customHeight="true" outlineLevel="0" collapsed="false">
      <c r="A746" s="3" t="s">
        <v>2229</v>
      </c>
      <c r="B746" s="3" t="s">
        <v>2746</v>
      </c>
      <c r="C746" s="3" t="s">
        <v>2687</v>
      </c>
      <c r="D746" s="3" t="s">
        <v>2741</v>
      </c>
      <c r="E746" s="3" t="s">
        <v>2747</v>
      </c>
      <c r="F746" s="3" t="s">
        <v>2748</v>
      </c>
      <c r="G746" s="3" t="s">
        <v>2691</v>
      </c>
      <c r="H746" s="3" t="s">
        <v>2705</v>
      </c>
      <c r="I746" s="3" t="s">
        <v>2712</v>
      </c>
      <c r="J746" s="3" t="s">
        <v>2694</v>
      </c>
      <c r="K746" s="3" t="s">
        <v>2695</v>
      </c>
    </row>
    <row r="747" customFormat="false" ht="15" hidden="false" customHeight="true" outlineLevel="0" collapsed="false">
      <c r="A747" s="3" t="s">
        <v>2232</v>
      </c>
      <c r="B747" s="3" t="s">
        <v>2696</v>
      </c>
      <c r="C747" s="3" t="s">
        <v>2731</v>
      </c>
      <c r="D747" s="3" t="s">
        <v>2741</v>
      </c>
      <c r="E747" s="3" t="s">
        <v>2742</v>
      </c>
      <c r="F747" s="3" t="s">
        <v>2743</v>
      </c>
      <c r="G747" s="3" t="s">
        <v>2691</v>
      </c>
      <c r="H747" s="3" t="s">
        <v>2752</v>
      </c>
      <c r="I747" s="3" t="s">
        <v>2706</v>
      </c>
      <c r="J747" s="3" t="s">
        <v>2694</v>
      </c>
      <c r="K747" s="3" t="s">
        <v>2718</v>
      </c>
    </row>
    <row r="748" customFormat="false" ht="15" hidden="false" customHeight="true" outlineLevel="0" collapsed="false">
      <c r="A748" s="3" t="s">
        <v>2235</v>
      </c>
      <c r="B748" s="3" t="s">
        <v>2696</v>
      </c>
      <c r="C748" s="3" t="s">
        <v>2697</v>
      </c>
      <c r="D748" s="3" t="s">
        <v>2698</v>
      </c>
      <c r="E748" s="3" t="s">
        <v>2756</v>
      </c>
      <c r="F748" s="3" t="s">
        <v>2757</v>
      </c>
      <c r="G748" s="3" t="s">
        <v>2722</v>
      </c>
      <c r="H748" s="3" t="s">
        <v>2725</v>
      </c>
      <c r="I748" s="3" t="s">
        <v>2712</v>
      </c>
      <c r="J748" s="3" t="s">
        <v>2694</v>
      </c>
      <c r="K748" s="3" t="s">
        <v>2695</v>
      </c>
    </row>
    <row r="749" customFormat="false" ht="15" hidden="false" customHeight="true" outlineLevel="0" collapsed="false">
      <c r="A749" s="3" t="s">
        <v>2238</v>
      </c>
      <c r="B749" s="3" t="s">
        <v>2745</v>
      </c>
      <c r="C749" s="3" t="s">
        <v>2731</v>
      </c>
      <c r="D749" s="3" t="s">
        <v>2698</v>
      </c>
      <c r="E749" s="3" t="s">
        <v>2732</v>
      </c>
      <c r="F749" s="3" t="s">
        <v>2733</v>
      </c>
      <c r="G749" s="3" t="s">
        <v>2691</v>
      </c>
      <c r="H749" s="3" t="s">
        <v>2692</v>
      </c>
      <c r="I749" s="3" t="s">
        <v>2712</v>
      </c>
      <c r="J749" s="3" t="s">
        <v>2694</v>
      </c>
      <c r="K749" s="3" t="s">
        <v>2695</v>
      </c>
    </row>
    <row r="750" customFormat="false" ht="15" hidden="false" customHeight="true" outlineLevel="0" collapsed="false">
      <c r="A750" s="3" t="s">
        <v>2240</v>
      </c>
      <c r="B750" s="3" t="s">
        <v>2704</v>
      </c>
      <c r="C750" s="3" t="s">
        <v>2731</v>
      </c>
      <c r="D750" s="3" t="s">
        <v>2698</v>
      </c>
      <c r="E750" s="3" t="s">
        <v>2699</v>
      </c>
      <c r="F750" s="3" t="s">
        <v>2700</v>
      </c>
      <c r="G750" s="3" t="s">
        <v>2691</v>
      </c>
      <c r="H750" s="3" t="s">
        <v>2692</v>
      </c>
      <c r="I750" s="3" t="s">
        <v>2703</v>
      </c>
      <c r="J750" s="3" t="s">
        <v>2694</v>
      </c>
      <c r="K750" s="3" t="s">
        <v>2695</v>
      </c>
    </row>
    <row r="751" customFormat="false" ht="15" hidden="false" customHeight="true" outlineLevel="0" collapsed="false">
      <c r="A751" s="3" t="s">
        <v>2243</v>
      </c>
      <c r="B751" s="3" t="s">
        <v>2755</v>
      </c>
      <c r="C751" s="3" t="s">
        <v>2731</v>
      </c>
      <c r="D751" s="3" t="s">
        <v>2741</v>
      </c>
      <c r="E751" s="3" t="s">
        <v>2772</v>
      </c>
      <c r="F751" s="3" t="s">
        <v>2773</v>
      </c>
      <c r="G751" s="3" t="s">
        <v>2722</v>
      </c>
      <c r="H751" s="3" t="s">
        <v>2758</v>
      </c>
      <c r="I751" s="3" t="s">
        <v>2693</v>
      </c>
      <c r="J751" s="3" t="s">
        <v>2694</v>
      </c>
      <c r="K751" s="3" t="s">
        <v>2695</v>
      </c>
    </row>
    <row r="752" customFormat="false" ht="15" hidden="false" customHeight="true" outlineLevel="0" collapsed="false">
      <c r="A752" s="3" t="s">
        <v>2246</v>
      </c>
      <c r="B752" s="3" t="s">
        <v>2728</v>
      </c>
      <c r="C752" s="3" t="s">
        <v>2731</v>
      </c>
      <c r="D752" s="3" t="s">
        <v>2698</v>
      </c>
      <c r="E752" s="3" t="s">
        <v>2756</v>
      </c>
      <c r="F752" s="3" t="s">
        <v>2757</v>
      </c>
      <c r="G752" s="3" t="s">
        <v>2722</v>
      </c>
      <c r="H752" s="3" t="s">
        <v>2779</v>
      </c>
      <c r="I752" s="3" t="s">
        <v>2712</v>
      </c>
      <c r="J752" s="3" t="s">
        <v>2694</v>
      </c>
      <c r="K752" s="3" t="s">
        <v>2695</v>
      </c>
    </row>
    <row r="753" customFormat="false" ht="15" hidden="false" customHeight="true" outlineLevel="0" collapsed="false">
      <c r="A753" s="3" t="s">
        <v>2249</v>
      </c>
      <c r="B753" s="3" t="s">
        <v>2745</v>
      </c>
      <c r="C753" s="3" t="s">
        <v>2731</v>
      </c>
      <c r="D753" s="3" t="s">
        <v>2708</v>
      </c>
      <c r="E753" s="3" t="s">
        <v>2709</v>
      </c>
      <c r="F753" s="3" t="s">
        <v>2710</v>
      </c>
      <c r="G753" s="3" t="s">
        <v>2722</v>
      </c>
      <c r="H753" s="3" t="s">
        <v>2723</v>
      </c>
      <c r="I753" s="3" t="s">
        <v>2706</v>
      </c>
      <c r="J753" s="3" t="s">
        <v>2694</v>
      </c>
      <c r="K753" s="3" t="s">
        <v>2695</v>
      </c>
    </row>
    <row r="754" customFormat="false" ht="15" hidden="false" customHeight="true" outlineLevel="0" collapsed="false">
      <c r="A754" s="3" t="s">
        <v>2252</v>
      </c>
      <c r="B754" s="3" t="s">
        <v>2739</v>
      </c>
      <c r="C754" s="3" t="s">
        <v>2731</v>
      </c>
      <c r="D754" s="3" t="s">
        <v>2768</v>
      </c>
      <c r="E754" s="3" t="s">
        <v>2747</v>
      </c>
      <c r="F754" s="3" t="s">
        <v>2748</v>
      </c>
      <c r="G754" s="3" t="s">
        <v>2722</v>
      </c>
      <c r="H754" s="3" t="s">
        <v>2779</v>
      </c>
      <c r="I754" s="3" t="s">
        <v>2768</v>
      </c>
      <c r="J754" s="3" t="s">
        <v>2694</v>
      </c>
      <c r="K754" s="3" t="s">
        <v>2695</v>
      </c>
    </row>
    <row r="755" customFormat="false" ht="15" hidden="false" customHeight="true" outlineLevel="0" collapsed="false">
      <c r="A755" s="3" t="s">
        <v>2256</v>
      </c>
      <c r="B755" s="3" t="s">
        <v>2728</v>
      </c>
      <c r="C755" s="3" t="s">
        <v>2729</v>
      </c>
      <c r="D755" s="3" t="s">
        <v>2840</v>
      </c>
      <c r="E755" s="3" t="s">
        <v>2762</v>
      </c>
      <c r="F755" s="3" t="s">
        <v>2763</v>
      </c>
      <c r="G755" s="3" t="s">
        <v>2691</v>
      </c>
      <c r="H755" s="3" t="s">
        <v>2744</v>
      </c>
      <c r="I755" s="3" t="s">
        <v>2706</v>
      </c>
      <c r="J755" s="3" t="s">
        <v>2694</v>
      </c>
      <c r="K755" s="3" t="s">
        <v>2695</v>
      </c>
    </row>
    <row r="756" customFormat="false" ht="15" hidden="false" customHeight="true" outlineLevel="0" collapsed="false">
      <c r="A756" s="3" t="s">
        <v>2259</v>
      </c>
      <c r="B756" s="3" t="s">
        <v>2728</v>
      </c>
      <c r="C756" s="3" t="s">
        <v>2729</v>
      </c>
      <c r="D756" s="3" t="s">
        <v>2741</v>
      </c>
      <c r="E756" s="3" t="s">
        <v>2782</v>
      </c>
      <c r="F756" s="3" t="s">
        <v>2783</v>
      </c>
      <c r="G756" s="3" t="s">
        <v>2781</v>
      </c>
      <c r="H756" s="3" t="s">
        <v>2711</v>
      </c>
      <c r="I756" s="3" t="s">
        <v>2693</v>
      </c>
      <c r="J756" s="3" t="s">
        <v>2753</v>
      </c>
      <c r="K756" s="3" t="s">
        <v>2735</v>
      </c>
    </row>
    <row r="757" customFormat="false" ht="15" hidden="false" customHeight="true" outlineLevel="0" collapsed="false">
      <c r="A757" s="3" t="s">
        <v>2262</v>
      </c>
      <c r="B757" s="3" t="s">
        <v>2724</v>
      </c>
      <c r="C757" s="3" t="s">
        <v>2729</v>
      </c>
      <c r="D757" s="3" t="s">
        <v>2708</v>
      </c>
      <c r="E757" s="3" t="s">
        <v>2764</v>
      </c>
      <c r="F757" s="3" t="s">
        <v>2765</v>
      </c>
      <c r="G757" s="3" t="s">
        <v>2691</v>
      </c>
      <c r="H757" s="3" t="s">
        <v>2744</v>
      </c>
      <c r="I757" s="3" t="s">
        <v>2712</v>
      </c>
      <c r="J757" s="3" t="s">
        <v>2694</v>
      </c>
      <c r="K757" s="3" t="s">
        <v>2695</v>
      </c>
    </row>
    <row r="758" customFormat="false" ht="15" hidden="false" customHeight="true" outlineLevel="0" collapsed="false">
      <c r="A758" s="3" t="s">
        <v>2265</v>
      </c>
      <c r="B758" s="3" t="s">
        <v>2739</v>
      </c>
      <c r="C758" s="3" t="s">
        <v>2731</v>
      </c>
      <c r="D758" s="3" t="s">
        <v>2714</v>
      </c>
      <c r="E758" s="3" t="s">
        <v>2720</v>
      </c>
      <c r="F758" s="3" t="s">
        <v>2721</v>
      </c>
      <c r="G758" s="3" t="s">
        <v>2691</v>
      </c>
      <c r="H758" s="3" t="s">
        <v>2744</v>
      </c>
      <c r="I758" s="3" t="s">
        <v>2693</v>
      </c>
      <c r="J758" s="3" t="s">
        <v>2694</v>
      </c>
      <c r="K758" s="3" t="s">
        <v>2695</v>
      </c>
    </row>
    <row r="759" customFormat="false" ht="15" hidden="false" customHeight="true" outlineLevel="0" collapsed="false">
      <c r="A759" s="3" t="s">
        <v>2268</v>
      </c>
      <c r="B759" s="3" t="s">
        <v>2749</v>
      </c>
      <c r="C759" s="3" t="s">
        <v>2687</v>
      </c>
      <c r="D759" s="3" t="s">
        <v>2741</v>
      </c>
      <c r="E759" s="3" t="s">
        <v>2689</v>
      </c>
      <c r="F759" s="3" t="s">
        <v>2690</v>
      </c>
      <c r="G759" s="3" t="s">
        <v>2722</v>
      </c>
      <c r="H759" s="3" t="s">
        <v>2723</v>
      </c>
      <c r="I759" s="3" t="s">
        <v>2703</v>
      </c>
      <c r="J759" s="3" t="s">
        <v>2694</v>
      </c>
      <c r="K759" s="3" t="s">
        <v>2735</v>
      </c>
    </row>
    <row r="760" customFormat="false" ht="15" hidden="false" customHeight="true" outlineLevel="0" collapsed="false">
      <c r="A760" s="3" t="s">
        <v>2271</v>
      </c>
      <c r="B760" s="3" t="s">
        <v>2728</v>
      </c>
      <c r="C760" s="3" t="s">
        <v>2697</v>
      </c>
      <c r="D760" s="3" t="s">
        <v>2708</v>
      </c>
      <c r="E760" s="3" t="s">
        <v>2764</v>
      </c>
      <c r="F760" s="3" t="s">
        <v>2765</v>
      </c>
      <c r="G760" s="3" t="s">
        <v>2701</v>
      </c>
      <c r="H760" s="3" t="s">
        <v>2754</v>
      </c>
      <c r="I760" s="3" t="s">
        <v>2712</v>
      </c>
      <c r="J760" s="3" t="s">
        <v>2753</v>
      </c>
      <c r="K760" s="3" t="s">
        <v>2718</v>
      </c>
    </row>
    <row r="761" customFormat="false" ht="15" hidden="false" customHeight="true" outlineLevel="0" collapsed="false">
      <c r="A761" s="3" t="s">
        <v>2274</v>
      </c>
      <c r="B761" s="3" t="s">
        <v>2745</v>
      </c>
      <c r="C761" s="3" t="s">
        <v>2697</v>
      </c>
      <c r="D761" s="3" t="s">
        <v>2708</v>
      </c>
      <c r="E761" s="3" t="s">
        <v>2760</v>
      </c>
      <c r="F761" s="3" t="s">
        <v>2761</v>
      </c>
      <c r="G761" s="3" t="s">
        <v>2701</v>
      </c>
      <c r="H761" s="3" t="s">
        <v>2717</v>
      </c>
      <c r="I761" s="3" t="s">
        <v>2712</v>
      </c>
      <c r="J761" s="3" t="s">
        <v>2694</v>
      </c>
      <c r="K761" s="3" t="s">
        <v>2695</v>
      </c>
    </row>
    <row r="762" customFormat="false" ht="15" hidden="false" customHeight="true" outlineLevel="0" collapsed="false">
      <c r="A762" s="3" t="s">
        <v>2277</v>
      </c>
      <c r="B762" s="3" t="s">
        <v>2707</v>
      </c>
      <c r="C762" s="3" t="s">
        <v>2731</v>
      </c>
      <c r="D762" s="3" t="s">
        <v>2841</v>
      </c>
      <c r="E762" s="3" t="s">
        <v>2760</v>
      </c>
      <c r="F762" s="3" t="s">
        <v>2761</v>
      </c>
      <c r="G762" s="3" t="s">
        <v>2701</v>
      </c>
      <c r="H762" s="3" t="s">
        <v>2702</v>
      </c>
      <c r="I762" s="3" t="s">
        <v>2693</v>
      </c>
      <c r="J762" s="3" t="s">
        <v>2694</v>
      </c>
      <c r="K762" s="3" t="s">
        <v>2695</v>
      </c>
    </row>
    <row r="763" customFormat="false" ht="15" hidden="false" customHeight="true" outlineLevel="0" collapsed="false">
      <c r="A763" s="3" t="s">
        <v>2280</v>
      </c>
      <c r="B763" s="3" t="s">
        <v>2728</v>
      </c>
      <c r="C763" s="3" t="s">
        <v>2731</v>
      </c>
      <c r="D763" s="3" t="s">
        <v>2698</v>
      </c>
      <c r="E763" s="3" t="s">
        <v>2756</v>
      </c>
      <c r="F763" s="3" t="s">
        <v>2757</v>
      </c>
      <c r="G763" s="3" t="s">
        <v>2691</v>
      </c>
      <c r="H763" s="3" t="s">
        <v>2705</v>
      </c>
      <c r="I763" s="3" t="s">
        <v>2693</v>
      </c>
      <c r="J763" s="3" t="s">
        <v>2738</v>
      </c>
      <c r="K763" s="3" t="s">
        <v>2735</v>
      </c>
    </row>
    <row r="764" customFormat="false" ht="15" hidden="false" customHeight="true" outlineLevel="0" collapsed="false">
      <c r="A764" s="3" t="s">
        <v>2283</v>
      </c>
      <c r="B764" s="3" t="s">
        <v>2704</v>
      </c>
      <c r="C764" s="3" t="s">
        <v>2687</v>
      </c>
      <c r="D764" s="3" t="s">
        <v>2708</v>
      </c>
      <c r="E764" s="3" t="s">
        <v>2760</v>
      </c>
      <c r="F764" s="3" t="s">
        <v>2761</v>
      </c>
      <c r="G764" s="3" t="s">
        <v>2722</v>
      </c>
      <c r="H764" s="3" t="s">
        <v>2779</v>
      </c>
      <c r="I764" s="3" t="s">
        <v>2706</v>
      </c>
      <c r="J764" s="3" t="s">
        <v>2694</v>
      </c>
      <c r="K764" s="3" t="s">
        <v>2695</v>
      </c>
    </row>
    <row r="765" customFormat="false" ht="15" hidden="false" customHeight="true" outlineLevel="0" collapsed="false">
      <c r="A765" s="3" t="s">
        <v>2286</v>
      </c>
      <c r="B765" s="3" t="s">
        <v>2755</v>
      </c>
      <c r="C765" s="3" t="s">
        <v>2729</v>
      </c>
      <c r="D765" s="3" t="s">
        <v>2714</v>
      </c>
      <c r="E765" s="3" t="s">
        <v>2720</v>
      </c>
      <c r="F765" s="3" t="s">
        <v>2721</v>
      </c>
      <c r="G765" s="3" t="s">
        <v>2722</v>
      </c>
      <c r="H765" s="3" t="s">
        <v>2779</v>
      </c>
      <c r="I765" s="3" t="s">
        <v>2693</v>
      </c>
      <c r="J765" s="3" t="s">
        <v>2734</v>
      </c>
      <c r="K765" s="3" t="s">
        <v>2735</v>
      </c>
    </row>
    <row r="766" customFormat="false" ht="15" hidden="false" customHeight="true" outlineLevel="0" collapsed="false">
      <c r="A766" s="3" t="s">
        <v>2289</v>
      </c>
      <c r="B766" s="3" t="s">
        <v>2755</v>
      </c>
      <c r="C766" s="3" t="s">
        <v>2687</v>
      </c>
      <c r="D766" s="3" t="s">
        <v>2741</v>
      </c>
      <c r="E766" s="3" t="s">
        <v>2689</v>
      </c>
      <c r="F766" s="3" t="s">
        <v>2690</v>
      </c>
      <c r="G766" s="3" t="s">
        <v>2701</v>
      </c>
      <c r="H766" s="3" t="s">
        <v>2711</v>
      </c>
      <c r="I766" s="3" t="s">
        <v>2703</v>
      </c>
      <c r="J766" s="3" t="s">
        <v>2694</v>
      </c>
      <c r="K766" s="3" t="s">
        <v>2695</v>
      </c>
    </row>
    <row r="767" customFormat="false" ht="15" hidden="false" customHeight="true" outlineLevel="0" collapsed="false">
      <c r="A767" s="3" t="s">
        <v>2292</v>
      </c>
      <c r="B767" s="3" t="s">
        <v>2739</v>
      </c>
      <c r="C767" s="3" t="s">
        <v>2729</v>
      </c>
      <c r="D767" s="3" t="s">
        <v>2708</v>
      </c>
      <c r="E767" s="3" t="s">
        <v>2764</v>
      </c>
      <c r="F767" s="3" t="s">
        <v>2765</v>
      </c>
      <c r="G767" s="3" t="s">
        <v>2701</v>
      </c>
      <c r="H767" s="3" t="s">
        <v>2754</v>
      </c>
      <c r="I767" s="3" t="s">
        <v>2706</v>
      </c>
      <c r="J767" s="3" t="s">
        <v>2694</v>
      </c>
      <c r="K767" s="3" t="s">
        <v>2695</v>
      </c>
    </row>
    <row r="768" customFormat="false" ht="15" hidden="false" customHeight="true" outlineLevel="0" collapsed="false">
      <c r="A768" s="3" t="s">
        <v>2294</v>
      </c>
      <c r="B768" s="3" t="s">
        <v>2719</v>
      </c>
      <c r="C768" s="3" t="s">
        <v>2729</v>
      </c>
      <c r="D768" s="3" t="s">
        <v>2698</v>
      </c>
      <c r="E768" s="3" t="s">
        <v>2770</v>
      </c>
      <c r="F768" s="3" t="s">
        <v>2771</v>
      </c>
      <c r="G768" s="3" t="s">
        <v>2691</v>
      </c>
      <c r="H768" s="3" t="s">
        <v>2730</v>
      </c>
      <c r="I768" s="3" t="s">
        <v>2706</v>
      </c>
      <c r="J768" s="3" t="s">
        <v>2694</v>
      </c>
      <c r="K768" s="3" t="s">
        <v>2695</v>
      </c>
    </row>
    <row r="769" customFormat="false" ht="15" hidden="false" customHeight="true" outlineLevel="0" collapsed="false">
      <c r="A769" s="3" t="s">
        <v>2297</v>
      </c>
      <c r="B769" s="3" t="s">
        <v>2696</v>
      </c>
      <c r="C769" s="3" t="s">
        <v>2729</v>
      </c>
      <c r="D769" s="3" t="s">
        <v>2714</v>
      </c>
      <c r="E769" s="3" t="s">
        <v>2762</v>
      </c>
      <c r="F769" s="3" t="s">
        <v>2763</v>
      </c>
      <c r="G769" s="3" t="s">
        <v>2691</v>
      </c>
      <c r="H769" s="3" t="s">
        <v>2705</v>
      </c>
      <c r="I769" s="3" t="s">
        <v>2693</v>
      </c>
      <c r="J769" s="3" t="s">
        <v>2694</v>
      </c>
      <c r="K769" s="3" t="s">
        <v>2718</v>
      </c>
    </row>
    <row r="770" customFormat="false" ht="15" hidden="false" customHeight="true" outlineLevel="0" collapsed="false">
      <c r="A770" s="3" t="s">
        <v>2300</v>
      </c>
      <c r="B770" s="3" t="s">
        <v>2713</v>
      </c>
      <c r="C770" s="3" t="s">
        <v>2731</v>
      </c>
      <c r="D770" s="3" t="s">
        <v>2741</v>
      </c>
      <c r="E770" s="3" t="s">
        <v>2747</v>
      </c>
      <c r="F770" s="3" t="s">
        <v>2748</v>
      </c>
      <c r="G770" s="3" t="s">
        <v>2796</v>
      </c>
      <c r="H770" s="3" t="s">
        <v>2752</v>
      </c>
      <c r="I770" s="3" t="s">
        <v>2712</v>
      </c>
      <c r="J770" s="3" t="s">
        <v>2694</v>
      </c>
      <c r="K770" s="3" t="s">
        <v>2695</v>
      </c>
    </row>
    <row r="771" customFormat="false" ht="15" hidden="false" customHeight="true" outlineLevel="0" collapsed="false">
      <c r="A771" s="3" t="s">
        <v>2303</v>
      </c>
      <c r="B771" s="3" t="s">
        <v>2746</v>
      </c>
      <c r="C771" s="3" t="s">
        <v>2731</v>
      </c>
      <c r="D771" s="3" t="s">
        <v>2698</v>
      </c>
      <c r="E771" s="3" t="s">
        <v>2770</v>
      </c>
      <c r="F771" s="3" t="s">
        <v>2771</v>
      </c>
      <c r="G771" s="3" t="s">
        <v>2691</v>
      </c>
      <c r="H771" s="3" t="s">
        <v>2692</v>
      </c>
      <c r="I771" s="3" t="s">
        <v>2703</v>
      </c>
      <c r="J771" s="3" t="s">
        <v>2694</v>
      </c>
      <c r="K771" s="3" t="s">
        <v>2695</v>
      </c>
    </row>
    <row r="772" customFormat="false" ht="15" hidden="false" customHeight="true" outlineLevel="0" collapsed="false">
      <c r="A772" s="3" t="s">
        <v>2306</v>
      </c>
      <c r="B772" s="3" t="s">
        <v>2739</v>
      </c>
      <c r="C772" s="3" t="s">
        <v>2731</v>
      </c>
      <c r="D772" s="3" t="s">
        <v>2714</v>
      </c>
      <c r="E772" s="3" t="s">
        <v>2766</v>
      </c>
      <c r="F772" s="3" t="s">
        <v>2767</v>
      </c>
      <c r="G772" s="3" t="s">
        <v>2701</v>
      </c>
      <c r="H772" s="3" t="s">
        <v>2754</v>
      </c>
      <c r="I772" s="3" t="s">
        <v>2703</v>
      </c>
      <c r="J772" s="3" t="s">
        <v>2694</v>
      </c>
      <c r="K772" s="3" t="s">
        <v>2695</v>
      </c>
    </row>
    <row r="773" customFormat="false" ht="15" hidden="false" customHeight="true" outlineLevel="0" collapsed="false">
      <c r="A773" s="3" t="s">
        <v>2309</v>
      </c>
      <c r="B773" s="3" t="s">
        <v>2724</v>
      </c>
      <c r="C773" s="3" t="s">
        <v>2687</v>
      </c>
      <c r="D773" s="3" t="s">
        <v>2741</v>
      </c>
      <c r="E773" s="3" t="s">
        <v>2747</v>
      </c>
      <c r="F773" s="3" t="s">
        <v>2748</v>
      </c>
      <c r="G773" s="3" t="s">
        <v>2722</v>
      </c>
      <c r="H773" s="3" t="s">
        <v>2725</v>
      </c>
      <c r="I773" s="3" t="s">
        <v>2706</v>
      </c>
      <c r="J773" s="3" t="s">
        <v>2694</v>
      </c>
      <c r="K773" s="3" t="s">
        <v>2695</v>
      </c>
    </row>
    <row r="774" customFormat="false" ht="15" hidden="false" customHeight="true" outlineLevel="0" collapsed="false">
      <c r="A774" s="3" t="s">
        <v>2312</v>
      </c>
      <c r="B774" s="3" t="s">
        <v>2713</v>
      </c>
      <c r="C774" s="3" t="s">
        <v>2687</v>
      </c>
      <c r="D774" s="3" t="s">
        <v>2741</v>
      </c>
      <c r="E774" s="3" t="s">
        <v>2772</v>
      </c>
      <c r="F774" s="3" t="s">
        <v>2773</v>
      </c>
      <c r="G774" s="3" t="s">
        <v>2722</v>
      </c>
      <c r="H774" s="3" t="s">
        <v>2779</v>
      </c>
      <c r="I774" s="3" t="s">
        <v>2693</v>
      </c>
      <c r="J774" s="3" t="s">
        <v>2694</v>
      </c>
      <c r="K774" s="3" t="s">
        <v>2695</v>
      </c>
    </row>
    <row r="775" customFormat="false" ht="15" hidden="false" customHeight="true" outlineLevel="0" collapsed="false">
      <c r="A775" s="3" t="s">
        <v>2314</v>
      </c>
      <c r="B775" s="3" t="s">
        <v>2755</v>
      </c>
      <c r="C775" s="3" t="s">
        <v>2687</v>
      </c>
      <c r="D775" s="3" t="s">
        <v>2708</v>
      </c>
      <c r="E775" s="3" t="s">
        <v>2774</v>
      </c>
      <c r="F775" s="3" t="s">
        <v>2775</v>
      </c>
      <c r="G775" s="3" t="s">
        <v>2701</v>
      </c>
      <c r="H775" s="3" t="s">
        <v>2717</v>
      </c>
      <c r="I775" s="3" t="s">
        <v>2703</v>
      </c>
      <c r="J775" s="3" t="s">
        <v>2738</v>
      </c>
      <c r="K775" s="3" t="s">
        <v>2718</v>
      </c>
    </row>
    <row r="776" customFormat="false" ht="15" hidden="false" customHeight="true" outlineLevel="0" collapsed="false">
      <c r="A776" s="3" t="s">
        <v>2317</v>
      </c>
      <c r="B776" s="3" t="s">
        <v>2686</v>
      </c>
      <c r="C776" s="3" t="s">
        <v>2731</v>
      </c>
      <c r="D776" s="3" t="s">
        <v>2714</v>
      </c>
      <c r="E776" s="3" t="s">
        <v>2762</v>
      </c>
      <c r="F776" s="3" t="s">
        <v>2763</v>
      </c>
      <c r="G776" s="3" t="s">
        <v>2722</v>
      </c>
      <c r="H776" s="3" t="s">
        <v>2758</v>
      </c>
      <c r="I776" s="3" t="s">
        <v>2768</v>
      </c>
      <c r="J776" s="3" t="s">
        <v>2694</v>
      </c>
      <c r="K776" s="3" t="s">
        <v>2695</v>
      </c>
    </row>
    <row r="777" customFormat="false" ht="15" hidden="false" customHeight="true" outlineLevel="0" collapsed="false">
      <c r="A777" s="3" t="s">
        <v>2320</v>
      </c>
      <c r="B777" s="3" t="s">
        <v>2778</v>
      </c>
      <c r="C777" s="3" t="s">
        <v>2687</v>
      </c>
      <c r="D777" s="3" t="s">
        <v>2714</v>
      </c>
      <c r="E777" s="3" t="s">
        <v>2689</v>
      </c>
      <c r="F777" s="3" t="s">
        <v>2737</v>
      </c>
      <c r="G777" s="3" t="s">
        <v>2722</v>
      </c>
      <c r="H777" s="3" t="s">
        <v>2779</v>
      </c>
      <c r="I777" s="3" t="s">
        <v>2768</v>
      </c>
      <c r="J777" s="3" t="s">
        <v>2694</v>
      </c>
      <c r="K777" s="3" t="s">
        <v>2695</v>
      </c>
    </row>
    <row r="778" customFormat="false" ht="15" hidden="false" customHeight="true" outlineLevel="0" collapsed="false">
      <c r="A778" s="3" t="s">
        <v>2323</v>
      </c>
      <c r="B778" s="3" t="s">
        <v>2707</v>
      </c>
      <c r="C778" s="3" t="s">
        <v>2687</v>
      </c>
      <c r="D778" s="3" t="s">
        <v>2741</v>
      </c>
      <c r="E778" s="3" t="s">
        <v>2772</v>
      </c>
      <c r="F778" s="3" t="s">
        <v>2773</v>
      </c>
      <c r="G778" s="3" t="s">
        <v>2722</v>
      </c>
      <c r="H778" s="3" t="s">
        <v>2723</v>
      </c>
      <c r="I778" s="3" t="s">
        <v>2712</v>
      </c>
      <c r="J778" s="3" t="s">
        <v>2694</v>
      </c>
      <c r="K778" s="3" t="s">
        <v>2695</v>
      </c>
    </row>
    <row r="779" customFormat="false" ht="15" hidden="false" customHeight="true" outlineLevel="0" collapsed="false">
      <c r="A779" s="3" t="s">
        <v>2326</v>
      </c>
      <c r="B779" s="3" t="s">
        <v>2728</v>
      </c>
      <c r="C779" s="3" t="s">
        <v>2697</v>
      </c>
      <c r="D779" s="3" t="s">
        <v>2741</v>
      </c>
      <c r="E779" s="3" t="s">
        <v>2689</v>
      </c>
      <c r="F779" s="3" t="s">
        <v>2690</v>
      </c>
      <c r="G779" s="3" t="s">
        <v>2722</v>
      </c>
      <c r="H779" s="3" t="s">
        <v>2725</v>
      </c>
      <c r="I779" s="3" t="s">
        <v>2693</v>
      </c>
      <c r="J779" s="3" t="s">
        <v>2694</v>
      </c>
      <c r="K779" s="3" t="s">
        <v>2695</v>
      </c>
    </row>
    <row r="780" customFormat="false" ht="15" hidden="false" customHeight="true" outlineLevel="0" collapsed="false">
      <c r="A780" s="3" t="s">
        <v>2329</v>
      </c>
      <c r="B780" s="3" t="s">
        <v>2778</v>
      </c>
      <c r="C780" s="3" t="s">
        <v>2697</v>
      </c>
      <c r="D780" s="3" t="s">
        <v>2714</v>
      </c>
      <c r="E780" s="3" t="s">
        <v>2720</v>
      </c>
      <c r="F780" s="3" t="s">
        <v>2721</v>
      </c>
      <c r="G780" s="3" t="s">
        <v>2722</v>
      </c>
      <c r="H780" s="3" t="s">
        <v>2723</v>
      </c>
      <c r="I780" s="3" t="s">
        <v>2693</v>
      </c>
      <c r="J780" s="3" t="s">
        <v>2753</v>
      </c>
      <c r="K780" s="3" t="s">
        <v>2718</v>
      </c>
    </row>
    <row r="781" customFormat="false" ht="15" hidden="false" customHeight="true" outlineLevel="0" collapsed="false">
      <c r="A781" s="3" t="s">
        <v>2332</v>
      </c>
      <c r="B781" s="3" t="s">
        <v>2686</v>
      </c>
      <c r="C781" s="3" t="s">
        <v>2697</v>
      </c>
      <c r="D781" s="3" t="s">
        <v>2741</v>
      </c>
      <c r="E781" s="3" t="s">
        <v>2772</v>
      </c>
      <c r="F781" s="3" t="s">
        <v>2773</v>
      </c>
      <c r="G781" s="3" t="s">
        <v>2722</v>
      </c>
      <c r="H781" s="3" t="s">
        <v>2725</v>
      </c>
      <c r="I781" s="3" t="s">
        <v>2693</v>
      </c>
      <c r="J781" s="3" t="s">
        <v>2694</v>
      </c>
      <c r="K781" s="3" t="s">
        <v>2695</v>
      </c>
    </row>
    <row r="782" customFormat="false" ht="15" hidden="false" customHeight="true" outlineLevel="0" collapsed="false">
      <c r="A782" s="3" t="s">
        <v>2335</v>
      </c>
      <c r="B782" s="3" t="s">
        <v>2739</v>
      </c>
      <c r="C782" s="3" t="s">
        <v>2697</v>
      </c>
      <c r="D782" s="3" t="s">
        <v>2708</v>
      </c>
      <c r="E782" s="3" t="s">
        <v>2726</v>
      </c>
      <c r="F782" s="3" t="s">
        <v>2727</v>
      </c>
      <c r="G782" s="3" t="s">
        <v>2701</v>
      </c>
      <c r="H782" s="3" t="s">
        <v>2717</v>
      </c>
      <c r="I782" s="3" t="s">
        <v>2712</v>
      </c>
      <c r="J782" s="3" t="s">
        <v>2694</v>
      </c>
      <c r="K782" s="3" t="s">
        <v>2695</v>
      </c>
    </row>
    <row r="783" customFormat="false" ht="15" hidden="false" customHeight="true" outlineLevel="0" collapsed="false">
      <c r="A783" s="3" t="s">
        <v>2338</v>
      </c>
      <c r="B783" s="3" t="s">
        <v>2755</v>
      </c>
      <c r="C783" s="3" t="s">
        <v>2697</v>
      </c>
      <c r="D783" s="3" t="s">
        <v>2714</v>
      </c>
      <c r="E783" s="3" t="s">
        <v>2689</v>
      </c>
      <c r="F783" s="3" t="s">
        <v>2737</v>
      </c>
      <c r="G783" s="3" t="s">
        <v>2701</v>
      </c>
      <c r="H783" s="3" t="s">
        <v>2717</v>
      </c>
      <c r="I783" s="3" t="s">
        <v>2703</v>
      </c>
      <c r="J783" s="3" t="s">
        <v>2694</v>
      </c>
      <c r="K783" s="3" t="s">
        <v>2695</v>
      </c>
    </row>
    <row r="784" customFormat="false" ht="15" hidden="false" customHeight="true" outlineLevel="0" collapsed="false">
      <c r="A784" s="3" t="s">
        <v>2341</v>
      </c>
      <c r="B784" s="3" t="s">
        <v>2686</v>
      </c>
      <c r="C784" s="3" t="s">
        <v>2731</v>
      </c>
      <c r="D784" s="3" t="s">
        <v>2714</v>
      </c>
      <c r="E784" s="3" t="s">
        <v>2689</v>
      </c>
      <c r="F784" s="3" t="s">
        <v>2737</v>
      </c>
      <c r="G784" s="3" t="s">
        <v>2691</v>
      </c>
      <c r="H784" s="3" t="s">
        <v>2730</v>
      </c>
      <c r="I784" s="3" t="s">
        <v>2706</v>
      </c>
      <c r="J784" s="3" t="s">
        <v>2738</v>
      </c>
      <c r="K784" s="3" t="s">
        <v>2735</v>
      </c>
    </row>
    <row r="785" customFormat="false" ht="15" hidden="false" customHeight="true" outlineLevel="0" collapsed="false">
      <c r="A785" s="3" t="s">
        <v>2344</v>
      </c>
      <c r="B785" s="3" t="s">
        <v>2696</v>
      </c>
      <c r="C785" s="3" t="s">
        <v>2729</v>
      </c>
      <c r="D785" s="3" t="s">
        <v>2698</v>
      </c>
      <c r="E785" s="3" t="s">
        <v>2732</v>
      </c>
      <c r="F785" s="3" t="s">
        <v>2733</v>
      </c>
      <c r="G785" s="3" t="s">
        <v>2722</v>
      </c>
      <c r="H785" s="3" t="s">
        <v>2725</v>
      </c>
      <c r="I785" s="3" t="s">
        <v>2712</v>
      </c>
      <c r="J785" s="3" t="s">
        <v>2694</v>
      </c>
      <c r="K785" s="3" t="s">
        <v>2695</v>
      </c>
    </row>
    <row r="786" customFormat="false" ht="15" hidden="false" customHeight="true" outlineLevel="0" collapsed="false">
      <c r="A786" s="3" t="s">
        <v>2347</v>
      </c>
      <c r="B786" s="3" t="s">
        <v>2745</v>
      </c>
      <c r="C786" s="3" t="s">
        <v>2697</v>
      </c>
      <c r="D786" s="3" t="s">
        <v>2698</v>
      </c>
      <c r="E786" s="3" t="s">
        <v>2750</v>
      </c>
      <c r="F786" s="3" t="s">
        <v>2751</v>
      </c>
      <c r="G786" s="3" t="s">
        <v>2691</v>
      </c>
      <c r="H786" s="3" t="s">
        <v>2705</v>
      </c>
      <c r="I786" s="3" t="s">
        <v>2693</v>
      </c>
      <c r="J786" s="3" t="s">
        <v>2694</v>
      </c>
      <c r="K786" s="3" t="s">
        <v>2695</v>
      </c>
    </row>
    <row r="787" customFormat="false" ht="15" hidden="false" customHeight="true" outlineLevel="0" collapsed="false">
      <c r="A787" s="3" t="s">
        <v>2350</v>
      </c>
      <c r="B787" s="3" t="s">
        <v>2739</v>
      </c>
      <c r="C787" s="3" t="s">
        <v>2729</v>
      </c>
      <c r="D787" s="3" t="s">
        <v>2842</v>
      </c>
      <c r="E787" s="3" t="s">
        <v>2742</v>
      </c>
      <c r="F787" s="3" t="s">
        <v>2743</v>
      </c>
      <c r="G787" s="3" t="s">
        <v>2722</v>
      </c>
      <c r="H787" s="3" t="s">
        <v>2725</v>
      </c>
      <c r="I787" s="3" t="s">
        <v>2706</v>
      </c>
      <c r="J787" s="3" t="s">
        <v>2694</v>
      </c>
      <c r="K787" s="3" t="s">
        <v>2695</v>
      </c>
    </row>
    <row r="788" customFormat="false" ht="15" hidden="false" customHeight="true" outlineLevel="0" collapsed="false">
      <c r="A788" s="3" t="s">
        <v>2353</v>
      </c>
      <c r="B788" s="3" t="s">
        <v>2755</v>
      </c>
      <c r="C788" s="3" t="s">
        <v>2697</v>
      </c>
      <c r="D788" s="3" t="s">
        <v>2741</v>
      </c>
      <c r="E788" s="3" t="s">
        <v>2772</v>
      </c>
      <c r="F788" s="3" t="s">
        <v>2773</v>
      </c>
      <c r="G788" s="3" t="s">
        <v>2691</v>
      </c>
      <c r="H788" s="3" t="s">
        <v>2744</v>
      </c>
      <c r="I788" s="3" t="s">
        <v>2703</v>
      </c>
      <c r="J788" s="3" t="s">
        <v>2753</v>
      </c>
      <c r="K788" s="3" t="s">
        <v>2718</v>
      </c>
    </row>
    <row r="789" customFormat="false" ht="15" hidden="false" customHeight="true" outlineLevel="0" collapsed="false">
      <c r="A789" s="3" t="s">
        <v>2356</v>
      </c>
      <c r="B789" s="3" t="s">
        <v>2713</v>
      </c>
      <c r="C789" s="3" t="s">
        <v>2729</v>
      </c>
      <c r="D789" s="3" t="s">
        <v>2741</v>
      </c>
      <c r="E789" s="3" t="s">
        <v>2689</v>
      </c>
      <c r="F789" s="3" t="s">
        <v>2690</v>
      </c>
      <c r="G789" s="3" t="s">
        <v>2701</v>
      </c>
      <c r="H789" s="3" t="s">
        <v>2711</v>
      </c>
      <c r="I789" s="3" t="s">
        <v>2768</v>
      </c>
      <c r="J789" s="3" t="s">
        <v>2734</v>
      </c>
      <c r="K789" s="3" t="s">
        <v>2735</v>
      </c>
    </row>
    <row r="790" customFormat="false" ht="15" hidden="false" customHeight="true" outlineLevel="0" collapsed="false">
      <c r="A790" s="3" t="s">
        <v>2359</v>
      </c>
      <c r="B790" s="3" t="s">
        <v>2713</v>
      </c>
      <c r="C790" s="3" t="s">
        <v>2731</v>
      </c>
      <c r="D790" s="3" t="s">
        <v>2698</v>
      </c>
      <c r="E790" s="3" t="s">
        <v>2750</v>
      </c>
      <c r="F790" s="3" t="s">
        <v>2751</v>
      </c>
      <c r="G790" s="3" t="s">
        <v>2691</v>
      </c>
      <c r="H790" s="3" t="s">
        <v>2692</v>
      </c>
      <c r="I790" s="3" t="s">
        <v>2693</v>
      </c>
      <c r="J790" s="3" t="s">
        <v>2759</v>
      </c>
      <c r="K790" s="3" t="s">
        <v>2695</v>
      </c>
    </row>
    <row r="791" customFormat="false" ht="15" hidden="false" customHeight="true" outlineLevel="0" collapsed="false">
      <c r="A791" s="3" t="s">
        <v>2362</v>
      </c>
      <c r="B791" s="3" t="s">
        <v>2704</v>
      </c>
      <c r="C791" s="3" t="s">
        <v>2729</v>
      </c>
      <c r="D791" s="3" t="s">
        <v>2741</v>
      </c>
      <c r="E791" s="3" t="s">
        <v>2747</v>
      </c>
      <c r="F791" s="3" t="s">
        <v>2748</v>
      </c>
      <c r="G791" s="3" t="s">
        <v>2701</v>
      </c>
      <c r="H791" s="3" t="s">
        <v>2717</v>
      </c>
      <c r="I791" s="3" t="s">
        <v>2712</v>
      </c>
      <c r="J791" s="3" t="s">
        <v>2753</v>
      </c>
      <c r="K791" s="3" t="s">
        <v>2735</v>
      </c>
    </row>
    <row r="792" customFormat="false" ht="15" hidden="false" customHeight="true" outlineLevel="0" collapsed="false">
      <c r="A792" s="3" t="s">
        <v>2365</v>
      </c>
      <c r="B792" s="3" t="s">
        <v>2739</v>
      </c>
      <c r="C792" s="3" t="s">
        <v>2731</v>
      </c>
      <c r="D792" s="3" t="s">
        <v>2768</v>
      </c>
      <c r="E792" s="3" t="s">
        <v>2689</v>
      </c>
      <c r="F792" s="3" t="s">
        <v>2737</v>
      </c>
      <c r="G792" s="3" t="s">
        <v>2722</v>
      </c>
      <c r="H792" s="3" t="s">
        <v>2725</v>
      </c>
      <c r="I792" s="3" t="s">
        <v>2703</v>
      </c>
      <c r="J792" s="3" t="s">
        <v>2694</v>
      </c>
      <c r="K792" s="3" t="s">
        <v>2695</v>
      </c>
    </row>
    <row r="793" customFormat="false" ht="15" hidden="false" customHeight="true" outlineLevel="0" collapsed="false">
      <c r="A793" s="3" t="s">
        <v>2368</v>
      </c>
      <c r="B793" s="3" t="s">
        <v>2740</v>
      </c>
      <c r="C793" s="3" t="s">
        <v>2729</v>
      </c>
      <c r="D793" s="3" t="s">
        <v>2708</v>
      </c>
      <c r="E793" s="3" t="s">
        <v>2726</v>
      </c>
      <c r="F793" s="3" t="s">
        <v>2727</v>
      </c>
      <c r="G793" s="3" t="s">
        <v>2691</v>
      </c>
      <c r="H793" s="3" t="s">
        <v>2705</v>
      </c>
      <c r="I793" s="3" t="s">
        <v>2712</v>
      </c>
      <c r="J793" s="3" t="s">
        <v>2694</v>
      </c>
      <c r="K793" s="3" t="s">
        <v>2695</v>
      </c>
    </row>
    <row r="794" customFormat="false" ht="15" hidden="false" customHeight="true" outlineLevel="0" collapsed="false">
      <c r="A794" s="3" t="s">
        <v>2371</v>
      </c>
      <c r="B794" s="3" t="s">
        <v>2740</v>
      </c>
      <c r="C794" s="3" t="s">
        <v>2731</v>
      </c>
      <c r="D794" s="3" t="s">
        <v>2708</v>
      </c>
      <c r="E794" s="3" t="s">
        <v>2760</v>
      </c>
      <c r="F794" s="3" t="s">
        <v>2761</v>
      </c>
      <c r="G794" s="3" t="s">
        <v>2701</v>
      </c>
      <c r="H794" s="3" t="s">
        <v>2754</v>
      </c>
      <c r="I794" s="3" t="s">
        <v>2703</v>
      </c>
      <c r="J794" s="3" t="s">
        <v>2694</v>
      </c>
      <c r="K794" s="3" t="s">
        <v>2695</v>
      </c>
    </row>
    <row r="795" customFormat="false" ht="15" hidden="false" customHeight="true" outlineLevel="0" collapsed="false">
      <c r="A795" s="3" t="s">
        <v>2374</v>
      </c>
      <c r="B795" s="3" t="s">
        <v>2707</v>
      </c>
      <c r="C795" s="3" t="s">
        <v>2697</v>
      </c>
      <c r="D795" s="3" t="s">
        <v>2698</v>
      </c>
      <c r="E795" s="3" t="s">
        <v>2756</v>
      </c>
      <c r="F795" s="3" t="s">
        <v>2757</v>
      </c>
      <c r="G795" s="3" t="s">
        <v>2701</v>
      </c>
      <c r="H795" s="3" t="s">
        <v>2711</v>
      </c>
      <c r="I795" s="3" t="s">
        <v>2693</v>
      </c>
      <c r="J795" s="3" t="s">
        <v>2694</v>
      </c>
      <c r="K795" s="3" t="s">
        <v>2735</v>
      </c>
    </row>
    <row r="796" customFormat="false" ht="15" hidden="false" customHeight="true" outlineLevel="0" collapsed="false">
      <c r="A796" s="3" t="s">
        <v>2377</v>
      </c>
      <c r="B796" s="3" t="s">
        <v>2719</v>
      </c>
      <c r="C796" s="3" t="s">
        <v>2729</v>
      </c>
      <c r="D796" s="3" t="s">
        <v>2741</v>
      </c>
      <c r="E796" s="3" t="s">
        <v>2689</v>
      </c>
      <c r="F796" s="3" t="s">
        <v>2690</v>
      </c>
      <c r="G796" s="3" t="s">
        <v>2722</v>
      </c>
      <c r="H796" s="3" t="s">
        <v>2725</v>
      </c>
      <c r="I796" s="3" t="s">
        <v>2693</v>
      </c>
      <c r="J796" s="3" t="s">
        <v>2694</v>
      </c>
      <c r="K796" s="3" t="s">
        <v>2695</v>
      </c>
    </row>
    <row r="797" customFormat="false" ht="15" hidden="false" customHeight="true" outlineLevel="0" collapsed="false">
      <c r="A797" s="3" t="s">
        <v>2380</v>
      </c>
      <c r="B797" s="3" t="s">
        <v>2746</v>
      </c>
      <c r="C797" s="3" t="s">
        <v>2729</v>
      </c>
      <c r="D797" s="3" t="s">
        <v>2698</v>
      </c>
      <c r="E797" s="3" t="s">
        <v>2756</v>
      </c>
      <c r="F797" s="3" t="s">
        <v>2757</v>
      </c>
      <c r="G797" s="3" t="s">
        <v>2691</v>
      </c>
      <c r="H797" s="3" t="s">
        <v>2692</v>
      </c>
      <c r="I797" s="3" t="s">
        <v>2712</v>
      </c>
      <c r="J797" s="3" t="s">
        <v>2694</v>
      </c>
      <c r="K797" s="3" t="s">
        <v>2695</v>
      </c>
    </row>
    <row r="798" customFormat="false" ht="15" hidden="false" customHeight="true" outlineLevel="0" collapsed="false">
      <c r="A798" s="3" t="s">
        <v>2383</v>
      </c>
      <c r="B798" s="3" t="s">
        <v>2755</v>
      </c>
      <c r="C798" s="3" t="s">
        <v>2731</v>
      </c>
      <c r="D798" s="3" t="s">
        <v>2698</v>
      </c>
      <c r="E798" s="3" t="s">
        <v>2699</v>
      </c>
      <c r="F798" s="3" t="s">
        <v>2700</v>
      </c>
      <c r="G798" s="3" t="s">
        <v>2722</v>
      </c>
      <c r="H798" s="3" t="s">
        <v>2725</v>
      </c>
      <c r="I798" s="3" t="s">
        <v>2703</v>
      </c>
      <c r="J798" s="3" t="s">
        <v>2734</v>
      </c>
      <c r="K798" s="3" t="s">
        <v>2718</v>
      </c>
    </row>
    <row r="799" customFormat="false" ht="15" hidden="false" customHeight="true" outlineLevel="0" collapsed="false">
      <c r="A799" s="3" t="s">
        <v>2386</v>
      </c>
      <c r="B799" s="3" t="s">
        <v>2749</v>
      </c>
      <c r="C799" s="3" t="s">
        <v>2697</v>
      </c>
      <c r="D799" s="3" t="s">
        <v>2708</v>
      </c>
      <c r="E799" s="3" t="s">
        <v>2726</v>
      </c>
      <c r="F799" s="3" t="s">
        <v>2727</v>
      </c>
      <c r="G799" s="3" t="s">
        <v>2722</v>
      </c>
      <c r="H799" s="3" t="s">
        <v>2779</v>
      </c>
      <c r="I799" s="3" t="s">
        <v>2706</v>
      </c>
      <c r="J799" s="3" t="s">
        <v>2694</v>
      </c>
      <c r="K799" s="3" t="s">
        <v>2695</v>
      </c>
    </row>
    <row r="800" customFormat="false" ht="15" hidden="false" customHeight="true" outlineLevel="0" collapsed="false">
      <c r="A800" s="3" t="s">
        <v>2389</v>
      </c>
      <c r="B800" s="3" t="s">
        <v>2745</v>
      </c>
      <c r="C800" s="3" t="s">
        <v>2687</v>
      </c>
      <c r="D800" s="3" t="s">
        <v>2698</v>
      </c>
      <c r="E800" s="3" t="s">
        <v>2699</v>
      </c>
      <c r="F800" s="3" t="s">
        <v>2700</v>
      </c>
      <c r="G800" s="3" t="s">
        <v>2691</v>
      </c>
      <c r="H800" s="3" t="s">
        <v>2752</v>
      </c>
      <c r="I800" s="3" t="s">
        <v>2706</v>
      </c>
      <c r="J800" s="3" t="s">
        <v>2753</v>
      </c>
      <c r="K800" s="3" t="s">
        <v>2718</v>
      </c>
    </row>
    <row r="801" customFormat="false" ht="15" hidden="false" customHeight="true" outlineLevel="0" collapsed="false">
      <c r="A801" s="3" t="s">
        <v>2392</v>
      </c>
      <c r="B801" s="3" t="s">
        <v>2728</v>
      </c>
      <c r="C801" s="3" t="s">
        <v>2729</v>
      </c>
      <c r="D801" s="3" t="s">
        <v>2741</v>
      </c>
      <c r="E801" s="3" t="s">
        <v>2782</v>
      </c>
      <c r="F801" s="3" t="s">
        <v>2783</v>
      </c>
      <c r="G801" s="3" t="s">
        <v>2701</v>
      </c>
      <c r="H801" s="3" t="s">
        <v>2711</v>
      </c>
      <c r="I801" s="3" t="s">
        <v>2712</v>
      </c>
      <c r="J801" s="3" t="s">
        <v>2694</v>
      </c>
      <c r="K801" s="3" t="s">
        <v>2695</v>
      </c>
    </row>
    <row r="802" customFormat="false" ht="15" hidden="false" customHeight="true" outlineLevel="0" collapsed="false">
      <c r="A802" s="3" t="s">
        <v>2395</v>
      </c>
      <c r="B802" s="3" t="s">
        <v>2704</v>
      </c>
      <c r="C802" s="3" t="s">
        <v>2731</v>
      </c>
      <c r="D802" s="3" t="s">
        <v>2741</v>
      </c>
      <c r="E802" s="3" t="s">
        <v>2772</v>
      </c>
      <c r="F802" s="3" t="s">
        <v>2773</v>
      </c>
      <c r="G802" s="3" t="s">
        <v>2722</v>
      </c>
      <c r="H802" s="3" t="s">
        <v>2723</v>
      </c>
      <c r="I802" s="3" t="s">
        <v>2768</v>
      </c>
      <c r="J802" s="3" t="s">
        <v>2694</v>
      </c>
      <c r="K802" s="3" t="s">
        <v>2735</v>
      </c>
    </row>
    <row r="803" customFormat="false" ht="15" hidden="false" customHeight="true" outlineLevel="0" collapsed="false">
      <c r="A803" s="3" t="s">
        <v>2398</v>
      </c>
      <c r="B803" s="3" t="s">
        <v>2719</v>
      </c>
      <c r="C803" s="3" t="s">
        <v>2697</v>
      </c>
      <c r="D803" s="3" t="s">
        <v>2714</v>
      </c>
      <c r="E803" s="3" t="s">
        <v>2715</v>
      </c>
      <c r="F803" s="3" t="s">
        <v>2716</v>
      </c>
      <c r="G803" s="3" t="s">
        <v>2691</v>
      </c>
      <c r="H803" s="3" t="s">
        <v>2744</v>
      </c>
      <c r="I803" s="3" t="s">
        <v>2693</v>
      </c>
      <c r="J803" s="3" t="s">
        <v>2694</v>
      </c>
      <c r="K803" s="3" t="s">
        <v>2695</v>
      </c>
    </row>
    <row r="804" customFormat="false" ht="15" hidden="false" customHeight="true" outlineLevel="0" collapsed="false">
      <c r="A804" s="3" t="s">
        <v>2401</v>
      </c>
      <c r="B804" s="3" t="s">
        <v>2745</v>
      </c>
      <c r="C804" s="3" t="s">
        <v>2731</v>
      </c>
      <c r="D804" s="3" t="s">
        <v>2698</v>
      </c>
      <c r="E804" s="3" t="s">
        <v>2699</v>
      </c>
      <c r="F804" s="3" t="s">
        <v>2700</v>
      </c>
      <c r="G804" s="3" t="s">
        <v>2722</v>
      </c>
      <c r="H804" s="3" t="s">
        <v>2723</v>
      </c>
      <c r="I804" s="3" t="s">
        <v>2693</v>
      </c>
      <c r="J804" s="3" t="s">
        <v>2738</v>
      </c>
      <c r="K804" s="3" t="s">
        <v>2718</v>
      </c>
    </row>
    <row r="805" customFormat="false" ht="15" hidden="false" customHeight="true" outlineLevel="0" collapsed="false">
      <c r="A805" s="3" t="s">
        <v>2404</v>
      </c>
      <c r="B805" s="3" t="s">
        <v>2749</v>
      </c>
      <c r="C805" s="3" t="s">
        <v>2697</v>
      </c>
      <c r="D805" s="3" t="s">
        <v>2698</v>
      </c>
      <c r="E805" s="3" t="s">
        <v>2756</v>
      </c>
      <c r="F805" s="3" t="s">
        <v>2757</v>
      </c>
      <c r="G805" s="3" t="s">
        <v>2701</v>
      </c>
      <c r="H805" s="3" t="s">
        <v>2711</v>
      </c>
      <c r="I805" s="3" t="s">
        <v>2693</v>
      </c>
      <c r="J805" s="3" t="s">
        <v>2843</v>
      </c>
      <c r="K805" s="3" t="s">
        <v>2735</v>
      </c>
    </row>
    <row r="806" customFormat="false" ht="15" hidden="false" customHeight="true" outlineLevel="0" collapsed="false">
      <c r="A806" s="3" t="s">
        <v>2407</v>
      </c>
      <c r="B806" s="3" t="s">
        <v>2749</v>
      </c>
      <c r="C806" s="3" t="s">
        <v>2687</v>
      </c>
      <c r="D806" s="3" t="s">
        <v>2768</v>
      </c>
      <c r="E806" s="3" t="s">
        <v>2770</v>
      </c>
      <c r="F806" s="3" t="s">
        <v>2771</v>
      </c>
      <c r="G806" s="3" t="s">
        <v>2691</v>
      </c>
      <c r="H806" s="3" t="s">
        <v>2730</v>
      </c>
      <c r="I806" s="3" t="s">
        <v>2706</v>
      </c>
      <c r="J806" s="3" t="s">
        <v>2694</v>
      </c>
      <c r="K806" s="3" t="s">
        <v>2695</v>
      </c>
    </row>
    <row r="807" customFormat="false" ht="15" hidden="false" customHeight="true" outlineLevel="0" collapsed="false">
      <c r="A807" s="3" t="s">
        <v>2410</v>
      </c>
      <c r="B807" s="3" t="s">
        <v>2740</v>
      </c>
      <c r="C807" s="3" t="s">
        <v>2731</v>
      </c>
      <c r="D807" s="3" t="s">
        <v>2708</v>
      </c>
      <c r="E807" s="3" t="s">
        <v>2709</v>
      </c>
      <c r="F807" s="3" t="s">
        <v>2710</v>
      </c>
      <c r="G807" s="3" t="s">
        <v>2701</v>
      </c>
      <c r="H807" s="3" t="s">
        <v>2711</v>
      </c>
      <c r="I807" s="3" t="s">
        <v>2712</v>
      </c>
      <c r="J807" s="3" t="s">
        <v>2694</v>
      </c>
      <c r="K807" s="3" t="s">
        <v>2695</v>
      </c>
    </row>
    <row r="808" customFormat="false" ht="15" hidden="false" customHeight="true" outlineLevel="0" collapsed="false">
      <c r="A808" s="3" t="s">
        <v>2413</v>
      </c>
      <c r="B808" s="3" t="s">
        <v>2739</v>
      </c>
      <c r="C808" s="3" t="s">
        <v>2731</v>
      </c>
      <c r="D808" s="3" t="s">
        <v>2698</v>
      </c>
      <c r="E808" s="3" t="s">
        <v>2756</v>
      </c>
      <c r="F808" s="3" t="s">
        <v>2757</v>
      </c>
      <c r="G808" s="3" t="s">
        <v>2691</v>
      </c>
      <c r="H808" s="3" t="s">
        <v>2752</v>
      </c>
      <c r="I808" s="3" t="s">
        <v>2693</v>
      </c>
      <c r="J808" s="3" t="s">
        <v>2694</v>
      </c>
      <c r="K808" s="3" t="s">
        <v>2695</v>
      </c>
    </row>
    <row r="809" customFormat="false" ht="15" hidden="false" customHeight="true" outlineLevel="0" collapsed="false">
      <c r="A809" s="3" t="s">
        <v>2415</v>
      </c>
      <c r="B809" s="3" t="s">
        <v>2704</v>
      </c>
      <c r="C809" s="3" t="s">
        <v>2731</v>
      </c>
      <c r="D809" s="3" t="s">
        <v>2741</v>
      </c>
      <c r="E809" s="3" t="s">
        <v>2689</v>
      </c>
      <c r="F809" s="3" t="s">
        <v>2690</v>
      </c>
      <c r="G809" s="3" t="s">
        <v>2722</v>
      </c>
      <c r="H809" s="3" t="s">
        <v>2725</v>
      </c>
      <c r="I809" s="3" t="s">
        <v>2712</v>
      </c>
      <c r="J809" s="3" t="s">
        <v>2753</v>
      </c>
      <c r="K809" s="3" t="s">
        <v>2718</v>
      </c>
    </row>
    <row r="810" customFormat="false" ht="15" hidden="false" customHeight="true" outlineLevel="0" collapsed="false">
      <c r="A810" s="3" t="s">
        <v>2418</v>
      </c>
      <c r="B810" s="3" t="s">
        <v>2686</v>
      </c>
      <c r="C810" s="3" t="s">
        <v>2697</v>
      </c>
      <c r="D810" s="3" t="s">
        <v>2708</v>
      </c>
      <c r="E810" s="3" t="s">
        <v>2709</v>
      </c>
      <c r="F810" s="3" t="s">
        <v>2710</v>
      </c>
      <c r="G810" s="3" t="s">
        <v>2691</v>
      </c>
      <c r="H810" s="3" t="s">
        <v>2730</v>
      </c>
      <c r="I810" s="3" t="s">
        <v>2844</v>
      </c>
      <c r="J810" s="3" t="s">
        <v>2694</v>
      </c>
      <c r="K810" s="3" t="s">
        <v>2695</v>
      </c>
    </row>
    <row r="811" customFormat="false" ht="15" hidden="false" customHeight="true" outlineLevel="0" collapsed="false">
      <c r="A811" s="3" t="s">
        <v>2421</v>
      </c>
      <c r="B811" s="3" t="s">
        <v>2745</v>
      </c>
      <c r="C811" s="3" t="s">
        <v>2697</v>
      </c>
      <c r="D811" s="3" t="s">
        <v>2708</v>
      </c>
      <c r="E811" s="3" t="s">
        <v>2774</v>
      </c>
      <c r="F811" s="3" t="s">
        <v>2775</v>
      </c>
      <c r="G811" s="3" t="s">
        <v>2701</v>
      </c>
      <c r="H811" s="3" t="s">
        <v>2711</v>
      </c>
      <c r="I811" s="3" t="s">
        <v>2706</v>
      </c>
      <c r="J811" s="3" t="s">
        <v>2694</v>
      </c>
      <c r="K811" s="3" t="s">
        <v>2695</v>
      </c>
    </row>
    <row r="812" customFormat="false" ht="15" hidden="false" customHeight="true" outlineLevel="0" collapsed="false">
      <c r="A812" s="3" t="s">
        <v>2424</v>
      </c>
      <c r="B812" s="3" t="s">
        <v>2707</v>
      </c>
      <c r="C812" s="3" t="s">
        <v>2697</v>
      </c>
      <c r="D812" s="3" t="s">
        <v>2768</v>
      </c>
      <c r="E812" s="3" t="s">
        <v>2742</v>
      </c>
      <c r="F812" s="3" t="s">
        <v>2743</v>
      </c>
      <c r="G812" s="3" t="s">
        <v>2691</v>
      </c>
      <c r="H812" s="3" t="s">
        <v>2752</v>
      </c>
      <c r="I812" s="3" t="s">
        <v>2693</v>
      </c>
      <c r="J812" s="3" t="s">
        <v>2694</v>
      </c>
      <c r="K812" s="3" t="s">
        <v>2695</v>
      </c>
    </row>
    <row r="813" customFormat="false" ht="15" hidden="false" customHeight="true" outlineLevel="0" collapsed="false">
      <c r="A813" s="3" t="s">
        <v>2427</v>
      </c>
      <c r="B813" s="3" t="s">
        <v>2778</v>
      </c>
      <c r="C813" s="3" t="s">
        <v>2838</v>
      </c>
      <c r="D813" s="3" t="s">
        <v>2714</v>
      </c>
      <c r="E813" s="3" t="s">
        <v>2762</v>
      </c>
      <c r="F813" s="3" t="s">
        <v>2763</v>
      </c>
      <c r="G813" s="3" t="s">
        <v>2722</v>
      </c>
      <c r="H813" s="3" t="s">
        <v>2725</v>
      </c>
      <c r="I813" s="3" t="s">
        <v>2706</v>
      </c>
      <c r="J813" s="3" t="s">
        <v>2694</v>
      </c>
      <c r="K813" s="3" t="s">
        <v>2695</v>
      </c>
    </row>
    <row r="814" customFormat="false" ht="15" hidden="false" customHeight="true" outlineLevel="0" collapsed="false">
      <c r="A814" s="3" t="s">
        <v>2429</v>
      </c>
      <c r="B814" s="3" t="s">
        <v>2749</v>
      </c>
      <c r="C814" s="3" t="s">
        <v>2731</v>
      </c>
      <c r="D814" s="3" t="s">
        <v>2741</v>
      </c>
      <c r="E814" s="3" t="s">
        <v>2772</v>
      </c>
      <c r="F814" s="3" t="s">
        <v>2773</v>
      </c>
      <c r="G814" s="3" t="s">
        <v>2722</v>
      </c>
      <c r="H814" s="3" t="s">
        <v>2723</v>
      </c>
      <c r="I814" s="3" t="s">
        <v>2706</v>
      </c>
      <c r="J814" s="3" t="s">
        <v>2694</v>
      </c>
      <c r="K814" s="3" t="s">
        <v>2695</v>
      </c>
    </row>
    <row r="815" customFormat="false" ht="15" hidden="false" customHeight="true" outlineLevel="0" collapsed="false">
      <c r="A815" s="3" t="s">
        <v>2432</v>
      </c>
      <c r="B815" s="3" t="s">
        <v>2746</v>
      </c>
      <c r="C815" s="3" t="s">
        <v>2697</v>
      </c>
      <c r="D815" s="3" t="s">
        <v>2698</v>
      </c>
      <c r="E815" s="3" t="s">
        <v>2770</v>
      </c>
      <c r="F815" s="3" t="s">
        <v>2771</v>
      </c>
      <c r="G815" s="3" t="s">
        <v>2701</v>
      </c>
      <c r="H815" s="3" t="s">
        <v>2702</v>
      </c>
      <c r="I815" s="3" t="s">
        <v>2706</v>
      </c>
      <c r="J815" s="3" t="s">
        <v>2694</v>
      </c>
      <c r="K815" s="3" t="s">
        <v>2695</v>
      </c>
    </row>
    <row r="816" customFormat="false" ht="15" hidden="false" customHeight="true" outlineLevel="0" collapsed="false">
      <c r="A816" s="3" t="s">
        <v>2435</v>
      </c>
      <c r="B816" s="3" t="s">
        <v>2749</v>
      </c>
      <c r="C816" s="3" t="s">
        <v>2687</v>
      </c>
      <c r="D816" s="3" t="s">
        <v>2698</v>
      </c>
      <c r="E816" s="3" t="s">
        <v>2699</v>
      </c>
      <c r="F816" s="3" t="s">
        <v>2700</v>
      </c>
      <c r="G816" s="3" t="s">
        <v>2701</v>
      </c>
      <c r="H816" s="3" t="s">
        <v>2754</v>
      </c>
      <c r="I816" s="3" t="s">
        <v>2712</v>
      </c>
      <c r="J816" s="3" t="s">
        <v>2694</v>
      </c>
      <c r="K816" s="3" t="s">
        <v>2695</v>
      </c>
    </row>
    <row r="817" customFormat="false" ht="15" hidden="false" customHeight="true" outlineLevel="0" collapsed="false">
      <c r="A817" s="3" t="s">
        <v>2437</v>
      </c>
      <c r="B817" s="3" t="s">
        <v>2707</v>
      </c>
      <c r="C817" s="3" t="s">
        <v>2687</v>
      </c>
      <c r="D817" s="3" t="s">
        <v>2714</v>
      </c>
      <c r="E817" s="3" t="s">
        <v>2720</v>
      </c>
      <c r="F817" s="3" t="s">
        <v>2721</v>
      </c>
      <c r="G817" s="3" t="s">
        <v>2691</v>
      </c>
      <c r="H817" s="3" t="s">
        <v>2730</v>
      </c>
      <c r="I817" s="3" t="s">
        <v>2706</v>
      </c>
      <c r="J817" s="3" t="s">
        <v>2694</v>
      </c>
      <c r="K817" s="3" t="s">
        <v>2695</v>
      </c>
    </row>
    <row r="818" customFormat="false" ht="15" hidden="false" customHeight="true" outlineLevel="0" collapsed="false">
      <c r="A818" s="3" t="s">
        <v>2440</v>
      </c>
      <c r="B818" s="3" t="s">
        <v>2755</v>
      </c>
      <c r="C818" s="3" t="s">
        <v>2687</v>
      </c>
      <c r="D818" s="3" t="s">
        <v>2698</v>
      </c>
      <c r="E818" s="3" t="s">
        <v>2699</v>
      </c>
      <c r="F818" s="3" t="s">
        <v>2700</v>
      </c>
      <c r="G818" s="3" t="s">
        <v>2722</v>
      </c>
      <c r="H818" s="3" t="s">
        <v>2779</v>
      </c>
      <c r="I818" s="3" t="s">
        <v>2712</v>
      </c>
      <c r="J818" s="3" t="s">
        <v>2738</v>
      </c>
      <c r="K818" s="3" t="s">
        <v>2718</v>
      </c>
    </row>
    <row r="819" customFormat="false" ht="15" hidden="false" customHeight="true" outlineLevel="0" collapsed="false">
      <c r="A819" s="3" t="s">
        <v>2443</v>
      </c>
      <c r="B819" s="3" t="s">
        <v>2740</v>
      </c>
      <c r="C819" s="3" t="s">
        <v>2697</v>
      </c>
      <c r="D819" s="3" t="s">
        <v>2698</v>
      </c>
      <c r="E819" s="3" t="s">
        <v>2770</v>
      </c>
      <c r="F819" s="3" t="s">
        <v>2771</v>
      </c>
      <c r="G819" s="3" t="s">
        <v>2701</v>
      </c>
      <c r="H819" s="3" t="s">
        <v>2711</v>
      </c>
      <c r="I819" s="3" t="s">
        <v>2706</v>
      </c>
      <c r="J819" s="3" t="s">
        <v>2694</v>
      </c>
      <c r="K819" s="3" t="s">
        <v>2695</v>
      </c>
    </row>
    <row r="820" customFormat="false" ht="15" hidden="false" customHeight="true" outlineLevel="0" collapsed="false">
      <c r="A820" s="3" t="s">
        <v>2446</v>
      </c>
      <c r="B820" s="3" t="s">
        <v>2746</v>
      </c>
      <c r="C820" s="3" t="s">
        <v>2687</v>
      </c>
      <c r="D820" s="3" t="s">
        <v>2698</v>
      </c>
      <c r="E820" s="3" t="s">
        <v>2750</v>
      </c>
      <c r="F820" s="3" t="s">
        <v>2751</v>
      </c>
      <c r="G820" s="3" t="s">
        <v>2691</v>
      </c>
      <c r="H820" s="3" t="s">
        <v>2752</v>
      </c>
      <c r="I820" s="3" t="s">
        <v>2712</v>
      </c>
      <c r="J820" s="3" t="s">
        <v>2694</v>
      </c>
      <c r="K820" s="3" t="s">
        <v>2695</v>
      </c>
    </row>
    <row r="821" customFormat="false" ht="15" hidden="false" customHeight="true" outlineLevel="0" collapsed="false">
      <c r="A821" s="3" t="s">
        <v>2449</v>
      </c>
      <c r="B821" s="3" t="s">
        <v>2739</v>
      </c>
      <c r="C821" s="3" t="s">
        <v>2697</v>
      </c>
      <c r="D821" s="3" t="s">
        <v>2714</v>
      </c>
      <c r="E821" s="3" t="s">
        <v>2715</v>
      </c>
      <c r="F821" s="3" t="s">
        <v>2716</v>
      </c>
      <c r="G821" s="3" t="s">
        <v>2691</v>
      </c>
      <c r="H821" s="3" t="s">
        <v>2730</v>
      </c>
      <c r="I821" s="3" t="s">
        <v>2706</v>
      </c>
      <c r="J821" s="3" t="s">
        <v>2694</v>
      </c>
      <c r="K821" s="3" t="s">
        <v>2695</v>
      </c>
    </row>
    <row r="822" customFormat="false" ht="15" hidden="false" customHeight="true" outlineLevel="0" collapsed="false">
      <c r="A822" s="3" t="s">
        <v>2452</v>
      </c>
      <c r="B822" s="3" t="s">
        <v>2686</v>
      </c>
      <c r="C822" s="3" t="s">
        <v>2731</v>
      </c>
      <c r="D822" s="3" t="s">
        <v>2708</v>
      </c>
      <c r="E822" s="3" t="s">
        <v>2764</v>
      </c>
      <c r="F822" s="3" t="s">
        <v>2765</v>
      </c>
      <c r="G822" s="3" t="s">
        <v>2722</v>
      </c>
      <c r="H822" s="3" t="s">
        <v>2845</v>
      </c>
      <c r="I822" s="3" t="s">
        <v>2712</v>
      </c>
      <c r="J822" s="3" t="s">
        <v>2753</v>
      </c>
      <c r="K822" s="3" t="s">
        <v>2718</v>
      </c>
    </row>
    <row r="823" customFormat="false" ht="15" hidden="false" customHeight="true" outlineLevel="0" collapsed="false">
      <c r="A823" s="3" t="s">
        <v>2455</v>
      </c>
      <c r="B823" s="3" t="s">
        <v>2713</v>
      </c>
      <c r="C823" s="3" t="s">
        <v>2731</v>
      </c>
      <c r="D823" s="3" t="s">
        <v>2741</v>
      </c>
      <c r="E823" s="3" t="s">
        <v>2747</v>
      </c>
      <c r="F823" s="3" t="s">
        <v>2748</v>
      </c>
      <c r="G823" s="3" t="s">
        <v>2701</v>
      </c>
      <c r="H823" s="3" t="s">
        <v>2754</v>
      </c>
      <c r="I823" s="3" t="s">
        <v>2712</v>
      </c>
      <c r="J823" s="3" t="s">
        <v>2694</v>
      </c>
      <c r="K823" s="3" t="s">
        <v>2695</v>
      </c>
    </row>
    <row r="824" customFormat="false" ht="15" hidden="false" customHeight="true" outlineLevel="0" collapsed="false">
      <c r="A824" s="3" t="s">
        <v>2458</v>
      </c>
      <c r="B824" s="3" t="s">
        <v>2745</v>
      </c>
      <c r="C824" s="3" t="s">
        <v>2729</v>
      </c>
      <c r="D824" s="3" t="s">
        <v>2708</v>
      </c>
      <c r="E824" s="3" t="s">
        <v>2760</v>
      </c>
      <c r="F824" s="3" t="s">
        <v>2761</v>
      </c>
      <c r="G824" s="3" t="s">
        <v>2722</v>
      </c>
      <c r="H824" s="3" t="s">
        <v>2723</v>
      </c>
      <c r="I824" s="3" t="s">
        <v>2706</v>
      </c>
      <c r="J824" s="3" t="s">
        <v>2694</v>
      </c>
      <c r="K824" s="3" t="s">
        <v>2695</v>
      </c>
    </row>
    <row r="825" customFormat="false" ht="15" hidden="false" customHeight="true" outlineLevel="0" collapsed="false">
      <c r="A825" s="3" t="s">
        <v>2461</v>
      </c>
      <c r="B825" s="3" t="s">
        <v>2696</v>
      </c>
      <c r="C825" s="3" t="s">
        <v>2729</v>
      </c>
      <c r="D825" s="3" t="s">
        <v>2698</v>
      </c>
      <c r="E825" s="3" t="s">
        <v>2756</v>
      </c>
      <c r="F825" s="3" t="s">
        <v>2757</v>
      </c>
      <c r="G825" s="3" t="s">
        <v>2701</v>
      </c>
      <c r="H825" s="3" t="s">
        <v>2711</v>
      </c>
      <c r="I825" s="3" t="s">
        <v>2693</v>
      </c>
      <c r="J825" s="3" t="s">
        <v>2738</v>
      </c>
      <c r="K825" s="3" t="s">
        <v>2735</v>
      </c>
    </row>
    <row r="826" customFormat="false" ht="15" hidden="false" customHeight="true" outlineLevel="0" collapsed="false">
      <c r="A826" s="3" t="s">
        <v>2464</v>
      </c>
      <c r="B826" s="3" t="s">
        <v>2696</v>
      </c>
      <c r="C826" s="3" t="s">
        <v>2731</v>
      </c>
      <c r="D826" s="3" t="s">
        <v>2714</v>
      </c>
      <c r="E826" s="3" t="s">
        <v>2766</v>
      </c>
      <c r="F826" s="3" t="s">
        <v>2767</v>
      </c>
      <c r="G826" s="3" t="s">
        <v>2691</v>
      </c>
      <c r="H826" s="3" t="s">
        <v>2692</v>
      </c>
      <c r="I826" s="3" t="s">
        <v>2703</v>
      </c>
      <c r="J826" s="3" t="s">
        <v>2694</v>
      </c>
      <c r="K826" s="3" t="s">
        <v>2695</v>
      </c>
    </row>
    <row r="827" customFormat="false" ht="15" hidden="false" customHeight="true" outlineLevel="0" collapsed="false">
      <c r="A827" s="3" t="s">
        <v>2467</v>
      </c>
      <c r="B827" s="3" t="s">
        <v>2739</v>
      </c>
      <c r="C827" s="3" t="s">
        <v>2687</v>
      </c>
      <c r="D827" s="3" t="s">
        <v>2714</v>
      </c>
      <c r="E827" s="3" t="s">
        <v>2766</v>
      </c>
      <c r="F827" s="3" t="s">
        <v>2767</v>
      </c>
      <c r="G827" s="3" t="s">
        <v>2691</v>
      </c>
      <c r="H827" s="3" t="s">
        <v>2692</v>
      </c>
      <c r="I827" s="3" t="s">
        <v>2706</v>
      </c>
      <c r="J827" s="3" t="s">
        <v>2694</v>
      </c>
      <c r="K827" s="3" t="s">
        <v>2695</v>
      </c>
    </row>
    <row r="828" customFormat="false" ht="15" hidden="false" customHeight="true" outlineLevel="0" collapsed="false">
      <c r="A828" s="3" t="s">
        <v>2470</v>
      </c>
      <c r="B828" s="3" t="s">
        <v>2719</v>
      </c>
      <c r="C828" s="3" t="s">
        <v>2697</v>
      </c>
      <c r="D828" s="3" t="s">
        <v>2741</v>
      </c>
      <c r="E828" s="3" t="s">
        <v>2747</v>
      </c>
      <c r="F828" s="3" t="s">
        <v>2748</v>
      </c>
      <c r="G828" s="3" t="s">
        <v>2722</v>
      </c>
      <c r="H828" s="3" t="s">
        <v>2779</v>
      </c>
      <c r="I828" s="3" t="s">
        <v>2706</v>
      </c>
      <c r="J828" s="3" t="s">
        <v>2694</v>
      </c>
      <c r="K828" s="3" t="s">
        <v>2695</v>
      </c>
    </row>
    <row r="829" customFormat="false" ht="15" hidden="false" customHeight="true" outlineLevel="0" collapsed="false">
      <c r="A829" s="3" t="s">
        <v>2473</v>
      </c>
      <c r="B829" s="3" t="s">
        <v>2728</v>
      </c>
      <c r="C829" s="3" t="s">
        <v>2687</v>
      </c>
      <c r="D829" s="3" t="s">
        <v>2714</v>
      </c>
      <c r="E829" s="3" t="s">
        <v>2689</v>
      </c>
      <c r="F829" s="3" t="s">
        <v>2737</v>
      </c>
      <c r="G829" s="3" t="s">
        <v>2722</v>
      </c>
      <c r="H829" s="3" t="s">
        <v>2723</v>
      </c>
      <c r="I829" s="3" t="s">
        <v>2712</v>
      </c>
      <c r="J829" s="3" t="s">
        <v>2694</v>
      </c>
      <c r="K829" s="3" t="s">
        <v>2695</v>
      </c>
    </row>
    <row r="830" customFormat="false" ht="15" hidden="false" customHeight="true" outlineLevel="0" collapsed="false">
      <c r="A830" s="3" t="s">
        <v>2476</v>
      </c>
      <c r="B830" s="3" t="s">
        <v>2739</v>
      </c>
      <c r="C830" s="3" t="s">
        <v>2731</v>
      </c>
      <c r="D830" s="3" t="s">
        <v>2708</v>
      </c>
      <c r="E830" s="3" t="s">
        <v>2774</v>
      </c>
      <c r="F830" s="3" t="s">
        <v>2775</v>
      </c>
      <c r="G830" s="3" t="s">
        <v>2691</v>
      </c>
      <c r="H830" s="3" t="s">
        <v>2692</v>
      </c>
      <c r="I830" s="3" t="s">
        <v>2703</v>
      </c>
      <c r="J830" s="3" t="s">
        <v>2694</v>
      </c>
      <c r="K830" s="3" t="s">
        <v>2718</v>
      </c>
    </row>
    <row r="831" customFormat="false" ht="15" hidden="false" customHeight="true" outlineLevel="0" collapsed="false">
      <c r="A831" s="3" t="s">
        <v>2479</v>
      </c>
      <c r="B831" s="3" t="s">
        <v>2846</v>
      </c>
      <c r="C831" s="3" t="s">
        <v>2729</v>
      </c>
      <c r="D831" s="3" t="s">
        <v>2698</v>
      </c>
      <c r="E831" s="3" t="s">
        <v>2699</v>
      </c>
      <c r="F831" s="3" t="s">
        <v>2700</v>
      </c>
      <c r="G831" s="3" t="s">
        <v>2701</v>
      </c>
      <c r="H831" s="3" t="s">
        <v>2717</v>
      </c>
      <c r="I831" s="3" t="s">
        <v>2693</v>
      </c>
      <c r="J831" s="3" t="s">
        <v>2753</v>
      </c>
      <c r="K831" s="3" t="s">
        <v>2718</v>
      </c>
    </row>
    <row r="832" customFormat="false" ht="15" hidden="false" customHeight="true" outlineLevel="0" collapsed="false">
      <c r="A832" s="3" t="s">
        <v>2482</v>
      </c>
      <c r="B832" s="3" t="s">
        <v>2728</v>
      </c>
      <c r="C832" s="3" t="s">
        <v>2697</v>
      </c>
      <c r="D832" s="3" t="s">
        <v>2714</v>
      </c>
      <c r="E832" s="3" t="s">
        <v>2766</v>
      </c>
      <c r="F832" s="3" t="s">
        <v>2767</v>
      </c>
      <c r="G832" s="3" t="s">
        <v>2701</v>
      </c>
      <c r="H832" s="3" t="s">
        <v>2711</v>
      </c>
      <c r="I832" s="3" t="s">
        <v>2693</v>
      </c>
      <c r="J832" s="3" t="s">
        <v>2694</v>
      </c>
      <c r="K832" s="3" t="s">
        <v>2695</v>
      </c>
    </row>
    <row r="833" customFormat="false" ht="15" hidden="false" customHeight="true" outlineLevel="0" collapsed="false">
      <c r="A833" s="3" t="s">
        <v>2485</v>
      </c>
      <c r="B833" s="3" t="s">
        <v>2728</v>
      </c>
      <c r="C833" s="3" t="s">
        <v>2697</v>
      </c>
      <c r="D833" s="3" t="s">
        <v>2768</v>
      </c>
      <c r="E833" s="3" t="s">
        <v>2774</v>
      </c>
      <c r="F833" s="3" t="s">
        <v>2775</v>
      </c>
      <c r="G833" s="3" t="s">
        <v>2722</v>
      </c>
      <c r="H833" s="3" t="s">
        <v>2779</v>
      </c>
      <c r="I833" s="3" t="s">
        <v>2706</v>
      </c>
      <c r="J833" s="3" t="s">
        <v>2694</v>
      </c>
      <c r="K833" s="3" t="s">
        <v>2695</v>
      </c>
    </row>
    <row r="834" customFormat="false" ht="15" hidden="false" customHeight="true" outlineLevel="0" collapsed="false">
      <c r="A834" s="3" t="s">
        <v>2488</v>
      </c>
      <c r="B834" s="3" t="s">
        <v>2755</v>
      </c>
      <c r="C834" s="3" t="s">
        <v>2731</v>
      </c>
      <c r="D834" s="3" t="s">
        <v>2768</v>
      </c>
      <c r="E834" s="3" t="s">
        <v>2772</v>
      </c>
      <c r="F834" s="3" t="s">
        <v>2773</v>
      </c>
      <c r="G834" s="3" t="s">
        <v>2701</v>
      </c>
      <c r="H834" s="3" t="s">
        <v>2717</v>
      </c>
      <c r="I834" s="3" t="s">
        <v>2706</v>
      </c>
      <c r="J834" s="3" t="s">
        <v>2753</v>
      </c>
      <c r="K834" s="3" t="s">
        <v>2735</v>
      </c>
    </row>
    <row r="835" customFormat="false" ht="15" hidden="false" customHeight="true" outlineLevel="0" collapsed="false">
      <c r="A835" s="3" t="s">
        <v>2491</v>
      </c>
      <c r="B835" s="3" t="s">
        <v>2778</v>
      </c>
      <c r="C835" s="3" t="s">
        <v>2697</v>
      </c>
      <c r="D835" s="3" t="s">
        <v>2708</v>
      </c>
      <c r="E835" s="3" t="s">
        <v>2726</v>
      </c>
      <c r="F835" s="3" t="s">
        <v>2727</v>
      </c>
      <c r="G835" s="3" t="s">
        <v>2722</v>
      </c>
      <c r="H835" s="3" t="s">
        <v>2758</v>
      </c>
      <c r="I835" s="3" t="s">
        <v>2693</v>
      </c>
      <c r="J835" s="3" t="s">
        <v>2694</v>
      </c>
      <c r="K835" s="3" t="s">
        <v>2695</v>
      </c>
    </row>
    <row r="836" customFormat="false" ht="15" hidden="false" customHeight="true" outlineLevel="0" collapsed="false">
      <c r="A836" s="3" t="s">
        <v>2494</v>
      </c>
      <c r="B836" s="3" t="s">
        <v>2740</v>
      </c>
      <c r="C836" s="3" t="s">
        <v>2731</v>
      </c>
      <c r="D836" s="3" t="s">
        <v>2698</v>
      </c>
      <c r="E836" s="3" t="s">
        <v>2732</v>
      </c>
      <c r="F836" s="3" t="s">
        <v>2733</v>
      </c>
      <c r="G836" s="3" t="s">
        <v>2701</v>
      </c>
      <c r="H836" s="3" t="s">
        <v>2754</v>
      </c>
      <c r="I836" s="3" t="s">
        <v>2706</v>
      </c>
      <c r="J836" s="3" t="s">
        <v>2694</v>
      </c>
      <c r="K836" s="3" t="s">
        <v>2695</v>
      </c>
    </row>
    <row r="837" customFormat="false" ht="15" hidden="false" customHeight="true" outlineLevel="0" collapsed="false">
      <c r="A837" s="3" t="s">
        <v>2497</v>
      </c>
      <c r="B837" s="3" t="s">
        <v>2745</v>
      </c>
      <c r="C837" s="3" t="s">
        <v>2731</v>
      </c>
      <c r="D837" s="3" t="s">
        <v>2708</v>
      </c>
      <c r="E837" s="3" t="s">
        <v>2709</v>
      </c>
      <c r="F837" s="3" t="s">
        <v>2710</v>
      </c>
      <c r="G837" s="3" t="s">
        <v>2691</v>
      </c>
      <c r="H837" s="3" t="s">
        <v>2705</v>
      </c>
      <c r="I837" s="3" t="s">
        <v>2706</v>
      </c>
      <c r="J837" s="3" t="s">
        <v>2694</v>
      </c>
      <c r="K837" s="3" t="s">
        <v>2695</v>
      </c>
    </row>
    <row r="838" customFormat="false" ht="15" hidden="false" customHeight="true" outlineLevel="0" collapsed="false">
      <c r="A838" s="3" t="s">
        <v>2500</v>
      </c>
      <c r="B838" s="3" t="s">
        <v>2739</v>
      </c>
      <c r="C838" s="3" t="s">
        <v>2697</v>
      </c>
      <c r="D838" s="3" t="s">
        <v>2698</v>
      </c>
      <c r="E838" s="3" t="s">
        <v>2756</v>
      </c>
      <c r="F838" s="3" t="s">
        <v>2757</v>
      </c>
      <c r="G838" s="3" t="s">
        <v>2722</v>
      </c>
      <c r="H838" s="3" t="s">
        <v>2758</v>
      </c>
      <c r="I838" s="3" t="s">
        <v>2693</v>
      </c>
      <c r="J838" s="3" t="s">
        <v>2694</v>
      </c>
      <c r="K838" s="3" t="s">
        <v>2695</v>
      </c>
    </row>
    <row r="839" customFormat="false" ht="15" hidden="false" customHeight="true" outlineLevel="0" collapsed="false">
      <c r="A839" s="3" t="s">
        <v>2503</v>
      </c>
      <c r="B839" s="3" t="s">
        <v>2704</v>
      </c>
      <c r="C839" s="3" t="s">
        <v>2697</v>
      </c>
      <c r="D839" s="3" t="s">
        <v>2741</v>
      </c>
      <c r="E839" s="3" t="s">
        <v>2689</v>
      </c>
      <c r="F839" s="3" t="s">
        <v>2690</v>
      </c>
      <c r="G839" s="3" t="s">
        <v>2691</v>
      </c>
      <c r="H839" s="3" t="s">
        <v>2730</v>
      </c>
      <c r="I839" s="3" t="s">
        <v>2693</v>
      </c>
      <c r="J839" s="3" t="s">
        <v>2694</v>
      </c>
      <c r="K839" s="3" t="s">
        <v>2695</v>
      </c>
    </row>
    <row r="840" customFormat="false" ht="15" hidden="false" customHeight="true" outlineLevel="0" collapsed="false">
      <c r="A840" s="3" t="s">
        <v>2506</v>
      </c>
      <c r="B840" s="3" t="s">
        <v>2686</v>
      </c>
      <c r="C840" s="3" t="s">
        <v>2731</v>
      </c>
      <c r="D840" s="3" t="s">
        <v>2714</v>
      </c>
      <c r="E840" s="3" t="s">
        <v>2715</v>
      </c>
      <c r="F840" s="3" t="s">
        <v>2716</v>
      </c>
      <c r="G840" s="3" t="s">
        <v>2691</v>
      </c>
      <c r="H840" s="3" t="s">
        <v>2692</v>
      </c>
      <c r="I840" s="3" t="s">
        <v>2706</v>
      </c>
      <c r="J840" s="3" t="s">
        <v>2694</v>
      </c>
      <c r="K840" s="3" t="s">
        <v>2695</v>
      </c>
    </row>
    <row r="841" customFormat="false" ht="15" hidden="false" customHeight="true" outlineLevel="0" collapsed="false">
      <c r="A841" s="3" t="s">
        <v>2509</v>
      </c>
      <c r="B841" s="3" t="s">
        <v>2713</v>
      </c>
      <c r="C841" s="3" t="s">
        <v>2697</v>
      </c>
      <c r="D841" s="3" t="s">
        <v>2714</v>
      </c>
      <c r="E841" s="3" t="s">
        <v>2766</v>
      </c>
      <c r="F841" s="3" t="s">
        <v>2767</v>
      </c>
      <c r="G841" s="3" t="s">
        <v>2691</v>
      </c>
      <c r="H841" s="3" t="s">
        <v>2692</v>
      </c>
      <c r="I841" s="3" t="s">
        <v>2703</v>
      </c>
      <c r="J841" s="3" t="s">
        <v>2694</v>
      </c>
      <c r="K841" s="3" t="s">
        <v>2735</v>
      </c>
    </row>
    <row r="842" customFormat="false" ht="15" hidden="false" customHeight="true" outlineLevel="0" collapsed="false">
      <c r="A842" s="3" t="s">
        <v>2512</v>
      </c>
      <c r="B842" s="3" t="s">
        <v>2749</v>
      </c>
      <c r="C842" s="3" t="s">
        <v>2731</v>
      </c>
      <c r="D842" s="3" t="s">
        <v>2698</v>
      </c>
      <c r="E842" s="3" t="s">
        <v>2699</v>
      </c>
      <c r="F842" s="3" t="s">
        <v>2700</v>
      </c>
      <c r="G842" s="3" t="s">
        <v>2722</v>
      </c>
      <c r="H842" s="3" t="s">
        <v>2758</v>
      </c>
      <c r="I842" s="3" t="s">
        <v>2712</v>
      </c>
      <c r="J842" s="3" t="s">
        <v>2694</v>
      </c>
      <c r="K842" s="3" t="s">
        <v>2695</v>
      </c>
    </row>
    <row r="843" customFormat="false" ht="15" hidden="false" customHeight="true" outlineLevel="0" collapsed="false">
      <c r="A843" s="3" t="s">
        <v>2515</v>
      </c>
      <c r="B843" s="3" t="s">
        <v>2724</v>
      </c>
      <c r="C843" s="3" t="s">
        <v>2731</v>
      </c>
      <c r="D843" s="3" t="s">
        <v>2741</v>
      </c>
      <c r="E843" s="3" t="s">
        <v>2782</v>
      </c>
      <c r="F843" s="3" t="s">
        <v>2783</v>
      </c>
      <c r="G843" s="3" t="s">
        <v>2701</v>
      </c>
      <c r="H843" s="3" t="s">
        <v>2717</v>
      </c>
      <c r="I843" s="3" t="s">
        <v>2703</v>
      </c>
      <c r="J843" s="3" t="s">
        <v>2694</v>
      </c>
      <c r="K843" s="3" t="s">
        <v>2695</v>
      </c>
    </row>
    <row r="844" customFormat="false" ht="15" hidden="false" customHeight="true" outlineLevel="0" collapsed="false">
      <c r="A844" s="3" t="s">
        <v>2518</v>
      </c>
      <c r="B844" s="3" t="s">
        <v>2713</v>
      </c>
      <c r="C844" s="3" t="s">
        <v>2697</v>
      </c>
      <c r="D844" s="3" t="s">
        <v>2698</v>
      </c>
      <c r="E844" s="3" t="s">
        <v>2750</v>
      </c>
      <c r="F844" s="3" t="s">
        <v>2751</v>
      </c>
      <c r="G844" s="3" t="s">
        <v>2691</v>
      </c>
      <c r="H844" s="3" t="s">
        <v>2705</v>
      </c>
      <c r="I844" s="3" t="s">
        <v>2712</v>
      </c>
      <c r="J844" s="3" t="s">
        <v>2694</v>
      </c>
      <c r="K844" s="3" t="s">
        <v>2695</v>
      </c>
    </row>
    <row r="845" customFormat="false" ht="15" hidden="false" customHeight="true" outlineLevel="0" collapsed="false">
      <c r="A845" s="3" t="s">
        <v>2521</v>
      </c>
      <c r="B845" s="3" t="s">
        <v>2847</v>
      </c>
      <c r="C845" s="3" t="s">
        <v>2687</v>
      </c>
      <c r="D845" s="3" t="s">
        <v>2741</v>
      </c>
      <c r="E845" s="3" t="s">
        <v>2772</v>
      </c>
      <c r="F845" s="3" t="s">
        <v>2773</v>
      </c>
      <c r="G845" s="3" t="s">
        <v>2722</v>
      </c>
      <c r="H845" s="3" t="s">
        <v>2779</v>
      </c>
      <c r="I845" s="3" t="s">
        <v>2706</v>
      </c>
      <c r="J845" s="3" t="s">
        <v>2694</v>
      </c>
      <c r="K845" s="3" t="s">
        <v>2735</v>
      </c>
    </row>
    <row r="846" customFormat="false" ht="15" hidden="false" customHeight="true" outlineLevel="0" collapsed="false">
      <c r="A846" s="3" t="s">
        <v>2524</v>
      </c>
      <c r="B846" s="3" t="s">
        <v>2739</v>
      </c>
      <c r="C846" s="3" t="s">
        <v>2697</v>
      </c>
      <c r="D846" s="3" t="s">
        <v>2741</v>
      </c>
      <c r="E846" s="3" t="s">
        <v>2747</v>
      </c>
      <c r="F846" s="3" t="s">
        <v>2748</v>
      </c>
      <c r="G846" s="3" t="s">
        <v>2722</v>
      </c>
      <c r="H846" s="3" t="s">
        <v>2758</v>
      </c>
      <c r="I846" s="3" t="s">
        <v>2706</v>
      </c>
      <c r="J846" s="3" t="s">
        <v>2694</v>
      </c>
      <c r="K846" s="3" t="s">
        <v>2695</v>
      </c>
    </row>
    <row r="847" customFormat="false" ht="15" hidden="false" customHeight="true" outlineLevel="0" collapsed="false">
      <c r="A847" s="3" t="s">
        <v>2527</v>
      </c>
      <c r="B847" s="3" t="s">
        <v>2728</v>
      </c>
      <c r="C847" s="3" t="s">
        <v>2731</v>
      </c>
      <c r="D847" s="3" t="s">
        <v>2714</v>
      </c>
      <c r="E847" s="3" t="s">
        <v>2766</v>
      </c>
      <c r="F847" s="3" t="s">
        <v>2767</v>
      </c>
      <c r="G847" s="3" t="s">
        <v>2691</v>
      </c>
      <c r="H847" s="3" t="s">
        <v>2705</v>
      </c>
      <c r="I847" s="3" t="s">
        <v>2706</v>
      </c>
      <c r="J847" s="3" t="s">
        <v>2694</v>
      </c>
      <c r="K847" s="3" t="s">
        <v>2695</v>
      </c>
    </row>
    <row r="848" customFormat="false" ht="15" hidden="false" customHeight="true" outlineLevel="0" collapsed="false">
      <c r="A848" s="3" t="s">
        <v>2530</v>
      </c>
      <c r="B848" s="3" t="s">
        <v>2686</v>
      </c>
      <c r="C848" s="3" t="s">
        <v>2687</v>
      </c>
      <c r="D848" s="3" t="s">
        <v>2698</v>
      </c>
      <c r="E848" s="3" t="s">
        <v>2699</v>
      </c>
      <c r="F848" s="3" t="s">
        <v>2700</v>
      </c>
      <c r="G848" s="3" t="s">
        <v>2701</v>
      </c>
      <c r="H848" s="3" t="s">
        <v>2702</v>
      </c>
      <c r="I848" s="3" t="s">
        <v>2706</v>
      </c>
      <c r="J848" s="3" t="s">
        <v>2738</v>
      </c>
      <c r="K848" s="3" t="s">
        <v>2735</v>
      </c>
    </row>
    <row r="849" customFormat="false" ht="15" hidden="false" customHeight="true" outlineLevel="0" collapsed="false">
      <c r="A849" s="3" t="s">
        <v>2532</v>
      </c>
      <c r="B849" s="3" t="s">
        <v>2739</v>
      </c>
      <c r="C849" s="3" t="s">
        <v>2697</v>
      </c>
      <c r="D849" s="3" t="s">
        <v>2714</v>
      </c>
      <c r="E849" s="3" t="s">
        <v>2762</v>
      </c>
      <c r="F849" s="3" t="s">
        <v>2763</v>
      </c>
      <c r="G849" s="3" t="s">
        <v>2701</v>
      </c>
      <c r="H849" s="3" t="s">
        <v>2754</v>
      </c>
      <c r="I849" s="3" t="s">
        <v>2712</v>
      </c>
      <c r="J849" s="3" t="s">
        <v>2738</v>
      </c>
      <c r="K849" s="3" t="s">
        <v>2735</v>
      </c>
    </row>
    <row r="850" customFormat="false" ht="15" hidden="false" customHeight="true" outlineLevel="0" collapsed="false">
      <c r="A850" s="3" t="s">
        <v>2535</v>
      </c>
      <c r="B850" s="3" t="s">
        <v>2755</v>
      </c>
      <c r="C850" s="3" t="s">
        <v>2731</v>
      </c>
      <c r="D850" s="3" t="s">
        <v>2698</v>
      </c>
      <c r="E850" s="3" t="s">
        <v>2699</v>
      </c>
      <c r="F850" s="3" t="s">
        <v>2700</v>
      </c>
      <c r="G850" s="3" t="s">
        <v>2701</v>
      </c>
      <c r="H850" s="3" t="s">
        <v>2702</v>
      </c>
      <c r="I850" s="3" t="s">
        <v>2693</v>
      </c>
      <c r="J850" s="3" t="s">
        <v>2694</v>
      </c>
      <c r="K850" s="3" t="s">
        <v>2695</v>
      </c>
    </row>
    <row r="851" customFormat="false" ht="15" hidden="false" customHeight="true" outlineLevel="0" collapsed="false">
      <c r="A851" s="3" t="s">
        <v>2538</v>
      </c>
      <c r="B851" s="3" t="s">
        <v>2740</v>
      </c>
      <c r="C851" s="3" t="s">
        <v>2731</v>
      </c>
      <c r="D851" s="3" t="s">
        <v>2708</v>
      </c>
      <c r="E851" s="3" t="s">
        <v>2774</v>
      </c>
      <c r="F851" s="3" t="s">
        <v>2775</v>
      </c>
      <c r="G851" s="3" t="s">
        <v>2701</v>
      </c>
      <c r="H851" s="3" t="s">
        <v>2711</v>
      </c>
      <c r="I851" s="3" t="s">
        <v>2693</v>
      </c>
      <c r="J851" s="3" t="s">
        <v>2694</v>
      </c>
      <c r="K851" s="3" t="s">
        <v>2695</v>
      </c>
    </row>
    <row r="852" customFormat="false" ht="15" hidden="false" customHeight="true" outlineLevel="0" collapsed="false">
      <c r="A852" s="3" t="s">
        <v>2541</v>
      </c>
      <c r="B852" s="3" t="s">
        <v>2704</v>
      </c>
      <c r="C852" s="3" t="s">
        <v>2731</v>
      </c>
      <c r="D852" s="3" t="s">
        <v>2714</v>
      </c>
      <c r="E852" s="3" t="s">
        <v>2762</v>
      </c>
      <c r="F852" s="3" t="s">
        <v>2763</v>
      </c>
      <c r="G852" s="3" t="s">
        <v>2701</v>
      </c>
      <c r="H852" s="3" t="s">
        <v>2754</v>
      </c>
      <c r="I852" s="3" t="s">
        <v>2712</v>
      </c>
      <c r="J852" s="3" t="s">
        <v>2694</v>
      </c>
      <c r="K852" s="3" t="s">
        <v>2791</v>
      </c>
    </row>
    <row r="853" customFormat="false" ht="15" hidden="false" customHeight="true" outlineLevel="0" collapsed="false">
      <c r="A853" s="3" t="s">
        <v>2544</v>
      </c>
      <c r="B853" s="3" t="s">
        <v>2739</v>
      </c>
      <c r="C853" s="3" t="s">
        <v>2731</v>
      </c>
      <c r="D853" s="3" t="s">
        <v>2698</v>
      </c>
      <c r="E853" s="3" t="s">
        <v>2732</v>
      </c>
      <c r="F853" s="3" t="s">
        <v>2733</v>
      </c>
      <c r="G853" s="3" t="s">
        <v>2691</v>
      </c>
      <c r="H853" s="3" t="s">
        <v>2692</v>
      </c>
      <c r="I853" s="3" t="s">
        <v>2706</v>
      </c>
      <c r="J853" s="3" t="s">
        <v>2694</v>
      </c>
      <c r="K853" s="3" t="s">
        <v>2695</v>
      </c>
    </row>
    <row r="854" customFormat="false" ht="15" hidden="false" customHeight="true" outlineLevel="0" collapsed="false">
      <c r="A854" s="3" t="s">
        <v>2547</v>
      </c>
      <c r="B854" s="3" t="s">
        <v>2686</v>
      </c>
      <c r="C854" s="3" t="s">
        <v>2697</v>
      </c>
      <c r="D854" s="3" t="s">
        <v>2714</v>
      </c>
      <c r="E854" s="3" t="s">
        <v>2762</v>
      </c>
      <c r="F854" s="3" t="s">
        <v>2763</v>
      </c>
      <c r="G854" s="3" t="s">
        <v>2722</v>
      </c>
      <c r="H854" s="3" t="s">
        <v>2723</v>
      </c>
      <c r="I854" s="3" t="s">
        <v>2706</v>
      </c>
      <c r="J854" s="3" t="s">
        <v>2694</v>
      </c>
      <c r="K854" s="3" t="s">
        <v>2695</v>
      </c>
    </row>
    <row r="855" customFormat="false" ht="15" hidden="false" customHeight="true" outlineLevel="0" collapsed="false">
      <c r="A855" s="3" t="s">
        <v>2550</v>
      </c>
      <c r="B855" s="3" t="s">
        <v>2713</v>
      </c>
      <c r="C855" s="3" t="s">
        <v>2687</v>
      </c>
      <c r="D855" s="3" t="s">
        <v>2698</v>
      </c>
      <c r="E855" s="3" t="s">
        <v>2756</v>
      </c>
      <c r="F855" s="3" t="s">
        <v>2757</v>
      </c>
      <c r="G855" s="3" t="s">
        <v>2701</v>
      </c>
      <c r="H855" s="3" t="s">
        <v>2702</v>
      </c>
      <c r="I855" s="3" t="s">
        <v>2693</v>
      </c>
      <c r="J855" s="3" t="s">
        <v>2738</v>
      </c>
      <c r="K855" s="3" t="s">
        <v>2718</v>
      </c>
    </row>
    <row r="856" customFormat="false" ht="15" hidden="false" customHeight="true" outlineLevel="0" collapsed="false">
      <c r="A856" s="3" t="s">
        <v>2553</v>
      </c>
      <c r="B856" s="3" t="s">
        <v>2707</v>
      </c>
      <c r="C856" s="3" t="s">
        <v>2729</v>
      </c>
      <c r="D856" s="3" t="s">
        <v>2708</v>
      </c>
      <c r="E856" s="3" t="s">
        <v>2774</v>
      </c>
      <c r="F856" s="3" t="s">
        <v>2775</v>
      </c>
      <c r="G856" s="3" t="s">
        <v>2722</v>
      </c>
      <c r="H856" s="3" t="s">
        <v>2723</v>
      </c>
      <c r="I856" s="3" t="s">
        <v>2703</v>
      </c>
      <c r="J856" s="3" t="s">
        <v>2694</v>
      </c>
      <c r="K856" s="3" t="s">
        <v>2695</v>
      </c>
    </row>
    <row r="857" customFormat="false" ht="15" hidden="false" customHeight="true" outlineLevel="0" collapsed="false">
      <c r="A857" s="3" t="s">
        <v>2556</v>
      </c>
      <c r="B857" s="3" t="s">
        <v>2739</v>
      </c>
      <c r="C857" s="3" t="s">
        <v>2687</v>
      </c>
      <c r="D857" s="3" t="s">
        <v>2708</v>
      </c>
      <c r="E857" s="3" t="s">
        <v>2760</v>
      </c>
      <c r="F857" s="3" t="s">
        <v>2761</v>
      </c>
      <c r="G857" s="3" t="s">
        <v>2701</v>
      </c>
      <c r="H857" s="3" t="s">
        <v>2754</v>
      </c>
      <c r="I857" s="3" t="s">
        <v>2693</v>
      </c>
      <c r="J857" s="3" t="s">
        <v>2694</v>
      </c>
      <c r="K857" s="3" t="s">
        <v>2695</v>
      </c>
    </row>
    <row r="858" customFormat="false" ht="15" hidden="false" customHeight="true" outlineLevel="0" collapsed="false">
      <c r="A858" s="3" t="s">
        <v>2559</v>
      </c>
      <c r="B858" s="3" t="s">
        <v>2740</v>
      </c>
      <c r="C858" s="3" t="s">
        <v>2687</v>
      </c>
      <c r="D858" s="3" t="s">
        <v>2741</v>
      </c>
      <c r="E858" s="3" t="s">
        <v>2689</v>
      </c>
      <c r="F858" s="3" t="s">
        <v>2690</v>
      </c>
      <c r="G858" s="3" t="s">
        <v>2691</v>
      </c>
      <c r="H858" s="3" t="s">
        <v>2848</v>
      </c>
      <c r="I858" s="3" t="s">
        <v>2693</v>
      </c>
      <c r="J858" s="3" t="s">
        <v>2694</v>
      </c>
      <c r="K858" s="3" t="s">
        <v>2695</v>
      </c>
    </row>
    <row r="859" customFormat="false" ht="15" hidden="false" customHeight="true" outlineLevel="0" collapsed="false">
      <c r="A859" s="3" t="s">
        <v>2561</v>
      </c>
      <c r="B859" s="3" t="s">
        <v>2749</v>
      </c>
      <c r="C859" s="3" t="s">
        <v>2731</v>
      </c>
      <c r="D859" s="3" t="s">
        <v>2708</v>
      </c>
      <c r="E859" s="3" t="s">
        <v>2774</v>
      </c>
      <c r="F859" s="3" t="s">
        <v>2775</v>
      </c>
      <c r="G859" s="3" t="s">
        <v>2691</v>
      </c>
      <c r="H859" s="3" t="s">
        <v>2744</v>
      </c>
      <c r="I859" s="3" t="s">
        <v>2712</v>
      </c>
      <c r="J859" s="3" t="s">
        <v>2753</v>
      </c>
      <c r="K859" s="3" t="s">
        <v>2718</v>
      </c>
    </row>
    <row r="860" customFormat="false" ht="15" hidden="false" customHeight="true" outlineLevel="0" collapsed="false">
      <c r="A860" s="3" t="s">
        <v>2563</v>
      </c>
      <c r="B860" s="3" t="s">
        <v>2746</v>
      </c>
      <c r="C860" s="3" t="s">
        <v>2731</v>
      </c>
      <c r="D860" s="3" t="s">
        <v>2708</v>
      </c>
      <c r="E860" s="3" t="s">
        <v>2764</v>
      </c>
      <c r="F860" s="3" t="s">
        <v>2765</v>
      </c>
      <c r="G860" s="3" t="s">
        <v>2691</v>
      </c>
      <c r="H860" s="3" t="s">
        <v>2744</v>
      </c>
      <c r="I860" s="3" t="s">
        <v>2706</v>
      </c>
      <c r="J860" s="3" t="s">
        <v>2694</v>
      </c>
      <c r="K860" s="3" t="s">
        <v>2695</v>
      </c>
    </row>
    <row r="861" customFormat="false" ht="15" hidden="false" customHeight="true" outlineLevel="0" collapsed="false">
      <c r="A861" s="3" t="s">
        <v>2565</v>
      </c>
      <c r="B861" s="3" t="s">
        <v>2707</v>
      </c>
      <c r="C861" s="3" t="s">
        <v>2687</v>
      </c>
      <c r="D861" s="3" t="s">
        <v>2698</v>
      </c>
      <c r="E861" s="3" t="s">
        <v>2699</v>
      </c>
      <c r="F861" s="3" t="s">
        <v>2700</v>
      </c>
      <c r="G861" s="3" t="s">
        <v>2722</v>
      </c>
      <c r="H861" s="3" t="s">
        <v>2723</v>
      </c>
      <c r="I861" s="3" t="s">
        <v>2693</v>
      </c>
      <c r="J861" s="3" t="s">
        <v>2694</v>
      </c>
      <c r="K861" s="3" t="s">
        <v>2695</v>
      </c>
    </row>
    <row r="862" customFormat="false" ht="15" hidden="false" customHeight="true" outlineLevel="0" collapsed="false">
      <c r="A862" s="3" t="s">
        <v>2568</v>
      </c>
      <c r="B862" s="3" t="s">
        <v>2728</v>
      </c>
      <c r="C862" s="3" t="s">
        <v>2729</v>
      </c>
      <c r="D862" s="3" t="s">
        <v>2708</v>
      </c>
      <c r="E862" s="3" t="s">
        <v>2774</v>
      </c>
      <c r="F862" s="3" t="s">
        <v>2775</v>
      </c>
      <c r="G862" s="3" t="s">
        <v>2722</v>
      </c>
      <c r="H862" s="3" t="s">
        <v>2758</v>
      </c>
      <c r="I862" s="3" t="s">
        <v>2712</v>
      </c>
      <c r="J862" s="3" t="s">
        <v>2694</v>
      </c>
      <c r="K862" s="3" t="s">
        <v>2695</v>
      </c>
    </row>
    <row r="863" customFormat="false" ht="15" hidden="false" customHeight="true" outlineLevel="0" collapsed="false">
      <c r="A863" s="3" t="s">
        <v>2571</v>
      </c>
      <c r="B863" s="3" t="s">
        <v>2719</v>
      </c>
      <c r="C863" s="3" t="s">
        <v>2731</v>
      </c>
      <c r="D863" s="3" t="s">
        <v>2741</v>
      </c>
      <c r="E863" s="3" t="s">
        <v>2747</v>
      </c>
      <c r="F863" s="3" t="s">
        <v>2748</v>
      </c>
      <c r="G863" s="3" t="s">
        <v>2691</v>
      </c>
      <c r="H863" s="3" t="s">
        <v>2744</v>
      </c>
      <c r="I863" s="3" t="s">
        <v>2693</v>
      </c>
      <c r="J863" s="3" t="s">
        <v>2694</v>
      </c>
      <c r="K863" s="3" t="s">
        <v>2695</v>
      </c>
    </row>
    <row r="864" customFormat="false" ht="15" hidden="false" customHeight="true" outlineLevel="0" collapsed="false">
      <c r="A864" s="3" t="s">
        <v>2574</v>
      </c>
      <c r="B864" s="3" t="s">
        <v>2739</v>
      </c>
      <c r="C864" s="3" t="s">
        <v>2731</v>
      </c>
      <c r="D864" s="3" t="s">
        <v>2741</v>
      </c>
      <c r="E864" s="3" t="s">
        <v>2782</v>
      </c>
      <c r="F864" s="3" t="s">
        <v>2783</v>
      </c>
      <c r="G864" s="3" t="s">
        <v>2701</v>
      </c>
      <c r="H864" s="3" t="s">
        <v>2711</v>
      </c>
      <c r="I864" s="3" t="s">
        <v>2703</v>
      </c>
      <c r="J864" s="3" t="s">
        <v>2694</v>
      </c>
      <c r="K864" s="3" t="s">
        <v>2695</v>
      </c>
    </row>
    <row r="865" customFormat="false" ht="15" hidden="false" customHeight="true" outlineLevel="0" collapsed="false">
      <c r="A865" s="3" t="s">
        <v>2577</v>
      </c>
      <c r="B865" s="3" t="s">
        <v>2739</v>
      </c>
      <c r="C865" s="3" t="s">
        <v>2697</v>
      </c>
      <c r="D865" s="3" t="s">
        <v>2698</v>
      </c>
      <c r="E865" s="3" t="s">
        <v>2770</v>
      </c>
      <c r="F865" s="3" t="s">
        <v>2771</v>
      </c>
      <c r="G865" s="3" t="s">
        <v>2691</v>
      </c>
      <c r="H865" s="3" t="s">
        <v>2752</v>
      </c>
      <c r="I865" s="3" t="s">
        <v>2706</v>
      </c>
      <c r="J865" s="3" t="s">
        <v>2694</v>
      </c>
      <c r="K865" s="3" t="s">
        <v>2718</v>
      </c>
    </row>
    <row r="866" customFormat="false" ht="15" hidden="false" customHeight="true" outlineLevel="0" collapsed="false">
      <c r="A866" s="3" t="s">
        <v>2580</v>
      </c>
      <c r="B866" s="3" t="s">
        <v>2745</v>
      </c>
      <c r="C866" s="3" t="s">
        <v>2731</v>
      </c>
      <c r="D866" s="3" t="s">
        <v>2714</v>
      </c>
      <c r="E866" s="3" t="s">
        <v>2720</v>
      </c>
      <c r="F866" s="3" t="s">
        <v>2721</v>
      </c>
      <c r="G866" s="3" t="s">
        <v>2701</v>
      </c>
      <c r="H866" s="3" t="s">
        <v>2711</v>
      </c>
      <c r="I866" s="3" t="s">
        <v>2703</v>
      </c>
      <c r="J866" s="3" t="s">
        <v>2694</v>
      </c>
      <c r="K866" s="3" t="s">
        <v>2695</v>
      </c>
    </row>
    <row r="867" customFormat="false" ht="15" hidden="false" customHeight="true" outlineLevel="0" collapsed="false">
      <c r="A867" s="3" t="s">
        <v>2583</v>
      </c>
      <c r="B867" s="3" t="s">
        <v>2719</v>
      </c>
      <c r="C867" s="3" t="s">
        <v>2687</v>
      </c>
      <c r="D867" s="3" t="s">
        <v>2708</v>
      </c>
      <c r="E867" s="3" t="s">
        <v>2774</v>
      </c>
      <c r="F867" s="3" t="s">
        <v>2775</v>
      </c>
      <c r="G867" s="3" t="s">
        <v>2722</v>
      </c>
      <c r="H867" s="3" t="s">
        <v>2758</v>
      </c>
      <c r="I867" s="3" t="s">
        <v>2706</v>
      </c>
      <c r="J867" s="3" t="s">
        <v>2694</v>
      </c>
      <c r="K867" s="3" t="s">
        <v>2695</v>
      </c>
    </row>
    <row r="868" customFormat="false" ht="15" hidden="false" customHeight="true" outlineLevel="0" collapsed="false">
      <c r="A868" s="3" t="s">
        <v>2586</v>
      </c>
      <c r="B868" s="3" t="s">
        <v>2778</v>
      </c>
      <c r="C868" s="3" t="s">
        <v>2687</v>
      </c>
      <c r="D868" s="3" t="s">
        <v>2714</v>
      </c>
      <c r="E868" s="3" t="s">
        <v>2715</v>
      </c>
      <c r="F868" s="3" t="s">
        <v>2716</v>
      </c>
      <c r="G868" s="3" t="s">
        <v>2691</v>
      </c>
      <c r="H868" s="3" t="s">
        <v>2730</v>
      </c>
      <c r="I868" s="3" t="s">
        <v>2693</v>
      </c>
      <c r="J868" s="3" t="s">
        <v>2694</v>
      </c>
      <c r="K868" s="3" t="s">
        <v>2695</v>
      </c>
    </row>
    <row r="869" customFormat="false" ht="15" hidden="false" customHeight="true" outlineLevel="0" collapsed="false">
      <c r="A869" s="3" t="s">
        <v>2589</v>
      </c>
      <c r="B869" s="3" t="s">
        <v>2739</v>
      </c>
      <c r="C869" s="3" t="s">
        <v>2687</v>
      </c>
      <c r="D869" s="3" t="s">
        <v>2698</v>
      </c>
      <c r="E869" s="3" t="s">
        <v>2750</v>
      </c>
      <c r="F869" s="3" t="s">
        <v>2751</v>
      </c>
      <c r="G869" s="3" t="s">
        <v>2701</v>
      </c>
      <c r="H869" s="3" t="s">
        <v>2754</v>
      </c>
      <c r="I869" s="3" t="s">
        <v>2706</v>
      </c>
      <c r="J869" s="3" t="s">
        <v>2738</v>
      </c>
      <c r="K869" s="3" t="s">
        <v>2718</v>
      </c>
    </row>
    <row r="870" customFormat="false" ht="15" hidden="false" customHeight="true" outlineLevel="0" collapsed="false">
      <c r="A870" s="3" t="s">
        <v>2592</v>
      </c>
      <c r="B870" s="3" t="s">
        <v>2740</v>
      </c>
      <c r="C870" s="3" t="s">
        <v>2731</v>
      </c>
      <c r="D870" s="3" t="s">
        <v>2708</v>
      </c>
      <c r="E870" s="3" t="s">
        <v>2726</v>
      </c>
      <c r="F870" s="3" t="s">
        <v>2727</v>
      </c>
      <c r="G870" s="3" t="s">
        <v>2722</v>
      </c>
      <c r="H870" s="3" t="s">
        <v>2723</v>
      </c>
      <c r="I870" s="3" t="s">
        <v>2703</v>
      </c>
      <c r="J870" s="3" t="s">
        <v>2753</v>
      </c>
      <c r="K870" s="3" t="s">
        <v>2718</v>
      </c>
    </row>
    <row r="871" customFormat="false" ht="15" hidden="false" customHeight="true" outlineLevel="0" collapsed="false">
      <c r="A871" s="3" t="s">
        <v>2595</v>
      </c>
      <c r="B871" s="3" t="s">
        <v>2719</v>
      </c>
      <c r="C871" s="3" t="s">
        <v>2731</v>
      </c>
      <c r="D871" s="3" t="s">
        <v>2708</v>
      </c>
      <c r="E871" s="3" t="s">
        <v>2760</v>
      </c>
      <c r="F871" s="3" t="s">
        <v>2761</v>
      </c>
      <c r="G871" s="3" t="s">
        <v>2691</v>
      </c>
      <c r="H871" s="3" t="s">
        <v>2744</v>
      </c>
      <c r="I871" s="3" t="s">
        <v>2703</v>
      </c>
      <c r="J871" s="3" t="s">
        <v>2694</v>
      </c>
      <c r="K871" s="3" t="s">
        <v>2695</v>
      </c>
    </row>
    <row r="872" customFormat="false" ht="15" hidden="false" customHeight="true" outlineLevel="0" collapsed="false">
      <c r="A872" s="3" t="s">
        <v>2598</v>
      </c>
      <c r="B872" s="3" t="s">
        <v>2749</v>
      </c>
      <c r="C872" s="3" t="s">
        <v>2731</v>
      </c>
      <c r="D872" s="3" t="s">
        <v>2768</v>
      </c>
      <c r="E872" s="3" t="s">
        <v>2782</v>
      </c>
      <c r="F872" s="3" t="s">
        <v>2783</v>
      </c>
      <c r="G872" s="3" t="s">
        <v>2701</v>
      </c>
      <c r="H872" s="3" t="s">
        <v>2717</v>
      </c>
      <c r="I872" s="3" t="s">
        <v>2703</v>
      </c>
      <c r="J872" s="3" t="s">
        <v>2694</v>
      </c>
      <c r="K872" s="3" t="s">
        <v>2695</v>
      </c>
    </row>
    <row r="873" customFormat="false" ht="15" hidden="false" customHeight="true" outlineLevel="0" collapsed="false">
      <c r="A873" s="3" t="s">
        <v>2600</v>
      </c>
      <c r="B873" s="3" t="s">
        <v>2719</v>
      </c>
      <c r="C873" s="3" t="s">
        <v>2729</v>
      </c>
      <c r="D873" s="3" t="s">
        <v>2714</v>
      </c>
      <c r="E873" s="3" t="s">
        <v>2766</v>
      </c>
      <c r="F873" s="3" t="s">
        <v>2767</v>
      </c>
      <c r="G873" s="3" t="s">
        <v>2701</v>
      </c>
      <c r="H873" s="3" t="s">
        <v>2702</v>
      </c>
      <c r="I873" s="3" t="s">
        <v>2712</v>
      </c>
      <c r="J873" s="3" t="s">
        <v>2694</v>
      </c>
      <c r="K873" s="3" t="s">
        <v>2718</v>
      </c>
    </row>
    <row r="874" customFormat="false" ht="15" hidden="false" customHeight="true" outlineLevel="0" collapsed="false">
      <c r="A874" s="3" t="s">
        <v>2603</v>
      </c>
      <c r="B874" s="3" t="s">
        <v>2724</v>
      </c>
      <c r="C874" s="3" t="s">
        <v>2697</v>
      </c>
      <c r="D874" s="3" t="s">
        <v>2708</v>
      </c>
      <c r="E874" s="3" t="s">
        <v>2709</v>
      </c>
      <c r="F874" s="3" t="s">
        <v>2710</v>
      </c>
      <c r="G874" s="3" t="s">
        <v>2722</v>
      </c>
      <c r="H874" s="3" t="s">
        <v>2723</v>
      </c>
      <c r="I874" s="3" t="s">
        <v>2706</v>
      </c>
      <c r="J874" s="3" t="s">
        <v>2734</v>
      </c>
      <c r="K874" s="3" t="s">
        <v>2718</v>
      </c>
    </row>
    <row r="875" customFormat="false" ht="15" hidden="false" customHeight="true" outlineLevel="0" collapsed="false">
      <c r="A875" s="3" t="s">
        <v>2605</v>
      </c>
      <c r="B875" s="3" t="s">
        <v>2686</v>
      </c>
      <c r="C875" s="3" t="s">
        <v>2729</v>
      </c>
      <c r="D875" s="3" t="s">
        <v>2698</v>
      </c>
      <c r="E875" s="3" t="s">
        <v>2732</v>
      </c>
      <c r="F875" s="3" t="s">
        <v>2733</v>
      </c>
      <c r="G875" s="3" t="s">
        <v>2701</v>
      </c>
      <c r="H875" s="3" t="s">
        <v>2711</v>
      </c>
      <c r="I875" s="3" t="s">
        <v>2712</v>
      </c>
      <c r="J875" s="3" t="s">
        <v>2694</v>
      </c>
      <c r="K875" s="3" t="s">
        <v>2695</v>
      </c>
    </row>
    <row r="876" customFormat="false" ht="15" hidden="false" customHeight="true" outlineLevel="0" collapsed="false">
      <c r="A876" s="3" t="s">
        <v>2607</v>
      </c>
      <c r="B876" s="3" t="s">
        <v>2728</v>
      </c>
      <c r="C876" s="3" t="s">
        <v>2731</v>
      </c>
      <c r="D876" s="3" t="s">
        <v>2714</v>
      </c>
      <c r="E876" s="3" t="s">
        <v>2762</v>
      </c>
      <c r="F876" s="3" t="s">
        <v>2763</v>
      </c>
      <c r="G876" s="3" t="s">
        <v>2691</v>
      </c>
      <c r="H876" s="3" t="s">
        <v>2744</v>
      </c>
      <c r="I876" s="3" t="s">
        <v>2693</v>
      </c>
      <c r="J876" s="3" t="s">
        <v>2694</v>
      </c>
      <c r="K876" s="3" t="s">
        <v>2695</v>
      </c>
    </row>
    <row r="877" customFormat="false" ht="15" hidden="false" customHeight="true" outlineLevel="0" collapsed="false">
      <c r="A877" s="3" t="s">
        <v>2610</v>
      </c>
      <c r="B877" s="3" t="s">
        <v>2719</v>
      </c>
      <c r="C877" s="3" t="s">
        <v>2697</v>
      </c>
      <c r="D877" s="3" t="s">
        <v>2714</v>
      </c>
      <c r="E877" s="3" t="s">
        <v>2715</v>
      </c>
      <c r="F877" s="3" t="s">
        <v>2716</v>
      </c>
      <c r="G877" s="3" t="s">
        <v>2691</v>
      </c>
      <c r="H877" s="3" t="s">
        <v>2692</v>
      </c>
      <c r="I877" s="3" t="s">
        <v>2712</v>
      </c>
      <c r="J877" s="3" t="s">
        <v>2694</v>
      </c>
      <c r="K877" s="3" t="s">
        <v>2695</v>
      </c>
    </row>
    <row r="878" customFormat="false" ht="15" hidden="false" customHeight="true" outlineLevel="0" collapsed="false">
      <c r="A878" s="3" t="s">
        <v>2613</v>
      </c>
      <c r="B878" s="3" t="s">
        <v>2696</v>
      </c>
      <c r="C878" s="3" t="s">
        <v>2729</v>
      </c>
      <c r="D878" s="3" t="s">
        <v>2714</v>
      </c>
      <c r="E878" s="3" t="s">
        <v>2715</v>
      </c>
      <c r="F878" s="3" t="s">
        <v>2716</v>
      </c>
      <c r="G878" s="3" t="s">
        <v>2722</v>
      </c>
      <c r="H878" s="3" t="s">
        <v>2725</v>
      </c>
      <c r="I878" s="3" t="s">
        <v>2706</v>
      </c>
      <c r="J878" s="3" t="s">
        <v>2694</v>
      </c>
      <c r="K878" s="3" t="s">
        <v>2695</v>
      </c>
    </row>
    <row r="879" customFormat="false" ht="15" hidden="false" customHeight="true" outlineLevel="0" collapsed="false">
      <c r="A879" s="3" t="s">
        <v>2616</v>
      </c>
      <c r="B879" s="3" t="s">
        <v>2739</v>
      </c>
      <c r="C879" s="3" t="s">
        <v>2687</v>
      </c>
      <c r="D879" s="3" t="s">
        <v>2714</v>
      </c>
      <c r="E879" s="3" t="s">
        <v>2689</v>
      </c>
      <c r="F879" s="3" t="s">
        <v>2737</v>
      </c>
      <c r="G879" s="3" t="s">
        <v>2701</v>
      </c>
      <c r="H879" s="3" t="s">
        <v>2717</v>
      </c>
      <c r="I879" s="3" t="s">
        <v>2706</v>
      </c>
      <c r="J879" s="3" t="s">
        <v>2694</v>
      </c>
      <c r="K879" s="3" t="s">
        <v>2695</v>
      </c>
    </row>
    <row r="880" customFormat="false" ht="15" hidden="false" customHeight="true" outlineLevel="0" collapsed="false">
      <c r="A880" s="3" t="s">
        <v>2618</v>
      </c>
      <c r="B880" s="3" t="s">
        <v>2745</v>
      </c>
      <c r="C880" s="3" t="s">
        <v>2687</v>
      </c>
      <c r="D880" s="3" t="s">
        <v>2714</v>
      </c>
      <c r="E880" s="3" t="s">
        <v>2689</v>
      </c>
      <c r="F880" s="3" t="s">
        <v>2737</v>
      </c>
      <c r="G880" s="3" t="s">
        <v>2691</v>
      </c>
      <c r="H880" s="3" t="s">
        <v>2744</v>
      </c>
      <c r="I880" s="3" t="s">
        <v>2693</v>
      </c>
      <c r="J880" s="3" t="s">
        <v>2694</v>
      </c>
      <c r="K880" s="3" t="s">
        <v>2695</v>
      </c>
    </row>
    <row r="881" customFormat="false" ht="15" hidden="false" customHeight="true" outlineLevel="0" collapsed="false">
      <c r="A881" s="3" t="s">
        <v>2621</v>
      </c>
      <c r="B881" s="3" t="s">
        <v>2686</v>
      </c>
      <c r="C881" s="3" t="s">
        <v>2729</v>
      </c>
      <c r="D881" s="3" t="s">
        <v>2698</v>
      </c>
      <c r="E881" s="3" t="s">
        <v>2732</v>
      </c>
      <c r="F881" s="3" t="s">
        <v>2733</v>
      </c>
      <c r="G881" s="3" t="s">
        <v>2691</v>
      </c>
      <c r="H881" s="3" t="s">
        <v>2692</v>
      </c>
      <c r="I881" s="3" t="s">
        <v>2706</v>
      </c>
      <c r="J881" s="3" t="s">
        <v>2694</v>
      </c>
      <c r="K881" s="3" t="s">
        <v>2695</v>
      </c>
    </row>
    <row r="882" customFormat="false" ht="15" hidden="false" customHeight="true" outlineLevel="0" collapsed="false">
      <c r="A882" s="3" t="s">
        <v>2624</v>
      </c>
      <c r="B882" s="3" t="s">
        <v>2713</v>
      </c>
      <c r="C882" s="3" t="s">
        <v>2731</v>
      </c>
      <c r="D882" s="3" t="s">
        <v>2741</v>
      </c>
      <c r="E882" s="3" t="s">
        <v>2747</v>
      </c>
      <c r="F882" s="3" t="s">
        <v>2748</v>
      </c>
      <c r="G882" s="3" t="s">
        <v>2691</v>
      </c>
      <c r="H882" s="3" t="s">
        <v>2705</v>
      </c>
      <c r="I882" s="3" t="s">
        <v>2712</v>
      </c>
      <c r="J882" s="3" t="s">
        <v>2694</v>
      </c>
      <c r="K882" s="3" t="s">
        <v>2695</v>
      </c>
    </row>
    <row r="883" customFormat="false" ht="15" hidden="false" customHeight="true" outlineLevel="0" collapsed="false">
      <c r="A883" s="3" t="s">
        <v>2627</v>
      </c>
      <c r="B883" s="3" t="s">
        <v>2745</v>
      </c>
      <c r="C883" s="3" t="s">
        <v>2697</v>
      </c>
      <c r="D883" s="3" t="s">
        <v>2768</v>
      </c>
      <c r="E883" s="3" t="s">
        <v>2742</v>
      </c>
      <c r="F883" s="3" t="s">
        <v>2743</v>
      </c>
      <c r="G883" s="3" t="s">
        <v>2701</v>
      </c>
      <c r="H883" s="3" t="s">
        <v>2717</v>
      </c>
      <c r="I883" s="3" t="s">
        <v>2706</v>
      </c>
      <c r="J883" s="3" t="s">
        <v>2694</v>
      </c>
      <c r="K883" s="3" t="s">
        <v>2695</v>
      </c>
    </row>
    <row r="884" customFormat="false" ht="15" hidden="false" customHeight="true" outlineLevel="0" collapsed="false">
      <c r="A884" s="3" t="s">
        <v>2630</v>
      </c>
      <c r="B884" s="3" t="s">
        <v>2713</v>
      </c>
      <c r="C884" s="3" t="s">
        <v>2697</v>
      </c>
      <c r="D884" s="3" t="s">
        <v>2708</v>
      </c>
      <c r="E884" s="3" t="s">
        <v>2726</v>
      </c>
      <c r="F884" s="3" t="s">
        <v>2727</v>
      </c>
      <c r="G884" s="3" t="s">
        <v>2722</v>
      </c>
      <c r="H884" s="3" t="s">
        <v>2725</v>
      </c>
      <c r="I884" s="3" t="s">
        <v>2693</v>
      </c>
      <c r="J884" s="3" t="s">
        <v>2694</v>
      </c>
      <c r="K884" s="3" t="s">
        <v>2695</v>
      </c>
    </row>
    <row r="885" customFormat="false" ht="15" hidden="false" customHeight="true" outlineLevel="0" collapsed="false">
      <c r="A885" s="3" t="s">
        <v>2633</v>
      </c>
      <c r="B885" s="3" t="s">
        <v>2746</v>
      </c>
      <c r="C885" s="3" t="s">
        <v>2729</v>
      </c>
      <c r="D885" s="3" t="s">
        <v>2698</v>
      </c>
      <c r="E885" s="3" t="s">
        <v>2750</v>
      </c>
      <c r="F885" s="3" t="s">
        <v>2751</v>
      </c>
      <c r="G885" s="3" t="s">
        <v>2722</v>
      </c>
      <c r="H885" s="3" t="s">
        <v>2723</v>
      </c>
      <c r="I885" s="3" t="s">
        <v>2712</v>
      </c>
      <c r="J885" s="3" t="s">
        <v>2738</v>
      </c>
      <c r="K885" s="3" t="s">
        <v>2735</v>
      </c>
    </row>
    <row r="886" customFormat="false" ht="15" hidden="false" customHeight="true" outlineLevel="0" collapsed="false">
      <c r="A886" s="3" t="s">
        <v>2636</v>
      </c>
      <c r="B886" s="3" t="s">
        <v>2745</v>
      </c>
      <c r="C886" s="3" t="s">
        <v>2697</v>
      </c>
      <c r="D886" s="3" t="s">
        <v>2714</v>
      </c>
      <c r="E886" s="3" t="s">
        <v>2766</v>
      </c>
      <c r="F886" s="3" t="s">
        <v>2767</v>
      </c>
      <c r="G886" s="3" t="s">
        <v>2691</v>
      </c>
      <c r="H886" s="3" t="s">
        <v>2744</v>
      </c>
      <c r="I886" s="3" t="s">
        <v>2703</v>
      </c>
      <c r="J886" s="3" t="s">
        <v>2694</v>
      </c>
      <c r="K886" s="3" t="s">
        <v>2695</v>
      </c>
    </row>
    <row r="887" customFormat="false" ht="15" hidden="false" customHeight="true" outlineLevel="0" collapsed="false">
      <c r="A887" s="3" t="s">
        <v>2639</v>
      </c>
      <c r="B887" s="3" t="s">
        <v>2724</v>
      </c>
      <c r="C887" s="3" t="s">
        <v>2731</v>
      </c>
      <c r="D887" s="3" t="s">
        <v>2708</v>
      </c>
      <c r="E887" s="3" t="s">
        <v>2760</v>
      </c>
      <c r="F887" s="3" t="s">
        <v>2761</v>
      </c>
      <c r="G887" s="3" t="s">
        <v>2691</v>
      </c>
      <c r="H887" s="3" t="s">
        <v>2744</v>
      </c>
      <c r="I887" s="3" t="s">
        <v>2703</v>
      </c>
      <c r="J887" s="3" t="s">
        <v>2694</v>
      </c>
      <c r="K887" s="3" t="s">
        <v>2695</v>
      </c>
    </row>
    <row r="888" customFormat="false" ht="15" hidden="false" customHeight="true" outlineLevel="0" collapsed="false">
      <c r="A888" s="3" t="s">
        <v>2642</v>
      </c>
      <c r="B888" s="3" t="s">
        <v>2755</v>
      </c>
      <c r="C888" s="3" t="s">
        <v>2687</v>
      </c>
      <c r="D888" s="3" t="s">
        <v>2741</v>
      </c>
      <c r="E888" s="3" t="s">
        <v>2689</v>
      </c>
      <c r="F888" s="3" t="s">
        <v>2690</v>
      </c>
      <c r="G888" s="3" t="s">
        <v>2701</v>
      </c>
      <c r="H888" s="3" t="s">
        <v>2702</v>
      </c>
      <c r="I888" s="3" t="s">
        <v>2712</v>
      </c>
      <c r="J888" s="3" t="s">
        <v>2694</v>
      </c>
      <c r="K888" s="3" t="s">
        <v>2695</v>
      </c>
    </row>
    <row r="889" customFormat="false" ht="15" hidden="false" customHeight="true" outlineLevel="0" collapsed="false">
      <c r="A889" s="3" t="s">
        <v>2645</v>
      </c>
      <c r="B889" s="3" t="s">
        <v>2707</v>
      </c>
      <c r="C889" s="3" t="s">
        <v>2731</v>
      </c>
      <c r="D889" s="3" t="s">
        <v>2708</v>
      </c>
      <c r="E889" s="3" t="s">
        <v>2774</v>
      </c>
      <c r="F889" s="3" t="s">
        <v>2775</v>
      </c>
      <c r="G889" s="3" t="s">
        <v>2722</v>
      </c>
      <c r="H889" s="3" t="s">
        <v>2723</v>
      </c>
      <c r="I889" s="3" t="s">
        <v>2706</v>
      </c>
      <c r="J889" s="3" t="s">
        <v>2694</v>
      </c>
      <c r="K889" s="3" t="s">
        <v>2718</v>
      </c>
    </row>
    <row r="890" customFormat="false" ht="15" hidden="false" customHeight="true" outlineLevel="0" collapsed="false">
      <c r="A890" s="3" t="s">
        <v>2648</v>
      </c>
      <c r="B890" s="3" t="s">
        <v>2745</v>
      </c>
      <c r="C890" s="3" t="s">
        <v>2697</v>
      </c>
      <c r="D890" s="3" t="s">
        <v>2708</v>
      </c>
      <c r="E890" s="3" t="s">
        <v>2726</v>
      </c>
      <c r="F890" s="3" t="s">
        <v>2727</v>
      </c>
      <c r="G890" s="3" t="s">
        <v>2691</v>
      </c>
      <c r="H890" s="3" t="s">
        <v>2705</v>
      </c>
      <c r="I890" s="3" t="s">
        <v>2712</v>
      </c>
      <c r="J890" s="3" t="s">
        <v>2694</v>
      </c>
      <c r="K890" s="3" t="s">
        <v>2695</v>
      </c>
    </row>
    <row r="891" customFormat="false" ht="15" hidden="false" customHeight="true" outlineLevel="0" collapsed="false">
      <c r="A891" s="3" t="s">
        <v>2651</v>
      </c>
      <c r="B891" s="3" t="s">
        <v>2740</v>
      </c>
      <c r="C891" s="3" t="s">
        <v>2697</v>
      </c>
      <c r="D891" s="3" t="s">
        <v>2714</v>
      </c>
      <c r="E891" s="3" t="s">
        <v>2715</v>
      </c>
      <c r="F891" s="3" t="s">
        <v>2716</v>
      </c>
      <c r="G891" s="3" t="s">
        <v>2691</v>
      </c>
      <c r="H891" s="3" t="s">
        <v>2705</v>
      </c>
      <c r="I891" s="3" t="s">
        <v>2712</v>
      </c>
      <c r="J891" s="3" t="s">
        <v>2734</v>
      </c>
      <c r="K891" s="3" t="s">
        <v>2718</v>
      </c>
    </row>
    <row r="892" customFormat="false" ht="15" hidden="false" customHeight="true" outlineLevel="0" collapsed="false">
      <c r="A892" s="3" t="s">
        <v>2654</v>
      </c>
      <c r="B892" s="3" t="s">
        <v>2728</v>
      </c>
      <c r="C892" s="3" t="s">
        <v>2731</v>
      </c>
      <c r="D892" s="3" t="s">
        <v>2714</v>
      </c>
      <c r="E892" s="3" t="s">
        <v>2720</v>
      </c>
      <c r="F892" s="3" t="s">
        <v>2721</v>
      </c>
      <c r="G892" s="3" t="s">
        <v>2691</v>
      </c>
      <c r="H892" s="3" t="s">
        <v>2744</v>
      </c>
      <c r="I892" s="3" t="s">
        <v>2706</v>
      </c>
      <c r="J892" s="3" t="s">
        <v>2694</v>
      </c>
      <c r="K892" s="3" t="s">
        <v>2735</v>
      </c>
    </row>
    <row r="893" customFormat="false" ht="15" hidden="false" customHeight="true" outlineLevel="0" collapsed="false">
      <c r="A893" s="3" t="s">
        <v>2656</v>
      </c>
      <c r="B893" s="3" t="s">
        <v>2686</v>
      </c>
      <c r="C893" s="3" t="s">
        <v>2687</v>
      </c>
      <c r="D893" s="3" t="s">
        <v>2714</v>
      </c>
      <c r="E893" s="3" t="s">
        <v>2766</v>
      </c>
      <c r="F893" s="3" t="s">
        <v>2767</v>
      </c>
      <c r="G893" s="3" t="s">
        <v>2691</v>
      </c>
      <c r="H893" s="3" t="s">
        <v>2744</v>
      </c>
      <c r="I893" s="3" t="s">
        <v>2712</v>
      </c>
      <c r="J893" s="3" t="s">
        <v>2694</v>
      </c>
      <c r="K893" s="3" t="s">
        <v>2695</v>
      </c>
    </row>
    <row r="894" customFormat="false" ht="15" hidden="false" customHeight="true" outlineLevel="0" collapsed="false">
      <c r="A894" s="3" t="s">
        <v>2659</v>
      </c>
      <c r="B894" s="3" t="s">
        <v>2778</v>
      </c>
      <c r="C894" s="3" t="s">
        <v>2729</v>
      </c>
      <c r="D894" s="3" t="s">
        <v>2708</v>
      </c>
      <c r="E894" s="3" t="s">
        <v>2774</v>
      </c>
      <c r="F894" s="3" t="s">
        <v>2775</v>
      </c>
      <c r="G894" s="3" t="s">
        <v>2722</v>
      </c>
      <c r="H894" s="3" t="s">
        <v>2779</v>
      </c>
      <c r="I894" s="3" t="s">
        <v>2703</v>
      </c>
      <c r="J894" s="3" t="s">
        <v>2753</v>
      </c>
      <c r="K894" s="3" t="s">
        <v>2718</v>
      </c>
    </row>
    <row r="895" customFormat="false" ht="15" hidden="false" customHeight="true" outlineLevel="0" collapsed="false">
      <c r="A895" s="3" t="s">
        <v>2662</v>
      </c>
      <c r="B895" s="3" t="s">
        <v>2704</v>
      </c>
      <c r="C895" s="3" t="s">
        <v>2697</v>
      </c>
      <c r="D895" s="3" t="s">
        <v>2698</v>
      </c>
      <c r="E895" s="3" t="s">
        <v>2770</v>
      </c>
      <c r="F895" s="3" t="s">
        <v>2771</v>
      </c>
      <c r="G895" s="3" t="s">
        <v>2722</v>
      </c>
      <c r="H895" s="3" t="s">
        <v>2725</v>
      </c>
      <c r="I895" s="3" t="s">
        <v>2703</v>
      </c>
      <c r="J895" s="3" t="s">
        <v>2694</v>
      </c>
      <c r="K895" s="3" t="s">
        <v>2695</v>
      </c>
    </row>
    <row r="896" customFormat="false" ht="15" hidden="false" customHeight="true" outlineLevel="0" collapsed="false">
      <c r="A896" s="3" t="s">
        <v>2665</v>
      </c>
      <c r="B896" s="3" t="s">
        <v>2745</v>
      </c>
      <c r="C896" s="3" t="s">
        <v>2729</v>
      </c>
      <c r="D896" s="3" t="s">
        <v>2708</v>
      </c>
      <c r="E896" s="3" t="s">
        <v>2760</v>
      </c>
      <c r="F896" s="3" t="s">
        <v>2761</v>
      </c>
      <c r="G896" s="3" t="s">
        <v>2701</v>
      </c>
      <c r="H896" s="3" t="s">
        <v>2702</v>
      </c>
      <c r="I896" s="3" t="s">
        <v>2693</v>
      </c>
      <c r="J896" s="3" t="s">
        <v>2694</v>
      </c>
      <c r="K896" s="3" t="s">
        <v>2735</v>
      </c>
    </row>
    <row r="897" customFormat="false" ht="15" hidden="false" customHeight="true" outlineLevel="0" collapsed="false">
      <c r="A897" s="3" t="s">
        <v>2668</v>
      </c>
      <c r="B897" s="3" t="s">
        <v>2704</v>
      </c>
      <c r="C897" s="3" t="s">
        <v>2731</v>
      </c>
      <c r="D897" s="3" t="s">
        <v>2708</v>
      </c>
      <c r="E897" s="3" t="s">
        <v>2709</v>
      </c>
      <c r="F897" s="3" t="s">
        <v>2710</v>
      </c>
      <c r="G897" s="3" t="s">
        <v>2701</v>
      </c>
      <c r="H897" s="3" t="s">
        <v>2702</v>
      </c>
      <c r="I897" s="3" t="s">
        <v>2706</v>
      </c>
      <c r="J897" s="3" t="s">
        <v>2694</v>
      </c>
      <c r="K897" s="3" t="s">
        <v>2695</v>
      </c>
    </row>
    <row r="898" customFormat="false" ht="15" hidden="false" customHeight="true" outlineLevel="0" collapsed="false">
      <c r="A898" s="3" t="s">
        <v>2671</v>
      </c>
      <c r="B898" s="3" t="s">
        <v>2707</v>
      </c>
      <c r="C898" s="3" t="s">
        <v>2687</v>
      </c>
      <c r="D898" s="3" t="s">
        <v>2708</v>
      </c>
      <c r="E898" s="3" t="s">
        <v>2764</v>
      </c>
      <c r="F898" s="3" t="s">
        <v>2765</v>
      </c>
      <c r="G898" s="3" t="s">
        <v>2701</v>
      </c>
      <c r="H898" s="3" t="s">
        <v>2717</v>
      </c>
      <c r="I898" s="3" t="s">
        <v>2703</v>
      </c>
      <c r="J898" s="3" t="s">
        <v>2738</v>
      </c>
      <c r="K898" s="3" t="s">
        <v>2735</v>
      </c>
    </row>
    <row r="899" customFormat="false" ht="15" hidden="false" customHeight="true" outlineLevel="0" collapsed="false">
      <c r="A899" s="3" t="s">
        <v>2674</v>
      </c>
      <c r="B899" s="3" t="s">
        <v>2713</v>
      </c>
      <c r="C899" s="3" t="s">
        <v>2697</v>
      </c>
      <c r="D899" s="3" t="s">
        <v>2708</v>
      </c>
      <c r="E899" s="3" t="s">
        <v>2774</v>
      </c>
      <c r="F899" s="3" t="s">
        <v>2775</v>
      </c>
      <c r="G899" s="3" t="s">
        <v>2722</v>
      </c>
      <c r="H899" s="3" t="s">
        <v>2725</v>
      </c>
      <c r="I899" s="3" t="s">
        <v>2693</v>
      </c>
      <c r="J899" s="3" t="s">
        <v>2753</v>
      </c>
      <c r="K899" s="3" t="s">
        <v>2735</v>
      </c>
    </row>
    <row r="900" customFormat="false" ht="15" hidden="false" customHeight="true" outlineLevel="0" collapsed="false">
      <c r="A900" s="3" t="s">
        <v>2677</v>
      </c>
      <c r="B900" s="3" t="s">
        <v>2749</v>
      </c>
      <c r="C900" s="3" t="s">
        <v>2729</v>
      </c>
      <c r="D900" s="3" t="s">
        <v>2741</v>
      </c>
      <c r="E900" s="3" t="s">
        <v>2772</v>
      </c>
      <c r="F900" s="3" t="s">
        <v>2773</v>
      </c>
      <c r="G900" s="3" t="s">
        <v>2691</v>
      </c>
      <c r="H900" s="3" t="s">
        <v>2692</v>
      </c>
      <c r="I900" s="3" t="s">
        <v>2706</v>
      </c>
      <c r="J900" s="3" t="s">
        <v>2694</v>
      </c>
      <c r="K900" s="3" t="s">
        <v>2695</v>
      </c>
    </row>
    <row r="901" customFormat="false" ht="15" hidden="false" customHeight="true" outlineLevel="0" collapsed="false">
      <c r="A901" s="3" t="s">
        <v>2679</v>
      </c>
      <c r="B901" s="3" t="s">
        <v>2719</v>
      </c>
      <c r="C901" s="3" t="s">
        <v>2687</v>
      </c>
      <c r="D901" s="3" t="s">
        <v>2741</v>
      </c>
      <c r="E901" s="3" t="s">
        <v>2782</v>
      </c>
      <c r="F901" s="3" t="s">
        <v>2783</v>
      </c>
      <c r="G901" s="3" t="s">
        <v>2701</v>
      </c>
      <c r="H901" s="3" t="s">
        <v>2702</v>
      </c>
      <c r="I901" s="3" t="s">
        <v>2706</v>
      </c>
      <c r="J901" s="3" t="s">
        <v>2694</v>
      </c>
      <c r="K901" s="3" t="s">
        <v>2695</v>
      </c>
    </row>
    <row r="902" customFormat="false" ht="15" hidden="false" customHeight="true" outlineLevel="0" collapsed="false">
      <c r="A902" s="3" t="s">
        <v>2682</v>
      </c>
      <c r="B902" s="3" t="s">
        <v>2686</v>
      </c>
      <c r="C902" s="3" t="s">
        <v>2687</v>
      </c>
      <c r="D902" s="3" t="s">
        <v>2741</v>
      </c>
      <c r="E902" s="3" t="s">
        <v>2742</v>
      </c>
      <c r="F902" s="3" t="s">
        <v>2743</v>
      </c>
      <c r="G902" s="3" t="s">
        <v>2701</v>
      </c>
      <c r="H902" s="3" t="s">
        <v>2717</v>
      </c>
      <c r="I902" s="3" t="s">
        <v>2706</v>
      </c>
      <c r="J902" s="3" t="s">
        <v>2753</v>
      </c>
      <c r="K902" s="3" t="s">
        <v>2718</v>
      </c>
    </row>
    <row r="903" customFormat="false" ht="15" hidden="false" customHeight="true" outlineLevel="0" collapsed="false">
      <c r="A903" s="3" t="s">
        <v>1020</v>
      </c>
      <c r="B903" s="3" t="s">
        <v>2746</v>
      </c>
      <c r="C903" s="3" t="s">
        <v>2731</v>
      </c>
      <c r="D903" s="3" t="s">
        <v>2698</v>
      </c>
      <c r="E903" s="3" t="s">
        <v>2699</v>
      </c>
      <c r="F903" s="3" t="s">
        <v>2700</v>
      </c>
      <c r="G903" s="3" t="s">
        <v>2691</v>
      </c>
      <c r="H903" s="3" t="s">
        <v>2752</v>
      </c>
      <c r="I903" s="3" t="s">
        <v>2693</v>
      </c>
      <c r="J903" s="3" t="s">
        <v>2694</v>
      </c>
      <c r="K903" s="3" t="s">
        <v>2695</v>
      </c>
    </row>
    <row r="904" customFormat="false" ht="15" hidden="false" customHeight="true" outlineLevel="0" collapsed="false">
      <c r="A904" s="3" t="s">
        <v>303</v>
      </c>
      <c r="B904" s="3" t="s">
        <v>2745</v>
      </c>
      <c r="C904" s="3" t="s">
        <v>2697</v>
      </c>
      <c r="D904" s="3" t="s">
        <v>2698</v>
      </c>
      <c r="E904" s="3" t="s">
        <v>2750</v>
      </c>
      <c r="F904" s="3" t="s">
        <v>2751</v>
      </c>
      <c r="G904" s="3" t="s">
        <v>2722</v>
      </c>
      <c r="H904" s="3" t="s">
        <v>2725</v>
      </c>
      <c r="I904" s="3" t="s">
        <v>2706</v>
      </c>
      <c r="J904" s="3" t="s">
        <v>2694</v>
      </c>
      <c r="K904" s="3" t="s">
        <v>2735</v>
      </c>
    </row>
    <row r="905" customFormat="false" ht="15" hidden="false" customHeight="true" outlineLevel="0" collapsed="false">
      <c r="A905" s="3" t="s">
        <v>1144</v>
      </c>
      <c r="B905" s="3" t="s">
        <v>2746</v>
      </c>
      <c r="C905" s="3" t="s">
        <v>2697</v>
      </c>
      <c r="D905" s="3" t="s">
        <v>2741</v>
      </c>
      <c r="E905" s="3" t="s">
        <v>2747</v>
      </c>
      <c r="F905" s="3" t="s">
        <v>2748</v>
      </c>
      <c r="G905" s="3" t="s">
        <v>2691</v>
      </c>
      <c r="H905" s="3" t="s">
        <v>2744</v>
      </c>
      <c r="I905" s="3" t="s">
        <v>2693</v>
      </c>
      <c r="J905" s="3" t="s">
        <v>2694</v>
      </c>
      <c r="K905" s="3" t="s">
        <v>2735</v>
      </c>
    </row>
    <row r="906" customFormat="false" ht="15" hidden="false" customHeight="true" outlineLevel="0" collapsed="false">
      <c r="A906" s="3" t="s">
        <v>702</v>
      </c>
      <c r="B906" s="3" t="s">
        <v>2704</v>
      </c>
      <c r="C906" s="3" t="s">
        <v>2697</v>
      </c>
      <c r="D906" s="3" t="s">
        <v>2741</v>
      </c>
      <c r="E906" s="3" t="s">
        <v>2742</v>
      </c>
      <c r="F906" s="3" t="s">
        <v>2743</v>
      </c>
      <c r="G906" s="3" t="s">
        <v>2701</v>
      </c>
      <c r="H906" s="3" t="s">
        <v>2711</v>
      </c>
      <c r="I906" s="3" t="s">
        <v>2712</v>
      </c>
      <c r="J906" s="3" t="s">
        <v>2694</v>
      </c>
      <c r="K906" s="3" t="s">
        <v>2735</v>
      </c>
    </row>
    <row r="907" customFormat="false" ht="15" hidden="false" customHeight="true" outlineLevel="0" collapsed="false">
      <c r="A907" s="3" t="s">
        <v>970</v>
      </c>
      <c r="B907" s="3" t="s">
        <v>2704</v>
      </c>
      <c r="C907" s="3" t="s">
        <v>2729</v>
      </c>
      <c r="D907" s="3" t="s">
        <v>2714</v>
      </c>
      <c r="E907" s="3" t="s">
        <v>2720</v>
      </c>
      <c r="F907" s="3" t="s">
        <v>2721</v>
      </c>
      <c r="G907" s="3" t="s">
        <v>2691</v>
      </c>
      <c r="H907" s="3" t="s">
        <v>2730</v>
      </c>
      <c r="I907" s="3" t="s">
        <v>2712</v>
      </c>
      <c r="J907" s="3" t="s">
        <v>2753</v>
      </c>
      <c r="K907" s="3" t="s">
        <v>2695</v>
      </c>
    </row>
    <row r="908" customFormat="false" ht="15" hidden="false" customHeight="true" outlineLevel="0" collapsed="false">
      <c r="A908" s="3" t="s">
        <v>542</v>
      </c>
      <c r="B908" s="3" t="s">
        <v>2749</v>
      </c>
      <c r="C908" s="3" t="s">
        <v>2729</v>
      </c>
      <c r="D908" s="3" t="s">
        <v>2698</v>
      </c>
      <c r="E908" s="3" t="s">
        <v>2750</v>
      </c>
      <c r="F908" s="3" t="s">
        <v>2751</v>
      </c>
      <c r="G908" s="3" t="s">
        <v>2722</v>
      </c>
      <c r="H908" s="3" t="s">
        <v>2725</v>
      </c>
      <c r="I908" s="3" t="s">
        <v>2712</v>
      </c>
      <c r="J908" s="3" t="s">
        <v>2694</v>
      </c>
      <c r="K908" s="3" t="s">
        <v>2735</v>
      </c>
    </row>
    <row r="909" customFormat="false" ht="15" hidden="false" customHeight="true" outlineLevel="0" collapsed="false">
      <c r="A909" s="3" t="s">
        <v>1293</v>
      </c>
      <c r="B909" s="3" t="s">
        <v>2755</v>
      </c>
      <c r="C909" s="3" t="s">
        <v>2687</v>
      </c>
      <c r="D909" s="3" t="s">
        <v>2708</v>
      </c>
      <c r="E909" s="3" t="s">
        <v>2764</v>
      </c>
      <c r="F909" s="3" t="s">
        <v>2765</v>
      </c>
      <c r="G909" s="3" t="s">
        <v>2722</v>
      </c>
      <c r="H909" s="3" t="s">
        <v>2723</v>
      </c>
      <c r="I909" s="3" t="s">
        <v>2817</v>
      </c>
      <c r="J909" s="3" t="s">
        <v>2694</v>
      </c>
      <c r="K909" s="3" t="s">
        <v>2735</v>
      </c>
    </row>
    <row r="910" customFormat="false" ht="15" hidden="false" customHeight="true" outlineLevel="0" collapsed="false">
      <c r="A910" s="3" t="s">
        <v>1731</v>
      </c>
      <c r="B910" s="3" t="s">
        <v>2739</v>
      </c>
      <c r="C910" s="3" t="s">
        <v>2697</v>
      </c>
      <c r="D910" s="3" t="s">
        <v>2741</v>
      </c>
      <c r="E910" s="3" t="s">
        <v>2747</v>
      </c>
      <c r="F910" s="3" t="s">
        <v>2748</v>
      </c>
      <c r="G910" s="3" t="s">
        <v>2722</v>
      </c>
      <c r="H910" s="3" t="s">
        <v>2758</v>
      </c>
      <c r="I910" s="3" t="s">
        <v>2768</v>
      </c>
      <c r="J910" s="3" t="s">
        <v>2753</v>
      </c>
      <c r="K910" s="3" t="s">
        <v>2695</v>
      </c>
    </row>
    <row r="911" customFormat="false" ht="15" hidden="false" customHeight="true" outlineLevel="0" collapsed="false">
      <c r="A911" s="3" t="s">
        <v>459</v>
      </c>
      <c r="B911" s="3" t="s">
        <v>2728</v>
      </c>
      <c r="C911" s="3" t="s">
        <v>2731</v>
      </c>
      <c r="D911" s="3" t="s">
        <v>2741</v>
      </c>
      <c r="E911" s="3" t="s">
        <v>2689</v>
      </c>
      <c r="F911" s="3" t="s">
        <v>2690</v>
      </c>
      <c r="G911" s="3" t="s">
        <v>2722</v>
      </c>
      <c r="H911" s="3" t="s">
        <v>2758</v>
      </c>
      <c r="I911" s="3" t="s">
        <v>2693</v>
      </c>
      <c r="J911" s="3" t="s">
        <v>2694</v>
      </c>
      <c r="K911" s="3" t="s">
        <v>2735</v>
      </c>
    </row>
    <row r="912" customFormat="false" ht="15" hidden="false" customHeight="true" outlineLevel="0" collapsed="false">
      <c r="A912" s="3" t="s">
        <v>845</v>
      </c>
      <c r="B912" s="3" t="s">
        <v>2707</v>
      </c>
      <c r="C912" s="3" t="s">
        <v>2687</v>
      </c>
      <c r="D912" s="3" t="s">
        <v>2708</v>
      </c>
      <c r="E912" s="3" t="s">
        <v>2726</v>
      </c>
      <c r="F912" s="3" t="s">
        <v>2727</v>
      </c>
      <c r="G912" s="3" t="s">
        <v>2701</v>
      </c>
      <c r="H912" s="3" t="s">
        <v>2717</v>
      </c>
      <c r="I912" s="3" t="s">
        <v>2706</v>
      </c>
      <c r="J912" s="3" t="s">
        <v>2694</v>
      </c>
      <c r="K912" s="3" t="s">
        <v>2735</v>
      </c>
    </row>
    <row r="913" customFormat="false" ht="15" hidden="false" customHeight="true" outlineLevel="0" collapsed="false">
      <c r="A913" s="3" t="s">
        <v>402</v>
      </c>
      <c r="B913" s="3" t="s">
        <v>2746</v>
      </c>
      <c r="C913" s="3" t="s">
        <v>2697</v>
      </c>
      <c r="D913" s="3" t="s">
        <v>2790</v>
      </c>
      <c r="E913" s="3" t="s">
        <v>2742</v>
      </c>
      <c r="F913" s="3" t="s">
        <v>2743</v>
      </c>
      <c r="G913" s="3" t="s">
        <v>2722</v>
      </c>
      <c r="H913" s="3" t="s">
        <v>2725</v>
      </c>
      <c r="I913" s="3" t="s">
        <v>2703</v>
      </c>
      <c r="J913" s="3" t="s">
        <v>2734</v>
      </c>
      <c r="K913" s="3" t="s">
        <v>2735</v>
      </c>
    </row>
    <row r="914" customFormat="false" ht="15" hidden="false" customHeight="true" outlineLevel="0" collapsed="false">
      <c r="A914" s="3" t="s">
        <v>1032</v>
      </c>
      <c r="B914" s="3" t="s">
        <v>2740</v>
      </c>
      <c r="C914" s="3" t="s">
        <v>2731</v>
      </c>
      <c r="D914" s="3" t="s">
        <v>2714</v>
      </c>
      <c r="E914" s="3" t="s">
        <v>2720</v>
      </c>
      <c r="F914" s="3" t="s">
        <v>2721</v>
      </c>
      <c r="G914" s="3" t="s">
        <v>2691</v>
      </c>
      <c r="H914" s="3" t="s">
        <v>2692</v>
      </c>
      <c r="I914" s="3" t="s">
        <v>2706</v>
      </c>
      <c r="J914" s="3" t="s">
        <v>2694</v>
      </c>
      <c r="K914" s="3" t="s">
        <v>2735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9" min="8" style="1" width="14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20"/>
    <col collapsed="false" customWidth="true" hidden="false" outlineLevel="0" max="13" min="13" style="1" width="14"/>
    <col collapsed="false" customWidth="true" hidden="false" outlineLevel="0" max="14" min="14" style="1" width="9"/>
    <col collapsed="false" customWidth="true" hidden="false" outlineLevel="0" max="15" min="15" style="1" width="11"/>
    <col collapsed="false" customWidth="true" hidden="false" outlineLevel="0" max="16" min="16" style="1" width="9"/>
    <col collapsed="false" customWidth="true" hidden="false" outlineLevel="0" max="19" min="17" style="1" width="12"/>
    <col collapsed="false" customWidth="true" hidden="false" outlineLevel="0" max="20" min="20" style="1" width="13"/>
    <col collapsed="false" customWidth="true" hidden="false" outlineLevel="0" max="21" min="21" style="1" width="12"/>
  </cols>
  <sheetData>
    <row r="1" customFormat="false" ht="30" hidden="false" customHeight="true" outlineLevel="0" collapsed="false">
      <c r="A1" s="11" t="s">
        <v>2849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customFormat="false" ht="15" hidden="false" customHeight="true" outlineLevel="0" collapsed="false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</row>
    <row r="3" customFormat="false" ht="15" hidden="false" customHeight="true" outlineLevel="0" collapsed="false">
      <c r="A3" s="3" t="s">
        <v>1527</v>
      </c>
      <c r="B3" s="4" t="n">
        <v>45383</v>
      </c>
      <c r="C3" s="4" t="n">
        <v>45391</v>
      </c>
      <c r="D3" s="3" t="s">
        <v>1528</v>
      </c>
      <c r="E3" s="3" t="s">
        <v>2739</v>
      </c>
      <c r="F3" s="3" t="s">
        <v>2697</v>
      </c>
      <c r="G3" s="3" t="s">
        <v>2823</v>
      </c>
      <c r="H3" s="3" t="s">
        <v>2699</v>
      </c>
      <c r="I3" s="3" t="s">
        <v>2700</v>
      </c>
      <c r="J3" s="3" t="s">
        <v>2722</v>
      </c>
      <c r="K3" s="3" t="s">
        <v>2725</v>
      </c>
      <c r="L3" s="3" t="s">
        <v>1529</v>
      </c>
      <c r="M3" s="3" t="s">
        <v>2693</v>
      </c>
      <c r="N3" s="3" t="n">
        <v>6</v>
      </c>
      <c r="O3" s="3" t="n">
        <v>826.93</v>
      </c>
      <c r="P3" s="3" t="n">
        <v>0.1</v>
      </c>
      <c r="Q3" s="3" t="n">
        <v>4465.42</v>
      </c>
      <c r="R3" s="3" t="n">
        <v>3377.1</v>
      </c>
      <c r="S3" s="3" t="n">
        <v>1088.32</v>
      </c>
      <c r="T3" s="3" t="s">
        <v>2694</v>
      </c>
      <c r="U3" s="3" t="s">
        <v>2695</v>
      </c>
    </row>
    <row r="4" customFormat="false" ht="15" hidden="false" customHeight="true" outlineLevel="0" collapsed="false">
      <c r="A4" s="3" t="s">
        <v>1809</v>
      </c>
      <c r="B4" s="4" t="n">
        <v>45521</v>
      </c>
      <c r="C4" s="4" t="n">
        <v>45528</v>
      </c>
      <c r="D4" s="3" t="s">
        <v>1810</v>
      </c>
      <c r="E4" s="3" t="s">
        <v>2713</v>
      </c>
      <c r="F4" s="3" t="s">
        <v>2729</v>
      </c>
      <c r="G4" s="3" t="s">
        <v>2698</v>
      </c>
      <c r="H4" s="3" t="s">
        <v>2732</v>
      </c>
      <c r="I4" s="3" t="s">
        <v>2733</v>
      </c>
      <c r="J4" s="3" t="s">
        <v>2722</v>
      </c>
      <c r="K4" s="3" t="s">
        <v>2725</v>
      </c>
      <c r="L4" s="3" t="s">
        <v>1811</v>
      </c>
      <c r="M4" s="3" t="s">
        <v>2703</v>
      </c>
      <c r="N4" s="3" t="n">
        <v>3</v>
      </c>
      <c r="O4" s="3" t="n">
        <v>1490.69</v>
      </c>
      <c r="P4" s="3" t="n">
        <v>0.25</v>
      </c>
      <c r="Q4" s="3" t="n">
        <v>3354.05</v>
      </c>
      <c r="R4" s="3" t="n">
        <v>2672.67</v>
      </c>
      <c r="S4" s="3" t="n">
        <v>681.38</v>
      </c>
      <c r="T4" s="3" t="s">
        <v>2694</v>
      </c>
      <c r="U4" s="3" t="s">
        <v>2695</v>
      </c>
    </row>
    <row r="5" customFormat="false" ht="15" hidden="false" customHeight="true" outlineLevel="0" collapsed="false">
      <c r="A5" s="3" t="s">
        <v>2086</v>
      </c>
      <c r="B5" s="4" t="n">
        <v>45870</v>
      </c>
      <c r="C5" s="4" t="n">
        <v>45878</v>
      </c>
      <c r="D5" s="3" t="s">
        <v>1059</v>
      </c>
      <c r="E5" s="3" t="s">
        <v>2704</v>
      </c>
      <c r="F5" s="3" t="s">
        <v>2687</v>
      </c>
      <c r="G5" s="3" t="s">
        <v>2708</v>
      </c>
      <c r="H5" s="3" t="s">
        <v>2726</v>
      </c>
      <c r="I5" s="3" t="s">
        <v>2727</v>
      </c>
      <c r="J5" s="3" t="s">
        <v>2691</v>
      </c>
      <c r="K5" s="3" t="s">
        <v>2744</v>
      </c>
      <c r="L5" s="3" t="s">
        <v>2087</v>
      </c>
      <c r="M5" s="3" t="s">
        <v>2706</v>
      </c>
      <c r="N5" s="3" t="n">
        <v>5</v>
      </c>
      <c r="O5" s="3" t="n">
        <v>2736.24</v>
      </c>
      <c r="P5" s="3" t="n">
        <v>0.15</v>
      </c>
      <c r="Q5" s="3" t="n">
        <v>11629.02</v>
      </c>
      <c r="R5" s="3" t="n">
        <v>9627.21</v>
      </c>
      <c r="S5" s="3" t="n">
        <v>2001.81</v>
      </c>
      <c r="T5" s="3" t="s">
        <v>2694</v>
      </c>
      <c r="U5" s="3" t="s">
        <v>2695</v>
      </c>
    </row>
    <row r="6" customFormat="false" ht="15" hidden="false" customHeight="true" outlineLevel="0" collapsed="false">
      <c r="A6" s="3" t="s">
        <v>2115</v>
      </c>
      <c r="B6" s="4" t="n">
        <v>45364</v>
      </c>
      <c r="C6" s="4" t="n">
        <v>45371</v>
      </c>
      <c r="D6" s="3" t="s">
        <v>2116</v>
      </c>
      <c r="E6" s="3" t="s">
        <v>2739</v>
      </c>
      <c r="F6" s="3" t="s">
        <v>2731</v>
      </c>
      <c r="G6" s="3" t="s">
        <v>2708</v>
      </c>
      <c r="H6" s="3" t="s">
        <v>2774</v>
      </c>
      <c r="I6" s="3" t="s">
        <v>2775</v>
      </c>
      <c r="J6" s="3" t="s">
        <v>2701</v>
      </c>
      <c r="K6" s="3" t="s">
        <v>2754</v>
      </c>
      <c r="L6" s="3" t="s">
        <v>2117</v>
      </c>
      <c r="M6" s="3" t="s">
        <v>2768</v>
      </c>
      <c r="N6" s="3" t="n">
        <v>1</v>
      </c>
      <c r="O6" s="3" t="n">
        <v>2825.63</v>
      </c>
      <c r="P6" s="3" t="n">
        <v>0.15</v>
      </c>
      <c r="Q6" s="3" t="n">
        <v>2401.79</v>
      </c>
      <c r="R6" s="3" t="n">
        <v>1820.34</v>
      </c>
      <c r="S6" s="3" t="n">
        <v>581.45</v>
      </c>
      <c r="T6" s="3" t="s">
        <v>2694</v>
      </c>
      <c r="U6" s="3" t="s">
        <v>2695</v>
      </c>
    </row>
    <row r="7" customFormat="false" ht="15" hidden="false" customHeight="true" outlineLevel="0" collapsed="false">
      <c r="A7" s="3" t="s">
        <v>857</v>
      </c>
      <c r="B7" s="4" t="n">
        <v>45313</v>
      </c>
      <c r="C7" s="4" t="n">
        <v>45314</v>
      </c>
      <c r="D7" s="3" t="s">
        <v>858</v>
      </c>
      <c r="E7" s="3" t="s">
        <v>2745</v>
      </c>
      <c r="F7" s="3" t="s">
        <v>2697</v>
      </c>
      <c r="G7" s="3" t="s">
        <v>2768</v>
      </c>
      <c r="H7" s="3" t="s">
        <v>2756</v>
      </c>
      <c r="I7" s="3" t="s">
        <v>2757</v>
      </c>
      <c r="J7" s="3" t="s">
        <v>2701</v>
      </c>
      <c r="K7" s="3" t="s">
        <v>2717</v>
      </c>
      <c r="L7" s="3" t="s">
        <v>859</v>
      </c>
      <c r="M7" s="3" t="s">
        <v>2693</v>
      </c>
      <c r="N7" s="3" t="n">
        <v>6</v>
      </c>
      <c r="O7" s="3" t="n">
        <v>3391.53</v>
      </c>
      <c r="P7" s="3" t="n">
        <v>-0.14</v>
      </c>
      <c r="Q7" s="3" t="n">
        <v>15261.89</v>
      </c>
      <c r="R7" s="3" t="n">
        <v>8413.53</v>
      </c>
      <c r="S7" s="3" t="n">
        <v>6848.36</v>
      </c>
      <c r="T7" s="3" t="s">
        <v>2694</v>
      </c>
      <c r="U7" s="3" t="s">
        <v>2695</v>
      </c>
    </row>
    <row r="8" customFormat="false" ht="15" hidden="false" customHeight="true" outlineLevel="0" collapsed="false">
      <c r="A8" s="3" t="s">
        <v>1908</v>
      </c>
      <c r="B8" s="4" t="n">
        <v>45762</v>
      </c>
      <c r="C8" s="4" t="n">
        <v>45763</v>
      </c>
      <c r="D8" s="3" t="s">
        <v>1909</v>
      </c>
      <c r="E8" s="3" t="s">
        <v>2746</v>
      </c>
      <c r="F8" s="3" t="s">
        <v>2697</v>
      </c>
      <c r="G8" s="3" t="s">
        <v>2708</v>
      </c>
      <c r="H8" s="3" t="s">
        <v>2760</v>
      </c>
      <c r="I8" s="3" t="s">
        <v>2761</v>
      </c>
      <c r="J8" s="3" t="s">
        <v>2701</v>
      </c>
      <c r="K8" s="3" t="s">
        <v>2711</v>
      </c>
      <c r="L8" s="3" t="s">
        <v>1910</v>
      </c>
      <c r="M8" s="3" t="s">
        <v>2706</v>
      </c>
      <c r="N8" s="3" t="n">
        <v>5</v>
      </c>
      <c r="O8" s="3" t="n">
        <v>2850.53</v>
      </c>
      <c r="P8" s="3" t="n">
        <v>0</v>
      </c>
      <c r="Q8" s="3" t="n">
        <v>14252.65</v>
      </c>
      <c r="R8" s="3" t="n">
        <v>11558.31</v>
      </c>
      <c r="S8" s="3" t="n">
        <v>2694.34</v>
      </c>
      <c r="T8" s="3" t="s">
        <v>2694</v>
      </c>
      <c r="U8" s="3" t="s">
        <v>2695</v>
      </c>
    </row>
    <row r="9" customFormat="false" ht="15" hidden="false" customHeight="true" outlineLevel="0" collapsed="false">
      <c r="A9" s="3" t="s">
        <v>2188</v>
      </c>
      <c r="B9" s="4" t="n">
        <v>45794</v>
      </c>
      <c r="C9" s="4" t="n">
        <v>45802</v>
      </c>
      <c r="D9" s="3" t="s">
        <v>2189</v>
      </c>
      <c r="E9" s="3" t="s">
        <v>2713</v>
      </c>
      <c r="F9" s="3" t="s">
        <v>2729</v>
      </c>
      <c r="G9" s="3" t="s">
        <v>2708</v>
      </c>
      <c r="H9" s="3" t="s">
        <v>2774</v>
      </c>
      <c r="I9" s="3" t="s">
        <v>2775</v>
      </c>
      <c r="J9" s="3" t="s">
        <v>2722</v>
      </c>
      <c r="K9" s="3" t="s">
        <v>2779</v>
      </c>
      <c r="L9" s="3" t="s">
        <v>2190</v>
      </c>
      <c r="M9" s="3" t="s">
        <v>2703</v>
      </c>
      <c r="N9" s="3" t="n">
        <v>6</v>
      </c>
      <c r="O9" s="3" t="n">
        <v>1810.63</v>
      </c>
      <c r="P9" s="3" t="n">
        <v>0.15</v>
      </c>
      <c r="Q9" s="3" t="n">
        <v>9234.21</v>
      </c>
      <c r="R9" s="3" t="n">
        <v>5516.52</v>
      </c>
      <c r="S9" s="3" t="n">
        <v>3717.69</v>
      </c>
      <c r="T9" s="3" t="s">
        <v>2694</v>
      </c>
      <c r="U9" s="3" t="s">
        <v>2695</v>
      </c>
    </row>
    <row r="10" customFormat="false" ht="15" hidden="false" customHeight="true" outlineLevel="0" collapsed="false">
      <c r="A10" s="3" t="s">
        <v>432</v>
      </c>
      <c r="B10" s="4" t="n">
        <v>45639</v>
      </c>
      <c r="C10" s="4" t="n">
        <v>45644</v>
      </c>
      <c r="D10" s="3" t="s">
        <v>433</v>
      </c>
      <c r="E10" s="3" t="s">
        <v>2686</v>
      </c>
      <c r="F10" s="3" t="s">
        <v>2687</v>
      </c>
      <c r="G10" s="3" t="s">
        <v>2714</v>
      </c>
      <c r="H10" s="3" t="s">
        <v>2766</v>
      </c>
      <c r="I10" s="3" t="s">
        <v>2767</v>
      </c>
      <c r="J10" s="3" t="s">
        <v>2722</v>
      </c>
      <c r="K10" s="3" t="s">
        <v>2758</v>
      </c>
      <c r="L10" s="3" t="s">
        <v>434</v>
      </c>
      <c r="M10" s="3" t="s">
        <v>2693</v>
      </c>
      <c r="N10" s="3" t="n">
        <v>8</v>
      </c>
      <c r="O10" s="3" t="n">
        <v>3372.15</v>
      </c>
      <c r="P10" s="3" t="n">
        <v>0.15</v>
      </c>
      <c r="Q10" s="3" t="n">
        <v>22930.62</v>
      </c>
      <c r="R10" s="3" t="n">
        <v>16875.55</v>
      </c>
      <c r="S10" s="3" t="n">
        <v>6055.07</v>
      </c>
      <c r="T10" s="3" t="s">
        <v>2694</v>
      </c>
      <c r="U10" s="3" t="s">
        <v>2695</v>
      </c>
    </row>
    <row r="11" customFormat="false" ht="15" hidden="false" customHeight="true" outlineLevel="0" collapsed="false">
      <c r="A11" s="3" t="s">
        <v>2159</v>
      </c>
      <c r="B11" s="4" t="n">
        <v>45908</v>
      </c>
      <c r="C11" s="4" t="n">
        <v>45909</v>
      </c>
      <c r="D11" s="3" t="s">
        <v>92</v>
      </c>
      <c r="E11" s="3" t="s">
        <v>2778</v>
      </c>
      <c r="F11" s="3" t="s">
        <v>2729</v>
      </c>
      <c r="G11" s="3" t="s">
        <v>2714</v>
      </c>
      <c r="H11" s="3" t="s">
        <v>2762</v>
      </c>
      <c r="I11" s="3" t="s">
        <v>2763</v>
      </c>
      <c r="J11" s="3" t="s">
        <v>2691</v>
      </c>
      <c r="K11" s="3" t="s">
        <v>2705</v>
      </c>
      <c r="L11" s="3" t="s">
        <v>2160</v>
      </c>
      <c r="M11" s="3" t="s">
        <v>2703</v>
      </c>
      <c r="N11" s="3" t="n">
        <v>2</v>
      </c>
      <c r="O11" s="3" t="n">
        <v>2372.41</v>
      </c>
      <c r="P11" s="3" t="n">
        <v>0.2</v>
      </c>
      <c r="Q11" s="3" t="n">
        <v>3795.86</v>
      </c>
      <c r="R11" s="3" t="n">
        <v>2264.92</v>
      </c>
      <c r="S11" s="3" t="n">
        <v>1530.94</v>
      </c>
      <c r="T11" s="3" t="s">
        <v>2694</v>
      </c>
      <c r="U11" s="3" t="s">
        <v>2695</v>
      </c>
    </row>
    <row r="12" customFormat="false" ht="15" hidden="false" customHeight="true" outlineLevel="0" collapsed="false">
      <c r="A12" s="3" t="s">
        <v>1221</v>
      </c>
      <c r="B12" s="4" t="n">
        <v>45771</v>
      </c>
      <c r="C12" s="4" t="n">
        <v>45776</v>
      </c>
      <c r="D12" s="3" t="s">
        <v>1222</v>
      </c>
      <c r="E12" s="3" t="s">
        <v>2755</v>
      </c>
      <c r="F12" s="3" t="s">
        <v>2697</v>
      </c>
      <c r="G12" s="3" t="s">
        <v>2708</v>
      </c>
      <c r="H12" s="3" t="s">
        <v>2726</v>
      </c>
      <c r="I12" s="3" t="s">
        <v>2727</v>
      </c>
      <c r="J12" s="3" t="s">
        <v>2691</v>
      </c>
      <c r="K12" s="3" t="s">
        <v>2692</v>
      </c>
      <c r="L12" s="3" t="s">
        <v>1223</v>
      </c>
      <c r="M12" s="3" t="s">
        <v>2703</v>
      </c>
      <c r="N12" s="3" t="n">
        <v>1</v>
      </c>
      <c r="O12" s="3" t="n">
        <v>4358.5</v>
      </c>
      <c r="P12" s="3" t="n">
        <v>0.25</v>
      </c>
      <c r="Q12" s="3" t="n">
        <v>3268.88</v>
      </c>
      <c r="R12" s="3" t="n">
        <v>1993.74</v>
      </c>
      <c r="S12" s="3" t="n">
        <v>1275.14</v>
      </c>
      <c r="T12" s="3" t="s">
        <v>2694</v>
      </c>
      <c r="U12" s="3" t="s">
        <v>2695</v>
      </c>
    </row>
    <row r="13" customFormat="false" ht="15" hidden="false" customHeight="true" outlineLevel="0" collapsed="false">
      <c r="A13" s="3" t="s">
        <v>402</v>
      </c>
      <c r="B13" s="4" t="n">
        <v>45436</v>
      </c>
      <c r="C13" s="4" t="n">
        <v>45437</v>
      </c>
      <c r="D13" s="3" t="s">
        <v>403</v>
      </c>
      <c r="E13" s="3" t="s">
        <v>2746</v>
      </c>
      <c r="F13" s="3" t="s">
        <v>2697</v>
      </c>
      <c r="G13" s="3" t="s">
        <v>2790</v>
      </c>
      <c r="H13" s="3" t="s">
        <v>2742</v>
      </c>
      <c r="I13" s="3" t="s">
        <v>2743</v>
      </c>
      <c r="J13" s="3" t="s">
        <v>2722</v>
      </c>
      <c r="K13" s="3" t="s">
        <v>2725</v>
      </c>
      <c r="L13" s="3" t="s">
        <v>404</v>
      </c>
      <c r="M13" s="3" t="s">
        <v>2703</v>
      </c>
      <c r="N13" s="3" t="n">
        <v>1</v>
      </c>
      <c r="O13" s="3" t="n">
        <v>634.13</v>
      </c>
      <c r="P13" s="3" t="n">
        <v>0</v>
      </c>
      <c r="Q13" s="3" t="n">
        <v>634.13</v>
      </c>
      <c r="R13" s="3" t="n">
        <v>453.35</v>
      </c>
      <c r="S13" s="3" t="n">
        <v>180.78</v>
      </c>
      <c r="T13" s="3" t="s">
        <v>2734</v>
      </c>
      <c r="U13" s="3" t="s">
        <v>2718</v>
      </c>
    </row>
    <row r="14" customFormat="false" ht="15" hidden="false" customHeight="true" outlineLevel="0" collapsed="false">
      <c r="A14" s="3" t="s">
        <v>780</v>
      </c>
      <c r="B14" s="4" t="n">
        <v>45343</v>
      </c>
      <c r="C14" s="4" t="n">
        <v>45349</v>
      </c>
      <c r="D14" s="3" t="s">
        <v>781</v>
      </c>
      <c r="E14" s="3" t="s">
        <v>2707</v>
      </c>
      <c r="F14" s="3" t="s">
        <v>2697</v>
      </c>
      <c r="G14" s="3" t="s">
        <v>2698</v>
      </c>
      <c r="H14" s="3" t="s">
        <v>2732</v>
      </c>
      <c r="I14" s="3" t="s">
        <v>2733</v>
      </c>
      <c r="J14" s="3" t="s">
        <v>2701</v>
      </c>
      <c r="K14" s="3" t="s">
        <v>2711</v>
      </c>
      <c r="L14" s="3" t="s">
        <v>782</v>
      </c>
      <c r="M14" s="3" t="s">
        <v>2712</v>
      </c>
      <c r="N14" s="3" t="n">
        <v>5</v>
      </c>
      <c r="O14" s="3" t="n">
        <v>3373.86</v>
      </c>
      <c r="P14" s="3" t="n">
        <v>0.15</v>
      </c>
      <c r="Q14" s="3" t="n">
        <v>14338.9</v>
      </c>
      <c r="R14" s="3" t="n">
        <v>11897.65</v>
      </c>
      <c r="S14" s="3" t="n">
        <v>2441.25</v>
      </c>
      <c r="T14" s="3" t="s">
        <v>2738</v>
      </c>
      <c r="U14" s="3" t="s">
        <v>2735</v>
      </c>
    </row>
    <row r="15" customFormat="false" ht="15" hidden="false" customHeight="true" outlineLevel="0" collapsed="false">
      <c r="A15" s="3" t="s">
        <v>1156</v>
      </c>
      <c r="B15" s="4" t="n">
        <v>45801</v>
      </c>
      <c r="C15" s="4" t="n">
        <v>45807</v>
      </c>
      <c r="D15" s="3" t="s">
        <v>1157</v>
      </c>
      <c r="E15" s="3" t="s">
        <v>2778</v>
      </c>
      <c r="F15" s="3" t="s">
        <v>2697</v>
      </c>
      <c r="G15" s="3" t="s">
        <v>2698</v>
      </c>
      <c r="H15" s="3" t="s">
        <v>2699</v>
      </c>
      <c r="I15" s="3" t="s">
        <v>2700</v>
      </c>
      <c r="J15" s="3" t="s">
        <v>2691</v>
      </c>
      <c r="K15" s="3" t="s">
        <v>2812</v>
      </c>
      <c r="L15" s="3" t="s">
        <v>1158</v>
      </c>
      <c r="M15" s="3" t="s">
        <v>2703</v>
      </c>
      <c r="N15" s="3" t="n">
        <v>1</v>
      </c>
      <c r="O15" s="3" t="n">
        <v>2564.74</v>
      </c>
      <c r="P15" s="3" t="n">
        <v>0</v>
      </c>
      <c r="Q15" s="3" t="n">
        <v>2564.74</v>
      </c>
      <c r="R15" s="3" t="n">
        <v>1754.58</v>
      </c>
      <c r="S15" s="3" t="n">
        <v>810.16</v>
      </c>
      <c r="T15" s="3" t="s">
        <v>2694</v>
      </c>
      <c r="U15" s="3" t="s">
        <v>2695</v>
      </c>
    </row>
    <row r="16" customFormat="false" ht="15" hidden="false" customHeight="true" outlineLevel="0" collapsed="false">
      <c r="A16" s="3" t="s">
        <v>868</v>
      </c>
      <c r="B16" s="4" t="n">
        <v>45649</v>
      </c>
      <c r="C16" s="4" t="n">
        <v>45652</v>
      </c>
      <c r="D16" s="3" t="s">
        <v>869</v>
      </c>
      <c r="E16" s="3" t="s">
        <v>2728</v>
      </c>
      <c r="F16" s="3" t="s">
        <v>2687</v>
      </c>
      <c r="G16" s="3" t="s">
        <v>2708</v>
      </c>
      <c r="H16" s="3" t="s">
        <v>2760</v>
      </c>
      <c r="I16" s="3" t="s">
        <v>2761</v>
      </c>
      <c r="J16" s="3" t="s">
        <v>2722</v>
      </c>
      <c r="K16" s="3" t="s">
        <v>2725</v>
      </c>
      <c r="L16" s="3" t="s">
        <v>870</v>
      </c>
      <c r="M16" s="3" t="s">
        <v>2712</v>
      </c>
      <c r="N16" s="3" t="n">
        <v>9</v>
      </c>
      <c r="O16" s="3" t="n">
        <v>993.67</v>
      </c>
      <c r="P16" s="3" t="n">
        <v>0</v>
      </c>
      <c r="Q16" s="3" t="n">
        <v>8943.03</v>
      </c>
      <c r="R16" s="3" t="n">
        <v>5165.38</v>
      </c>
      <c r="S16" s="3" t="n">
        <v>3777.65</v>
      </c>
      <c r="T16" s="3" t="s">
        <v>2694</v>
      </c>
      <c r="U16" s="3" t="s">
        <v>2695</v>
      </c>
    </row>
    <row r="17" customFormat="false" ht="15" hidden="false" customHeight="true" outlineLevel="0" collapsed="false">
      <c r="A17" s="3" t="s">
        <v>2139</v>
      </c>
      <c r="B17" s="4" t="n">
        <v>45332</v>
      </c>
      <c r="C17" s="4" t="n">
        <v>45340</v>
      </c>
      <c r="D17" s="3" t="s">
        <v>2140</v>
      </c>
      <c r="E17" s="3" t="s">
        <v>2704</v>
      </c>
      <c r="F17" s="3" t="s">
        <v>2731</v>
      </c>
      <c r="G17" s="3" t="s">
        <v>2714</v>
      </c>
      <c r="H17" s="3" t="s">
        <v>2720</v>
      </c>
      <c r="I17" s="3" t="s">
        <v>2721</v>
      </c>
      <c r="J17" s="3" t="s">
        <v>2701</v>
      </c>
      <c r="K17" s="3" t="s">
        <v>2717</v>
      </c>
      <c r="L17" s="3" t="s">
        <v>2141</v>
      </c>
      <c r="M17" s="3" t="s">
        <v>2706</v>
      </c>
      <c r="N17" s="3" t="n">
        <v>7</v>
      </c>
      <c r="O17" s="3" t="n">
        <v>1382.86</v>
      </c>
      <c r="P17" s="3" t="n">
        <v>0</v>
      </c>
      <c r="Q17" s="3" t="n">
        <v>9680.02</v>
      </c>
      <c r="R17" s="3" t="n">
        <v>6876.66</v>
      </c>
      <c r="S17" s="3" t="n">
        <v>2803.36</v>
      </c>
      <c r="T17" s="3" t="s">
        <v>2694</v>
      </c>
      <c r="U17" s="3" t="s">
        <v>2695</v>
      </c>
    </row>
    <row r="18" customFormat="false" ht="15" hidden="false" customHeight="true" outlineLevel="0" collapsed="false">
      <c r="A18" s="3" t="s">
        <v>1666</v>
      </c>
      <c r="B18" s="4" t="n">
        <v>45941</v>
      </c>
      <c r="C18" s="4" t="n">
        <v>45943</v>
      </c>
      <c r="D18" s="3" t="s">
        <v>1667</v>
      </c>
      <c r="E18" s="3" t="s">
        <v>2696</v>
      </c>
      <c r="F18" s="3" t="s">
        <v>2729</v>
      </c>
      <c r="G18" s="3" t="s">
        <v>2708</v>
      </c>
      <c r="H18" s="3" t="s">
        <v>2709</v>
      </c>
      <c r="I18" s="3" t="s">
        <v>2710</v>
      </c>
      <c r="J18" s="3" t="s">
        <v>2691</v>
      </c>
      <c r="K18" s="3" t="s">
        <v>2705</v>
      </c>
      <c r="L18" s="3" t="s">
        <v>1668</v>
      </c>
      <c r="M18" s="3" t="s">
        <v>2693</v>
      </c>
      <c r="N18" s="3" t="n">
        <v>3</v>
      </c>
      <c r="O18" s="3" t="n">
        <v>3804.27</v>
      </c>
      <c r="P18" s="3" t="n">
        <v>0.1</v>
      </c>
      <c r="Q18" s="3" t="n">
        <v>10271.53</v>
      </c>
      <c r="R18" s="3" t="n">
        <v>8272.24</v>
      </c>
      <c r="S18" s="3" t="n">
        <v>1999.29</v>
      </c>
      <c r="T18" s="3" t="s">
        <v>2694</v>
      </c>
      <c r="U18" s="3" t="s">
        <v>2695</v>
      </c>
    </row>
    <row r="19" customFormat="false" ht="15" hidden="false" customHeight="true" outlineLevel="0" collapsed="false">
      <c r="A19" s="3" t="s">
        <v>2541</v>
      </c>
      <c r="B19" s="4" t="n">
        <v>45357</v>
      </c>
      <c r="C19" s="4" t="n">
        <v>45363</v>
      </c>
      <c r="D19" s="3" t="s">
        <v>2542</v>
      </c>
      <c r="E19" s="3" t="s">
        <v>2704</v>
      </c>
      <c r="F19" s="3" t="s">
        <v>2731</v>
      </c>
      <c r="G19" s="3" t="s">
        <v>2714</v>
      </c>
      <c r="H19" s="3" t="s">
        <v>2762</v>
      </c>
      <c r="I19" s="3" t="s">
        <v>2763</v>
      </c>
      <c r="J19" s="3" t="s">
        <v>2701</v>
      </c>
      <c r="K19" s="3" t="s">
        <v>2754</v>
      </c>
      <c r="L19" s="3" t="s">
        <v>2543</v>
      </c>
      <c r="M19" s="3" t="s">
        <v>2712</v>
      </c>
      <c r="N19" s="3" t="n">
        <v>3</v>
      </c>
      <c r="O19" s="3" t="n">
        <v>679.63</v>
      </c>
      <c r="P19" s="3" t="n">
        <v>0.2</v>
      </c>
      <c r="Q19" s="3" t="n">
        <v>1631.11</v>
      </c>
      <c r="R19" s="3" t="n">
        <v>898.73</v>
      </c>
      <c r="S19" s="3" t="n">
        <v>396.58</v>
      </c>
      <c r="T19" s="3" t="s">
        <v>2694</v>
      </c>
      <c r="U19" s="3" t="s">
        <v>2791</v>
      </c>
    </row>
    <row r="20" customFormat="false" ht="15" hidden="false" customHeight="true" outlineLevel="0" collapsed="false">
      <c r="A20" s="3" t="s">
        <v>414</v>
      </c>
      <c r="B20" s="4" t="n">
        <v>45687</v>
      </c>
      <c r="C20" s="4" t="n">
        <v>45683</v>
      </c>
      <c r="D20" s="3" t="s">
        <v>415</v>
      </c>
      <c r="E20" s="3" t="s">
        <v>2739</v>
      </c>
      <c r="F20" s="3" t="s">
        <v>2729</v>
      </c>
      <c r="G20" s="3" t="s">
        <v>2714</v>
      </c>
      <c r="H20" s="3" t="s">
        <v>2720</v>
      </c>
      <c r="I20" s="3" t="s">
        <v>2721</v>
      </c>
      <c r="J20" s="3" t="s">
        <v>2691</v>
      </c>
      <c r="K20" s="3" t="s">
        <v>2744</v>
      </c>
      <c r="L20" s="3" t="s">
        <v>416</v>
      </c>
      <c r="M20" s="3" t="s">
        <v>2693</v>
      </c>
      <c r="N20" s="3" t="n">
        <v>2</v>
      </c>
      <c r="O20" s="3" t="n">
        <v>3039.3</v>
      </c>
      <c r="P20" s="3" t="n">
        <v>0.05</v>
      </c>
      <c r="Q20" s="3" t="n">
        <v>5774.67</v>
      </c>
      <c r="R20" s="3" t="n">
        <v>3518.36</v>
      </c>
      <c r="S20" s="3" t="n">
        <v>2256.31</v>
      </c>
      <c r="T20" s="3" t="s">
        <v>2694</v>
      </c>
      <c r="U20" s="3" t="s">
        <v>2695</v>
      </c>
    </row>
    <row r="21" customFormat="false" ht="15" hidden="false" customHeight="true" outlineLevel="0" collapsed="false">
      <c r="A21" s="3" t="s">
        <v>2034</v>
      </c>
      <c r="B21" s="4" t="n">
        <v>45911</v>
      </c>
      <c r="C21" s="4" t="n">
        <v>45918</v>
      </c>
      <c r="D21" s="3" t="s">
        <v>2035</v>
      </c>
      <c r="E21" s="3" t="s">
        <v>2740</v>
      </c>
      <c r="F21" s="3" t="s">
        <v>2697</v>
      </c>
      <c r="G21" s="3" t="s">
        <v>2741</v>
      </c>
      <c r="H21" s="3" t="s">
        <v>2782</v>
      </c>
      <c r="I21" s="3" t="s">
        <v>2783</v>
      </c>
      <c r="J21" s="3" t="s">
        <v>2722</v>
      </c>
      <c r="K21" s="3" t="s">
        <v>2758</v>
      </c>
      <c r="L21" s="3" t="s">
        <v>2036</v>
      </c>
      <c r="M21" s="3" t="s">
        <v>2703</v>
      </c>
      <c r="N21" s="3" t="n">
        <v>7</v>
      </c>
      <c r="O21" s="3" t="n">
        <v>3411.21</v>
      </c>
      <c r="P21" s="3" t="n">
        <v>0.15</v>
      </c>
      <c r="Q21" s="3" t="n">
        <v>20296.7</v>
      </c>
      <c r="R21" s="3" t="n">
        <v>14920.87</v>
      </c>
      <c r="S21" s="3" t="n">
        <v>5375.83</v>
      </c>
      <c r="T21" s="3" t="s">
        <v>2694</v>
      </c>
      <c r="U21" s="3" t="s">
        <v>2695</v>
      </c>
    </row>
    <row r="22" customFormat="false" ht="15" hidden="false" customHeight="true" outlineLevel="0" collapsed="false">
      <c r="A22" s="3" t="s">
        <v>49</v>
      </c>
      <c r="B22" s="4" t="n">
        <v>45757</v>
      </c>
      <c r="C22" s="4" t="n">
        <v>45763</v>
      </c>
      <c r="D22" s="3" t="s">
        <v>50</v>
      </c>
      <c r="E22" s="3" t="s">
        <v>2724</v>
      </c>
      <c r="F22" s="3" t="s">
        <v>2687</v>
      </c>
      <c r="G22" s="3" t="s">
        <v>2698</v>
      </c>
      <c r="H22" s="3" t="s">
        <v>2699</v>
      </c>
      <c r="I22" s="3" t="s">
        <v>2700</v>
      </c>
      <c r="J22" s="3" t="s">
        <v>2722</v>
      </c>
      <c r="K22" s="3" t="s">
        <v>2725</v>
      </c>
      <c r="L22" s="3" t="s">
        <v>51</v>
      </c>
      <c r="M22" s="3" t="s">
        <v>2712</v>
      </c>
      <c r="N22" s="3" t="n">
        <v>4</v>
      </c>
      <c r="O22" s="3" t="n">
        <v>1719.87</v>
      </c>
      <c r="P22" s="3" t="n">
        <v>0.15</v>
      </c>
      <c r="Q22" s="3" t="n">
        <v>5847.56</v>
      </c>
      <c r="R22" s="3" t="n">
        <v>4727.25</v>
      </c>
      <c r="S22" s="3" t="n">
        <v>1120.31</v>
      </c>
      <c r="T22" s="3" t="s">
        <v>2694</v>
      </c>
      <c r="U22" s="3" t="s">
        <v>2695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2026-06-27T06:52:33Z</dcterms:created>
  <dc:creator>openpyxl</dc:creator>
  <dc:description/>
  <dc:language>en-US</dc:language>
  <cp:lastModifiedBy/>
  <dcterms:modified xsi:type="dcterms:W3CDTF">2026-06-27T12:01:18Z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